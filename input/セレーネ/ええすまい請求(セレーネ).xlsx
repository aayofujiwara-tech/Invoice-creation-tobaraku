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居者" sheetId="1" r:id="rId5"/>
    <sheet state="visible" name="すまい請求書" sheetId="2" r:id="rId6"/>
    <sheet state="visible" name="領収書" sheetId="3" r:id="rId7"/>
    <sheet state="visible" name="領収書（手入力） " sheetId="4" r:id="rId8"/>
    <sheet state="visible" name="合算請求書" sheetId="5" r:id="rId9"/>
    <sheet state="visible" name="202602" sheetId="6" r:id="rId10"/>
    <sheet state="visible" name="202601" sheetId="7" r:id="rId11"/>
    <sheet state="visible" name="202512" sheetId="8" r:id="rId12"/>
    <sheet state="visible" name="202511" sheetId="9" r:id="rId13"/>
    <sheet state="visible" name="202510" sheetId="10" r:id="rId14"/>
    <sheet state="visible" name="202509" sheetId="11" r:id="rId15"/>
    <sheet state="visible" name="202508" sheetId="12" r:id="rId16"/>
    <sheet state="visible" name="R7.7(作成中)" sheetId="13" r:id="rId17"/>
  </sheets>
  <definedNames>
    <definedName hidden="1" localSheetId="5" name="_xlnm._FilterDatabase">'202602'!$A$2:$AJ$110</definedName>
    <definedName hidden="1" localSheetId="6" name="_xlnm._FilterDatabase">'202601'!$A$2:$AJ$110</definedName>
    <definedName hidden="1" localSheetId="7" name="_xlnm._FilterDatabase">'202512'!$A$2:$AJ$110</definedName>
    <definedName hidden="1" localSheetId="8" name="_xlnm._FilterDatabase">'202511'!$A$2:$AJ$110</definedName>
    <definedName hidden="1" localSheetId="9" name="_xlnm._FilterDatabase">'202510'!$A$2:$AJ$110</definedName>
    <definedName hidden="1" localSheetId="10" name="_xlnm._FilterDatabase">'202509'!$A$2:$AJ$110</definedName>
    <definedName hidden="1" localSheetId="11" name="_xlnm._FilterDatabase">'202508'!$A$2:$AJ$110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tc={04d2838a-72da-446b-a596-b7efab010eb1}</author>
    <author>tc={1fad2b95-d076-4cd8-a3ef-1614e2a14ec8}</author>
    <author>tc={30f532fc-2aba-4e8e-ba74-1892a6a4edeb}</author>
    <author>tc={806e3496-14cf-4771-ad9f-9877e0b53361}</author>
    <author>tc={9acb42a2-fcb1-4a26-af0a-542af6732cf1}</author>
    <author>tc={9e322903-8731-4716-9a6c-43256d12d74b}</author>
    <author>tc={a6a15e1b-28ff-4128-9a40-5253257fda6f}</author>
    <author>tc={ceab446e-54e4-4c5c-bdd3-fbfa26b53e7c}</author>
    <author>tc={d279f1b2-fe39-41e2-b279-2fb58580a16a}</author>
    <author>tc={d46c39e6-f8f0-4fd8-8b70-8fb200d2f5fd}</author>
    <author>tc={d6794e29-194d-41d7-ac6f-3fd1de01b3b2}</author>
    <author>tc={d92eff47-59b3-4d0c-87a7-7ff202e01b97}</author>
    <author>tc={f6572b4c-8a8d-4f4f-89b7-369b4db7dfbb}</author>
  </authors>
  <commentList>
    <comment authorId="0" xr:uid="{04d2838a-72da-446b-a596-b7efab010e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初期費用全て分割
</t>
      </text>
    </comment>
    <comment authorId="1" xr:uid="{1fad2b95-d076-4cd8-a3ef-1614e2a14e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2" xr:uid="{30f532fc-2aba-4e8e-ba74-1892a6a4ed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121円/1日
</t>
      </text>
    </comment>
    <comment authorId="3" xr:uid="{806e3496-14cf-4771-ad9f-9877e0b5336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4" xr:uid="{9acb42a2-fcb1-4a26-af0a-542af6732c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5" xr:uid="{9e322903-8731-4716-9a6c-43256d12d74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121円/1日
</t>
      </text>
    </comment>
    <comment authorId="6" xr:uid="{a6a15e1b-28ff-4128-9a40-5253257fda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7" xr:uid="{ceab446e-54e4-4c5c-bdd3-fbfa26b53e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8" xr:uid="{d279f1b2-fe39-41e2-b279-2fb58580a16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9" xr:uid="{d46c39e6-f8f0-4fd8-8b70-8fb200d2f5f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0" xr:uid="{d6794e29-194d-41d7-ac6f-3fd1de01b3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11" xr:uid="{d92eff47-59b3-4d0c-87a7-7ff202e01b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12" xr:uid="{f6572b4c-8a8d-4f4f-89b7-369b4db7df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tc={671bf46e-368b-4c79-bfe4-fa3d2f6fce23}</author>
    <author>tc={c71a0464-bf12-455e-8dc2-1e09554217a3}</author>
  </authors>
  <commentList>
    <comment authorId="0" xr:uid="{671bf46e-368b-4c79-bfe4-fa3d2f6fce23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" xr:uid="{c71a0464-bf12-455e-8dc2-1e09554217a3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tc={3a989648-58ae-409c-a3ef-cfe0b53bcbad}</author>
    <author>tc={542f1bd5-1655-4270-9cd4-38c2a1fddb86}</author>
    <author>tc={555e3e3a-93c7-4070-b214-274ebe71161e}</author>
    <author>tc={7cd9e91e-d8b1-4851-a452-87b46d1b6eb1}</author>
    <author>tc={a8328893-8905-4add-84e4-903fcde8327b}</author>
    <author>tc={dd1682bf-205c-4ad5-953f-ee4dfeeef4c2}</author>
    <author>tc={e5369e97-3aa3-4310-b26d-38e9161cadc4}</author>
  </authors>
  <commentList>
    <comment authorId="0" xr:uid="{3a989648-58ae-409c-a3ef-cfe0b53bcbad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" xr:uid="{542f1bd5-1655-4270-9cd4-38c2a1fddb86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242円/1日
</t>
      </text>
    </comment>
    <comment authorId="2" xr:uid="{555e3e3a-93c7-4070-b214-274ebe71161e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過入金調整
</t>
      </text>
    </comment>
    <comment authorId="3" xr:uid="{7cd9e91e-d8b1-4851-a452-87b46d1b6eb1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4" xr:uid="{a8328893-8905-4add-84e4-903fcde8327b}" ref="L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5" xr:uid="{dd1682bf-205c-4ad5-953f-ee4dfeeef4c2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6" xr:uid="{e5369e97-3aa3-4310-b26d-38e9161cadc4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tc={073146f5-21cd-4026-9cd4-58c161702ab0}</author>
    <author>tc={528bc9a9-4573-4b12-9230-c73c388348a7}</author>
    <author>tc={5a986db3-42b7-4820-bcc3-12dfde90cadf}</author>
    <author>tc={80b368be-e059-41d7-8ce8-25d8c4d8a986}</author>
    <author>tc={94625829-6510-49b0-a064-ec0b1c02549b}</author>
    <author>tc={c82d9550-f663-462b-b14e-e8237cb554f9}</author>
  </authors>
  <commentList>
    <comment authorId="0" xr:uid="{073146f5-21cd-4026-9cd4-58c161702ab0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1" xr:uid="{528bc9a9-4573-4b12-9230-c73c388348a7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2025/7/17入居
</t>
      </text>
    </comment>
    <comment authorId="2" xr:uid="{5a986db3-42b7-4820-bcc3-12dfde90cadf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3" xr:uid="{80b368be-e059-41d7-8ce8-25d8c4d8a986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4" xr:uid="{94625829-6510-49b0-a064-ec0b1c02549b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2025/7/7入居
</t>
      </text>
    </comment>
    <comment authorId="5" xr:uid="{c82d9550-f663-462b-b14e-e8237cb554f9}" ref="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</commentList>
</comments>
</file>

<file path=xl/sharedStrings.xml><?xml version="1.0" encoding="utf-8"?>
<sst xmlns="http://schemas.openxmlformats.org/spreadsheetml/2006/main" count="668" uniqueCount="137">
  <si>
    <t>居室</t>
  </si>
  <si>
    <t>利用者名</t>
  </si>
  <si>
    <t>岡村三男</t>
  </si>
  <si>
    <t>安藤静子</t>
  </si>
  <si>
    <t>奥谷國春</t>
  </si>
  <si>
    <t>藤本敏博</t>
  </si>
  <si>
    <t>加藤恵子</t>
  </si>
  <si>
    <t>菱池重治</t>
  </si>
  <si>
    <t>荒木のり子</t>
  </si>
  <si>
    <t>801✕</t>
  </si>
  <si>
    <t>上村春子</t>
  </si>
  <si>
    <t>ええすまい請求書</t>
  </si>
  <si>
    <t>様</t>
  </si>
  <si>
    <t>発行日：</t>
  </si>
  <si>
    <t>マンションセレーネ（ええすまい）</t>
  </si>
  <si>
    <t>号室</t>
  </si>
  <si>
    <t>株式会社AA
代表取締役 大石佐智子</t>
  </si>
  <si>
    <t>※分割払いの管理</t>
  </si>
  <si>
    <t>ご請求金額</t>
  </si>
  <si>
    <t>大阪市西淀川区柏里2-9-3-102</t>
  </si>
  <si>
    <t>内　　容</t>
  </si>
  <si>
    <t xml:space="preserve">単 価 </t>
  </si>
  <si>
    <t>数量</t>
  </si>
  <si>
    <t>小計</t>
  </si>
  <si>
    <t>備考</t>
  </si>
  <si>
    <t>1か月</t>
  </si>
  <si>
    <t>ご請求額合計</t>
  </si>
  <si>
    <t>※家賃、共益費、管理費、光熱費は消費税不要</t>
  </si>
  <si>
    <t>8%対象　合計</t>
  </si>
  <si>
    <t>消費税（８％）</t>
  </si>
  <si>
    <t>10％対象　合計</t>
  </si>
  <si>
    <t>消費税（10％）</t>
  </si>
  <si>
    <t>税込合計</t>
  </si>
  <si>
    <t xml:space="preserve">　</t>
  </si>
  <si>
    <t>領　収　書</t>
  </si>
  <si>
    <t>受領日</t>
  </si>
  <si>
    <t xml:space="preserve">　　年　月　日</t>
  </si>
  <si>
    <t>但し　家賃、共益費、管理費、水道代、自費分として</t>
  </si>
  <si>
    <t>上記の金額正に受領いたしました</t>
  </si>
  <si>
    <t>株式会社AA</t>
  </si>
  <si>
    <t>〒555-0022</t>
  </si>
  <si>
    <t>TEL・FAX 06-4400-2901</t>
  </si>
  <si>
    <t>ご利用金額のお知らせ</t>
  </si>
  <si>
    <t>合計金額</t>
  </si>
  <si>
    <t>請求金額</t>
  </si>
  <si>
    <t>お支払期限</t>
  </si>
  <si>
    <t>ええすまい</t>
  </si>
  <si>
    <t>請求書別紙</t>
  </si>
  <si>
    <t>ええかいご</t>
  </si>
  <si>
    <t>ええかんご</t>
  </si>
  <si>
    <t>お支払につきましては下記口座へお願いいたします。</t>
  </si>
  <si>
    <t>振込手数料につきましてはお客様ご負担にてお願い申し上げます。</t>
  </si>
  <si>
    <t>■振込先</t>
  </si>
  <si>
    <t>銀行名：</t>
  </si>
  <si>
    <t>住信ＳＢＩネット銀行（金融機関コード0038）</t>
  </si>
  <si>
    <t>支店名：</t>
  </si>
  <si>
    <t>法人第一支店（支店コード106）</t>
  </si>
  <si>
    <t>口座番号：</t>
  </si>
  <si>
    <t>普通 2555848</t>
  </si>
  <si>
    <t>口座名義：</t>
  </si>
  <si>
    <t>株式会社AA ええすまい塚本</t>
  </si>
  <si>
    <t>カ）エーエー</t>
  </si>
  <si>
    <t>請求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</si>
  <si>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</si>
  <si>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</si>
  <si>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</si>
  <si>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</si>
  <si>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</si>
  <si>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</si>
  <si>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</si>
  <si>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</si>
  <si>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</si>
  <si>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</si>
  <si>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</si>
  <si>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</si>
  <si>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</si>
  <si>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</si>
  <si>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</si>
  <si>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</si>
  <si>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</si>
  <si>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</si>
  <si>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</si>
  <si>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</si>
  <si>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</si>
  <si>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</si>
  <si>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</si>
  <si>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</si>
  <si>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</si>
  <si>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分納残</t>
  </si>
  <si>
    <t>家賃</t>
  </si>
  <si>
    <t>管理費</t>
  </si>
  <si>
    <t>共益費</t>
  </si>
  <si>
    <t>水道料金</t>
  </si>
  <si>
    <t>定額光熱費</t>
  </si>
  <si>
    <t>食事</t>
  </si>
  <si>
    <t>調整額</t>
  </si>
  <si>
    <t>オムツ</t>
  </si>
  <si>
    <t>日用品</t>
  </si>
  <si>
    <t>分割支払い</t>
  </si>
  <si>
    <t>事務手数料</t>
  </si>
  <si>
    <t>デイサービス</t>
  </si>
  <si>
    <t>福祉用具</t>
  </si>
  <si>
    <t>しろくま薬局</t>
  </si>
  <si>
    <t>往診診療費</t>
  </si>
  <si>
    <t>サポート費</t>
  </si>
  <si>
    <t>その他</t>
  </si>
  <si>
    <t>計</t>
  </si>
  <si>
    <t>一部負担(介護)</t>
  </si>
  <si>
    <t>一部負担(看護)</t>
  </si>
  <si>
    <t>合計</t>
  </si>
  <si>
    <t>請求書</t>
  </si>
  <si>
    <t>分割残高</t>
  </si>
  <si>
    <t>未作成</t>
  </si>
  <si>
    <t>9〇</t>
  </si>
  <si>
    <t>奥谷國治</t>
  </si>
  <si>
    <t>3〇</t>
  </si>
  <si>
    <t>11○</t>
  </si>
  <si>
    <t>加藤敬子</t>
  </si>
  <si>
    <t>10〇+初期1万</t>
  </si>
  <si>
    <t>13-15</t>
  </si>
  <si>
    <t>櫻井榮治</t>
  </si>
  <si>
    <t>10○+初期1万</t>
  </si>
  <si>
    <t>11-13万</t>
  </si>
  <si>
    <t>分納残高</t>
  </si>
  <si>
    <t>8月家賃</t>
  </si>
  <si>
    <t>8月管理費</t>
  </si>
  <si>
    <t>8月共益費</t>
  </si>
  <si>
    <t>8月水道料金</t>
  </si>
  <si>
    <t>介護一部負担</t>
  </si>
  <si>
    <t>介護保険料</t>
  </si>
  <si>
    <t>健康保険料</t>
  </si>
  <si>
    <t>外部利用</t>
  </si>
  <si>
    <t>6月一部負担</t>
  </si>
  <si>
    <t>作成中</t>
  </si>
  <si>
    <t>家族郵送</t>
  </si>
  <si>
    <t>発行済</t>
  </si>
  <si>
    <t>13丸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</si>
</sst>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"/>
    <numFmt numFmtId="165" formatCode="yyyy&quot;年&quot;m&quot;月&quot;d&quot;日&quot;"/>
    <numFmt numFmtId="166" formatCode="&quot;¥&quot;#,##0;[Red]&quot;¥&quot;\-#,##0"/>
    <numFmt numFmtId="167" formatCode="&quot;¥&quot;#,##0;&quot;¥&quot;\-#,##0"/>
    <numFmt numFmtId="168" formatCode="0月分"/>
    <numFmt numFmtId="169" formatCode="&quot;¥&quot;#,##0\-_ ;&quot;¥&quot;\-#,##0\-_ ;_ &quot;¥&quot;* &quot;-&quot;_ ;_ @_ "/>
    <numFmt numFmtId="170" formatCode="[$-F800]dddd\,\ mmmm\ dd\,\ yyyy"/>
    <numFmt numFmtId="171" formatCode="0月ご利用分"/>
    <numFmt numFmtId="172" formatCode="yyyy/MM/dd"/>
    <numFmt numFmtId="173" formatCode="[$¥]#,##0"/>
    <numFmt numFmtId="174" formatCode="[$¥-411]#,##0"/>
    <numFmt numFmtId="175" formatCode="m-d"/>
  </numFmts>
  <fonts count="3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20.0"/>
      <color theme="1"/>
      <name val="游ゴシック"/>
    </font>
    <font>
      <sz val="11.0"/>
      <color theme="1"/>
      <name val="游ゴシック"/>
    </font>
    <font>
      <b/>
      <u/>
      <sz val="20.0"/>
      <color theme="1"/>
      <name val="游ゴシック"/>
    </font>
    <font>
      <sz val="14.0"/>
      <color theme="1"/>
      <name val="游ゴシック"/>
    </font>
    <font>
      <b/>
      <sz val="11.0"/>
      <color theme="1"/>
      <name val="游ゴシック"/>
    </font>
    <font/>
    <font>
      <sz val="10.0"/>
      <color theme="1"/>
      <name val="游ゴシック"/>
    </font>
    <font>
      <b/>
      <sz val="12.0"/>
      <color theme="1"/>
      <name val="游ゴシック"/>
    </font>
    <font>
      <b/>
      <sz val="18.0"/>
      <color theme="1"/>
      <name val="游ゴシック"/>
    </font>
    <font>
      <b/>
      <sz val="13.0"/>
      <color theme="1"/>
      <name val="Arial"/>
    </font>
    <font>
      <sz val="12.0"/>
      <color theme="1"/>
      <name val="Arial"/>
    </font>
    <font>
      <sz val="12.0"/>
      <color theme="1"/>
      <name val="游ゴシック"/>
    </font>
    <font>
      <sz val="12.0"/>
      <color rgb="FFFF0000"/>
      <name val="Arial"/>
    </font>
    <font>
      <color theme="1"/>
      <name val="Arial"/>
    </font>
    <font>
      <sz val="9.0"/>
      <color theme="1"/>
      <name val="Arial"/>
    </font>
    <font>
      <color theme="1"/>
      <name val="Meiryo"/>
    </font>
    <font>
      <sz val="14.0"/>
      <color theme="1"/>
      <name val="Arial"/>
    </font>
    <font>
      <sz val="14.0"/>
      <color theme="1"/>
      <name val="游ゴシック light"/>
    </font>
    <font>
      <sz val="24.0"/>
      <color theme="1"/>
      <name val="游ゴシック light"/>
    </font>
    <font>
      <sz val="11.0"/>
      <color theme="1"/>
      <name val="游ゴシック light"/>
    </font>
    <font>
      <u/>
      <sz val="14.0"/>
      <color theme="1"/>
      <name val="游ゴシック light"/>
    </font>
    <font>
      <sz val="18.0"/>
      <color theme="1"/>
      <name val="游ゴシック light"/>
    </font>
    <font>
      <sz val="28.0"/>
      <color theme="1"/>
      <name val="游ゴシック light"/>
    </font>
    <font>
      <sz val="9.0"/>
      <color theme="1"/>
      <name val="游ゴシック light"/>
    </font>
    <font>
      <sz val="12.0"/>
      <color theme="1"/>
      <name val="游ゴシック light"/>
    </font>
    <font>
      <b/>
      <sz val="16.0"/>
      <color theme="1"/>
      <name val="游ゴシック light"/>
    </font>
    <font>
      <sz val="16.0"/>
      <color theme="1"/>
      <name val="游ゴシック light"/>
    </font>
    <font>
      <sz val="13.0"/>
      <color theme="1"/>
      <name val="Calibri"/>
    </font>
    <font>
      <sz val="9.0"/>
      <color theme="1"/>
      <name val="游ゴシック"/>
    </font>
    <font>
      <sz val="11.0"/>
      <color theme="1"/>
      <name val="Calibri"/>
    </font>
    <font>
      <b/>
      <sz val="15.0"/>
      <color theme="1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vertical="center"/>
    </xf>
    <xf borderId="0" fillId="0" fontId="4" numFmtId="165" xfId="0" applyAlignment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2" fillId="0" fontId="7" numFmtId="0" xfId="0" applyAlignment="1" applyBorder="1" applyFont="1">
      <alignment horizontal="center" readingOrder="0" vertical="center"/>
    </xf>
    <xf borderId="3" fillId="0" fontId="8" numFmtId="0" xfId="0" applyBorder="1" applyFont="1"/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4" fillId="3" fontId="4" numFmtId="0" xfId="0" applyAlignment="1" applyBorder="1" applyFont="1">
      <alignment horizontal="center" vertical="center"/>
    </xf>
    <xf borderId="5" fillId="0" fontId="8" numFmtId="0" xfId="0" applyBorder="1" applyFont="1"/>
    <xf borderId="4" fillId="0" fontId="11" numFmtId="166" xfId="0" applyAlignment="1" applyBorder="1" applyFont="1" applyNumberFormat="1">
      <alignment horizontal="center" vertical="center"/>
    </xf>
    <xf borderId="6" fillId="0" fontId="8" numFmtId="0" xfId="0" applyBorder="1" applyFont="1"/>
    <xf borderId="0" fillId="0" fontId="10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7" fillId="3" fontId="12" numFmtId="0" xfId="0" applyAlignment="1" applyBorder="1" applyFont="1">
      <alignment horizontal="center"/>
    </xf>
    <xf borderId="8" fillId="0" fontId="8" numFmtId="0" xfId="0" applyBorder="1" applyFont="1"/>
    <xf borderId="8" fillId="3" fontId="12" numFmtId="0" xfId="0" applyAlignment="1" applyBorder="1" applyFont="1">
      <alignment horizontal="center"/>
    </xf>
    <xf borderId="8" fillId="3" fontId="12" numFmtId="0" xfId="0" applyAlignment="1" applyBorder="1" applyFont="1">
      <alignment horizontal="center"/>
    </xf>
    <xf borderId="9" fillId="0" fontId="8" numFmtId="0" xfId="0" applyBorder="1" applyFont="1"/>
    <xf borderId="10" fillId="0" fontId="13" numFmtId="167" xfId="0" applyAlignment="1" applyBorder="1" applyFont="1" applyNumberFormat="1">
      <alignment horizontal="center"/>
    </xf>
    <xf borderId="0" fillId="0" fontId="13" numFmtId="166" xfId="0" applyAlignment="1" applyFont="1" applyNumberFormat="1">
      <alignment horizontal="right"/>
    </xf>
    <xf borderId="0" fillId="0" fontId="13" numFmtId="0" xfId="0" applyAlignment="1" applyFont="1">
      <alignment horizontal="center"/>
    </xf>
    <xf borderId="0" fillId="0" fontId="13" numFmtId="167" xfId="0" applyAlignment="1" applyFont="1" applyNumberFormat="1">
      <alignment horizontal="right"/>
    </xf>
    <xf borderId="0" fillId="0" fontId="13" numFmtId="168" xfId="0" applyAlignment="1" applyFont="1" applyNumberFormat="1">
      <alignment horizontal="center"/>
    </xf>
    <xf borderId="11" fillId="0" fontId="8" numFmtId="0" xfId="0" applyBorder="1" applyFont="1"/>
    <xf borderId="10" fillId="3" fontId="13" numFmtId="167" xfId="0" applyAlignment="1" applyBorder="1" applyFont="1" applyNumberFormat="1">
      <alignment horizontal="center"/>
    </xf>
    <xf borderId="0" fillId="3" fontId="13" numFmtId="166" xfId="0" applyAlignment="1" applyFont="1" applyNumberFormat="1">
      <alignment horizontal="right"/>
    </xf>
    <xf borderId="0" fillId="3" fontId="13" numFmtId="0" xfId="0" applyAlignment="1" applyFont="1">
      <alignment horizontal="center"/>
    </xf>
    <xf borderId="0" fillId="3" fontId="13" numFmtId="167" xfId="0" applyAlignment="1" applyFont="1" applyNumberFormat="1">
      <alignment horizontal="right"/>
    </xf>
    <xf borderId="0" fillId="3" fontId="13" numFmtId="168" xfId="0" applyAlignment="1" applyFont="1" applyNumberFormat="1">
      <alignment horizontal="center"/>
    </xf>
    <xf borderId="0" fillId="0" fontId="14" numFmtId="0" xfId="0" applyAlignment="1" applyFont="1">
      <alignment vertical="center"/>
    </xf>
    <xf borderId="0" fillId="3" fontId="13" numFmtId="167" xfId="0" applyFont="1" applyNumberFormat="1"/>
    <xf borderId="0" fillId="0" fontId="15" numFmtId="167" xfId="0" applyFont="1" applyNumberFormat="1"/>
    <xf borderId="0" fillId="0" fontId="13" numFmtId="167" xfId="0" applyFont="1" applyNumberFormat="1"/>
    <xf borderId="0" fillId="2" fontId="14" numFmtId="0" xfId="0" applyAlignment="1" applyFont="1">
      <alignment vertical="center"/>
    </xf>
    <xf borderId="0" fillId="0" fontId="13" numFmtId="167" xfId="0" applyAlignment="1" applyFont="1" applyNumberFormat="1">
      <alignment horizontal="center"/>
    </xf>
    <xf borderId="0" fillId="3" fontId="13" numFmtId="167" xfId="0" applyAlignment="1" applyFont="1" applyNumberFormat="1">
      <alignment horizontal="center"/>
    </xf>
    <xf borderId="0" fillId="0" fontId="13" numFmtId="168" xfId="0" applyAlignment="1" applyFont="1" applyNumberFormat="1">
      <alignment horizontal="center" readingOrder="0"/>
    </xf>
    <xf borderId="10" fillId="3" fontId="13" numFmtId="167" xfId="0" applyBorder="1" applyFont="1" applyNumberFormat="1"/>
    <xf borderId="0" fillId="3" fontId="13" numFmtId="0" xfId="0" applyAlignment="1" applyFont="1">
      <alignment horizontal="center"/>
    </xf>
    <xf borderId="0" fillId="3" fontId="13" numFmtId="168" xfId="0" applyFont="1" applyNumberFormat="1"/>
    <xf borderId="10" fillId="0" fontId="16" numFmtId="167" xfId="0" applyBorder="1" applyFont="1" applyNumberFormat="1"/>
    <xf borderId="0" fillId="0" fontId="16" numFmtId="167" xfId="0" applyFont="1" applyNumberFormat="1"/>
    <xf borderId="0" fillId="0" fontId="16" numFmtId="168" xfId="0" applyFont="1" applyNumberFormat="1"/>
    <xf borderId="12" fillId="3" fontId="13" numFmtId="167" xfId="0" applyAlignment="1" applyBorder="1" applyFont="1" applyNumberFormat="1">
      <alignment horizontal="center"/>
    </xf>
    <xf borderId="13" fillId="0" fontId="8" numFmtId="0" xfId="0" applyBorder="1" applyFont="1"/>
    <xf borderId="13" fillId="3" fontId="13" numFmtId="167" xfId="0" applyAlignment="1" applyBorder="1" applyFont="1" applyNumberFormat="1">
      <alignment horizontal="right"/>
    </xf>
    <xf borderId="13" fillId="3" fontId="16" numFmtId="166" xfId="0" applyBorder="1" applyFont="1" applyNumberFormat="1"/>
    <xf borderId="14" fillId="0" fontId="8" numFmtId="0" xfId="0" applyBorder="1" applyFont="1"/>
    <xf borderId="0" fillId="0" fontId="17" numFmtId="0" xfId="0" applyFont="1"/>
    <xf borderId="0" fillId="0" fontId="16" numFmtId="166" xfId="0" applyFont="1" applyNumberFormat="1"/>
    <xf borderId="0" fillId="0" fontId="16" numFmtId="0" xfId="0" applyFont="1"/>
    <xf borderId="4" fillId="2" fontId="18" numFmtId="0" xfId="0" applyAlignment="1" applyBorder="1" applyFont="1">
      <alignment horizontal="center"/>
    </xf>
    <xf borderId="4" fillId="0" fontId="13" numFmtId="166" xfId="0" applyAlignment="1" applyBorder="1" applyFont="1" applyNumberFormat="1">
      <alignment horizontal="right"/>
    </xf>
    <xf borderId="4" fillId="3" fontId="13" numFmtId="167" xfId="0" applyAlignment="1" applyBorder="1" applyFont="1" applyNumberFormat="1">
      <alignment horizontal="center"/>
    </xf>
    <xf borderId="0" fillId="0" fontId="19" numFmtId="0" xfId="0" applyAlignment="1" applyFont="1">
      <alignment horizontal="center"/>
    </xf>
    <xf borderId="0" fillId="0" fontId="19" numFmtId="0" xfId="0" applyFont="1"/>
    <xf borderId="0" fillId="0" fontId="20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right" vertical="center"/>
    </xf>
    <xf borderId="0" fillId="0" fontId="20" numFmtId="49" xfId="0" applyAlignment="1" applyFont="1" applyNumberFormat="1">
      <alignment horizontal="center" vertical="center"/>
    </xf>
    <xf borderId="0" fillId="0" fontId="23" numFmtId="0" xfId="0" applyAlignment="1" applyFont="1">
      <alignment vertical="center"/>
    </xf>
    <xf borderId="0" fillId="0" fontId="22" numFmtId="0" xfId="0" applyAlignment="1" applyFont="1">
      <alignment horizontal="center" readingOrder="0" vertical="center"/>
    </xf>
    <xf borderId="13" fillId="0" fontId="24" numFmtId="0" xfId="0" applyAlignment="1" applyBorder="1" applyFont="1">
      <alignment horizontal="center" vertical="center"/>
    </xf>
    <xf borderId="15" fillId="4" fontId="20" numFmtId="0" xfId="0" applyAlignment="1" applyBorder="1" applyFill="1" applyFont="1">
      <alignment vertical="center"/>
    </xf>
    <xf borderId="16" fillId="4" fontId="25" numFmtId="169" xfId="0" applyAlignment="1" applyBorder="1" applyFont="1" applyNumberFormat="1">
      <alignment horizontal="center" vertical="center"/>
    </xf>
    <xf borderId="17" fillId="0" fontId="8" numFmtId="0" xfId="0" applyBorder="1" applyFont="1"/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vertical="center"/>
    </xf>
    <xf borderId="0" fillId="0" fontId="28" numFmtId="170" xfId="0" applyAlignment="1" applyFont="1" applyNumberFormat="1">
      <alignment vertical="center"/>
    </xf>
    <xf borderId="0" fillId="0" fontId="29" numFmtId="0" xfId="0" applyAlignment="1" applyFont="1">
      <alignment horizontal="left" readingOrder="0" vertical="center"/>
    </xf>
    <xf borderId="0" fillId="0" fontId="29" numFmtId="0" xfId="0" applyAlignment="1" applyFont="1">
      <alignment vertical="center"/>
    </xf>
    <xf borderId="0" fillId="0" fontId="22" numFmtId="0" xfId="0" applyAlignment="1" applyFont="1">
      <alignment horizontal="left" readingOrder="0" vertical="center"/>
    </xf>
    <xf borderId="0" fillId="0" fontId="22" numFmtId="0" xfId="0" applyAlignment="1" applyFont="1">
      <alignment horizontal="left" vertical="center"/>
    </xf>
    <xf borderId="0" fillId="0" fontId="22" numFmtId="0" xfId="0" applyAlignment="1" applyFont="1">
      <alignment vertical="center"/>
    </xf>
    <xf borderId="0" fillId="0" fontId="4" numFmtId="0" xfId="0" applyAlignment="1" applyFont="1">
      <alignment horizontal="left" readingOrder="0" vertical="center"/>
    </xf>
    <xf borderId="0" fillId="0" fontId="22" numFmtId="165" xfId="0" applyAlignment="1" applyFont="1" applyNumberFormat="1">
      <alignment horizontal="center" readingOrder="0" vertical="center"/>
    </xf>
    <xf borderId="16" fillId="4" fontId="25" numFmtId="16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0" fillId="0" fontId="11" numFmtId="166" xfId="0" applyAlignment="1" applyFont="1" applyNumberFormat="1">
      <alignment horizontal="center" vertical="center"/>
    </xf>
    <xf borderId="18" fillId="5" fontId="14" numFmtId="0" xfId="0" applyAlignment="1" applyBorder="1" applyFill="1" applyFont="1">
      <alignment horizontal="center" vertical="center"/>
    </xf>
    <xf borderId="19" fillId="0" fontId="8" numFmtId="0" xfId="0" applyBorder="1" applyFont="1"/>
    <xf borderId="18" fillId="5" fontId="4" numFmtId="0" xfId="0" applyAlignment="1" applyBorder="1" applyFont="1">
      <alignment horizontal="center" readingOrder="0" vertical="center"/>
    </xf>
    <xf borderId="18" fillId="5" fontId="4" numFmtId="0" xfId="0" applyAlignment="1" applyBorder="1" applyFont="1">
      <alignment horizontal="center" vertical="center"/>
    </xf>
    <xf borderId="20" fillId="0" fontId="8" numFmtId="0" xfId="0" applyBorder="1" applyFont="1"/>
    <xf borderId="12" fillId="0" fontId="14" numFmtId="167" xfId="0" applyAlignment="1" applyBorder="1" applyFont="1" applyNumberFormat="1">
      <alignment horizontal="center" readingOrder="0" shrinkToFit="1" vertical="center" wrapText="0"/>
    </xf>
    <xf borderId="12" fillId="0" fontId="14" numFmtId="166" xfId="0" applyAlignment="1" applyBorder="1" applyFont="1" applyNumberFormat="1">
      <alignment horizontal="right" readingOrder="0" vertical="center"/>
    </xf>
    <xf borderId="4" fillId="0" fontId="14" numFmtId="165" xfId="0" applyAlignment="1" applyBorder="1" applyFont="1" applyNumberFormat="1">
      <alignment horizontal="center" readingOrder="0" vertical="center"/>
    </xf>
    <xf borderId="12" fillId="0" fontId="30" numFmtId="171" xfId="0" applyAlignment="1" applyBorder="1" applyFont="1" applyNumberFormat="1">
      <alignment horizontal="center" readingOrder="0" vertical="center"/>
    </xf>
    <xf borderId="8" fillId="0" fontId="31" numFmtId="0" xfId="0" applyAlignment="1" applyBorder="1" applyFont="1">
      <alignment horizontal="left" vertical="center"/>
    </xf>
    <xf borderId="0" fillId="0" fontId="32" numFmtId="0" xfId="0" applyAlignment="1" applyFont="1">
      <alignment vertical="center"/>
    </xf>
    <xf borderId="0" fillId="0" fontId="33" numFmtId="172" xfId="0" applyAlignment="1" applyFont="1" applyNumberFormat="1">
      <alignment horizontal="right" readingOrder="0"/>
    </xf>
    <xf borderId="0" fillId="0" fontId="33" numFmtId="0" xfId="0" applyAlignment="1" applyFont="1">
      <alignment readingOrder="0"/>
    </xf>
    <xf borderId="0" fillId="0" fontId="2" numFmtId="0" xfId="0" applyAlignment="1" applyFont="1">
      <alignment readingOrder="0"/>
    </xf>
    <xf borderId="1" fillId="3" fontId="1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6" fontId="34" numFmtId="0" xfId="0" applyAlignment="1" applyBorder="1" applyFont="1">
      <alignment horizontal="center" readingOrder="0"/>
    </xf>
    <xf borderId="1" fillId="3" fontId="35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ont="1">
      <alignment horizontal="center" readingOrder="0"/>
    </xf>
    <xf borderId="1" fillId="2" fontId="1" numFmtId="173" xfId="0" applyAlignment="1" applyBorder="1" applyFont="1" applyNumberFormat="1">
      <alignment readingOrder="0"/>
    </xf>
    <xf borderId="1" fillId="2" fontId="2" numFmtId="173" xfId="0" applyAlignment="1" applyBorder="1" applyFont="1" applyNumberFormat="1">
      <alignment readingOrder="0"/>
    </xf>
    <xf borderId="1" fillId="2" fontId="34" numFmtId="173" xfId="0" applyAlignment="1" applyBorder="1" applyFont="1" applyNumberFormat="1">
      <alignment readingOrder="0"/>
    </xf>
    <xf borderId="1" fillId="8" fontId="2" numFmtId="173" xfId="0" applyAlignment="1" applyBorder="1" applyFill="1" applyFont="1" applyNumberFormat="1">
      <alignment readingOrder="0"/>
    </xf>
    <xf borderId="1" fillId="2" fontId="36" numFmtId="173" xfId="0" applyAlignment="1" applyBorder="1" applyFont="1" applyNumberFormat="1">
      <alignment readingOrder="0"/>
    </xf>
    <xf borderId="1" fillId="2" fontId="35" numFmtId="173" xfId="0" applyAlignment="1" applyBorder="1" applyFont="1" applyNumberFormat="1">
      <alignment readingOrder="0"/>
    </xf>
    <xf borderId="1" fillId="3" fontId="35" numFmtId="173" xfId="0" applyAlignment="1" applyBorder="1" applyFont="1" applyNumberFormat="1">
      <alignment readingOrder="0"/>
    </xf>
    <xf borderId="1" fillId="9" fontId="1" numFmtId="173" xfId="0" applyAlignment="1" applyBorder="1" applyFill="1" applyFont="1" applyNumberFormat="1">
      <alignment readingOrder="0"/>
    </xf>
    <xf borderId="1" fillId="7" fontId="1" numFmtId="173" xfId="0" applyBorder="1" applyFont="1" applyNumberFormat="1"/>
    <xf borderId="0" fillId="0" fontId="1" numFmtId="173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173" xfId="0" applyBorder="1" applyFont="1" applyNumberFormat="1"/>
    <xf borderId="1" fillId="2" fontId="1" numFmtId="174" xfId="0" applyAlignment="1" applyBorder="1" applyFont="1" applyNumberFormat="1">
      <alignment readingOrder="0"/>
    </xf>
    <xf borderId="1" fillId="2" fontId="34" numFmtId="174" xfId="0" applyAlignment="1" applyBorder="1" applyFont="1" applyNumberFormat="1">
      <alignment readingOrder="0"/>
    </xf>
    <xf borderId="1" fillId="0" fontId="1" numFmtId="174" xfId="0" applyBorder="1" applyFont="1" applyNumberFormat="1"/>
    <xf borderId="1" fillId="2" fontId="2" numFmtId="17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7" fontId="1" numFmtId="173" xfId="0" applyAlignment="1" applyBorder="1" applyFont="1" applyNumberFormat="1">
      <alignment readingOrder="0"/>
    </xf>
    <xf borderId="1" fillId="2" fontId="1" numFmtId="173" xfId="0" applyBorder="1" applyFont="1" applyNumberFormat="1"/>
    <xf borderId="1" fillId="0" fontId="1" numFmtId="173" xfId="0" applyAlignment="1" applyBorder="1" applyFont="1" applyNumberFormat="1">
      <alignment readingOrder="0"/>
    </xf>
    <xf borderId="0" fillId="0" fontId="1" numFmtId="0" xfId="0" applyAlignment="1" applyFont="1">
      <alignment horizontal="left" readingOrder="0"/>
    </xf>
    <xf borderId="1" fillId="10" fontId="1" numFmtId="173" xfId="0" applyAlignment="1" applyBorder="1" applyFill="1" applyFont="1" applyNumberFormat="1">
      <alignment readingOrder="0"/>
    </xf>
    <xf borderId="0" fillId="2" fontId="1" numFmtId="173" xfId="0" applyFont="1" applyNumberFormat="1"/>
    <xf borderId="0" fillId="2" fontId="1" numFmtId="0" xfId="0" applyFont="1"/>
    <xf borderId="1" fillId="7" fontId="1" numFmtId="0" xfId="0" applyAlignment="1" applyBorder="1" applyFont="1">
      <alignment horizontal="center"/>
    </xf>
    <xf borderId="1" fillId="7" fontId="34" numFmtId="173" xfId="0" applyAlignment="1" applyBorder="1" applyFont="1" applyNumberFormat="1">
      <alignment readingOrder="0"/>
    </xf>
    <xf borderId="0" fillId="0" fontId="1" numFmtId="173" xfId="0" applyFont="1" applyNumberFormat="1"/>
    <xf borderId="1" fillId="0" fontId="1" numFmtId="0" xfId="0" applyBorder="1" applyFont="1"/>
    <xf borderId="0" fillId="0" fontId="1" numFmtId="173" xfId="0" applyFont="1" applyNumberFormat="1"/>
    <xf borderId="0" fillId="3" fontId="1" numFmtId="173" xfId="0" applyFont="1" applyNumberFormat="1"/>
    <xf borderId="0" fillId="0" fontId="1" numFmtId="175" xfId="0" applyAlignment="1" applyFont="1" applyNumberFormat="1">
      <alignment horizontal="left" readingOrder="0"/>
    </xf>
    <xf borderId="1" fillId="7" fontId="2" numFmtId="173" xfId="0" applyAlignment="1" applyBorder="1" applyFont="1" applyNumberFormat="1">
      <alignment readingOrder="0"/>
    </xf>
    <xf borderId="0" fillId="0" fontId="1" numFmtId="175" xfId="0" applyAlignment="1" applyFont="1" applyNumberFormat="1">
      <alignment readingOrder="0"/>
    </xf>
    <xf borderId="1" fillId="8" fontId="1" numFmtId="173" xfId="0" applyAlignment="1" applyBorder="1" applyFont="1" applyNumberFormat="1">
      <alignment readingOrder="0"/>
    </xf>
    <xf borderId="1" fillId="9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36" numFmtId="0" xfId="0" applyAlignment="1" applyFont="1">
      <alignment readingOrder="0"/>
    </xf>
    <xf borderId="0" fillId="7" fontId="1" numFmtId="0" xfId="0" applyAlignment="1" applyFont="1">
      <alignment readingOrder="0"/>
    </xf>
    <xf borderId="1" fillId="2" fontId="1" numFmtId="173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371475</xdr:colOff>
      <xdr:row>3</xdr:row>
      <xdr:rowOff>38100</xdr:rowOff>
    </xdr:from>
    <xdr:ext cx="790575" cy="78105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8</xdr:row>
      <xdr:rowOff>19050</xdr:rowOff>
    </xdr:from>
    <xdr:ext cx="600075" cy="866775"/>
    <xdr:sp>
      <xdr:nvSpPr>
        <xdr:cNvPr id="3" name="Shape 3"/>
        <xdr:cNvSpPr txBox="1"/>
      </xdr:nvSpPr>
      <xdr:spPr>
        <a:xfrm>
          <a:off x="5050725" y="3351375"/>
          <a:ext cx="590550" cy="857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200"/>
            <a:buFont typeface="Arial"/>
            <a:buNone/>
          </a:pPr>
          <a:r>
            <a:rPr b="1" lang="en-US" sz="1200">
              <a:solidFill>
                <a:srgbClr val="A5A5A5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/>
        </a:p>
      </xdr:txBody>
    </xdr:sp>
    <xdr:clientData fLocksWithSheet="0"/>
  </xdr:oneCellAnchor>
  <xdr:oneCellAnchor>
    <xdr:from>
      <xdr:col>1</xdr:col>
      <xdr:colOff>219075</xdr:colOff>
      <xdr:row>8</xdr:row>
      <xdr:rowOff>19050</xdr:rowOff>
    </xdr:from>
    <xdr:ext cx="495300" cy="809625"/>
    <xdr:sp>
      <xdr:nvSpPr>
        <xdr:cNvPr id="4" name="Shape 4"/>
        <xdr:cNvSpPr txBox="1"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>
            <a:solidFill>
              <a:srgbClr val="A5A5A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266700</xdr:colOff>
      <xdr:row>8</xdr:row>
      <xdr:rowOff>142875</xdr:rowOff>
    </xdr:from>
    <xdr:ext cx="828675" cy="809625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8</xdr:row>
      <xdr:rowOff>19050</xdr:rowOff>
    </xdr:from>
    <xdr:ext cx="600075" cy="866775"/>
    <xdr:sp>
      <xdr:nvSpPr>
        <xdr:cNvPr id="3" name="Shape 3"/>
        <xdr:cNvSpPr txBox="1"/>
      </xdr:nvSpPr>
      <xdr:spPr>
        <a:xfrm>
          <a:off x="5050725" y="3351375"/>
          <a:ext cx="590550" cy="857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200"/>
            <a:buFont typeface="Arial"/>
            <a:buNone/>
          </a:pPr>
          <a:r>
            <a:rPr b="1" lang="en-US" sz="1200">
              <a:solidFill>
                <a:srgbClr val="A5A5A5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/>
        </a:p>
      </xdr:txBody>
    </xdr:sp>
    <xdr:clientData fLocksWithSheet="0"/>
  </xdr:oneCellAnchor>
  <xdr:oneCellAnchor>
    <xdr:from>
      <xdr:col>1</xdr:col>
      <xdr:colOff>219075</xdr:colOff>
      <xdr:row>8</xdr:row>
      <xdr:rowOff>19050</xdr:rowOff>
    </xdr:from>
    <xdr:ext cx="495300" cy="809625"/>
    <xdr:sp>
      <xdr:nvSpPr>
        <xdr:cNvPr id="4" name="Shape 4"/>
        <xdr:cNvSpPr txBox="1"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>
            <a:solidFill>
              <a:srgbClr val="A5A5A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333375</xdr:colOff>
      <xdr:row>8</xdr:row>
      <xdr:rowOff>66675</xdr:rowOff>
    </xdr:from>
    <xdr:ext cx="904875" cy="866775"/>
    <xdr:pic>
      <xdr:nvPicPr>
        <xdr:cNvPr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松井充子" id="{379893e5-bdd0-4f5f-8904-7247da237ee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21T02:41:50.00" personId="{379893e5-bdd0-4f5f-8904-7247da237ee8}" id="{30f532fc-2aba-4e8e-ba74-1892a6a4edeb}" done="0">
    <x18tc:text xml:space="preserve">121円/1日</x18tc:text>
  </x18tc:threadedComment>
  <x18tc:threadedComment ref="A1" dT="2025-08-21T02:41:19.00" personId="{379893e5-bdd0-4f5f-8904-7247da237ee8}" id="{9e322903-8731-4716-9a6c-43256d12d74b}" done="0">
    <x18tc:text xml:space="preserve">121円/1日</x18tc:text>
  </x18tc:threadedComment>
  <x18tc:threadedComment ref="A1" dT="2025-08-21T02:40:08.00" personId="{379893e5-bdd0-4f5f-8904-7247da237ee8}" id="{d6794e29-194d-41d7-ac6f-3fd1de01b3b2}" done="0">
    <x18tc:text xml:space="preserve">363円/1日</x18tc:text>
  </x18tc:threadedComment>
  <x18tc:threadedComment ref="A1" dT="2025-08-21T02:42:43.00" personId="{379893e5-bdd0-4f5f-8904-7247da237ee8}" id="{ceab446e-54e4-4c5c-bdd3-fbfa26b53e7c}" done="0">
    <x18tc:text xml:space="preserve">363円/1日</x18tc:text>
  </x18tc:threadedComment>
  <x18tc:threadedComment ref="A1" dT="2025-08-21T02:39:51.00" personId="{379893e5-bdd0-4f5f-8904-7247da237ee8}" id="{a6a15e1b-28ff-4128-9a40-5253257fda6f}" done="0">
    <x18tc:text xml:space="preserve">73円/1日</x18tc:text>
  </x18tc:threadedComment>
  <x18tc:threadedComment ref="A1" dT="2025-08-21T02:42:35.00" personId="{379893e5-bdd0-4f5f-8904-7247da237ee8}" id="{9acb42a2-fcb1-4a26-af0a-542af6732cf1}" done="0">
    <x18tc:text xml:space="preserve">363円/1日</x18tc:text>
  </x18tc:threadedComment>
  <x18tc:threadedComment ref="A1" dT="2025-07-21T02:28:38.00" personId="{379893e5-bdd0-4f5f-8904-7247da237ee8}" id="{04d2838a-72da-446b-a596-b7efab010eb1}" done="1">
    <x18tc:text xml:space="preserve">初期費用全て分割</x18tc:text>
  </x18tc:threadedComment>
  <x18tc:threadedComment ref="A1" dT="2025-08-21T02:39:33.00" personId="{379893e5-bdd0-4f5f-8904-7247da237ee8}" id="{1fad2b95-d076-4cd8-a3ef-1614e2a14ec8}" done="0">
    <x18tc:text xml:space="preserve">73円/1日</x18tc:text>
  </x18tc:threadedComment>
  <x18tc:threadedComment ref="A1" dT="2025-08-21T02:42:24.00" personId="{379893e5-bdd0-4f5f-8904-7247da237ee8}" id="{f6572b4c-8a8d-4f4f-89b7-369b4db7dfbb}" done="0">
    <x18tc:text xml:space="preserve">73円/1日</x18tc:text>
  </x18tc:threadedComment>
  <x18tc:threadedComment ref="A1" dT="2025-08-21T02:39:02.00" personId="{379893e5-bdd0-4f5f-8904-7247da237ee8}" id="{d92eff47-59b3-4d0c-87a7-7ff202e01b97}" done="0">
    <x18tc:text xml:space="preserve">363円/1日</x18tc:text>
  </x18tc:threadedComment>
  <x18tc:threadedComment ref="A1" dT="2025-08-21T02:42:15.00" personId="{379893e5-bdd0-4f5f-8904-7247da237ee8}" id="{d46c39e6-f8f0-4fd8-8b70-8fb200d2f5fd}" done="0">
    <x18tc:text xml:space="preserve">73円/1日</x18tc:text>
  </x18tc:threadedComment>
  <x18tc:threadedComment ref="A1" dT="2025-08-21T02:42:00.00" personId="{379893e5-bdd0-4f5f-8904-7247da237ee8}" id="{806e3496-14cf-4771-ad9f-9877e0b53361}" done="0">
    <x18tc:text xml:space="preserve">73円/1日</x18tc:text>
  </x18tc:threadedComment>
  <x18tc:threadedComment ref="A1" dT="2025-08-21T02:41:33.00" personId="{379893e5-bdd0-4f5f-8904-7247da237ee8}" id="{d279f1b2-fe39-41e2-b279-2fb58580a16a}" done="0">
    <x18tc:text xml:space="preserve">73円/1日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" dT="2025-09-16T02:25:18.00" personId="{379893e5-bdd0-4f5f-8904-7247da237ee8}" id="{671bf46e-368b-4c79-bfe4-fa3d2f6fce23}" done="0">
    <x18tc:text xml:space="preserve">73円/1日</x18tc:text>
  </x18tc:threadedComment>
  <x18tc:threadedComment ref="K5" dT="2025-09-16T02:24:43.00" personId="{379893e5-bdd0-4f5f-8904-7247da237ee8}" id="{c71a0464-bf12-455e-8dc2-1e09554217a3}" done="0">
    <x18tc:text xml:space="preserve">363円/1日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8" dT="2025-08-25T01:56:06.00" personId="{379893e5-bdd0-4f5f-8904-7247da237ee8}" id="{e5369e97-3aa3-4310-b26d-38e9161cadc4}" done="0">
    <x18tc:text xml:space="preserve">363円/1日</x18tc:text>
  </x18tc:threadedComment>
  <x18tc:threadedComment ref="J3" dT="2025-08-27T04:16:54.00" personId="{379893e5-bdd0-4f5f-8904-7247da237ee8}" id="{555e3e3a-93c7-4070-b214-274ebe71161e}" done="0">
    <x18tc:text xml:space="preserve">過入金調整</x18tc:text>
  </x18tc:threadedComment>
  <x18tc:threadedComment ref="L12" dT="2025-08-25T02:05:52.00" personId="{379893e5-bdd0-4f5f-8904-7247da237ee8}" id="{a8328893-8905-4add-84e4-903fcde8327b}" done="0">
    <x18tc:text xml:space="preserve">73円/1日</x18tc:text>
  </x18tc:threadedComment>
  <x18tc:threadedComment ref="K5" dT="2025-08-25T01:57:04.00" personId="{379893e5-bdd0-4f5f-8904-7247da237ee8}" id="{dd1682bf-205c-4ad5-953f-ee4dfeeef4c2}" done="0">
    <x18tc:text xml:space="preserve">363円/1日</x18tc:text>
  </x18tc:threadedComment>
  <x18tc:threadedComment ref="L8" dT="2025-08-25T01:56:17.00" personId="{379893e5-bdd0-4f5f-8904-7247da237ee8}" id="{7cd9e91e-d8b1-4851-a452-87b46d1b6eb1}" done="0">
    <x18tc:text xml:space="preserve">73円/1日</x18tc:text>
  </x18tc:threadedComment>
  <x18tc:threadedComment ref="K12" dT="2025-08-25T02:05:46.00" personId="{379893e5-bdd0-4f5f-8904-7247da237ee8}" id="{542f1bd5-1655-4270-9cd4-38c2a1fddb86}" done="0">
    <x18tc:text xml:space="preserve">242円/1日</x18tc:text>
  </x18tc:threadedComment>
  <x18tc:threadedComment ref="L5" dT="2025-08-25T01:57:11.00" personId="{379893e5-bdd0-4f5f-8904-7247da237ee8}" id="{3a989648-58ae-409c-a3ef-cfe0b53bcbad}" done="0">
    <x18tc:text xml:space="preserve">73円/1日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8" dT="2025-07-21T05:49:07.00" personId="{379893e5-bdd0-4f5f-8904-7247da237ee8}" id="{80b368be-e059-41d7-8ce8-25d8c4d8a986}" done="0">
    <x18tc:text xml:space="preserve">73円/1日</x18tc:text>
  </x18tc:threadedComment>
  <x18tc:threadedComment ref="J5" dT="2025-07-21T05:50:23.00" personId="{379893e5-bdd0-4f5f-8904-7247da237ee8}" id="{073146f5-21cd-4026-9cd4-58c161702ab0}" done="0">
    <x18tc:text xml:space="preserve">363円/1日</x18tc:text>
  </x18tc:threadedComment>
  <x18tc:threadedComment ref="J8" dT="2025-07-21T05:50:32.00" personId="{379893e5-bdd0-4f5f-8904-7247da237ee8}" id="{c82d9550-f663-462b-b14e-e8237cb554f9}" done="0">
    <x18tc:text xml:space="preserve">363円/1日</x18tc:text>
  </x18tc:threadedComment>
  <x18tc:threadedComment ref="K5" dT="2025-07-21T05:48:55.00" personId="{379893e5-bdd0-4f5f-8904-7247da237ee8}" id="{5a986db3-42b7-4820-bcc3-12dfde90cadf}" done="0">
    <x18tc:text xml:space="preserve">73円/1日</x18tc:text>
  </x18tc:threadedComment>
  <x18tc:threadedComment ref="B8" dT="2025-07-21T05:52:33.00" personId="{379893e5-bdd0-4f5f-8904-7247da237ee8}" id="{94625829-6510-49b0-a064-ec0b1c02549b}" done="0">
    <x18tc:text xml:space="preserve">2025/7/7入居</x18tc:text>
  </x18tc:threadedComment>
  <x18tc:threadedComment ref="B5" dT="2025-07-21T05:52:44.00" personId="{379893e5-bdd0-4f5f-8904-7247da237ee8}" id="{528bc9a9-4573-4b12-9230-c73c388348a7}" done="0">
    <x18tc:text xml:space="preserve">2025/7/17入居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608.0</v>
      </c>
      <c r="B2" s="2" t="s">
        <v>2</v>
      </c>
    </row>
    <row r="3">
      <c r="A3" s="1">
        <v>703.0</v>
      </c>
      <c r="B3" s="1" t="s">
        <v>3</v>
      </c>
    </row>
    <row r="4">
      <c r="A4" s="1">
        <v>801.0</v>
      </c>
      <c r="B4" s="1"/>
    </row>
    <row r="5">
      <c r="A5" s="1">
        <v>813.0</v>
      </c>
      <c r="B5" s="1" t="s">
        <v>4</v>
      </c>
    </row>
    <row r="6">
      <c r="A6" s="1">
        <v>906.0</v>
      </c>
      <c r="B6" s="1" t="s">
        <v>5</v>
      </c>
    </row>
    <row r="7">
      <c r="A7" s="1">
        <v>913.0</v>
      </c>
      <c r="B7" s="1" t="s">
        <v>6</v>
      </c>
    </row>
    <row r="8">
      <c r="A8" s="1">
        <v>915.0</v>
      </c>
      <c r="B8" s="1" t="s">
        <v>7</v>
      </c>
    </row>
    <row r="9">
      <c r="A9" s="1">
        <v>1005.0</v>
      </c>
      <c r="B9" s="1"/>
    </row>
    <row r="10">
      <c r="A10" s="1">
        <v>1006.0</v>
      </c>
      <c r="B10" s="1" t="s">
        <v>8</v>
      </c>
    </row>
    <row r="11">
      <c r="A11" s="1">
        <v>1012.0</v>
      </c>
      <c r="B11" s="1"/>
    </row>
    <row r="12">
      <c r="A12" s="1" t="s">
        <v>9</v>
      </c>
      <c r="B12" s="1" t="s">
        <v>10</v>
      </c>
    </row>
    <row r="13">
      <c r="A13" s="3"/>
      <c r="B13" s="3"/>
    </row>
    <row r="14">
      <c r="A14" s="3"/>
      <c r="B14" s="3"/>
    </row>
    <row r="15">
      <c r="A15" s="1"/>
      <c r="B15" s="3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3"/>
    </row>
    <row r="21">
      <c r="A21" s="1"/>
      <c r="B21" s="1"/>
    </row>
    <row r="22">
      <c r="A22" s="1"/>
      <c r="B22" s="1"/>
    </row>
    <row r="23">
      <c r="A23" s="1"/>
      <c r="B23" s="3"/>
    </row>
    <row r="24">
      <c r="A24" s="1"/>
      <c r="B24" s="1"/>
    </row>
    <row r="25">
      <c r="A25" s="4"/>
      <c r="B25" s="5"/>
    </row>
    <row r="26">
      <c r="A26" s="4"/>
      <c r="B26" s="5"/>
    </row>
    <row r="27">
      <c r="A27" s="4"/>
      <c r="B27" s="5"/>
    </row>
    <row r="28">
      <c r="A28" s="4"/>
      <c r="B28" s="5"/>
    </row>
    <row r="29">
      <c r="A29" s="4"/>
      <c r="B29" s="5"/>
    </row>
    <row r="30">
      <c r="A30" s="4"/>
      <c r="B30" s="5"/>
    </row>
    <row r="31">
      <c r="A31" s="4"/>
      <c r="B31" s="5"/>
    </row>
    <row r="32">
      <c r="A32" s="4"/>
      <c r="B32" s="5"/>
    </row>
    <row r="33">
      <c r="A33" s="4"/>
      <c r="B33" s="5"/>
    </row>
    <row r="34">
      <c r="A34" s="4"/>
      <c r="B34" s="5"/>
    </row>
    <row r="35">
      <c r="A35" s="4"/>
      <c r="B35" s="5"/>
    </row>
    <row r="36">
      <c r="A36" s="4"/>
      <c r="B36" s="5"/>
    </row>
    <row r="37">
      <c r="A37" s="4"/>
      <c r="B37" s="5"/>
    </row>
    <row r="38">
      <c r="A38" s="4"/>
      <c r="B38" s="5"/>
    </row>
    <row r="39">
      <c r="A39" s="4"/>
      <c r="B39" s="5"/>
    </row>
    <row r="40">
      <c r="A40" s="4"/>
      <c r="B40" s="5"/>
    </row>
    <row r="41">
      <c r="A41" s="4"/>
      <c r="B41" s="5"/>
    </row>
    <row r="42">
      <c r="A42" s="4"/>
      <c r="B42" s="5"/>
    </row>
    <row r="43">
      <c r="A43" s="4"/>
      <c r="B43" s="5"/>
    </row>
    <row r="44">
      <c r="A44" s="4"/>
      <c r="B44" s="5"/>
    </row>
    <row r="45">
      <c r="A45" s="4"/>
      <c r="B45" s="5"/>
    </row>
    <row r="46">
      <c r="A46" s="4"/>
      <c r="B46" s="5"/>
    </row>
    <row r="47">
      <c r="A47" s="4"/>
      <c r="B47" s="5"/>
    </row>
    <row r="48">
      <c r="A48" s="4"/>
      <c r="B48" s="5"/>
    </row>
    <row r="49">
      <c r="A49" s="4"/>
      <c r="B49" s="5"/>
    </row>
    <row r="50">
      <c r="A50" s="4"/>
      <c r="B50" s="5"/>
    </row>
    <row r="51">
      <c r="A51" s="4"/>
      <c r="B51" s="5"/>
    </row>
    <row r="52">
      <c r="A52" s="4"/>
      <c r="B52" s="5"/>
    </row>
    <row r="53">
      <c r="A53" s="4"/>
      <c r="B53" s="5"/>
    </row>
    <row r="54">
      <c r="A54" s="4"/>
      <c r="B54" s="5"/>
    </row>
    <row r="55">
      <c r="A55" s="4"/>
      <c r="B55" s="5"/>
    </row>
    <row r="56">
      <c r="A56" s="4"/>
      <c r="B56" s="5"/>
    </row>
    <row r="57">
      <c r="A57" s="4"/>
      <c r="B57" s="5"/>
    </row>
    <row r="58">
      <c r="A58" s="4"/>
      <c r="B58" s="5"/>
    </row>
    <row r="59">
      <c r="A59" s="4"/>
      <c r="B59" s="5"/>
    </row>
    <row r="60">
      <c r="A60" s="4"/>
      <c r="B60" s="5"/>
    </row>
    <row r="61">
      <c r="A61" s="4"/>
      <c r="B61" s="5"/>
    </row>
    <row r="62">
      <c r="A62" s="4"/>
      <c r="B62" s="5"/>
    </row>
    <row r="63">
      <c r="A63" s="4"/>
      <c r="B63" s="5"/>
    </row>
    <row r="64">
      <c r="A64" s="4"/>
      <c r="B64" s="5"/>
    </row>
    <row r="65">
      <c r="A65" s="4"/>
      <c r="B65" s="5"/>
    </row>
    <row r="66">
      <c r="A66" s="4"/>
      <c r="B66" s="5"/>
    </row>
    <row r="67">
      <c r="A67" s="4"/>
      <c r="B67" s="5"/>
    </row>
    <row r="68">
      <c r="A68" s="4"/>
      <c r="B68" s="5"/>
    </row>
    <row r="69">
      <c r="A69" s="4"/>
      <c r="B69" s="5"/>
    </row>
    <row r="70">
      <c r="A70" s="4"/>
      <c r="B70" s="5"/>
    </row>
    <row r="71">
      <c r="A71" s="4"/>
      <c r="B71" s="5"/>
    </row>
    <row r="72">
      <c r="A72" s="4"/>
      <c r="B72" s="5"/>
    </row>
    <row r="73">
      <c r="A73" s="4"/>
      <c r="B73" s="5"/>
    </row>
    <row r="74">
      <c r="A74" s="4"/>
      <c r="B74" s="5"/>
    </row>
    <row r="75">
      <c r="A75" s="4"/>
      <c r="B75" s="5"/>
    </row>
    <row r="76">
      <c r="A76" s="4"/>
      <c r="B76" s="5"/>
    </row>
    <row r="77">
      <c r="A77" s="4"/>
      <c r="B77" s="5"/>
    </row>
    <row r="78">
      <c r="A78" s="4"/>
      <c r="B78" s="5"/>
    </row>
    <row r="79">
      <c r="A79" s="4"/>
      <c r="B79" s="5"/>
    </row>
    <row r="80">
      <c r="A80" s="4"/>
      <c r="B80" s="5"/>
    </row>
    <row r="81">
      <c r="A81" s="4"/>
      <c r="B81" s="5"/>
    </row>
    <row r="82">
      <c r="A82" s="4"/>
      <c r="B82" s="5"/>
    </row>
    <row r="83">
      <c r="A83" s="4"/>
      <c r="B83" s="5"/>
    </row>
    <row r="84">
      <c r="A84" s="4"/>
      <c r="B84" s="5"/>
    </row>
    <row r="85">
      <c r="A85" s="4"/>
      <c r="B85" s="5"/>
    </row>
    <row r="86">
      <c r="A86" s="4"/>
      <c r="B86" s="5"/>
    </row>
    <row r="87">
      <c r="A87" s="4"/>
      <c r="B87" s="5"/>
    </row>
    <row r="88">
      <c r="A88" s="4"/>
      <c r="B88" s="5"/>
    </row>
    <row r="89">
      <c r="A89" s="4"/>
      <c r="B89" s="5"/>
    </row>
    <row r="90">
      <c r="A90" s="4"/>
      <c r="B90" s="5"/>
    </row>
    <row r="91">
      <c r="A91" s="4"/>
      <c r="B91" s="5"/>
    </row>
    <row r="92">
      <c r="A92" s="4"/>
      <c r="B92" s="5"/>
    </row>
    <row r="93">
      <c r="A93" s="4"/>
      <c r="B93" s="5"/>
    </row>
    <row r="94">
      <c r="A94" s="4"/>
      <c r="B94" s="5"/>
    </row>
    <row r="95">
      <c r="A95" s="4"/>
      <c r="B95" s="5"/>
    </row>
    <row r="96">
      <c r="A96" s="4"/>
      <c r="B96" s="5"/>
    </row>
    <row r="97">
      <c r="A97" s="4"/>
      <c r="B97" s="5"/>
    </row>
    <row r="98">
      <c r="A98" s="4"/>
      <c r="B98" s="5"/>
    </row>
    <row r="99">
      <c r="A99" s="4"/>
      <c r="B99" s="5"/>
    </row>
    <row r="100">
      <c r="A100" s="4"/>
      <c r="B100" s="5"/>
    </row>
    <row r="101">
      <c r="A101" s="4"/>
      <c r="B101" s="5"/>
    </row>
    <row r="102">
      <c r="A102" s="4"/>
      <c r="B102" s="5"/>
    </row>
    <row r="103">
      <c r="A103" s="4"/>
      <c r="B103" s="5"/>
    </row>
    <row r="104">
      <c r="A104" s="4"/>
      <c r="B104" s="5"/>
    </row>
    <row r="105">
      <c r="A105" s="4"/>
      <c r="B105" s="5"/>
    </row>
    <row r="106">
      <c r="A106" s="4"/>
      <c r="B106" s="5"/>
    </row>
    <row r="107">
      <c r="A107" s="4"/>
      <c r="B107" s="5"/>
    </row>
    <row r="108">
      <c r="A108" s="4"/>
      <c r="B108" s="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75"/>
  <cols>
    <col customWidth="1" min="1" max="11" width="7.63"/>
    <col customWidth="1" min="12" max="26" width="7.13"/>
  </cols>
  <sheetData>
    <row r="1" ht="33.0" customHeight="1">
      <c r="A1" s="6" t="s">
        <v>11</v>
      </c>
      <c r="L1" s="7"/>
      <c r="O1" s="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9" t="str">
        <f t="array" ref="A2">VLOOKUP(F$4,INDIRECT(M$2&amp;"!A3:U109"),2,FALSE)</f>
        <v>荒木のり子</v>
      </c>
      <c r="E2" s="10" t="s">
        <v>12</v>
      </c>
      <c r="F2" s="7"/>
      <c r="G2" s="7"/>
      <c r="H2" s="11" t="s">
        <v>13</v>
      </c>
      <c r="J2" s="12">
        <v>46056.0</v>
      </c>
      <c r="L2" s="13"/>
      <c r="M2" s="14">
        <v>202601.0</v>
      </c>
      <c r="N2" s="15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F3" s="7"/>
      <c r="G3" s="7"/>
      <c r="H3" s="7"/>
      <c r="I3" s="7"/>
      <c r="J3" s="7"/>
      <c r="K3" s="7"/>
      <c r="L3" s="7"/>
      <c r="M3" s="16"/>
      <c r="N3" s="16"/>
      <c r="O3" s="17"/>
      <c r="P3" s="17"/>
      <c r="Q3" s="17"/>
      <c r="R3" s="17"/>
      <c r="S3" s="7"/>
      <c r="T3" s="7"/>
      <c r="U3" s="7"/>
      <c r="V3" s="7"/>
      <c r="W3" s="7"/>
      <c r="X3" s="7"/>
      <c r="Y3" s="7"/>
      <c r="Z3" s="7"/>
    </row>
    <row r="4" ht="18.75" customHeight="1">
      <c r="A4" s="18" t="s">
        <v>14</v>
      </c>
      <c r="F4" s="16">
        <v>1006.0</v>
      </c>
      <c r="G4" s="17" t="s">
        <v>15</v>
      </c>
      <c r="H4" s="19" t="s">
        <v>16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20"/>
      <c r="B5" s="20"/>
      <c r="C5" s="20"/>
      <c r="D5" s="7"/>
      <c r="E5" s="7"/>
      <c r="F5" s="7"/>
      <c r="G5" s="7"/>
      <c r="L5" s="21"/>
      <c r="M5" s="22" t="s">
        <v>17</v>
      </c>
      <c r="N5" s="21"/>
      <c r="O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75" customHeight="1">
      <c r="A6" s="23" t="s">
        <v>18</v>
      </c>
      <c r="B6" s="24"/>
      <c r="C6" s="25">
        <f>I34</f>
        <v>113345</v>
      </c>
      <c r="D6" s="26"/>
      <c r="E6" s="26"/>
      <c r="F6" s="26"/>
      <c r="G6" s="24"/>
      <c r="H6" s="27" t="s">
        <v>19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0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28"/>
      <c r="M7" s="28"/>
      <c r="N7" s="2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0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28"/>
      <c r="M8" s="28"/>
      <c r="N8" s="2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29" t="s">
        <v>20</v>
      </c>
      <c r="B9" s="30"/>
      <c r="C9" s="31" t="s">
        <v>21</v>
      </c>
      <c r="D9" s="30"/>
      <c r="E9" s="32" t="s">
        <v>22</v>
      </c>
      <c r="F9" s="30"/>
      <c r="G9" s="31" t="s">
        <v>23</v>
      </c>
      <c r="H9" s="30"/>
      <c r="I9" s="31" t="s">
        <v>24</v>
      </c>
      <c r="J9" s="30"/>
      <c r="K9" s="3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34" t="str">
        <f t="array" ref="A10">INDIRECT(M$2&amp;"!D2")</f>
        <v>家賃</v>
      </c>
      <c r="C10" s="35">
        <f t="array" ref="C10">VLOOKUP(F$4,INDIRECT(M$2&amp;"!A3:Y109"),4,FALSE)</f>
        <v>40000</v>
      </c>
      <c r="E10" s="36" t="s">
        <v>25</v>
      </c>
      <c r="G10" s="37">
        <f t="shared" ref="G10:G28" si="1">C10</f>
        <v>40000</v>
      </c>
      <c r="I10" s="38" t="str">
        <f>TEXT(EDATE(DATE(LEFT(M2,4), RIGHT(M2,2), 1), +1), "m月分")</f>
        <v>2月分</v>
      </c>
      <c r="K10" s="3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40" t="str">
        <f t="array" ref="A11">INDIRECT(M$2&amp;"!E2")</f>
        <v>管理費</v>
      </c>
      <c r="C11" s="41">
        <f t="array" ref="C11">VLOOKUP(F$4,INDIRECT(M$2&amp;"!A3:Y109"),5,FALSE)</f>
        <v>5000</v>
      </c>
      <c r="E11" s="42" t="s">
        <v>25</v>
      </c>
      <c r="G11" s="43">
        <f t="shared" si="1"/>
        <v>5000</v>
      </c>
      <c r="I11" s="44" t="str">
        <f>TEXT(EDATE(DATE(LEFT(M2,4), RIGHT(M2,2), 1), +1), "m月分")</f>
        <v>2月分</v>
      </c>
      <c r="K11" s="39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22.5" customHeight="1">
      <c r="A12" s="34" t="str">
        <f t="array" ref="A12">INDIRECT(M$2&amp;"!F2")</f>
        <v>共益費</v>
      </c>
      <c r="C12" s="35">
        <f t="array" ref="C12">VLOOKUP(F$4,INDIRECT(M$2&amp;"!A3:Y109"),6,FALSE)</f>
        <v>5000</v>
      </c>
      <c r="E12" s="36" t="s">
        <v>25</v>
      </c>
      <c r="G12" s="37">
        <f t="shared" si="1"/>
        <v>5000</v>
      </c>
      <c r="I12" s="38" t="str">
        <f>TEXT(EDATE(DATE(LEFT(M2,4), RIGHT(M2,2), 1), +1), "m月分")</f>
        <v>2月分</v>
      </c>
      <c r="K12" s="39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22.5" customHeight="1">
      <c r="A13" s="40" t="str">
        <f t="array" ref="A13">INDIRECT(M$2&amp;"!G2")</f>
        <v>水道料金</v>
      </c>
      <c r="C13" s="41">
        <f t="array" ref="C13">VLOOKUP(F$4,INDIRECT(M$2&amp;"!A3:Y109"),7,FALSE)</f>
        <v>2000</v>
      </c>
      <c r="E13" s="42" t="s">
        <v>25</v>
      </c>
      <c r="G13" s="43">
        <f t="shared" si="1"/>
        <v>2000</v>
      </c>
      <c r="I13" s="44" t="str">
        <f>TEXT(EDATE(DATE(LEFT(M2,4), RIGHT(M2,2), 1), +1), "m月分")</f>
        <v>2月分</v>
      </c>
      <c r="K13" s="39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22.5" customHeight="1">
      <c r="A14" s="34" t="str">
        <f t="array" ref="A14">INDIRECT(M$2&amp;"!H2")</f>
        <v>定額光熱費</v>
      </c>
      <c r="C14" s="35">
        <f t="array" ref="C14">VLOOKUP(F$4,INDIRECT(M$2&amp;"!A3:Y109"),8,FALSE)</f>
        <v>10000</v>
      </c>
      <c r="E14" s="36" t="s">
        <v>25</v>
      </c>
      <c r="G14" s="37">
        <f t="shared" si="1"/>
        <v>10000</v>
      </c>
      <c r="I14" s="38" t="str">
        <f>TEXT(EDATE(DATE(LEFT(M2,4), RIGHT(M2,2), 1), +1), "m月分")</f>
        <v>2月分</v>
      </c>
      <c r="K14" s="39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22.5" customHeight="1">
      <c r="A15" s="40" t="str">
        <f t="array" ref="A15">INDIRECT(M$2&amp;"!I2")</f>
        <v>食事</v>
      </c>
      <c r="C15" s="41">
        <f t="array" ref="C15">VLOOKUP(F$4,INDIRECT(M$2&amp;"!A3:Y109"),9,FALSE)</f>
        <v>31900</v>
      </c>
      <c r="E15" s="42" t="s">
        <v>25</v>
      </c>
      <c r="G15" s="46">
        <f t="shared" si="1"/>
        <v>31900</v>
      </c>
      <c r="I15" s="44" t="str">
        <f>TEXT(EDATE(DATE(LEFT(M2,4), RIGHT(M2,2), 1), ), "m月分")</f>
        <v>1月分</v>
      </c>
      <c r="K15" s="39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22.5" customHeight="1">
      <c r="A16" s="34" t="str">
        <f t="array" ref="A16">INDIRECT(M$2&amp;"!J2")</f>
        <v>調整額</v>
      </c>
      <c r="C16" s="35">
        <f t="array" ref="C16">VLOOKUP(F$4,INDIRECT(M$2&amp;"!A3:Y109"),10,FALSE)</f>
        <v>0</v>
      </c>
      <c r="E16" s="36" t="s">
        <v>25</v>
      </c>
      <c r="G16" s="47">
        <f t="shared" si="1"/>
        <v>0</v>
      </c>
      <c r="I16" s="38" t="str">
        <f>TEXT(EDATE(DATE(LEFT(M2,4), RIGHT(M2,2), 1), ), "m月分")</f>
        <v>1月分</v>
      </c>
      <c r="K16" s="39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22.5" customHeight="1">
      <c r="A17" s="40" t="str">
        <f t="array" ref="A17">INDIRECT(M$2&amp;"!K2")</f>
        <v>オムツ</v>
      </c>
      <c r="C17" s="41" t="str">
        <f t="array" ref="C17">VLOOKUP(F$4,INDIRECT(M$2&amp;"!A3:Y109"),11,FALSE)</f>
        <v/>
      </c>
      <c r="E17" s="42" t="s">
        <v>25</v>
      </c>
      <c r="G17" s="46" t="str">
        <f t="shared" si="1"/>
        <v/>
      </c>
      <c r="I17" s="44" t="str">
        <f>TEXT(EDATE(DATE(LEFT(M2,4), RIGHT(M2,2), 1), ), "m月分")</f>
        <v>1月分</v>
      </c>
      <c r="K17" s="39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22.5" customHeight="1">
      <c r="A18" s="34" t="str">
        <f t="array" ref="A18">INDIRECT(M$2&amp;"!L2")</f>
        <v>日用品</v>
      </c>
      <c r="C18" s="35">
        <f t="array" ref="C18">VLOOKUP(F$4,INDIRECT(M$2&amp;"!A3:Y109"),12,FALSE)</f>
        <v>2263</v>
      </c>
      <c r="E18" s="36" t="s">
        <v>25</v>
      </c>
      <c r="G18" s="48">
        <f t="shared" si="1"/>
        <v>2263</v>
      </c>
      <c r="I18" s="38" t="str">
        <f>TEXT(EDATE(DATE(LEFT(M2,4), RIGHT(M2,2), 1), ), "m月分")</f>
        <v>1月分</v>
      </c>
      <c r="K18" s="39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22.5" customHeight="1">
      <c r="A19" s="40" t="str">
        <f t="array" ref="A19">INDIRECT(M$2&amp;"!M2")</f>
        <v>分割支払い</v>
      </c>
      <c r="C19" s="41">
        <f t="array" ref="C19">VLOOKUP(F$4,INDIRECT(M$2&amp;"!A3:Y109"),13,FALSE)</f>
        <v>10000</v>
      </c>
      <c r="E19" s="42" t="s">
        <v>25</v>
      </c>
      <c r="G19" s="43">
        <f t="shared" si="1"/>
        <v>10000</v>
      </c>
      <c r="I19" s="44" t="str">
        <f>TEXT(EDATE(DATE(LEFT(M2,4), RIGHT(M2,2), 1), ), "m月分")</f>
        <v>1月分</v>
      </c>
      <c r="K19" s="39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9"/>
      <c r="X19" s="45"/>
      <c r="Y19" s="45"/>
      <c r="Z19" s="45"/>
    </row>
    <row r="20" ht="22.5" customHeight="1">
      <c r="A20" s="34" t="str">
        <f t="array" ref="A20">INDIRECT(M$2&amp;"!N2")</f>
        <v>事務手数料</v>
      </c>
      <c r="C20" s="35" t="str">
        <f t="array" ref="C20">VLOOKUP(F$4,INDIRECT(M$2&amp;"!A3:Y109"),14,FALSE)</f>
        <v/>
      </c>
      <c r="E20" s="36" t="s">
        <v>25</v>
      </c>
      <c r="G20" s="37" t="str">
        <f t="shared" si="1"/>
        <v/>
      </c>
      <c r="I20" s="38" t="str">
        <f>TEXT(EDATE(DATE(LEFT(M2,4), RIGHT(M2,2), 1), ), "m月分")</f>
        <v>1月分</v>
      </c>
      <c r="K20" s="39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22.5" customHeight="1">
      <c r="A21" s="40" t="str">
        <f t="array" ref="A21">INDIRECT(M$2&amp;"!O2")</f>
        <v>デイサービス</v>
      </c>
      <c r="C21" s="41" t="str">
        <f t="array" ref="C21">VLOOKUP(F$4,INDIRECT(M$2&amp;"!A3:Y109"),15,FALSE)</f>
        <v/>
      </c>
      <c r="E21" s="42" t="s">
        <v>25</v>
      </c>
      <c r="G21" s="43" t="str">
        <f t="shared" si="1"/>
        <v/>
      </c>
      <c r="I21" s="44" t="str">
        <f>TEXT(EDATE(DATE(LEFT(M2,4), RIGHT(M2,2), 1), -1), "m月分")</f>
        <v>12月分</v>
      </c>
      <c r="K21" s="39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22.5" customHeight="1">
      <c r="A22" s="34" t="str">
        <f t="array" ref="A22">INDIRECT(M$2&amp;"!P2")</f>
        <v>福祉用具</v>
      </c>
      <c r="C22" s="35" t="str">
        <f t="array" ref="C22">VLOOKUP(F$4,INDIRECT(M$2&amp;"!A3:Y109"),16,FALSE)</f>
        <v/>
      </c>
      <c r="E22" s="36" t="s">
        <v>25</v>
      </c>
      <c r="G22" s="48" t="str">
        <f t="shared" si="1"/>
        <v/>
      </c>
      <c r="I22" s="38" t="str">
        <f>TEXT(EDATE(DATE(LEFT(M2,4), RIGHT(M2,2), 1), -1), "m月分")</f>
        <v>12月分</v>
      </c>
      <c r="K22" s="39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22.5" customHeight="1">
      <c r="A23" s="40" t="str">
        <f t="array" ref="A23">INDIRECT(M$2&amp;"!Q2")</f>
        <v>しろくま薬局</v>
      </c>
      <c r="C23" s="41">
        <f t="array" ref="C23">VLOOKUP(F$4,INDIRECT(M$2&amp;"!A3:Y109"),17,FALSE)</f>
        <v>7182</v>
      </c>
      <c r="E23" s="42" t="s">
        <v>25</v>
      </c>
      <c r="G23" s="46">
        <f t="shared" si="1"/>
        <v>7182</v>
      </c>
      <c r="I23" s="44" t="str">
        <f>TEXT(EDATE(DATE(LEFT(M2,4), RIGHT(M2,2), 1), -1), "m月分")</f>
        <v>12月分</v>
      </c>
      <c r="K23" s="39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22.5" customHeight="1">
      <c r="A24" s="34" t="str">
        <f t="array" ref="A24">INDIRECT(M$2&amp;"!R2")</f>
        <v>往診診療費</v>
      </c>
      <c r="C24" s="35" t="str">
        <f t="array" ref="C24">VLOOKUP(F$4,INDIRECT(M$2&amp;"!A3:Y109"),18,FALSE)</f>
        <v/>
      </c>
      <c r="E24" s="50" t="s">
        <v>25</v>
      </c>
      <c r="G24" s="48" t="str">
        <f t="shared" si="1"/>
        <v/>
      </c>
      <c r="I24" s="38" t="str">
        <f>TEXT(EDATE(DATE(LEFT(M2,4), RIGHT(M2,2), 1), -1), "m月分")</f>
        <v>12月分</v>
      </c>
      <c r="K24" s="39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22.5" customHeight="1">
      <c r="A25" s="40" t="str">
        <f t="array" ref="A25">INDIRECT(M$2&amp;"!S2")</f>
        <v>サポート費</v>
      </c>
      <c r="C25" s="41" t="str">
        <f t="array" ref="C25">VLOOKUP(F$4,INDIRECT(M$2&amp;"!A3:Y109"),19,FALSE)</f>
        <v/>
      </c>
      <c r="E25" s="51" t="s">
        <v>25</v>
      </c>
      <c r="G25" s="46" t="str">
        <f t="shared" si="1"/>
        <v/>
      </c>
      <c r="I25" s="44" t="str">
        <f>TEXT(EDATE(DATE(LEFT(M2,4), RIGHT(M2,2), 1), -1), "m月分")</f>
        <v>12月分</v>
      </c>
      <c r="K25" s="39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22.5" customHeight="1">
      <c r="A26" s="34" t="str">
        <f t="array" ref="A26">INDIRECT(M$2&amp;"!T2")</f>
        <v>その他</v>
      </c>
      <c r="C26" s="35" t="str">
        <f t="array" ref="C26">VLOOKUP(F$4,INDIRECT(M$2&amp;"!A3:Y109"),20,FALSE)</f>
        <v/>
      </c>
      <c r="E26" s="50" t="s">
        <v>25</v>
      </c>
      <c r="G26" s="48" t="str">
        <f t="shared" si="1"/>
        <v/>
      </c>
      <c r="I26" s="52"/>
      <c r="K26" s="39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22.5" customHeight="1">
      <c r="A27" s="53" t="str">
        <f t="array" ref="A27">INDIRECT(M$2&amp;"!U2")</f>
        <v/>
      </c>
      <c r="C27" s="41" t="str">
        <f t="array" ref="C27">VLOOKUP(F$4,INDIRECT(M$2&amp;"!A3:Y109"),21,FALSE)</f>
        <v/>
      </c>
      <c r="E27" s="54" t="s">
        <v>25</v>
      </c>
      <c r="G27" s="46" t="str">
        <f t="shared" si="1"/>
        <v/>
      </c>
      <c r="I27" s="55"/>
      <c r="K27" s="39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22.5" customHeight="1">
      <c r="A28" s="56" t="str">
        <f t="array" ref="A28">INDIRECT(M$2&amp;"!V2")</f>
        <v/>
      </c>
      <c r="C28" s="35" t="str">
        <f t="array" ref="C28">VLOOKUP(F$4,INDIRECT(M$2&amp;"!A3:Y109"),22,FALSE)</f>
        <v/>
      </c>
      <c r="E28" s="57"/>
      <c r="G28" s="57" t="str">
        <f t="shared" si="1"/>
        <v/>
      </c>
      <c r="I28" s="58"/>
      <c r="K28" s="39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22.5" customHeight="1">
      <c r="A29" s="59" t="s">
        <v>26</v>
      </c>
      <c r="B29" s="60"/>
      <c r="C29" s="60"/>
      <c r="D29" s="60"/>
      <c r="E29" s="60"/>
      <c r="F29" s="60"/>
      <c r="G29" s="61">
        <f>SUM(G10:H28)</f>
        <v>113345</v>
      </c>
      <c r="H29" s="60"/>
      <c r="I29" s="62"/>
      <c r="J29" s="60"/>
      <c r="K29" s="63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22.5" customHeight="1">
      <c r="A30" s="64" t="s">
        <v>27</v>
      </c>
      <c r="H30" s="57"/>
      <c r="I30" s="65"/>
      <c r="J30" s="65"/>
      <c r="K30" s="66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22.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22.5" customHeight="1">
      <c r="A32" s="67" t="s">
        <v>28</v>
      </c>
      <c r="B32" s="24"/>
      <c r="C32" s="68">
        <v>0.0</v>
      </c>
      <c r="D32" s="24"/>
      <c r="E32" s="66"/>
      <c r="F32" s="66"/>
      <c r="G32" s="67" t="s">
        <v>29</v>
      </c>
      <c r="H32" s="24"/>
      <c r="I32" s="68">
        <v>0.0</v>
      </c>
      <c r="J32" s="24"/>
      <c r="K32" s="66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22.5" customHeight="1">
      <c r="A33" s="67" t="s">
        <v>30</v>
      </c>
      <c r="B33" s="24"/>
      <c r="C33" s="68">
        <v>0.0</v>
      </c>
      <c r="D33" s="24"/>
      <c r="E33" s="66"/>
      <c r="F33" s="66"/>
      <c r="G33" s="67" t="s">
        <v>31</v>
      </c>
      <c r="H33" s="24"/>
      <c r="I33" s="68">
        <v>0.0</v>
      </c>
      <c r="J33" s="24"/>
      <c r="K33" s="66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8.0" customHeight="1">
      <c r="A34" s="66"/>
      <c r="B34" s="66"/>
      <c r="C34" s="66"/>
      <c r="D34" s="66"/>
      <c r="E34" s="66"/>
      <c r="F34" s="66"/>
      <c r="G34" s="69" t="s">
        <v>32</v>
      </c>
      <c r="H34" s="24"/>
      <c r="I34" s="68">
        <f>G29</f>
        <v>113345</v>
      </c>
      <c r="J34" s="24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8.0" customHeight="1">
      <c r="A35" s="70"/>
      <c r="C35" s="71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8.0" customHeight="1">
      <c r="A36" s="70"/>
      <c r="C36" s="71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9.5" customHeight="1">
      <c r="A37" s="70"/>
      <c r="C37" s="71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4.0" customHeight="1">
      <c r="A38" s="70"/>
      <c r="C38" s="71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24.0" customHeight="1">
      <c r="C39" s="71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24.0" customHeight="1">
      <c r="A40" s="66"/>
      <c r="B40" s="66"/>
      <c r="C40" s="66"/>
      <c r="D40" s="66"/>
      <c r="E40" s="66"/>
      <c r="F40" s="66"/>
      <c r="G40" s="6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7.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4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4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4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2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24.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</sheetData>
  <mergeCells count="129">
    <mergeCell ref="A1:K1"/>
    <mergeCell ref="A2:D3"/>
    <mergeCell ref="E2:E3"/>
    <mergeCell ref="H2:I2"/>
    <mergeCell ref="J2:K2"/>
    <mergeCell ref="M2:N2"/>
    <mergeCell ref="H4:K5"/>
    <mergeCell ref="G9:H9"/>
    <mergeCell ref="I9:K9"/>
    <mergeCell ref="A4:E4"/>
    <mergeCell ref="A6:B6"/>
    <mergeCell ref="C6:G6"/>
    <mergeCell ref="H6:K6"/>
    <mergeCell ref="A9:B9"/>
    <mergeCell ref="C9:D9"/>
    <mergeCell ref="E9:F9"/>
    <mergeCell ref="E11:F11"/>
    <mergeCell ref="G11:H11"/>
    <mergeCell ref="A10:B10"/>
    <mergeCell ref="C10:D10"/>
    <mergeCell ref="E10:F10"/>
    <mergeCell ref="G10:H10"/>
    <mergeCell ref="I10:K10"/>
    <mergeCell ref="C11:D11"/>
    <mergeCell ref="I11:K11"/>
    <mergeCell ref="G13:H13"/>
    <mergeCell ref="I13:K13"/>
    <mergeCell ref="I14:K14"/>
    <mergeCell ref="A11:B11"/>
    <mergeCell ref="A12:B12"/>
    <mergeCell ref="C12:D12"/>
    <mergeCell ref="E12:F12"/>
    <mergeCell ref="G12:H12"/>
    <mergeCell ref="I12:K12"/>
    <mergeCell ref="A13:B13"/>
    <mergeCell ref="C19:D19"/>
    <mergeCell ref="E19:F19"/>
    <mergeCell ref="I19:K19"/>
    <mergeCell ref="A19:B19"/>
    <mergeCell ref="A20:B20"/>
    <mergeCell ref="C20:D20"/>
    <mergeCell ref="E20:F20"/>
    <mergeCell ref="G20:H20"/>
    <mergeCell ref="I20:K20"/>
    <mergeCell ref="A21:B21"/>
    <mergeCell ref="G21:H21"/>
    <mergeCell ref="I21:K21"/>
    <mergeCell ref="I22:K22"/>
    <mergeCell ref="C21:D21"/>
    <mergeCell ref="E21:F21"/>
    <mergeCell ref="A22:B22"/>
    <mergeCell ref="C22:D22"/>
    <mergeCell ref="E22:F22"/>
    <mergeCell ref="G22:H22"/>
    <mergeCell ref="G23:H23"/>
    <mergeCell ref="C23:D23"/>
    <mergeCell ref="E23:F23"/>
    <mergeCell ref="I23:K23"/>
    <mergeCell ref="A23:B23"/>
    <mergeCell ref="A24:B24"/>
    <mergeCell ref="C24:D24"/>
    <mergeCell ref="E24:F24"/>
    <mergeCell ref="G24:H24"/>
    <mergeCell ref="I24:K24"/>
    <mergeCell ref="A25:B25"/>
    <mergeCell ref="G25:H25"/>
    <mergeCell ref="I25:K25"/>
    <mergeCell ref="I26:K26"/>
    <mergeCell ref="C25:D25"/>
    <mergeCell ref="E25:F25"/>
    <mergeCell ref="A26:B26"/>
    <mergeCell ref="C26:D26"/>
    <mergeCell ref="E26:F26"/>
    <mergeCell ref="G26:H26"/>
    <mergeCell ref="G27:H27"/>
    <mergeCell ref="C27:D27"/>
    <mergeCell ref="E27:F27"/>
    <mergeCell ref="I27:K27"/>
    <mergeCell ref="A27:B27"/>
    <mergeCell ref="C28:D28"/>
    <mergeCell ref="E28:F28"/>
    <mergeCell ref="G28:H28"/>
    <mergeCell ref="I28:K28"/>
    <mergeCell ref="A29:F29"/>
    <mergeCell ref="A30:G30"/>
    <mergeCell ref="C15:D15"/>
    <mergeCell ref="E15:F15"/>
    <mergeCell ref="I15:K15"/>
    <mergeCell ref="C13:D13"/>
    <mergeCell ref="E13:F13"/>
    <mergeCell ref="A14:B14"/>
    <mergeCell ref="C14:D14"/>
    <mergeCell ref="E14:F14"/>
    <mergeCell ref="G14:H14"/>
    <mergeCell ref="G15:H15"/>
    <mergeCell ref="G17:H17"/>
    <mergeCell ref="I17:K17"/>
    <mergeCell ref="I18:K18"/>
    <mergeCell ref="A15:B15"/>
    <mergeCell ref="A16:B16"/>
    <mergeCell ref="C16:D16"/>
    <mergeCell ref="E16:F16"/>
    <mergeCell ref="G16:H16"/>
    <mergeCell ref="I16:K16"/>
    <mergeCell ref="A17:B17"/>
    <mergeCell ref="C17:D17"/>
    <mergeCell ref="E17:F17"/>
    <mergeCell ref="A18:B18"/>
    <mergeCell ref="C18:D18"/>
    <mergeCell ref="E18:F18"/>
    <mergeCell ref="G18:H18"/>
    <mergeCell ref="G19:H19"/>
    <mergeCell ref="G29:H29"/>
    <mergeCell ref="I29:K29"/>
    <mergeCell ref="G32:H32"/>
    <mergeCell ref="I32:J32"/>
    <mergeCell ref="G33:H33"/>
    <mergeCell ref="I33:J33"/>
    <mergeCell ref="G34:H34"/>
    <mergeCell ref="I34:J34"/>
    <mergeCell ref="A37:B37"/>
    <mergeCell ref="A38:B39"/>
    <mergeCell ref="A28:B28"/>
    <mergeCell ref="A32:B32"/>
    <mergeCell ref="C32:D32"/>
    <mergeCell ref="A33:B33"/>
    <mergeCell ref="C33:D33"/>
    <mergeCell ref="A35:B35"/>
    <mergeCell ref="A36:B36"/>
  </mergeCells>
  <dataValidations>
    <dataValidation type="list" allowBlank="1" showErrorMessage="1" sqref="F4">
      <formula1>'入居者'!$A$2:$A$108</formula1>
    </dataValidation>
  </dataValidations>
  <printOptions horizontalCentered="1"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21.38"/>
    <col customWidth="1" min="3" max="3" width="13.13"/>
    <col customWidth="1" min="4" max="4" width="8.13"/>
    <col customWidth="1" min="5" max="5" width="12.13"/>
    <col customWidth="1" min="6" max="6" width="6.75"/>
    <col customWidth="1" min="7" max="7" width="15.63"/>
    <col customWidth="1" min="8" max="8" width="1.25"/>
    <col customWidth="1" min="9" max="26" width="7.88"/>
  </cols>
  <sheetData>
    <row r="1" ht="37.5" customHeight="1">
      <c r="A1" s="72" t="s">
        <v>33</v>
      </c>
      <c r="B1" s="73" t="s">
        <v>34</v>
      </c>
      <c r="H1" s="74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23.25" customHeight="1">
      <c r="A2" s="73"/>
      <c r="B2" s="73"/>
      <c r="C2" s="73"/>
      <c r="D2" s="73"/>
      <c r="E2" s="75"/>
      <c r="G2" s="76"/>
      <c r="H2" s="73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23.25" customHeight="1">
      <c r="A3" s="72"/>
      <c r="B3" s="77"/>
      <c r="C3" s="72"/>
      <c r="D3" s="72"/>
      <c r="E3" s="75" t="s">
        <v>35</v>
      </c>
      <c r="G3" s="78" t="s">
        <v>36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34.5" customHeight="1">
      <c r="A4" s="72"/>
      <c r="B4" s="79" t="str">
        <f>'すまい請求書'!A2</f>
        <v>荒木のり子</v>
      </c>
      <c r="C4" s="60"/>
      <c r="D4" s="72" t="s">
        <v>12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22.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48.0" customHeight="1">
      <c r="A6" s="72"/>
      <c r="B6" s="80"/>
      <c r="C6" s="81">
        <f>'すまい請求書'!C6</f>
        <v>113345</v>
      </c>
      <c r="D6" s="82"/>
      <c r="E6" s="82"/>
      <c r="F6" s="80"/>
      <c r="G6" s="80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7.75" customHeight="1">
      <c r="A7" s="72"/>
      <c r="B7" s="83" t="s">
        <v>37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38.25" customHeight="1">
      <c r="A8" s="72"/>
      <c r="B8" s="72"/>
      <c r="C8" s="84" t="s">
        <v>38</v>
      </c>
      <c r="D8" s="72"/>
      <c r="E8" s="85"/>
      <c r="F8" s="85"/>
      <c r="G8" s="85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26.25" customHeight="1">
      <c r="A9" s="72"/>
      <c r="B9" s="72"/>
      <c r="C9" s="86" t="s">
        <v>39</v>
      </c>
      <c r="G9" s="87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72"/>
      <c r="B10" s="72"/>
      <c r="C10" s="88" t="s">
        <v>40</v>
      </c>
      <c r="D10" s="89"/>
      <c r="E10" s="90"/>
      <c r="F10" s="72"/>
      <c r="G10" s="84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72"/>
      <c r="B11" s="72"/>
      <c r="C11" s="88" t="s">
        <v>19</v>
      </c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72"/>
      <c r="B12" s="72"/>
      <c r="C12" s="91" t="s">
        <v>41</v>
      </c>
      <c r="D12" s="90"/>
      <c r="E12" s="90"/>
      <c r="F12" s="90"/>
      <c r="G12" s="8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7.25" customHeight="1">
      <c r="A13" s="87"/>
      <c r="B13" s="87"/>
      <c r="C13" s="89"/>
      <c r="D13" s="90"/>
      <c r="E13" s="90"/>
      <c r="F13" s="87"/>
      <c r="G13" s="84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7.25" customHeight="1">
      <c r="A14" s="87"/>
      <c r="B14" s="87"/>
      <c r="C14" s="89"/>
      <c r="D14" s="90"/>
      <c r="E14" s="90"/>
      <c r="F14" s="87"/>
      <c r="G14" s="84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7.25" customHeight="1">
      <c r="A15" s="87"/>
      <c r="B15" s="87"/>
      <c r="C15" s="87"/>
      <c r="D15" s="87"/>
      <c r="E15" s="87"/>
      <c r="F15" s="87"/>
      <c r="G15" s="84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24.0" customHeight="1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2.0" customHeight="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24.0" customHeight="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4.0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24.0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24.0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24.0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24.0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24.0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4.25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24.0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0.5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22.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2.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22.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0.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24.0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24.0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24.0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24.0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24.0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24.0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4.0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24.0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24.0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24.0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24.0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24.0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24.0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24.0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24.0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24.0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24.0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24.0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24.0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24.0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24.0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24.0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24.0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24.0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4.0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24.0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24.0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24.0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24.0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24.0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24.0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24.0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24.0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24.0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24.0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24.0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24.0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24.0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24.0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24.0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24.0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24.0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24.0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24.0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24.0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24.0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24.0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24.0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24.0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24.0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24.0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24.0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24.0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24.0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24.0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24.0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24.0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24.0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24.0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24.0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24.0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24.0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24.0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24.0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24.0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24.0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24.0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24.0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24.0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24.0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24.0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24.0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24.0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24.0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24.0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24.0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24.0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24.0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24.0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24.0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24.0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24.0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24.0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24.0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24.0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24.0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24.0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24.0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24.0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24.0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24.0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24.0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24.0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24.0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24.0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24.0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24.0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24.0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24.0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24.0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24.0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24.0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24.0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24.0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24.0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24.0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24.0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24.0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24.0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24.0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24.0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24.0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24.0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24.0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24.0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24.0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24.0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24.0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24.0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24.0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24.0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24.0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24.0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24.0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24.0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24.0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24.0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24.0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24.0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24.0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24.0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24.0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24.0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24.0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24.0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24.0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24.0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24.0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24.0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24.0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24.0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24.0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24.0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24.0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24.0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24.0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24.0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24.0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24.0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24.0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24.0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24.0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24.0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24.0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24.0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24.0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24.0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24.0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24.0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24.0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24.0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24.0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24.0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24.0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24.0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24.0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24.0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24.0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24.0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24.0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24.0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24.0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24.0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24.0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24.0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24.0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24.0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24.0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24.0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24.0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24.0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24.0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24.0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24.0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24.0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24.0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24.0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24.0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24.0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24.0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24.0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24.0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24.0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24.0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24.0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24.0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24.0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24.0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24.0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24.0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24.0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24.0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24.0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24.0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24.0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24.0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24.0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24.0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24.0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24.0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24.0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24.0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24.0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24.0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24.0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24.0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24.0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24.0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24.0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24.0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24.0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24.0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24.0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24.0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24.0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24.0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24.0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24.0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24.0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24.0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24.0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24.0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24.0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24.0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24.0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24.0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24.0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24.0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24.0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24.0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24.0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24.0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24.0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24.0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24.0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24.0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24.0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24.0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24.0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24.0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24.0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24.0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24.0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24.0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24.0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24.0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24.0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24.0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24.0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24.0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24.0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24.0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24.0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24.0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24.0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24.0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24.0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24.0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24.0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24.0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24.0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24.0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24.0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24.0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24.0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24.0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24.0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24.0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24.0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24.0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24.0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24.0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24.0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24.0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24.0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24.0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24.0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24.0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24.0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24.0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24.0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24.0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24.0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24.0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24.0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24.0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24.0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24.0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24.0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24.0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24.0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24.0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24.0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24.0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24.0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24.0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24.0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24.0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24.0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24.0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24.0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24.0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24.0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24.0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24.0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24.0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24.0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24.0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24.0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24.0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24.0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24.0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24.0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24.0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24.0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24.0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24.0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24.0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24.0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24.0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24.0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24.0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24.0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24.0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24.0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24.0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24.0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24.0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24.0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24.0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24.0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24.0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24.0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24.0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24.0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24.0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24.0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24.0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24.0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24.0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24.0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24.0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24.0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24.0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24.0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24.0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24.0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24.0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24.0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24.0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24.0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24.0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24.0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24.0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24.0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24.0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24.0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24.0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24.0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24.0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24.0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24.0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24.0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24.0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24.0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24.0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24.0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24.0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24.0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24.0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24.0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24.0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24.0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24.0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24.0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24.0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24.0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24.0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24.0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24.0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24.0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24.0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24.0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24.0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24.0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24.0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24.0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24.0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24.0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24.0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24.0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24.0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24.0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24.0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24.0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24.0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24.0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24.0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24.0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24.0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24.0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24.0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24.0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24.0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24.0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24.0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24.0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24.0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24.0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24.0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24.0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24.0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24.0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24.0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24.0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24.0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24.0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24.0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24.0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24.0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24.0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24.0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24.0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24.0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24.0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24.0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24.0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24.0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24.0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24.0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24.0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24.0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24.0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24.0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24.0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24.0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24.0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24.0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24.0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24.0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24.0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24.0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24.0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24.0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24.0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24.0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24.0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24.0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24.0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24.0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24.0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24.0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24.0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24.0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24.0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24.0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24.0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24.0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24.0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24.0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24.0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24.0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24.0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24.0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24.0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24.0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24.0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24.0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24.0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24.0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24.0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24.0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24.0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24.0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24.0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24.0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24.0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24.0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24.0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24.0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24.0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24.0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24.0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24.0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24.0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24.0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24.0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24.0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24.0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24.0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24.0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24.0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24.0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24.0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24.0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24.0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24.0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24.0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24.0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24.0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24.0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24.0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24.0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24.0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24.0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24.0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24.0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24.0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24.0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24.0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24.0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24.0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24.0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24.0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24.0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24.0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24.0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24.0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24.0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24.0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24.0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24.0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24.0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24.0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24.0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24.0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24.0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24.0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24.0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24.0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24.0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24.0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24.0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24.0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24.0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24.0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24.0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24.0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24.0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24.0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24.0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24.0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24.0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24.0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24.0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24.0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24.0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24.0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24.0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24.0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24.0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24.0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24.0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24.0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24.0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24.0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24.0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24.0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24.0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24.0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24.0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24.0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24.0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24.0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24.0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24.0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24.0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24.0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24.0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24.0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24.0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24.0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24.0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24.0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24.0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24.0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24.0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24.0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24.0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24.0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24.0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24.0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24.0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24.0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24.0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24.0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24.0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24.0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24.0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24.0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24.0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24.0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24.0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24.0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24.0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24.0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24.0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24.0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24.0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24.0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24.0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24.0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24.0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24.0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24.0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24.0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24.0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24.0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24.0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24.0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24.0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24.0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24.0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24.0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24.0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24.0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24.0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24.0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24.0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24.0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24.0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24.0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24.0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24.0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24.0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24.0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24.0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24.0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24.0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24.0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24.0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24.0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24.0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24.0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24.0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24.0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24.0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24.0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24.0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24.0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24.0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24.0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24.0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24.0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24.0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24.0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24.0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24.0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24.0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24.0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24.0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24.0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24.0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24.0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24.0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24.0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24.0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24.0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24.0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24.0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24.0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24.0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24.0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24.0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24.0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24.0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24.0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24.0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24.0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24.0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24.0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24.0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24.0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24.0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24.0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24.0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24.0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24.0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24.0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24.0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24.0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24.0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24.0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24.0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24.0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24.0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24.0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24.0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24.0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24.0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24.0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24.0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24.0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24.0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24.0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24.0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24.0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24.0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24.0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24.0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24.0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24.0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24.0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24.0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24.0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24.0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24.0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24.0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24.0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24.0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24.0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24.0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24.0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24.0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24.0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24.0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24.0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24.0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24.0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24.0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24.0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24.0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24.0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24.0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24.0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24.0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24.0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24.0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24.0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24.0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24.0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24.0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24.0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24.0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24.0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24.0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24.0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24.0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24.0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24.0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24.0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24.0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24.0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24.0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24.0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24.0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24.0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24.0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24.0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24.0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24.0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24.0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24.0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24.0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24.0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24.0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24.0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24.0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24.0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24.0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24.0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24.0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24.0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24.0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24.0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24.0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24.0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24.0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24.0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24.0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24.0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24.0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24.0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24.0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24.0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24.0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24.0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24.0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24.0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24.0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24.0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24.0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24.0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24.0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24.0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24.0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24.0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24.0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24.0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24.0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24.0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24.0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24.0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24.0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24.0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24.0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24.0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24.0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24.0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24.0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24.0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24.0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24.0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24.0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24.0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24.0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24.0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24.0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24.0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24.0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24.0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24.0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24.0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24.0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24.0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24.0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24.0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24.0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24.0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24.0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24.0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24.0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24.0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24.0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24.0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24.0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24.0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24.0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24.0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24.0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24.0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24.0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24.0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24.0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24.0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24.0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24.0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24.0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24.0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24.0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24.0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24.0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24.0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24.0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24.0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24.0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24.0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24.0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24.0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24.0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24.0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24.0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24.0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24.0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24.0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24.0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24.0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24.0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24.0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24.0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24.0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24.0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24.0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24.0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24.0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24.0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24.0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24.0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24.0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24.0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24.0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24.0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24.0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24.0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24.0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24.0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24.0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24.0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24.0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24.0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24.0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24.0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24.0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24.0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24.0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24.0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24.0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24.0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24.0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24.0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24.0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24.0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24.0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24.0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24.0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24.0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24.0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24.0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24.0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24.0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24.0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24.0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24.0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24.0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24.0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24.0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24.0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24.0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24.0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24.0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24.0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24.0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24.0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24.0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24.0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24.0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24.0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24.0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24.0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24.0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24.0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24.0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24.0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24.0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24.0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24.0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24.0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24.0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24.0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24.0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24.0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24.0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24.0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24.0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24.0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24.0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24.0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24.0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24.0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24.0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24.0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24.0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24.0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24.0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24.0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24.0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24.0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24.0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24.0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24.0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24.0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24.0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8">
    <mergeCell ref="B1:G1"/>
    <mergeCell ref="E2:F2"/>
    <mergeCell ref="E3:F3"/>
    <mergeCell ref="B4:C4"/>
    <mergeCell ref="C6:E6"/>
    <mergeCell ref="B7:G7"/>
    <mergeCell ref="C9:F9"/>
    <mergeCell ref="C11:G11"/>
  </mergeCells>
  <printOptions/>
  <pageMargins bottom="0.98" footer="0.0" header="0.0" left="0.58" right="0.5729166666666666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21.38"/>
    <col customWidth="1" min="3" max="3" width="13.13"/>
    <col customWidth="1" min="4" max="4" width="8.13"/>
    <col customWidth="1" min="5" max="5" width="12.13"/>
    <col customWidth="1" min="6" max="6" width="6.75"/>
    <col customWidth="1" min="7" max="7" width="15.63"/>
    <col customWidth="1" min="8" max="8" width="1.25"/>
    <col customWidth="1" min="9" max="26" width="7.88"/>
  </cols>
  <sheetData>
    <row r="1" ht="37.5" customHeight="1">
      <c r="A1" s="72" t="s">
        <v>33</v>
      </c>
      <c r="B1" s="73" t="s">
        <v>34</v>
      </c>
      <c r="H1" s="74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23.25" customHeight="1">
      <c r="A2" s="73"/>
      <c r="B2" s="73"/>
      <c r="C2" s="73"/>
      <c r="D2" s="73"/>
      <c r="E2" s="75"/>
      <c r="G2" s="76"/>
      <c r="H2" s="73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23.25" customHeight="1">
      <c r="A3" s="72"/>
      <c r="B3" s="77"/>
      <c r="C3" s="72"/>
      <c r="D3" s="72"/>
      <c r="E3" s="75" t="s">
        <v>35</v>
      </c>
      <c r="G3" s="9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34.5" customHeight="1">
      <c r="A4" s="72"/>
      <c r="B4" s="79" t="str">
        <f>'すまい請求書'!A2</f>
        <v>荒木のり子</v>
      </c>
      <c r="C4" s="60"/>
      <c r="D4" s="72" t="s">
        <v>12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22.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48.0" customHeight="1">
      <c r="A6" s="72"/>
      <c r="B6" s="80"/>
      <c r="C6" s="93">
        <v>135000.0</v>
      </c>
      <c r="D6" s="82"/>
      <c r="E6" s="82"/>
      <c r="F6" s="80"/>
      <c r="G6" s="80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7.75" customHeight="1">
      <c r="A7" s="72"/>
      <c r="B7" s="83" t="s">
        <v>37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38.25" customHeight="1">
      <c r="A8" s="72"/>
      <c r="B8" s="72"/>
      <c r="C8" s="84" t="s">
        <v>38</v>
      </c>
      <c r="D8" s="72"/>
      <c r="E8" s="85"/>
      <c r="F8" s="85"/>
      <c r="G8" s="85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26.25" customHeight="1">
      <c r="A9" s="72"/>
      <c r="B9" s="72"/>
      <c r="C9" s="86" t="s">
        <v>39</v>
      </c>
      <c r="G9" s="87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72"/>
      <c r="B10" s="72"/>
      <c r="C10" s="88" t="s">
        <v>40</v>
      </c>
      <c r="D10" s="89"/>
      <c r="E10" s="90"/>
      <c r="F10" s="72"/>
      <c r="G10" s="84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72"/>
      <c r="B11" s="72"/>
      <c r="C11" s="88" t="s">
        <v>19</v>
      </c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72"/>
      <c r="B12" s="72"/>
      <c r="C12" s="91" t="s">
        <v>41</v>
      </c>
      <c r="D12" s="90"/>
      <c r="E12" s="90"/>
      <c r="F12" s="90"/>
      <c r="G12" s="8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7.25" customHeight="1">
      <c r="A13" s="87"/>
      <c r="B13" s="87"/>
      <c r="C13" s="89"/>
      <c r="D13" s="90"/>
      <c r="E13" s="90"/>
      <c r="F13" s="87"/>
      <c r="G13" s="84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7.25" customHeight="1">
      <c r="A14" s="87"/>
      <c r="B14" s="87"/>
      <c r="C14" s="89"/>
      <c r="D14" s="90"/>
      <c r="E14" s="90"/>
      <c r="F14" s="87"/>
      <c r="G14" s="84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7.25" customHeight="1">
      <c r="A15" s="87"/>
      <c r="B15" s="87"/>
      <c r="C15" s="87"/>
      <c r="D15" s="87"/>
      <c r="E15" s="87"/>
      <c r="F15" s="87"/>
      <c r="G15" s="84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24.0" customHeight="1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2.0" customHeight="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24.0" customHeight="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4.0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24.0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24.0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24.0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24.0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24.0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4.25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24.0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0.5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22.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2.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22.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0.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24.0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24.0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24.0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24.0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24.0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24.0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4.0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24.0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24.0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24.0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24.0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24.0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24.0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24.0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24.0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24.0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24.0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24.0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24.0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24.0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24.0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24.0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24.0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24.0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4.0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24.0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24.0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24.0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24.0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24.0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24.0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24.0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24.0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24.0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24.0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24.0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24.0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24.0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24.0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24.0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24.0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24.0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24.0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24.0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24.0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24.0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24.0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24.0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24.0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24.0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24.0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24.0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24.0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24.0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24.0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24.0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24.0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24.0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24.0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24.0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24.0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24.0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24.0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24.0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24.0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24.0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24.0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24.0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24.0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24.0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24.0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24.0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24.0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24.0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24.0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24.0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24.0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24.0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24.0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24.0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24.0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24.0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24.0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24.0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24.0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24.0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24.0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24.0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24.0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24.0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24.0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24.0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24.0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24.0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24.0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24.0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24.0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24.0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24.0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24.0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24.0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24.0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24.0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24.0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24.0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24.0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24.0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24.0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24.0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24.0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24.0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24.0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24.0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24.0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24.0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24.0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24.0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24.0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24.0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24.0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24.0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24.0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24.0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24.0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24.0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24.0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24.0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24.0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24.0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24.0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24.0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24.0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24.0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24.0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24.0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24.0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24.0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24.0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24.0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24.0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24.0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24.0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24.0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24.0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24.0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24.0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24.0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24.0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24.0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24.0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24.0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24.0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24.0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24.0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24.0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24.0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24.0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24.0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24.0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24.0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24.0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24.0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24.0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24.0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24.0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24.0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24.0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24.0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24.0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24.0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24.0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24.0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24.0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24.0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24.0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24.0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24.0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24.0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24.0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24.0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24.0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24.0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24.0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24.0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24.0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24.0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24.0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24.0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24.0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24.0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24.0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24.0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24.0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24.0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24.0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24.0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24.0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24.0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24.0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24.0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24.0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24.0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24.0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24.0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24.0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24.0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24.0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24.0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24.0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24.0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24.0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24.0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24.0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24.0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24.0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24.0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24.0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24.0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24.0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24.0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24.0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24.0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24.0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24.0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24.0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24.0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24.0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24.0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24.0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24.0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24.0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24.0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24.0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24.0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24.0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24.0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24.0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24.0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24.0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24.0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24.0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24.0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24.0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24.0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24.0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24.0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24.0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24.0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24.0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24.0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24.0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24.0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24.0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24.0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24.0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24.0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24.0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24.0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24.0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24.0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24.0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24.0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24.0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24.0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24.0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24.0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24.0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24.0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24.0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24.0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24.0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24.0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24.0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24.0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24.0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24.0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24.0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24.0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24.0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24.0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24.0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24.0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24.0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24.0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24.0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24.0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24.0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24.0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24.0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24.0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24.0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24.0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24.0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24.0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24.0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24.0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24.0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24.0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24.0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24.0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24.0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24.0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24.0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24.0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24.0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24.0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24.0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24.0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24.0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24.0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24.0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24.0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24.0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24.0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24.0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24.0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24.0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24.0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24.0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24.0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24.0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24.0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24.0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24.0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24.0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24.0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24.0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24.0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24.0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24.0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24.0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24.0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24.0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24.0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24.0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24.0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24.0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24.0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24.0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24.0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24.0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24.0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24.0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24.0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24.0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24.0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24.0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24.0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24.0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24.0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24.0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24.0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24.0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24.0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24.0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24.0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24.0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24.0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24.0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24.0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24.0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24.0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24.0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24.0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24.0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24.0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24.0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24.0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24.0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24.0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24.0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24.0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24.0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24.0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24.0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24.0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24.0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24.0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24.0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24.0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24.0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24.0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24.0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24.0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24.0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24.0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24.0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24.0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24.0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24.0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24.0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24.0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24.0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24.0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24.0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24.0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24.0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24.0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24.0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24.0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24.0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24.0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24.0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24.0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24.0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24.0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24.0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24.0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24.0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24.0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24.0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24.0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24.0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24.0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24.0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24.0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24.0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24.0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24.0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24.0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24.0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24.0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24.0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24.0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24.0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24.0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24.0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24.0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24.0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24.0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24.0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24.0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24.0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24.0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24.0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24.0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24.0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24.0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24.0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24.0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24.0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24.0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24.0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24.0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24.0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24.0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24.0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24.0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24.0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24.0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24.0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24.0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24.0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24.0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24.0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24.0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24.0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24.0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24.0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24.0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24.0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24.0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24.0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24.0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24.0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24.0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24.0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24.0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24.0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24.0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24.0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24.0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24.0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24.0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24.0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24.0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24.0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24.0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24.0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24.0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24.0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24.0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24.0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24.0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24.0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24.0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24.0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24.0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24.0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24.0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24.0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24.0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24.0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24.0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24.0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24.0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24.0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24.0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24.0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24.0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24.0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24.0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24.0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24.0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24.0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24.0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24.0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24.0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24.0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24.0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24.0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24.0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24.0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24.0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24.0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24.0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24.0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24.0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24.0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24.0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24.0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24.0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24.0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24.0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24.0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24.0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24.0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24.0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24.0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24.0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24.0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24.0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24.0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24.0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24.0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24.0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24.0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24.0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24.0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24.0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24.0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24.0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24.0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24.0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24.0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24.0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24.0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24.0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24.0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24.0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24.0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24.0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24.0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24.0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24.0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24.0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24.0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24.0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24.0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24.0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24.0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24.0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24.0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24.0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24.0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24.0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24.0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24.0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24.0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24.0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24.0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24.0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24.0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24.0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24.0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24.0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24.0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24.0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24.0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24.0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24.0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24.0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24.0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24.0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24.0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24.0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24.0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24.0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24.0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24.0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24.0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24.0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24.0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24.0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24.0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24.0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24.0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24.0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24.0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24.0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24.0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24.0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24.0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24.0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24.0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24.0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24.0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24.0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24.0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24.0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24.0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24.0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24.0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24.0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24.0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24.0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24.0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24.0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24.0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24.0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24.0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24.0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24.0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24.0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24.0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24.0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24.0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24.0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24.0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24.0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24.0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24.0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24.0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24.0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24.0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24.0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24.0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24.0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24.0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24.0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24.0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24.0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24.0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24.0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24.0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24.0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24.0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24.0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24.0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24.0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24.0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24.0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24.0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24.0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24.0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24.0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24.0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24.0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24.0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24.0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24.0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24.0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24.0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24.0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24.0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24.0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24.0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24.0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24.0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24.0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24.0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24.0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24.0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24.0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24.0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24.0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24.0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24.0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24.0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24.0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24.0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24.0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24.0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24.0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24.0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24.0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24.0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24.0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24.0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24.0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24.0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24.0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24.0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24.0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24.0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24.0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24.0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24.0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24.0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24.0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24.0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24.0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24.0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24.0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24.0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24.0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24.0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24.0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24.0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24.0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24.0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24.0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24.0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24.0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24.0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24.0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24.0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24.0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24.0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24.0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24.0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24.0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24.0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24.0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24.0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24.0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24.0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24.0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24.0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24.0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24.0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24.0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24.0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24.0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24.0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24.0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24.0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24.0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24.0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24.0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24.0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24.0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24.0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24.0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24.0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24.0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24.0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24.0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24.0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24.0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24.0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24.0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24.0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24.0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24.0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24.0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24.0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24.0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24.0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24.0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24.0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24.0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24.0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24.0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24.0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24.0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24.0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24.0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24.0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24.0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24.0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24.0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24.0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24.0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24.0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24.0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24.0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24.0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24.0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24.0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24.0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24.0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24.0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24.0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24.0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24.0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24.0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24.0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24.0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24.0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24.0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24.0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24.0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24.0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24.0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24.0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24.0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24.0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24.0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24.0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24.0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24.0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24.0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24.0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24.0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24.0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24.0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24.0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24.0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24.0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24.0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24.0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24.0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24.0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24.0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24.0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24.0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24.0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24.0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24.0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24.0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24.0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24.0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24.0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24.0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24.0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24.0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24.0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24.0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24.0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24.0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24.0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24.0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24.0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24.0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24.0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24.0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24.0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24.0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24.0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24.0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24.0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24.0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24.0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24.0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24.0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24.0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24.0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24.0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24.0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24.0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24.0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24.0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24.0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24.0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24.0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24.0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24.0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24.0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24.0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24.0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24.0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24.0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24.0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24.0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24.0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24.0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24.0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24.0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24.0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24.0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24.0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24.0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24.0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24.0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24.0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24.0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24.0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24.0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24.0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24.0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24.0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24.0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24.0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24.0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24.0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24.0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24.0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24.0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24.0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24.0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24.0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24.0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24.0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24.0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24.0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24.0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24.0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24.0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24.0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24.0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24.0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24.0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24.0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24.0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24.0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24.0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24.0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24.0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24.0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24.0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24.0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24.0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24.0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24.0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24.0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24.0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24.0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24.0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24.0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24.0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24.0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24.0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24.0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24.0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24.0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24.0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24.0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24.0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24.0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24.0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24.0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24.0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24.0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24.0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24.0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24.0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24.0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24.0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24.0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24.0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24.0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24.0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24.0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24.0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24.0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24.0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24.0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24.0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24.0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24.0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24.0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24.0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24.0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24.0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24.0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24.0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24.0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24.0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24.0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24.0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24.0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8">
    <mergeCell ref="B1:G1"/>
    <mergeCell ref="E2:F2"/>
    <mergeCell ref="E3:F3"/>
    <mergeCell ref="B4:C4"/>
    <mergeCell ref="C6:E6"/>
    <mergeCell ref="B7:G7"/>
    <mergeCell ref="C9:F9"/>
    <mergeCell ref="C11:G11"/>
  </mergeCells>
  <printOptions/>
  <pageMargins bottom="0.98" footer="0.0" header="0.0" left="0.58" right="0.5729166666666666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75"/>
  <cols>
    <col customWidth="1" min="1" max="9" width="8.25"/>
    <col customWidth="1" min="10" max="26" width="7.13"/>
  </cols>
  <sheetData>
    <row r="1" ht="33.0" customHeight="1">
      <c r="A1" s="94" t="s">
        <v>42</v>
      </c>
      <c r="J1" s="94"/>
      <c r="K1" s="94"/>
      <c r="L1" s="7"/>
      <c r="O1" s="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9" t="str">
        <f t="array" ref="A2">VLOOKUP(F$4,INDIRECT(M$2&amp;"!A3:U109"),2,FALSE)</f>
        <v>荒木のり子</v>
      </c>
      <c r="E2" s="10" t="s">
        <v>12</v>
      </c>
      <c r="F2" s="11" t="s">
        <v>13</v>
      </c>
      <c r="H2" s="12">
        <v>46056.0</v>
      </c>
      <c r="L2" s="13"/>
      <c r="M2" s="14">
        <v>202601.0</v>
      </c>
      <c r="N2" s="15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F3" s="7"/>
      <c r="G3" s="7"/>
      <c r="H3" s="7"/>
      <c r="I3" s="7"/>
      <c r="J3" s="7"/>
      <c r="K3" s="7"/>
      <c r="L3" s="7"/>
      <c r="M3" s="16"/>
      <c r="N3" s="1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18" t="s">
        <v>14</v>
      </c>
      <c r="F4" s="16">
        <v>1006.0</v>
      </c>
      <c r="G4" s="17" t="s">
        <v>15</v>
      </c>
      <c r="H4" s="19"/>
      <c r="I4" s="19"/>
      <c r="J4" s="19"/>
      <c r="K4" s="1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20"/>
      <c r="B5" s="20"/>
      <c r="C5" s="20"/>
      <c r="D5" s="7"/>
      <c r="E5" s="7"/>
      <c r="F5" s="7"/>
      <c r="G5" s="7"/>
      <c r="H5" s="19"/>
      <c r="I5" s="19"/>
      <c r="J5" s="19"/>
      <c r="K5" s="19"/>
      <c r="L5" s="21"/>
      <c r="M5" s="22"/>
      <c r="N5" s="21"/>
      <c r="O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0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28"/>
      <c r="M6" s="28"/>
      <c r="N6" s="2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B7" s="95" t="s">
        <v>43</v>
      </c>
      <c r="C7" s="24"/>
      <c r="D7" s="25">
        <f>SUM(C10:C12)</f>
        <v>135000</v>
      </c>
      <c r="E7" s="26"/>
      <c r="F7" s="26"/>
      <c r="G7" s="26"/>
      <c r="H7" s="24"/>
      <c r="I7" s="9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97" t="s">
        <v>20</v>
      </c>
      <c r="B9" s="98"/>
      <c r="C9" s="99" t="s">
        <v>44</v>
      </c>
      <c r="D9" s="98"/>
      <c r="E9" s="99" t="s">
        <v>45</v>
      </c>
      <c r="F9" s="98"/>
      <c r="G9" s="100" t="s">
        <v>24</v>
      </c>
      <c r="H9" s="101"/>
      <c r="I9" s="98"/>
      <c r="L9" s="7"/>
      <c r="M9" s="7"/>
      <c r="N9" s="7"/>
      <c r="O9" s="1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102" t="s">
        <v>46</v>
      </c>
      <c r="B10" s="63"/>
      <c r="C10" s="103">
        <f t="array" ref="C10">VLOOKUP(F$4,INDIRECT(M$2&amp;"!A3:Y109"),23,FALSE)</f>
        <v>113345</v>
      </c>
      <c r="D10" s="63"/>
      <c r="E10" s="104">
        <f>H2+20</f>
        <v>46076</v>
      </c>
      <c r="F10" s="24"/>
      <c r="G10" s="105" t="s">
        <v>47</v>
      </c>
      <c r="H10" s="60"/>
      <c r="I10" s="6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102" t="s">
        <v>48</v>
      </c>
      <c r="B11" s="63"/>
      <c r="C11" s="103">
        <f t="array" ref="C11">VLOOKUP(F$4,INDIRECT(M$2&amp;"!A3:Y109"),24,FALSE)</f>
        <v>21655</v>
      </c>
      <c r="D11" s="63"/>
      <c r="E11" s="104">
        <f>H2+20</f>
        <v>46076</v>
      </c>
      <c r="F11" s="24"/>
      <c r="G11" s="105" t="s">
        <v>47</v>
      </c>
      <c r="H11" s="60"/>
      <c r="I11" s="63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22.5" customHeight="1">
      <c r="A12" s="102" t="s">
        <v>49</v>
      </c>
      <c r="B12" s="63"/>
      <c r="C12" s="103" t="str">
        <f t="array" ref="C12">VLOOKUP(F$4,INDIRECT(M$2&amp;"!A3:Y109"),25,FALSE)</f>
        <v/>
      </c>
      <c r="D12" s="63"/>
      <c r="E12" s="104">
        <f>H2+25</f>
        <v>46081</v>
      </c>
      <c r="F12" s="24"/>
      <c r="G12" s="105" t="s">
        <v>47</v>
      </c>
      <c r="H12" s="60"/>
      <c r="I12" s="63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6.5" customHeight="1">
      <c r="A13" s="106"/>
      <c r="B13" s="30"/>
      <c r="C13" s="30"/>
      <c r="D13" s="30"/>
      <c r="E13" s="30"/>
      <c r="F13" s="30"/>
      <c r="G13" s="30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22.5" customHeight="1">
      <c r="A14" s="7" t="s">
        <v>50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22.5" customHeight="1">
      <c r="A15" s="107" t="s">
        <v>51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22.5" customHeight="1">
      <c r="A16" s="7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8.0" customHeight="1">
      <c r="A17" s="70" t="s">
        <v>52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8.0" customHeight="1">
      <c r="A18" s="70" t="s">
        <v>53</v>
      </c>
      <c r="C18" s="71" t="s">
        <v>54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8.0" customHeight="1">
      <c r="A19" s="70" t="s">
        <v>55</v>
      </c>
      <c r="C19" s="71" t="s">
        <v>56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9.5" customHeight="1">
      <c r="A20" s="70" t="s">
        <v>57</v>
      </c>
      <c r="C20" s="71" t="s">
        <v>58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24.0" customHeight="1">
      <c r="A21" s="70" t="s">
        <v>59</v>
      </c>
      <c r="C21" s="71" t="s">
        <v>60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24.0" customHeight="1">
      <c r="C22" s="71" t="s">
        <v>61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24.0" customHeight="1">
      <c r="A23" s="66"/>
      <c r="B23" s="66"/>
      <c r="C23" s="66"/>
      <c r="D23" s="66"/>
      <c r="E23" s="66"/>
      <c r="F23" s="66"/>
      <c r="G23" s="6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7.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2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24.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</sheetData>
  <mergeCells count="31">
    <mergeCell ref="A1:I1"/>
    <mergeCell ref="A2:D3"/>
    <mergeCell ref="E2:E3"/>
    <mergeCell ref="F2:G2"/>
    <mergeCell ref="H2:I2"/>
    <mergeCell ref="M2:N2"/>
    <mergeCell ref="A4:E4"/>
    <mergeCell ref="B7:C7"/>
    <mergeCell ref="D7:H7"/>
    <mergeCell ref="A9:B9"/>
    <mergeCell ref="C9:D9"/>
    <mergeCell ref="E9:F9"/>
    <mergeCell ref="G9:I9"/>
    <mergeCell ref="A10:B10"/>
    <mergeCell ref="G10:I10"/>
    <mergeCell ref="C12:D12"/>
    <mergeCell ref="E12:F12"/>
    <mergeCell ref="A12:B12"/>
    <mergeCell ref="A13:G13"/>
    <mergeCell ref="A17:B17"/>
    <mergeCell ref="A18:B18"/>
    <mergeCell ref="A19:B19"/>
    <mergeCell ref="A20:B20"/>
    <mergeCell ref="A21:B22"/>
    <mergeCell ref="C10:D10"/>
    <mergeCell ref="E10:F10"/>
    <mergeCell ref="A11:B11"/>
    <mergeCell ref="C11:D11"/>
    <mergeCell ref="E11:F11"/>
    <mergeCell ref="G11:I11"/>
    <mergeCell ref="G12:I12"/>
  </mergeCells>
  <dataValidations>
    <dataValidation type="list" allowBlank="1" showErrorMessage="1" sqref="F4">
      <formula1>'入居者'!$A$2:$A$108</formula1>
    </dataValidation>
  </dataValidation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08">
        <v>46081.0</v>
      </c>
      <c r="C1" s="109" t="s">
        <v>62</v>
      </c>
      <c r="D1" s="110" t="s">
        <v>63</v>
      </c>
      <c r="E1" s="110" t="s">
        <v>64</v>
      </c>
      <c r="F1" s="110" t="s">
        <v>65</v>
      </c>
      <c r="G1" s="110" t="s">
        <v>66</v>
      </c>
      <c r="H1" s="110" t="s">
        <v>67</v>
      </c>
      <c r="I1" s="110" t="s">
        <v>68</v>
      </c>
      <c r="J1" s="110" t="s">
        <v>69</v>
      </c>
      <c r="K1" s="110" t="s">
        <v>70</v>
      </c>
      <c r="L1" s="110" t="s">
        <v>71</v>
      </c>
      <c r="M1" s="110" t="s">
        <v>72</v>
      </c>
      <c r="N1" s="110" t="s">
        <v>73</v>
      </c>
      <c r="O1" s="110" t="s">
        <v>74</v>
      </c>
      <c r="P1" s="110" t="s">
        <v>75</v>
      </c>
      <c r="Q1" s="110" t="s">
        <v>76</v>
      </c>
      <c r="R1" s="110" t="s">
        <v>77</v>
      </c>
      <c r="S1" s="110" t="s">
        <v>78</v>
      </c>
      <c r="T1" s="110" t="s">
        <v>79</v>
      </c>
      <c r="U1" s="110" t="s">
        <v>80</v>
      </c>
      <c r="V1" s="110" t="s">
        <v>81</v>
      </c>
      <c r="W1" s="110" t="s">
        <v>82</v>
      </c>
      <c r="X1" s="110" t="s">
        <v>83</v>
      </c>
      <c r="Y1" s="110" t="s">
        <v>84</v>
      </c>
      <c r="Z1" s="110" t="s">
        <v>85</v>
      </c>
      <c r="AA1" s="110" t="s">
        <v>86</v>
      </c>
      <c r="AB1" s="110" t="s">
        <v>87</v>
      </c>
    </row>
    <row r="2" ht="22.5" customHeight="1">
      <c r="A2" s="1" t="s">
        <v>0</v>
      </c>
      <c r="B2" s="1" t="s">
        <v>1</v>
      </c>
      <c r="C2" s="4" t="s">
        <v>88</v>
      </c>
      <c r="D2" s="111" t="s">
        <v>89</v>
      </c>
      <c r="E2" s="111" t="s">
        <v>90</v>
      </c>
      <c r="F2" s="111" t="s">
        <v>91</v>
      </c>
      <c r="G2" s="111" t="s">
        <v>92</v>
      </c>
      <c r="H2" s="112" t="s">
        <v>93</v>
      </c>
      <c r="I2" s="112" t="s">
        <v>94</v>
      </c>
      <c r="J2" s="113" t="s">
        <v>95</v>
      </c>
      <c r="K2" s="112" t="s">
        <v>96</v>
      </c>
      <c r="L2" s="112" t="s">
        <v>97</v>
      </c>
      <c r="M2" s="112" t="s">
        <v>98</v>
      </c>
      <c r="N2" s="112" t="s">
        <v>99</v>
      </c>
      <c r="O2" s="112" t="s">
        <v>100</v>
      </c>
      <c r="P2" s="111" t="s">
        <v>101</v>
      </c>
      <c r="Q2" s="111" t="s">
        <v>102</v>
      </c>
      <c r="R2" s="111" t="s">
        <v>103</v>
      </c>
      <c r="S2" s="111" t="s">
        <v>104</v>
      </c>
      <c r="T2" s="111" t="s">
        <v>105</v>
      </c>
      <c r="U2" s="111"/>
      <c r="V2" s="111"/>
      <c r="W2" s="114" t="s">
        <v>106</v>
      </c>
      <c r="X2" s="4" t="s">
        <v>107</v>
      </c>
      <c r="Y2" s="4" t="s">
        <v>108</v>
      </c>
      <c r="Z2" s="115" t="s">
        <v>109</v>
      </c>
      <c r="AA2" s="116" t="s">
        <v>24</v>
      </c>
      <c r="AB2" s="116" t="s">
        <v>110</v>
      </c>
      <c r="AC2" s="1" t="s">
        <v>111</v>
      </c>
      <c r="AD2" s="117"/>
      <c r="AE2" s="117"/>
      <c r="AF2" s="117"/>
      <c r="AG2" s="117"/>
      <c r="AH2" s="117"/>
      <c r="AI2" s="117"/>
      <c r="AJ2" s="117"/>
    </row>
    <row r="3" ht="22.5" customHeight="1">
      <c r="A3" s="2">
        <v>608.0</v>
      </c>
      <c r="B3" s="118" t="s">
        <v>2</v>
      </c>
      <c r="C3" s="119"/>
      <c r="D3" s="120">
        <v>40000.0</v>
      </c>
      <c r="E3" s="120">
        <v>5000.0</v>
      </c>
      <c r="F3" s="120">
        <v>5000.0</v>
      </c>
      <c r="G3" s="120">
        <v>2000.0</v>
      </c>
      <c r="H3" s="120">
        <v>10000.0</v>
      </c>
      <c r="I3" s="120"/>
      <c r="J3" s="121"/>
      <c r="K3" s="122">
        <v>0.0</v>
      </c>
      <c r="L3" s="122">
        <v>0.0</v>
      </c>
      <c r="M3" s="120"/>
      <c r="N3" s="119"/>
      <c r="O3" s="119"/>
      <c r="P3" s="119"/>
      <c r="Q3" s="120"/>
      <c r="R3" s="123"/>
      <c r="S3" s="123"/>
      <c r="T3" s="124"/>
      <c r="U3" s="123"/>
      <c r="V3" s="123"/>
      <c r="W3" s="125">
        <f t="shared" ref="W3:W110" si="1">SUM(D3:V3)</f>
        <v>62000</v>
      </c>
      <c r="X3" s="126"/>
      <c r="Y3" s="126"/>
      <c r="Z3" s="127">
        <f t="shared" ref="Z3:Z109" si="2">SUM(W3:Y3)</f>
        <v>62000</v>
      </c>
      <c r="AA3" s="128"/>
      <c r="AB3" s="129" t="s">
        <v>112</v>
      </c>
      <c r="AC3" s="130">
        <f t="shared" ref="AC3:AC4" si="3">C3-M3</f>
        <v>0</v>
      </c>
    </row>
    <row r="4" ht="22.5" customHeight="1">
      <c r="A4" s="2">
        <v>703.0</v>
      </c>
      <c r="B4" s="4" t="s">
        <v>3</v>
      </c>
      <c r="C4" s="131"/>
      <c r="D4" s="120">
        <v>40000.0</v>
      </c>
      <c r="E4" s="120">
        <v>5000.0</v>
      </c>
      <c r="F4" s="120">
        <v>5000.0</v>
      </c>
      <c r="G4" s="120">
        <v>2000.0</v>
      </c>
      <c r="H4" s="120">
        <v>10000.0</v>
      </c>
      <c r="I4" s="120">
        <v>12100.0</v>
      </c>
      <c r="J4" s="132">
        <f>IF(90000 - (SUM(D4:I4, K4:V4) + X4 + Y4) &gt; 0, 0, 90000 - (SUM(D4:I4, K4:V4) + X4 + Y4))</f>
        <v>-48384</v>
      </c>
      <c r="K4" s="119">
        <v>7986.0</v>
      </c>
      <c r="L4" s="119">
        <v>1606.0</v>
      </c>
      <c r="M4" s="119"/>
      <c r="N4" s="119"/>
      <c r="O4" s="119"/>
      <c r="P4" s="119"/>
      <c r="Q4" s="119">
        <v>4612.0</v>
      </c>
      <c r="R4" s="119"/>
      <c r="S4" s="119"/>
      <c r="T4" s="119"/>
      <c r="U4" s="119"/>
      <c r="V4" s="119"/>
      <c r="W4" s="125">
        <f t="shared" si="1"/>
        <v>39920</v>
      </c>
      <c r="X4" s="126">
        <v>39580.0</v>
      </c>
      <c r="Y4" s="126">
        <f>8000+2500</f>
        <v>10500</v>
      </c>
      <c r="Z4" s="127">
        <f t="shared" si="2"/>
        <v>90000</v>
      </c>
      <c r="AA4" s="128" t="s">
        <v>113</v>
      </c>
      <c r="AB4" s="129" t="s">
        <v>112</v>
      </c>
      <c r="AC4" s="133">
        <f t="shared" si="3"/>
        <v>0</v>
      </c>
    </row>
    <row r="5" ht="22.5" customHeight="1">
      <c r="A5" s="2">
        <v>801.0</v>
      </c>
      <c r="B5" s="118"/>
      <c r="C5" s="134"/>
      <c r="D5" s="120">
        <v>0.0</v>
      </c>
      <c r="E5" s="120">
        <v>0.0</v>
      </c>
      <c r="F5" s="120">
        <v>0.0</v>
      </c>
      <c r="G5" s="120">
        <v>0.0</v>
      </c>
      <c r="H5" s="120">
        <v>0.0</v>
      </c>
      <c r="I5" s="120"/>
      <c r="J5" s="121"/>
      <c r="K5" s="120"/>
      <c r="L5" s="120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5">
        <f t="shared" si="1"/>
        <v>0</v>
      </c>
      <c r="X5" s="126"/>
      <c r="Y5" s="126"/>
      <c r="Z5" s="127">
        <f t="shared" si="2"/>
        <v>0</v>
      </c>
      <c r="AA5" s="128"/>
      <c r="AB5" s="129" t="s">
        <v>112</v>
      </c>
      <c r="AC5" s="135">
        <v>0.0</v>
      </c>
    </row>
    <row r="6" ht="22.5" customHeight="1">
      <c r="A6" s="1">
        <v>813.0</v>
      </c>
      <c r="B6" s="4" t="s">
        <v>114</v>
      </c>
      <c r="C6" s="131"/>
      <c r="D6" s="120">
        <v>40000.0</v>
      </c>
      <c r="E6" s="120">
        <v>5000.0</v>
      </c>
      <c r="F6" s="120">
        <v>5000.0</v>
      </c>
      <c r="G6" s="120">
        <v>2000.0</v>
      </c>
      <c r="H6" s="120">
        <v>10000.0</v>
      </c>
      <c r="I6" s="120"/>
      <c r="J6" s="121"/>
      <c r="K6" s="136"/>
      <c r="L6" s="136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25">
        <f t="shared" si="1"/>
        <v>62000</v>
      </c>
      <c r="X6" s="126"/>
      <c r="Y6" s="126"/>
      <c r="Z6" s="127">
        <f t="shared" si="2"/>
        <v>62000</v>
      </c>
      <c r="AA6" s="128" t="s">
        <v>115</v>
      </c>
      <c r="AB6" s="129" t="s">
        <v>112</v>
      </c>
      <c r="AC6" s="133">
        <f t="shared" ref="AC6:AC109" si="4">C6-M6</f>
        <v>0</v>
      </c>
    </row>
    <row r="7" ht="22.5" customHeight="1">
      <c r="A7" s="1">
        <v>906.0</v>
      </c>
      <c r="B7" s="4" t="s">
        <v>5</v>
      </c>
      <c r="C7" s="131">
        <v>62000.0</v>
      </c>
      <c r="D7" s="120">
        <v>40000.0</v>
      </c>
      <c r="E7" s="120">
        <v>5000.0</v>
      </c>
      <c r="F7" s="120">
        <v>5000.0</v>
      </c>
      <c r="G7" s="120">
        <v>2000.0</v>
      </c>
      <c r="H7" s="120">
        <v>10000.0</v>
      </c>
      <c r="I7" s="120">
        <v>35640.0</v>
      </c>
      <c r="J7" s="121">
        <f t="shared" ref="J7:J8" si="5">IF(110000 - (SUM(D7:I7, K7:V7) + X7 + Y7) &gt; 0, 0, 110000 - (SUM(D7:I7, K7:V7) + X7 + Y7))</f>
        <v>-37883</v>
      </c>
      <c r="K7" s="119"/>
      <c r="L7" s="119">
        <v>2044.0</v>
      </c>
      <c r="M7" s="119">
        <v>10000.0</v>
      </c>
      <c r="N7" s="119"/>
      <c r="O7" s="119">
        <v>17076.0</v>
      </c>
      <c r="P7" s="119"/>
      <c r="Q7" s="119"/>
      <c r="R7" s="137"/>
      <c r="S7" s="137"/>
      <c r="T7" s="137"/>
      <c r="U7" s="137"/>
      <c r="V7" s="137"/>
      <c r="W7" s="125">
        <f t="shared" si="1"/>
        <v>88877</v>
      </c>
      <c r="X7" s="138">
        <v>16123.0</v>
      </c>
      <c r="Y7" s="138">
        <v>5000.0</v>
      </c>
      <c r="Z7" s="127">
        <f t="shared" si="2"/>
        <v>110000</v>
      </c>
      <c r="AA7" s="128" t="s">
        <v>116</v>
      </c>
      <c r="AB7" s="129" t="s">
        <v>112</v>
      </c>
      <c r="AC7" s="133">
        <f t="shared" si="4"/>
        <v>52000</v>
      </c>
    </row>
    <row r="8" ht="22.5" customHeight="1">
      <c r="A8" s="1">
        <v>913.0</v>
      </c>
      <c r="B8" s="4" t="s">
        <v>117</v>
      </c>
      <c r="C8" s="134">
        <v>47000.0</v>
      </c>
      <c r="D8" s="120">
        <v>40000.0</v>
      </c>
      <c r="E8" s="120">
        <v>5000.0</v>
      </c>
      <c r="F8" s="120">
        <v>5000.0</v>
      </c>
      <c r="G8" s="120">
        <v>2000.0</v>
      </c>
      <c r="H8" s="120">
        <v>10000.0</v>
      </c>
      <c r="I8" s="120">
        <v>37290.0</v>
      </c>
      <c r="J8" s="121">
        <f t="shared" si="5"/>
        <v>-49152</v>
      </c>
      <c r="K8" s="119">
        <v>10164.0</v>
      </c>
      <c r="L8" s="119">
        <v>2044.0</v>
      </c>
      <c r="M8" s="119">
        <v>10000.0</v>
      </c>
      <c r="N8" s="119"/>
      <c r="O8" s="119">
        <v>12192.0</v>
      </c>
      <c r="P8" s="119"/>
      <c r="Q8" s="119">
        <v>3292.0</v>
      </c>
      <c r="R8" s="137"/>
      <c r="S8" s="137"/>
      <c r="T8" s="137"/>
      <c r="U8" s="137"/>
      <c r="V8" s="137"/>
      <c r="W8" s="125">
        <f t="shared" si="1"/>
        <v>87830</v>
      </c>
      <c r="X8" s="138">
        <v>22170.0</v>
      </c>
      <c r="Y8" s="138"/>
      <c r="Z8" s="127">
        <f t="shared" si="2"/>
        <v>110000</v>
      </c>
      <c r="AA8" s="128" t="s">
        <v>118</v>
      </c>
      <c r="AB8" s="129" t="s">
        <v>112</v>
      </c>
      <c r="AC8" s="133">
        <f t="shared" si="4"/>
        <v>37000</v>
      </c>
    </row>
    <row r="9" ht="22.5" customHeight="1">
      <c r="A9" s="1">
        <v>915.0</v>
      </c>
      <c r="B9" s="4" t="s">
        <v>7</v>
      </c>
      <c r="C9" s="134">
        <v>110000.0</v>
      </c>
      <c r="D9" s="120">
        <v>0.0</v>
      </c>
      <c r="E9" s="120">
        <v>0.0</v>
      </c>
      <c r="F9" s="120">
        <v>0.0</v>
      </c>
      <c r="G9" s="120">
        <v>0.0</v>
      </c>
      <c r="H9" s="120">
        <v>0.0</v>
      </c>
      <c r="I9" s="120"/>
      <c r="J9" s="121"/>
      <c r="K9" s="119"/>
      <c r="L9" s="119"/>
      <c r="M9" s="119">
        <v>10000.0</v>
      </c>
      <c r="N9" s="119"/>
      <c r="O9" s="119"/>
      <c r="P9" s="119"/>
      <c r="Q9" s="119"/>
      <c r="R9" s="119"/>
      <c r="S9" s="119"/>
      <c r="T9" s="119"/>
      <c r="U9" s="119"/>
      <c r="V9" s="119"/>
      <c r="W9" s="125">
        <f t="shared" si="1"/>
        <v>10000</v>
      </c>
      <c r="X9" s="126"/>
      <c r="Y9" s="126"/>
      <c r="Z9" s="127">
        <f t="shared" si="2"/>
        <v>10000</v>
      </c>
      <c r="AA9" s="139">
        <v>13.0</v>
      </c>
      <c r="AB9" s="129" t="s">
        <v>112</v>
      </c>
      <c r="AC9" s="133">
        <f t="shared" si="4"/>
        <v>100000</v>
      </c>
    </row>
    <row r="10" ht="22.5" customHeight="1">
      <c r="A10" s="1">
        <v>1005.0</v>
      </c>
      <c r="B10" s="4"/>
      <c r="C10" s="134"/>
      <c r="D10" s="120"/>
      <c r="E10" s="120"/>
      <c r="F10" s="120"/>
      <c r="G10" s="120"/>
      <c r="H10" s="120"/>
      <c r="I10" s="120"/>
      <c r="J10" s="121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25">
        <f t="shared" si="1"/>
        <v>0</v>
      </c>
      <c r="X10" s="140"/>
      <c r="Y10" s="140"/>
      <c r="Z10" s="127">
        <f t="shared" si="2"/>
        <v>0</v>
      </c>
      <c r="AA10" s="128"/>
      <c r="AB10" s="129" t="s">
        <v>112</v>
      </c>
      <c r="AC10" s="133">
        <f t="shared" si="4"/>
        <v>0</v>
      </c>
    </row>
    <row r="11" ht="22.5" customHeight="1">
      <c r="A11" s="1">
        <v>1006.0</v>
      </c>
      <c r="B11" s="4" t="s">
        <v>8</v>
      </c>
      <c r="C11" s="134">
        <v>110000.0</v>
      </c>
      <c r="D11" s="120">
        <v>40000.0</v>
      </c>
      <c r="E11" s="120">
        <v>5000.0</v>
      </c>
      <c r="F11" s="120">
        <v>5000.0</v>
      </c>
      <c r="G11" s="120">
        <v>2000.0</v>
      </c>
      <c r="H11" s="120">
        <v>10000.0</v>
      </c>
      <c r="I11" s="120">
        <v>30800.0</v>
      </c>
      <c r="J11" s="121">
        <f>IF(150000 - (SUM(D11:I11, K11:V11) + X11 + Y11) &gt; 0, 0, 150000 - (SUM(D11:I11, K11:V11) + X11 + Y11))</f>
        <v>0</v>
      </c>
      <c r="K11" s="119"/>
      <c r="L11" s="119">
        <v>2044.0</v>
      </c>
      <c r="M11" s="119">
        <v>10000.0</v>
      </c>
      <c r="N11" s="119"/>
      <c r="O11" s="119"/>
      <c r="P11" s="119"/>
      <c r="Q11" s="119">
        <v>4732.0</v>
      </c>
      <c r="R11" s="119"/>
      <c r="S11" s="119"/>
      <c r="T11" s="119"/>
      <c r="U11" s="119"/>
      <c r="V11" s="119"/>
      <c r="W11" s="125">
        <f t="shared" si="1"/>
        <v>109576</v>
      </c>
      <c r="X11" s="126">
        <v>21534.0</v>
      </c>
      <c r="Y11" s="126"/>
      <c r="Z11" s="127">
        <f t="shared" si="2"/>
        <v>131110</v>
      </c>
      <c r="AA11" s="128" t="s">
        <v>119</v>
      </c>
      <c r="AB11" s="129" t="s">
        <v>112</v>
      </c>
      <c r="AC11" s="133">
        <f t="shared" si="4"/>
        <v>100000</v>
      </c>
    </row>
    <row r="12" ht="22.5" customHeight="1">
      <c r="A12" s="1">
        <v>1012.0</v>
      </c>
      <c r="B12" s="4"/>
      <c r="C12" s="134"/>
      <c r="D12" s="120"/>
      <c r="E12" s="120"/>
      <c r="F12" s="120"/>
      <c r="G12" s="120"/>
      <c r="H12" s="120"/>
      <c r="I12" s="119"/>
      <c r="J12" s="121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25">
        <f t="shared" si="1"/>
        <v>0</v>
      </c>
      <c r="X12" s="140"/>
      <c r="Y12" s="140"/>
      <c r="Z12" s="127">
        <f t="shared" si="2"/>
        <v>0</v>
      </c>
      <c r="AA12" s="128"/>
      <c r="AB12" s="129" t="s">
        <v>112</v>
      </c>
      <c r="AC12" s="133">
        <f t="shared" si="4"/>
        <v>0</v>
      </c>
    </row>
    <row r="13" ht="22.5" customHeight="1">
      <c r="A13" s="1"/>
      <c r="B13" s="4"/>
      <c r="C13" s="131"/>
      <c r="D13" s="120"/>
      <c r="E13" s="120"/>
      <c r="F13" s="120"/>
      <c r="G13" s="120"/>
      <c r="H13" s="120"/>
      <c r="I13" s="119"/>
      <c r="J13" s="121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25">
        <f t="shared" si="1"/>
        <v>0</v>
      </c>
      <c r="X13" s="140"/>
      <c r="Y13" s="140"/>
      <c r="Z13" s="127">
        <f t="shared" si="2"/>
        <v>0</v>
      </c>
      <c r="AA13" s="128"/>
      <c r="AB13" s="129" t="s">
        <v>112</v>
      </c>
      <c r="AC13" s="133">
        <f t="shared" si="4"/>
        <v>0</v>
      </c>
    </row>
    <row r="14" ht="22.5" customHeight="1">
      <c r="A14" s="1" t="str">
        <f>'入居者'!A13</f>
        <v/>
      </c>
      <c r="B14" s="4"/>
      <c r="C14" s="131"/>
      <c r="D14" s="119"/>
      <c r="E14" s="119"/>
      <c r="F14" s="119"/>
      <c r="G14" s="119"/>
      <c r="H14" s="119"/>
      <c r="I14" s="119"/>
      <c r="J14" s="121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25">
        <f t="shared" si="1"/>
        <v>0</v>
      </c>
      <c r="X14" s="119"/>
      <c r="Y14" s="119"/>
      <c r="Z14" s="127">
        <f t="shared" si="2"/>
        <v>0</v>
      </c>
      <c r="AA14" s="141"/>
      <c r="AB14" s="142"/>
      <c r="AC14" s="133">
        <f t="shared" si="4"/>
        <v>0</v>
      </c>
      <c r="AD14" s="142"/>
      <c r="AE14" s="142"/>
      <c r="AF14" s="142"/>
      <c r="AG14" s="142"/>
      <c r="AH14" s="142"/>
      <c r="AI14" s="142"/>
      <c r="AJ14" s="142"/>
    </row>
    <row r="15" ht="22.5" customHeight="1">
      <c r="A15" s="4"/>
      <c r="B15" s="4"/>
      <c r="C15" s="131"/>
      <c r="D15" s="119"/>
      <c r="E15" s="119"/>
      <c r="F15" s="119"/>
      <c r="G15" s="119"/>
      <c r="H15" s="119"/>
      <c r="I15" s="119"/>
      <c r="J15" s="121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25">
        <f t="shared" si="1"/>
        <v>0</v>
      </c>
      <c r="X15" s="119"/>
      <c r="Y15" s="119"/>
      <c r="Z15" s="127">
        <f t="shared" si="2"/>
        <v>0</v>
      </c>
      <c r="AA15" s="141"/>
      <c r="AB15" s="142"/>
      <c r="AC15" s="133">
        <f t="shared" si="4"/>
        <v>0</v>
      </c>
      <c r="AD15" s="142"/>
      <c r="AE15" s="142"/>
      <c r="AF15" s="142"/>
      <c r="AG15" s="142"/>
      <c r="AH15" s="142"/>
      <c r="AI15" s="142"/>
      <c r="AJ15" s="142"/>
    </row>
    <row r="16" ht="22.5" customHeight="1">
      <c r="A16" s="4"/>
      <c r="B16" s="4"/>
      <c r="C16" s="131"/>
      <c r="D16" s="119"/>
      <c r="E16" s="119"/>
      <c r="F16" s="119"/>
      <c r="G16" s="119"/>
      <c r="H16" s="119"/>
      <c r="I16" s="119"/>
      <c r="J16" s="121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25">
        <f t="shared" si="1"/>
        <v>0</v>
      </c>
      <c r="X16" s="119"/>
      <c r="Y16" s="119"/>
      <c r="Z16" s="127">
        <f t="shared" si="2"/>
        <v>0</v>
      </c>
      <c r="AA16" s="141"/>
      <c r="AB16" s="142"/>
      <c r="AC16" s="133">
        <f t="shared" si="4"/>
        <v>0</v>
      </c>
      <c r="AD16" s="142"/>
      <c r="AE16" s="142"/>
      <c r="AF16" s="142"/>
      <c r="AG16" s="142"/>
      <c r="AH16" s="142"/>
      <c r="AI16" s="142"/>
      <c r="AJ16" s="142"/>
    </row>
    <row r="17" ht="22.5" customHeight="1">
      <c r="A17" s="4"/>
      <c r="B17" s="4"/>
      <c r="C17" s="131"/>
      <c r="D17" s="119"/>
      <c r="E17" s="119"/>
      <c r="F17" s="119"/>
      <c r="G17" s="119"/>
      <c r="H17" s="119"/>
      <c r="I17" s="119"/>
      <c r="J17" s="121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25">
        <f t="shared" si="1"/>
        <v>0</v>
      </c>
      <c r="X17" s="119"/>
      <c r="Y17" s="119"/>
      <c r="Z17" s="127">
        <f t="shared" si="2"/>
        <v>0</v>
      </c>
      <c r="AA17" s="141"/>
      <c r="AB17" s="142"/>
      <c r="AC17" s="133">
        <f t="shared" si="4"/>
        <v>0</v>
      </c>
      <c r="AD17" s="142"/>
      <c r="AE17" s="142"/>
      <c r="AF17" s="142"/>
      <c r="AG17" s="142"/>
      <c r="AH17" s="142"/>
      <c r="AI17" s="142"/>
      <c r="AJ17" s="142"/>
    </row>
    <row r="18" ht="22.5" customHeight="1">
      <c r="A18" s="4"/>
      <c r="B18" s="4"/>
      <c r="C18" s="131"/>
      <c r="D18" s="119"/>
      <c r="E18" s="119"/>
      <c r="F18" s="119"/>
      <c r="G18" s="119"/>
      <c r="H18" s="119"/>
      <c r="I18" s="119"/>
      <c r="J18" s="121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25">
        <f t="shared" si="1"/>
        <v>0</v>
      </c>
      <c r="X18" s="119"/>
      <c r="Y18" s="119"/>
      <c r="Z18" s="127">
        <f t="shared" si="2"/>
        <v>0</v>
      </c>
      <c r="AA18" s="141"/>
      <c r="AB18" s="142"/>
      <c r="AC18" s="133">
        <f t="shared" si="4"/>
        <v>0</v>
      </c>
      <c r="AD18" s="142"/>
      <c r="AE18" s="142"/>
      <c r="AF18" s="142"/>
      <c r="AG18" s="142"/>
      <c r="AH18" s="142"/>
      <c r="AI18" s="142"/>
      <c r="AJ18" s="142"/>
    </row>
    <row r="19" ht="22.5" customHeight="1">
      <c r="A19" s="4"/>
      <c r="B19" s="4"/>
      <c r="C19" s="131"/>
      <c r="D19" s="119"/>
      <c r="E19" s="119"/>
      <c r="F19" s="119"/>
      <c r="G19" s="119"/>
      <c r="H19" s="119"/>
      <c r="I19" s="119"/>
      <c r="J19" s="121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25">
        <f t="shared" si="1"/>
        <v>0</v>
      </c>
      <c r="X19" s="119"/>
      <c r="Y19" s="119"/>
      <c r="Z19" s="127">
        <f t="shared" si="2"/>
        <v>0</v>
      </c>
      <c r="AA19" s="141"/>
      <c r="AB19" s="142"/>
      <c r="AC19" s="133">
        <f t="shared" si="4"/>
        <v>0</v>
      </c>
      <c r="AD19" s="142"/>
      <c r="AE19" s="142"/>
      <c r="AF19" s="142"/>
      <c r="AG19" s="142"/>
      <c r="AH19" s="142"/>
      <c r="AI19" s="142"/>
      <c r="AJ19" s="142"/>
    </row>
    <row r="20" ht="22.5" customHeight="1">
      <c r="A20" s="4"/>
      <c r="B20" s="4"/>
      <c r="C20" s="131"/>
      <c r="D20" s="119"/>
      <c r="E20" s="119"/>
      <c r="F20" s="119"/>
      <c r="G20" s="119"/>
      <c r="H20" s="119"/>
      <c r="I20" s="119"/>
      <c r="J20" s="121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25">
        <f t="shared" si="1"/>
        <v>0</v>
      </c>
      <c r="X20" s="119"/>
      <c r="Y20" s="119"/>
      <c r="Z20" s="127">
        <f t="shared" si="2"/>
        <v>0</v>
      </c>
      <c r="AA20" s="141"/>
      <c r="AB20" s="142"/>
      <c r="AC20" s="133">
        <f t="shared" si="4"/>
        <v>0</v>
      </c>
      <c r="AD20" s="142"/>
      <c r="AE20" s="142"/>
      <c r="AF20" s="142"/>
      <c r="AG20" s="142"/>
      <c r="AH20" s="142"/>
      <c r="AI20" s="142"/>
      <c r="AJ20" s="142"/>
    </row>
    <row r="21" ht="22.5" customHeight="1">
      <c r="A21" s="4"/>
      <c r="B21" s="4"/>
      <c r="C21" s="131"/>
      <c r="D21" s="119"/>
      <c r="E21" s="119"/>
      <c r="F21" s="119"/>
      <c r="G21" s="119"/>
      <c r="H21" s="119"/>
      <c r="I21" s="119"/>
      <c r="J21" s="121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25">
        <f t="shared" si="1"/>
        <v>0</v>
      </c>
      <c r="X21" s="119"/>
      <c r="Y21" s="119"/>
      <c r="Z21" s="127">
        <f t="shared" si="2"/>
        <v>0</v>
      </c>
      <c r="AA21" s="141"/>
      <c r="AB21" s="142"/>
      <c r="AC21" s="133">
        <f t="shared" si="4"/>
        <v>0</v>
      </c>
      <c r="AD21" s="142"/>
      <c r="AE21" s="142"/>
      <c r="AF21" s="142"/>
      <c r="AG21" s="142"/>
      <c r="AH21" s="142"/>
      <c r="AI21" s="142"/>
      <c r="AJ21" s="142"/>
    </row>
    <row r="22" ht="22.5" hidden="1" customHeight="1">
      <c r="A22" s="4"/>
      <c r="B22" s="4"/>
      <c r="C22" s="131"/>
      <c r="D22" s="119"/>
      <c r="E22" s="119"/>
      <c r="F22" s="119"/>
      <c r="G22" s="119"/>
      <c r="H22" s="119"/>
      <c r="I22" s="119"/>
      <c r="J22" s="121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25">
        <f t="shared" si="1"/>
        <v>0</v>
      </c>
      <c r="X22" s="119"/>
      <c r="Y22" s="119"/>
      <c r="Z22" s="127">
        <f t="shared" si="2"/>
        <v>0</v>
      </c>
      <c r="AA22" s="141"/>
      <c r="AB22" s="142"/>
      <c r="AC22" s="133">
        <f t="shared" si="4"/>
        <v>0</v>
      </c>
      <c r="AD22" s="142"/>
      <c r="AE22" s="142"/>
      <c r="AF22" s="142"/>
      <c r="AG22" s="142"/>
      <c r="AH22" s="142"/>
      <c r="AI22" s="142"/>
      <c r="AJ22" s="142"/>
    </row>
    <row r="23" ht="22.5" hidden="1" customHeight="1">
      <c r="A23" s="4"/>
      <c r="B23" s="4"/>
      <c r="C23" s="131"/>
      <c r="D23" s="119"/>
      <c r="E23" s="119"/>
      <c r="F23" s="119"/>
      <c r="G23" s="119"/>
      <c r="H23" s="119"/>
      <c r="I23" s="119"/>
      <c r="J23" s="121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25">
        <f t="shared" si="1"/>
        <v>0</v>
      </c>
      <c r="X23" s="119"/>
      <c r="Y23" s="119"/>
      <c r="Z23" s="127">
        <f t="shared" si="2"/>
        <v>0</v>
      </c>
      <c r="AA23" s="141"/>
      <c r="AB23" s="142"/>
      <c r="AC23" s="133">
        <f t="shared" si="4"/>
        <v>0</v>
      </c>
      <c r="AD23" s="142"/>
      <c r="AE23" s="142"/>
      <c r="AF23" s="142"/>
      <c r="AG23" s="142"/>
      <c r="AH23" s="142"/>
      <c r="AI23" s="142"/>
      <c r="AJ23" s="142"/>
    </row>
    <row r="24" ht="22.5" hidden="1" customHeight="1">
      <c r="A24" s="4"/>
      <c r="B24" s="4"/>
      <c r="C24" s="131"/>
      <c r="D24" s="119"/>
      <c r="E24" s="119"/>
      <c r="F24" s="119"/>
      <c r="G24" s="119"/>
      <c r="H24" s="119"/>
      <c r="I24" s="119"/>
      <c r="J24" s="121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25">
        <f t="shared" si="1"/>
        <v>0</v>
      </c>
      <c r="X24" s="119"/>
      <c r="Y24" s="119"/>
      <c r="Z24" s="127">
        <f t="shared" si="2"/>
        <v>0</v>
      </c>
      <c r="AA24" s="141"/>
      <c r="AB24" s="142"/>
      <c r="AC24" s="133">
        <f t="shared" si="4"/>
        <v>0</v>
      </c>
      <c r="AD24" s="142"/>
      <c r="AE24" s="142"/>
      <c r="AF24" s="142"/>
      <c r="AG24" s="142"/>
      <c r="AH24" s="142"/>
      <c r="AI24" s="142"/>
      <c r="AJ24" s="142"/>
    </row>
    <row r="25" ht="22.5" hidden="1" customHeight="1">
      <c r="A25" s="4"/>
      <c r="B25" s="4"/>
      <c r="C25" s="131"/>
      <c r="D25" s="119"/>
      <c r="E25" s="119"/>
      <c r="F25" s="119"/>
      <c r="G25" s="119"/>
      <c r="H25" s="119"/>
      <c r="I25" s="119"/>
      <c r="J25" s="121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25">
        <f t="shared" si="1"/>
        <v>0</v>
      </c>
      <c r="X25" s="119"/>
      <c r="Y25" s="119"/>
      <c r="Z25" s="127">
        <f t="shared" si="2"/>
        <v>0</v>
      </c>
      <c r="AA25" s="141"/>
      <c r="AB25" s="142"/>
      <c r="AC25" s="133">
        <f t="shared" si="4"/>
        <v>0</v>
      </c>
      <c r="AD25" s="142"/>
      <c r="AE25" s="142"/>
      <c r="AF25" s="142"/>
      <c r="AG25" s="142"/>
      <c r="AH25" s="142"/>
      <c r="AI25" s="142"/>
      <c r="AJ25" s="142"/>
    </row>
    <row r="26" ht="22.5" hidden="1" customHeight="1">
      <c r="A26" s="4"/>
      <c r="B26" s="4"/>
      <c r="C26" s="131"/>
      <c r="D26" s="119"/>
      <c r="E26" s="119"/>
      <c r="F26" s="119"/>
      <c r="G26" s="119"/>
      <c r="H26" s="119"/>
      <c r="I26" s="119"/>
      <c r="J26" s="121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25">
        <f t="shared" si="1"/>
        <v>0</v>
      </c>
      <c r="X26" s="119"/>
      <c r="Y26" s="119"/>
      <c r="Z26" s="127">
        <f t="shared" si="2"/>
        <v>0</v>
      </c>
      <c r="AA26" s="141"/>
      <c r="AB26" s="142"/>
      <c r="AC26" s="133">
        <f t="shared" si="4"/>
        <v>0</v>
      </c>
      <c r="AD26" s="142"/>
      <c r="AE26" s="142"/>
      <c r="AF26" s="142"/>
      <c r="AG26" s="142"/>
      <c r="AH26" s="142"/>
      <c r="AI26" s="142"/>
      <c r="AJ26" s="142"/>
    </row>
    <row r="27" ht="22.5" hidden="1" customHeight="1">
      <c r="A27" s="4"/>
      <c r="B27" s="4"/>
      <c r="C27" s="131"/>
      <c r="D27" s="119"/>
      <c r="E27" s="119"/>
      <c r="F27" s="119"/>
      <c r="G27" s="119"/>
      <c r="H27" s="119"/>
      <c r="I27" s="119"/>
      <c r="J27" s="121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25">
        <f t="shared" si="1"/>
        <v>0</v>
      </c>
      <c r="X27" s="119"/>
      <c r="Y27" s="119"/>
      <c r="Z27" s="127">
        <f t="shared" si="2"/>
        <v>0</v>
      </c>
      <c r="AA27" s="141"/>
      <c r="AB27" s="142"/>
      <c r="AC27" s="133">
        <f t="shared" si="4"/>
        <v>0</v>
      </c>
      <c r="AD27" s="142"/>
      <c r="AE27" s="142"/>
      <c r="AF27" s="142"/>
      <c r="AG27" s="142"/>
      <c r="AH27" s="142"/>
      <c r="AI27" s="142"/>
      <c r="AJ27" s="142"/>
    </row>
    <row r="28" ht="22.5" hidden="1" customHeight="1">
      <c r="A28" s="4"/>
      <c r="B28" s="4"/>
      <c r="C28" s="131"/>
      <c r="D28" s="119"/>
      <c r="E28" s="119"/>
      <c r="F28" s="119"/>
      <c r="G28" s="119"/>
      <c r="H28" s="119"/>
      <c r="I28" s="119"/>
      <c r="J28" s="121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25">
        <f t="shared" si="1"/>
        <v>0</v>
      </c>
      <c r="X28" s="119"/>
      <c r="Y28" s="119"/>
      <c r="Z28" s="127">
        <f t="shared" si="2"/>
        <v>0</v>
      </c>
      <c r="AA28" s="141"/>
      <c r="AB28" s="142"/>
      <c r="AC28" s="133">
        <f t="shared" si="4"/>
        <v>0</v>
      </c>
      <c r="AD28" s="142"/>
      <c r="AE28" s="142"/>
      <c r="AF28" s="142"/>
      <c r="AG28" s="142"/>
      <c r="AH28" s="142"/>
      <c r="AI28" s="142"/>
      <c r="AJ28" s="142"/>
    </row>
    <row r="29" ht="22.5" hidden="1" customHeight="1">
      <c r="A29" s="4"/>
      <c r="B29" s="4"/>
      <c r="C29" s="131"/>
      <c r="D29" s="119"/>
      <c r="E29" s="119"/>
      <c r="F29" s="119"/>
      <c r="G29" s="119"/>
      <c r="H29" s="119"/>
      <c r="I29" s="119"/>
      <c r="J29" s="121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25">
        <f t="shared" si="1"/>
        <v>0</v>
      </c>
      <c r="X29" s="119"/>
      <c r="Y29" s="119"/>
      <c r="Z29" s="127">
        <f t="shared" si="2"/>
        <v>0</v>
      </c>
      <c r="AA29" s="141"/>
      <c r="AB29" s="142"/>
      <c r="AC29" s="133">
        <f t="shared" si="4"/>
        <v>0</v>
      </c>
      <c r="AD29" s="142"/>
      <c r="AE29" s="142"/>
      <c r="AF29" s="142"/>
      <c r="AG29" s="142"/>
      <c r="AH29" s="142"/>
      <c r="AI29" s="142"/>
      <c r="AJ29" s="142"/>
    </row>
    <row r="30" ht="22.5" hidden="1" customHeight="1">
      <c r="A30" s="4"/>
      <c r="B30" s="4"/>
      <c r="C30" s="131"/>
      <c r="D30" s="119"/>
      <c r="E30" s="119"/>
      <c r="F30" s="119"/>
      <c r="G30" s="119"/>
      <c r="H30" s="119"/>
      <c r="I30" s="119"/>
      <c r="J30" s="121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25">
        <f t="shared" si="1"/>
        <v>0</v>
      </c>
      <c r="X30" s="119"/>
      <c r="Y30" s="119"/>
      <c r="Z30" s="127">
        <f t="shared" si="2"/>
        <v>0</v>
      </c>
      <c r="AA30" s="141"/>
      <c r="AB30" s="142"/>
      <c r="AC30" s="133">
        <f t="shared" si="4"/>
        <v>0</v>
      </c>
      <c r="AD30" s="142"/>
      <c r="AE30" s="142"/>
      <c r="AF30" s="142"/>
      <c r="AG30" s="142"/>
      <c r="AH30" s="142"/>
      <c r="AI30" s="142"/>
      <c r="AJ30" s="142"/>
    </row>
    <row r="31" ht="22.5" hidden="1" customHeight="1">
      <c r="A31" s="4"/>
      <c r="B31" s="4"/>
      <c r="C31" s="131"/>
      <c r="D31" s="119"/>
      <c r="E31" s="119"/>
      <c r="F31" s="119"/>
      <c r="G31" s="119"/>
      <c r="H31" s="119"/>
      <c r="I31" s="119"/>
      <c r="J31" s="121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25">
        <f t="shared" si="1"/>
        <v>0</v>
      </c>
      <c r="X31" s="119"/>
      <c r="Y31" s="119"/>
      <c r="Z31" s="127">
        <f t="shared" si="2"/>
        <v>0</v>
      </c>
      <c r="AA31" s="141"/>
      <c r="AB31" s="142"/>
      <c r="AC31" s="133">
        <f t="shared" si="4"/>
        <v>0</v>
      </c>
      <c r="AD31" s="142"/>
      <c r="AE31" s="142"/>
      <c r="AF31" s="142"/>
      <c r="AG31" s="142"/>
      <c r="AH31" s="142"/>
      <c r="AI31" s="142"/>
      <c r="AJ31" s="142"/>
    </row>
    <row r="32" ht="22.5" hidden="1" customHeight="1">
      <c r="A32" s="4"/>
      <c r="B32" s="4"/>
      <c r="C32" s="131"/>
      <c r="D32" s="119"/>
      <c r="E32" s="119"/>
      <c r="F32" s="119"/>
      <c r="G32" s="119"/>
      <c r="H32" s="119"/>
      <c r="I32" s="119"/>
      <c r="J32" s="121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25">
        <f t="shared" si="1"/>
        <v>0</v>
      </c>
      <c r="X32" s="119"/>
      <c r="Y32" s="119"/>
      <c r="Z32" s="127">
        <f t="shared" si="2"/>
        <v>0</v>
      </c>
      <c r="AA32" s="141"/>
      <c r="AB32" s="142"/>
      <c r="AC32" s="133">
        <f t="shared" si="4"/>
        <v>0</v>
      </c>
      <c r="AD32" s="142"/>
      <c r="AE32" s="142"/>
      <c r="AF32" s="142"/>
      <c r="AG32" s="142"/>
      <c r="AH32" s="142"/>
      <c r="AI32" s="142"/>
      <c r="AJ32" s="142"/>
    </row>
    <row r="33" ht="22.5" hidden="1" customHeight="1">
      <c r="A33" s="4"/>
      <c r="B33" s="4"/>
      <c r="C33" s="131"/>
      <c r="D33" s="119"/>
      <c r="E33" s="119"/>
      <c r="F33" s="119"/>
      <c r="G33" s="119"/>
      <c r="H33" s="119"/>
      <c r="I33" s="119"/>
      <c r="J33" s="121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25">
        <f t="shared" si="1"/>
        <v>0</v>
      </c>
      <c r="X33" s="119"/>
      <c r="Y33" s="119"/>
      <c r="Z33" s="127">
        <f t="shared" si="2"/>
        <v>0</v>
      </c>
      <c r="AA33" s="141"/>
      <c r="AB33" s="142"/>
      <c r="AC33" s="133">
        <f t="shared" si="4"/>
        <v>0</v>
      </c>
      <c r="AD33" s="142"/>
      <c r="AE33" s="142"/>
      <c r="AF33" s="142"/>
      <c r="AG33" s="142"/>
      <c r="AH33" s="142"/>
      <c r="AI33" s="142"/>
      <c r="AJ33" s="142"/>
    </row>
    <row r="34" ht="22.5" hidden="1" customHeight="1">
      <c r="A34" s="4"/>
      <c r="B34" s="4"/>
      <c r="C34" s="131"/>
      <c r="D34" s="119"/>
      <c r="E34" s="119"/>
      <c r="F34" s="119"/>
      <c r="G34" s="119"/>
      <c r="H34" s="119"/>
      <c r="I34" s="119"/>
      <c r="J34" s="121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25">
        <f t="shared" si="1"/>
        <v>0</v>
      </c>
      <c r="X34" s="119"/>
      <c r="Y34" s="119"/>
      <c r="Z34" s="127">
        <f t="shared" si="2"/>
        <v>0</v>
      </c>
      <c r="AA34" s="141"/>
      <c r="AB34" s="142"/>
      <c r="AC34" s="133">
        <f t="shared" si="4"/>
        <v>0</v>
      </c>
      <c r="AD34" s="142"/>
      <c r="AE34" s="142"/>
      <c r="AF34" s="142"/>
      <c r="AG34" s="142"/>
      <c r="AH34" s="142"/>
      <c r="AI34" s="142"/>
      <c r="AJ34" s="142"/>
    </row>
    <row r="35" ht="22.5" hidden="1" customHeight="1">
      <c r="A35" s="4"/>
      <c r="B35" s="4"/>
      <c r="C35" s="131"/>
      <c r="D35" s="119"/>
      <c r="E35" s="119"/>
      <c r="F35" s="119"/>
      <c r="G35" s="119"/>
      <c r="H35" s="119"/>
      <c r="I35" s="119"/>
      <c r="J35" s="121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25">
        <f t="shared" si="1"/>
        <v>0</v>
      </c>
      <c r="X35" s="119"/>
      <c r="Y35" s="119"/>
      <c r="Z35" s="127">
        <f t="shared" si="2"/>
        <v>0</v>
      </c>
      <c r="AA35" s="141"/>
      <c r="AB35" s="142"/>
      <c r="AC35" s="133">
        <f t="shared" si="4"/>
        <v>0</v>
      </c>
      <c r="AD35" s="142"/>
      <c r="AE35" s="142"/>
      <c r="AF35" s="142"/>
      <c r="AG35" s="142"/>
      <c r="AH35" s="142"/>
      <c r="AI35" s="142"/>
      <c r="AJ35" s="142"/>
    </row>
    <row r="36" ht="22.5" hidden="1" customHeight="1">
      <c r="A36" s="4"/>
      <c r="B36" s="4"/>
      <c r="C36" s="131"/>
      <c r="D36" s="119"/>
      <c r="E36" s="119"/>
      <c r="F36" s="119"/>
      <c r="G36" s="119"/>
      <c r="H36" s="119"/>
      <c r="I36" s="119"/>
      <c r="J36" s="121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25">
        <f t="shared" si="1"/>
        <v>0</v>
      </c>
      <c r="X36" s="119"/>
      <c r="Y36" s="119"/>
      <c r="Z36" s="127">
        <f t="shared" si="2"/>
        <v>0</v>
      </c>
      <c r="AA36" s="141"/>
      <c r="AB36" s="142"/>
      <c r="AC36" s="133">
        <f t="shared" si="4"/>
        <v>0</v>
      </c>
      <c r="AD36" s="142"/>
      <c r="AE36" s="142"/>
      <c r="AF36" s="142"/>
      <c r="AG36" s="142"/>
      <c r="AH36" s="142"/>
      <c r="AI36" s="142"/>
      <c r="AJ36" s="142"/>
    </row>
    <row r="37" ht="22.5" hidden="1" customHeight="1">
      <c r="A37" s="4"/>
      <c r="B37" s="4"/>
      <c r="C37" s="131"/>
      <c r="D37" s="119"/>
      <c r="E37" s="119"/>
      <c r="F37" s="119"/>
      <c r="G37" s="119"/>
      <c r="H37" s="119"/>
      <c r="I37" s="119"/>
      <c r="J37" s="121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25">
        <f t="shared" si="1"/>
        <v>0</v>
      </c>
      <c r="X37" s="119"/>
      <c r="Y37" s="119"/>
      <c r="Z37" s="127">
        <f t="shared" si="2"/>
        <v>0</v>
      </c>
      <c r="AA37" s="141"/>
      <c r="AB37" s="142"/>
      <c r="AC37" s="133">
        <f t="shared" si="4"/>
        <v>0</v>
      </c>
      <c r="AD37" s="142"/>
      <c r="AE37" s="142"/>
      <c r="AF37" s="142"/>
      <c r="AG37" s="142"/>
      <c r="AH37" s="142"/>
      <c r="AI37" s="142"/>
      <c r="AJ37" s="142"/>
    </row>
    <row r="38" ht="22.5" hidden="1" customHeight="1">
      <c r="A38" s="4"/>
      <c r="B38" s="4"/>
      <c r="C38" s="131"/>
      <c r="D38" s="119"/>
      <c r="E38" s="119"/>
      <c r="F38" s="119"/>
      <c r="G38" s="119"/>
      <c r="H38" s="119"/>
      <c r="I38" s="119"/>
      <c r="J38" s="121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25">
        <f t="shared" si="1"/>
        <v>0</v>
      </c>
      <c r="X38" s="119"/>
      <c r="Y38" s="119"/>
      <c r="Z38" s="127">
        <f t="shared" si="2"/>
        <v>0</v>
      </c>
      <c r="AA38" s="141"/>
      <c r="AB38" s="142"/>
      <c r="AC38" s="133">
        <f t="shared" si="4"/>
        <v>0</v>
      </c>
      <c r="AD38" s="142"/>
      <c r="AE38" s="142"/>
      <c r="AF38" s="142"/>
      <c r="AG38" s="142"/>
      <c r="AH38" s="142"/>
      <c r="AI38" s="142"/>
      <c r="AJ38" s="142"/>
    </row>
    <row r="39" ht="22.5" hidden="1" customHeight="1">
      <c r="A39" s="4"/>
      <c r="B39" s="4"/>
      <c r="C39" s="131"/>
      <c r="D39" s="119"/>
      <c r="E39" s="119"/>
      <c r="F39" s="119"/>
      <c r="G39" s="119"/>
      <c r="H39" s="119"/>
      <c r="I39" s="119"/>
      <c r="J39" s="121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25">
        <f t="shared" si="1"/>
        <v>0</v>
      </c>
      <c r="X39" s="119"/>
      <c r="Y39" s="119"/>
      <c r="Z39" s="127">
        <f t="shared" si="2"/>
        <v>0</v>
      </c>
      <c r="AA39" s="141"/>
      <c r="AB39" s="142"/>
      <c r="AC39" s="133">
        <f t="shared" si="4"/>
        <v>0</v>
      </c>
      <c r="AD39" s="142"/>
      <c r="AE39" s="142"/>
      <c r="AF39" s="142"/>
      <c r="AG39" s="142"/>
      <c r="AH39" s="142"/>
      <c r="AI39" s="142"/>
      <c r="AJ39" s="142"/>
    </row>
    <row r="40" ht="22.5" hidden="1" customHeight="1">
      <c r="A40" s="4"/>
      <c r="B40" s="4"/>
      <c r="C40" s="131"/>
      <c r="D40" s="119"/>
      <c r="E40" s="119"/>
      <c r="F40" s="119"/>
      <c r="G40" s="119"/>
      <c r="H40" s="119"/>
      <c r="I40" s="119"/>
      <c r="J40" s="121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25">
        <f t="shared" si="1"/>
        <v>0</v>
      </c>
      <c r="X40" s="119"/>
      <c r="Y40" s="119"/>
      <c r="Z40" s="127">
        <f t="shared" si="2"/>
        <v>0</v>
      </c>
      <c r="AA40" s="141"/>
      <c r="AB40" s="142"/>
      <c r="AC40" s="133">
        <f t="shared" si="4"/>
        <v>0</v>
      </c>
      <c r="AD40" s="142"/>
      <c r="AE40" s="142"/>
      <c r="AF40" s="142"/>
      <c r="AG40" s="142"/>
      <c r="AH40" s="142"/>
      <c r="AI40" s="142"/>
      <c r="AJ40" s="142"/>
    </row>
    <row r="41" ht="22.5" hidden="1" customHeight="1">
      <c r="A41" s="4"/>
      <c r="B41" s="4"/>
      <c r="C41" s="131"/>
      <c r="D41" s="119"/>
      <c r="E41" s="119"/>
      <c r="F41" s="119"/>
      <c r="G41" s="119"/>
      <c r="H41" s="119"/>
      <c r="I41" s="119"/>
      <c r="J41" s="121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25">
        <f t="shared" si="1"/>
        <v>0</v>
      </c>
      <c r="X41" s="119"/>
      <c r="Y41" s="119"/>
      <c r="Z41" s="127">
        <f t="shared" si="2"/>
        <v>0</v>
      </c>
      <c r="AA41" s="141"/>
      <c r="AB41" s="142"/>
      <c r="AC41" s="133">
        <f t="shared" si="4"/>
        <v>0</v>
      </c>
      <c r="AD41" s="142"/>
      <c r="AE41" s="142"/>
      <c r="AF41" s="142"/>
      <c r="AG41" s="142"/>
      <c r="AH41" s="142"/>
      <c r="AI41" s="142"/>
      <c r="AJ41" s="142"/>
    </row>
    <row r="42" ht="22.5" hidden="1" customHeight="1">
      <c r="A42" s="4"/>
      <c r="B42" s="4"/>
      <c r="C42" s="131"/>
      <c r="D42" s="119"/>
      <c r="E42" s="119"/>
      <c r="F42" s="119"/>
      <c r="G42" s="119"/>
      <c r="H42" s="119"/>
      <c r="I42" s="119"/>
      <c r="J42" s="121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25">
        <f t="shared" si="1"/>
        <v>0</v>
      </c>
      <c r="X42" s="119"/>
      <c r="Y42" s="119"/>
      <c r="Z42" s="127">
        <f t="shared" si="2"/>
        <v>0</v>
      </c>
      <c r="AA42" s="141"/>
      <c r="AB42" s="142"/>
      <c r="AC42" s="133">
        <f t="shared" si="4"/>
        <v>0</v>
      </c>
      <c r="AD42" s="142"/>
      <c r="AE42" s="142"/>
      <c r="AF42" s="142"/>
      <c r="AG42" s="142"/>
      <c r="AH42" s="142"/>
      <c r="AI42" s="142"/>
      <c r="AJ42" s="142"/>
    </row>
    <row r="43" ht="22.5" hidden="1" customHeight="1">
      <c r="A43" s="4"/>
      <c r="B43" s="4"/>
      <c r="C43" s="131"/>
      <c r="D43" s="119"/>
      <c r="E43" s="119"/>
      <c r="F43" s="119"/>
      <c r="G43" s="119"/>
      <c r="H43" s="119"/>
      <c r="I43" s="119"/>
      <c r="J43" s="121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25">
        <f t="shared" si="1"/>
        <v>0</v>
      </c>
      <c r="X43" s="119"/>
      <c r="Y43" s="119"/>
      <c r="Z43" s="127">
        <f t="shared" si="2"/>
        <v>0</v>
      </c>
      <c r="AA43" s="141"/>
      <c r="AB43" s="142"/>
      <c r="AC43" s="133">
        <f t="shared" si="4"/>
        <v>0</v>
      </c>
      <c r="AD43" s="142"/>
      <c r="AE43" s="142"/>
      <c r="AF43" s="142"/>
      <c r="AG43" s="142"/>
      <c r="AH43" s="142"/>
      <c r="AI43" s="142"/>
      <c r="AJ43" s="142"/>
    </row>
    <row r="44" ht="22.5" hidden="1" customHeight="1">
      <c r="A44" s="4"/>
      <c r="B44" s="4"/>
      <c r="C44" s="131"/>
      <c r="D44" s="119"/>
      <c r="E44" s="119"/>
      <c r="F44" s="119"/>
      <c r="G44" s="119"/>
      <c r="H44" s="119"/>
      <c r="I44" s="119"/>
      <c r="J44" s="121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25">
        <f t="shared" si="1"/>
        <v>0</v>
      </c>
      <c r="X44" s="119"/>
      <c r="Y44" s="119"/>
      <c r="Z44" s="127">
        <f t="shared" si="2"/>
        <v>0</v>
      </c>
      <c r="AA44" s="141"/>
      <c r="AB44" s="142"/>
      <c r="AC44" s="133">
        <f t="shared" si="4"/>
        <v>0</v>
      </c>
      <c r="AD44" s="142"/>
      <c r="AE44" s="142"/>
      <c r="AF44" s="142"/>
      <c r="AG44" s="142"/>
      <c r="AH44" s="142"/>
      <c r="AI44" s="142"/>
      <c r="AJ44" s="142"/>
    </row>
    <row r="45" ht="22.5" hidden="1" customHeight="1">
      <c r="A45" s="4"/>
      <c r="B45" s="4"/>
      <c r="C45" s="131"/>
      <c r="D45" s="119"/>
      <c r="E45" s="119"/>
      <c r="F45" s="119"/>
      <c r="G45" s="119"/>
      <c r="H45" s="119"/>
      <c r="I45" s="119"/>
      <c r="J45" s="121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25">
        <f t="shared" si="1"/>
        <v>0</v>
      </c>
      <c r="X45" s="119"/>
      <c r="Y45" s="119"/>
      <c r="Z45" s="127">
        <f t="shared" si="2"/>
        <v>0</v>
      </c>
      <c r="AA45" s="141"/>
      <c r="AB45" s="142"/>
      <c r="AC45" s="133">
        <f t="shared" si="4"/>
        <v>0</v>
      </c>
      <c r="AD45" s="142"/>
      <c r="AE45" s="142"/>
      <c r="AF45" s="142"/>
      <c r="AG45" s="142"/>
      <c r="AH45" s="142"/>
      <c r="AI45" s="142"/>
      <c r="AJ45" s="142"/>
    </row>
    <row r="46" ht="22.5" hidden="1" customHeight="1">
      <c r="A46" s="4"/>
      <c r="B46" s="4"/>
      <c r="C46" s="131"/>
      <c r="D46" s="119"/>
      <c r="E46" s="119"/>
      <c r="F46" s="119"/>
      <c r="G46" s="119"/>
      <c r="H46" s="119"/>
      <c r="I46" s="119"/>
      <c r="J46" s="121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25">
        <f t="shared" si="1"/>
        <v>0</v>
      </c>
      <c r="X46" s="119"/>
      <c r="Y46" s="119"/>
      <c r="Z46" s="127">
        <f t="shared" si="2"/>
        <v>0</v>
      </c>
      <c r="AA46" s="141"/>
      <c r="AB46" s="142"/>
      <c r="AC46" s="133">
        <f t="shared" si="4"/>
        <v>0</v>
      </c>
      <c r="AD46" s="142"/>
      <c r="AE46" s="142"/>
      <c r="AF46" s="142"/>
      <c r="AG46" s="142"/>
      <c r="AH46" s="142"/>
      <c r="AI46" s="142"/>
      <c r="AJ46" s="142"/>
    </row>
    <row r="47" ht="22.5" hidden="1" customHeight="1">
      <c r="A47" s="4"/>
      <c r="B47" s="4"/>
      <c r="C47" s="131"/>
      <c r="D47" s="119"/>
      <c r="E47" s="119"/>
      <c r="F47" s="119"/>
      <c r="G47" s="119"/>
      <c r="H47" s="119"/>
      <c r="I47" s="119"/>
      <c r="J47" s="121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25">
        <f t="shared" si="1"/>
        <v>0</v>
      </c>
      <c r="X47" s="119"/>
      <c r="Y47" s="119"/>
      <c r="Z47" s="127">
        <f t="shared" si="2"/>
        <v>0</v>
      </c>
      <c r="AA47" s="141"/>
      <c r="AB47" s="142"/>
      <c r="AC47" s="133">
        <f t="shared" si="4"/>
        <v>0</v>
      </c>
      <c r="AD47" s="142"/>
      <c r="AE47" s="142"/>
      <c r="AF47" s="142"/>
      <c r="AG47" s="142"/>
      <c r="AH47" s="142"/>
      <c r="AI47" s="142"/>
      <c r="AJ47" s="142"/>
    </row>
    <row r="48" ht="22.5" hidden="1" customHeight="1">
      <c r="A48" s="4"/>
      <c r="B48" s="4"/>
      <c r="C48" s="131"/>
      <c r="D48" s="119"/>
      <c r="E48" s="119"/>
      <c r="F48" s="119"/>
      <c r="G48" s="119"/>
      <c r="H48" s="119"/>
      <c r="I48" s="119"/>
      <c r="J48" s="121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25">
        <f t="shared" si="1"/>
        <v>0</v>
      </c>
      <c r="X48" s="119"/>
      <c r="Y48" s="119"/>
      <c r="Z48" s="127">
        <f t="shared" si="2"/>
        <v>0</v>
      </c>
      <c r="AA48" s="141"/>
      <c r="AB48" s="142"/>
      <c r="AC48" s="133">
        <f t="shared" si="4"/>
        <v>0</v>
      </c>
      <c r="AD48" s="142"/>
      <c r="AE48" s="142"/>
      <c r="AF48" s="142"/>
      <c r="AG48" s="142"/>
      <c r="AH48" s="142"/>
      <c r="AI48" s="142"/>
      <c r="AJ48" s="142"/>
    </row>
    <row r="49" ht="22.5" hidden="1" customHeight="1">
      <c r="A49" s="4"/>
      <c r="B49" s="4"/>
      <c r="C49" s="131"/>
      <c r="D49" s="119"/>
      <c r="E49" s="119"/>
      <c r="F49" s="119"/>
      <c r="G49" s="119"/>
      <c r="H49" s="119"/>
      <c r="I49" s="119"/>
      <c r="J49" s="121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25">
        <f t="shared" si="1"/>
        <v>0</v>
      </c>
      <c r="X49" s="119"/>
      <c r="Y49" s="119"/>
      <c r="Z49" s="127">
        <f t="shared" si="2"/>
        <v>0</v>
      </c>
      <c r="AA49" s="141"/>
      <c r="AB49" s="142"/>
      <c r="AC49" s="133">
        <f t="shared" si="4"/>
        <v>0</v>
      </c>
      <c r="AD49" s="142"/>
      <c r="AE49" s="142"/>
      <c r="AF49" s="142"/>
      <c r="AG49" s="142"/>
      <c r="AH49" s="142"/>
      <c r="AI49" s="142"/>
      <c r="AJ49" s="142"/>
    </row>
    <row r="50" ht="22.5" hidden="1" customHeight="1">
      <c r="A50" s="4"/>
      <c r="B50" s="4"/>
      <c r="C50" s="131"/>
      <c r="D50" s="119"/>
      <c r="E50" s="119"/>
      <c r="F50" s="119"/>
      <c r="G50" s="119"/>
      <c r="H50" s="119"/>
      <c r="I50" s="119"/>
      <c r="J50" s="121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25">
        <f t="shared" si="1"/>
        <v>0</v>
      </c>
      <c r="X50" s="119"/>
      <c r="Y50" s="119"/>
      <c r="Z50" s="127">
        <f t="shared" si="2"/>
        <v>0</v>
      </c>
      <c r="AA50" s="141"/>
      <c r="AB50" s="142"/>
      <c r="AC50" s="133">
        <f t="shared" si="4"/>
        <v>0</v>
      </c>
      <c r="AD50" s="142"/>
      <c r="AE50" s="142"/>
      <c r="AF50" s="142"/>
      <c r="AG50" s="142"/>
      <c r="AH50" s="142"/>
      <c r="AI50" s="142"/>
      <c r="AJ50" s="142"/>
    </row>
    <row r="51" ht="22.5" hidden="1" customHeight="1">
      <c r="A51" s="4"/>
      <c r="B51" s="4"/>
      <c r="C51" s="131"/>
      <c r="D51" s="119"/>
      <c r="E51" s="119"/>
      <c r="F51" s="119"/>
      <c r="G51" s="119"/>
      <c r="H51" s="119"/>
      <c r="I51" s="119"/>
      <c r="J51" s="121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25">
        <f t="shared" si="1"/>
        <v>0</v>
      </c>
      <c r="X51" s="119"/>
      <c r="Y51" s="119"/>
      <c r="Z51" s="127">
        <f t="shared" si="2"/>
        <v>0</v>
      </c>
      <c r="AA51" s="141"/>
      <c r="AB51" s="142"/>
      <c r="AC51" s="133">
        <f t="shared" si="4"/>
        <v>0</v>
      </c>
      <c r="AD51" s="142"/>
      <c r="AE51" s="142"/>
      <c r="AF51" s="142"/>
      <c r="AG51" s="142"/>
      <c r="AH51" s="142"/>
      <c r="AI51" s="142"/>
      <c r="AJ51" s="142"/>
    </row>
    <row r="52" ht="22.5" hidden="1" customHeight="1">
      <c r="A52" s="4"/>
      <c r="B52" s="4"/>
      <c r="C52" s="131"/>
      <c r="D52" s="119"/>
      <c r="E52" s="119"/>
      <c r="F52" s="119"/>
      <c r="G52" s="119"/>
      <c r="H52" s="119"/>
      <c r="I52" s="119"/>
      <c r="J52" s="121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25">
        <f t="shared" si="1"/>
        <v>0</v>
      </c>
      <c r="X52" s="119"/>
      <c r="Y52" s="119"/>
      <c r="Z52" s="127">
        <f t="shared" si="2"/>
        <v>0</v>
      </c>
      <c r="AA52" s="141"/>
      <c r="AB52" s="142"/>
      <c r="AC52" s="133">
        <f t="shared" si="4"/>
        <v>0</v>
      </c>
      <c r="AD52" s="142"/>
      <c r="AE52" s="142"/>
      <c r="AF52" s="142"/>
      <c r="AG52" s="142"/>
      <c r="AH52" s="142"/>
      <c r="AI52" s="142"/>
      <c r="AJ52" s="142"/>
    </row>
    <row r="53" ht="22.5" hidden="1" customHeight="1">
      <c r="A53" s="4"/>
      <c r="B53" s="4"/>
      <c r="C53" s="131"/>
      <c r="D53" s="119"/>
      <c r="E53" s="119"/>
      <c r="F53" s="119"/>
      <c r="G53" s="119"/>
      <c r="H53" s="119"/>
      <c r="I53" s="119"/>
      <c r="J53" s="121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25">
        <f t="shared" si="1"/>
        <v>0</v>
      </c>
      <c r="X53" s="119"/>
      <c r="Y53" s="119"/>
      <c r="Z53" s="127">
        <f t="shared" si="2"/>
        <v>0</v>
      </c>
      <c r="AA53" s="141"/>
      <c r="AB53" s="142"/>
      <c r="AC53" s="133">
        <f t="shared" si="4"/>
        <v>0</v>
      </c>
      <c r="AD53" s="142"/>
      <c r="AE53" s="142"/>
      <c r="AF53" s="142"/>
      <c r="AG53" s="142"/>
      <c r="AH53" s="142"/>
      <c r="AI53" s="142"/>
      <c r="AJ53" s="142"/>
    </row>
    <row r="54" ht="22.5" hidden="1" customHeight="1">
      <c r="A54" s="4"/>
      <c r="B54" s="4"/>
      <c r="C54" s="131"/>
      <c r="D54" s="119"/>
      <c r="E54" s="119"/>
      <c r="F54" s="119"/>
      <c r="G54" s="119"/>
      <c r="H54" s="119"/>
      <c r="I54" s="119"/>
      <c r="J54" s="121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25">
        <f t="shared" si="1"/>
        <v>0</v>
      </c>
      <c r="X54" s="119"/>
      <c r="Y54" s="119"/>
      <c r="Z54" s="127">
        <f t="shared" si="2"/>
        <v>0</v>
      </c>
      <c r="AA54" s="141"/>
      <c r="AB54" s="142"/>
      <c r="AC54" s="133">
        <f t="shared" si="4"/>
        <v>0</v>
      </c>
      <c r="AD54" s="142"/>
      <c r="AE54" s="142"/>
      <c r="AF54" s="142"/>
      <c r="AG54" s="142"/>
      <c r="AH54" s="142"/>
      <c r="AI54" s="142"/>
      <c r="AJ54" s="142"/>
    </row>
    <row r="55" ht="22.5" hidden="1" customHeight="1">
      <c r="A55" s="4"/>
      <c r="B55" s="4"/>
      <c r="C55" s="131"/>
      <c r="D55" s="119"/>
      <c r="E55" s="119"/>
      <c r="F55" s="119"/>
      <c r="G55" s="119"/>
      <c r="H55" s="119"/>
      <c r="I55" s="119"/>
      <c r="J55" s="121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25">
        <f t="shared" si="1"/>
        <v>0</v>
      </c>
      <c r="X55" s="119"/>
      <c r="Y55" s="119"/>
      <c r="Z55" s="127">
        <f t="shared" si="2"/>
        <v>0</v>
      </c>
      <c r="AA55" s="141"/>
      <c r="AB55" s="142"/>
      <c r="AC55" s="133">
        <f t="shared" si="4"/>
        <v>0</v>
      </c>
      <c r="AD55" s="142"/>
      <c r="AE55" s="142"/>
      <c r="AF55" s="142"/>
      <c r="AG55" s="142"/>
      <c r="AH55" s="142"/>
      <c r="AI55" s="142"/>
      <c r="AJ55" s="142"/>
    </row>
    <row r="56" ht="22.5" hidden="1" customHeight="1">
      <c r="A56" s="4"/>
      <c r="B56" s="4"/>
      <c r="C56" s="131"/>
      <c r="D56" s="119"/>
      <c r="E56" s="119"/>
      <c r="F56" s="119"/>
      <c r="G56" s="119"/>
      <c r="H56" s="119"/>
      <c r="I56" s="119"/>
      <c r="J56" s="121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25">
        <f t="shared" si="1"/>
        <v>0</v>
      </c>
      <c r="X56" s="119"/>
      <c r="Y56" s="119"/>
      <c r="Z56" s="127">
        <f t="shared" si="2"/>
        <v>0</v>
      </c>
      <c r="AA56" s="141"/>
      <c r="AB56" s="142"/>
      <c r="AC56" s="133">
        <f t="shared" si="4"/>
        <v>0</v>
      </c>
      <c r="AD56" s="142"/>
      <c r="AE56" s="142"/>
      <c r="AF56" s="142"/>
      <c r="AG56" s="142"/>
      <c r="AH56" s="142"/>
      <c r="AI56" s="142"/>
      <c r="AJ56" s="142"/>
    </row>
    <row r="57" ht="22.5" hidden="1" customHeight="1">
      <c r="A57" s="4"/>
      <c r="B57" s="4"/>
      <c r="C57" s="131"/>
      <c r="D57" s="119"/>
      <c r="E57" s="119"/>
      <c r="F57" s="119"/>
      <c r="G57" s="119"/>
      <c r="H57" s="119"/>
      <c r="I57" s="119"/>
      <c r="J57" s="121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25">
        <f t="shared" si="1"/>
        <v>0</v>
      </c>
      <c r="X57" s="119"/>
      <c r="Y57" s="119"/>
      <c r="Z57" s="127">
        <f t="shared" si="2"/>
        <v>0</v>
      </c>
      <c r="AA57" s="141"/>
      <c r="AB57" s="142"/>
      <c r="AC57" s="133">
        <f t="shared" si="4"/>
        <v>0</v>
      </c>
      <c r="AD57" s="142"/>
      <c r="AE57" s="142"/>
      <c r="AF57" s="142"/>
      <c r="AG57" s="142"/>
      <c r="AH57" s="142"/>
      <c r="AI57" s="142"/>
      <c r="AJ57" s="142"/>
    </row>
    <row r="58" ht="22.5" hidden="1" customHeight="1">
      <c r="A58" s="4"/>
      <c r="B58" s="4"/>
      <c r="C58" s="131"/>
      <c r="D58" s="119"/>
      <c r="E58" s="119"/>
      <c r="F58" s="119"/>
      <c r="G58" s="119"/>
      <c r="H58" s="119"/>
      <c r="I58" s="119"/>
      <c r="J58" s="121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25">
        <f t="shared" si="1"/>
        <v>0</v>
      </c>
      <c r="X58" s="119"/>
      <c r="Y58" s="119"/>
      <c r="Z58" s="127">
        <f t="shared" si="2"/>
        <v>0</v>
      </c>
      <c r="AA58" s="141"/>
      <c r="AB58" s="142"/>
      <c r="AC58" s="133">
        <f t="shared" si="4"/>
        <v>0</v>
      </c>
      <c r="AD58" s="142"/>
      <c r="AE58" s="142"/>
      <c r="AF58" s="142"/>
      <c r="AG58" s="142"/>
      <c r="AH58" s="142"/>
      <c r="AI58" s="142"/>
      <c r="AJ58" s="142"/>
    </row>
    <row r="59" ht="22.5" hidden="1" customHeight="1">
      <c r="A59" s="4"/>
      <c r="B59" s="4"/>
      <c r="C59" s="131"/>
      <c r="D59" s="119"/>
      <c r="E59" s="119"/>
      <c r="F59" s="119"/>
      <c r="G59" s="119"/>
      <c r="H59" s="119"/>
      <c r="I59" s="119"/>
      <c r="J59" s="121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25">
        <f t="shared" si="1"/>
        <v>0</v>
      </c>
      <c r="X59" s="119"/>
      <c r="Y59" s="119"/>
      <c r="Z59" s="127">
        <f t="shared" si="2"/>
        <v>0</v>
      </c>
      <c r="AA59" s="141"/>
      <c r="AB59" s="142"/>
      <c r="AC59" s="133">
        <f t="shared" si="4"/>
        <v>0</v>
      </c>
      <c r="AD59" s="142"/>
      <c r="AE59" s="142"/>
      <c r="AF59" s="142"/>
      <c r="AG59" s="142"/>
      <c r="AH59" s="142"/>
      <c r="AI59" s="142"/>
      <c r="AJ59" s="142"/>
    </row>
    <row r="60" ht="22.5" hidden="1" customHeight="1">
      <c r="A60" s="4"/>
      <c r="B60" s="4"/>
      <c r="C60" s="131"/>
      <c r="D60" s="119"/>
      <c r="E60" s="119"/>
      <c r="F60" s="119"/>
      <c r="G60" s="119"/>
      <c r="H60" s="119"/>
      <c r="I60" s="119"/>
      <c r="J60" s="121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25">
        <f t="shared" si="1"/>
        <v>0</v>
      </c>
      <c r="X60" s="119"/>
      <c r="Y60" s="119"/>
      <c r="Z60" s="127">
        <f t="shared" si="2"/>
        <v>0</v>
      </c>
      <c r="AA60" s="141"/>
      <c r="AB60" s="142"/>
      <c r="AC60" s="133">
        <f t="shared" si="4"/>
        <v>0</v>
      </c>
      <c r="AD60" s="142"/>
      <c r="AE60" s="142"/>
      <c r="AF60" s="142"/>
      <c r="AG60" s="142"/>
      <c r="AH60" s="142"/>
      <c r="AI60" s="142"/>
      <c r="AJ60" s="142"/>
    </row>
    <row r="61" ht="22.5" hidden="1" customHeight="1">
      <c r="A61" s="4"/>
      <c r="B61" s="4"/>
      <c r="C61" s="131"/>
      <c r="D61" s="119"/>
      <c r="E61" s="119"/>
      <c r="F61" s="119"/>
      <c r="G61" s="119"/>
      <c r="H61" s="119"/>
      <c r="I61" s="119"/>
      <c r="J61" s="121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25">
        <f t="shared" si="1"/>
        <v>0</v>
      </c>
      <c r="X61" s="119"/>
      <c r="Y61" s="119"/>
      <c r="Z61" s="127">
        <f t="shared" si="2"/>
        <v>0</v>
      </c>
      <c r="AA61" s="141"/>
      <c r="AB61" s="142"/>
      <c r="AC61" s="133">
        <f t="shared" si="4"/>
        <v>0</v>
      </c>
      <c r="AD61" s="142"/>
      <c r="AE61" s="142"/>
      <c r="AF61" s="142"/>
      <c r="AG61" s="142"/>
      <c r="AH61" s="142"/>
      <c r="AI61" s="142"/>
      <c r="AJ61" s="142"/>
    </row>
    <row r="62" ht="22.5" hidden="1" customHeight="1">
      <c r="A62" s="4"/>
      <c r="B62" s="4"/>
      <c r="C62" s="131"/>
      <c r="D62" s="119"/>
      <c r="E62" s="119"/>
      <c r="F62" s="119"/>
      <c r="G62" s="119"/>
      <c r="H62" s="119"/>
      <c r="I62" s="119"/>
      <c r="J62" s="121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25">
        <f t="shared" si="1"/>
        <v>0</v>
      </c>
      <c r="X62" s="119"/>
      <c r="Y62" s="119"/>
      <c r="Z62" s="127">
        <f t="shared" si="2"/>
        <v>0</v>
      </c>
      <c r="AA62" s="141"/>
      <c r="AB62" s="142"/>
      <c r="AC62" s="133">
        <f t="shared" si="4"/>
        <v>0</v>
      </c>
      <c r="AD62" s="142"/>
      <c r="AE62" s="142"/>
      <c r="AF62" s="142"/>
      <c r="AG62" s="142"/>
      <c r="AH62" s="142"/>
      <c r="AI62" s="142"/>
      <c r="AJ62" s="142"/>
    </row>
    <row r="63" ht="22.5" hidden="1" customHeight="1">
      <c r="A63" s="4"/>
      <c r="B63" s="4"/>
      <c r="C63" s="131"/>
      <c r="D63" s="119"/>
      <c r="E63" s="119"/>
      <c r="F63" s="119"/>
      <c r="G63" s="119"/>
      <c r="H63" s="119"/>
      <c r="I63" s="119"/>
      <c r="J63" s="121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25">
        <f t="shared" si="1"/>
        <v>0</v>
      </c>
      <c r="X63" s="119"/>
      <c r="Y63" s="119"/>
      <c r="Z63" s="127">
        <f t="shared" si="2"/>
        <v>0</v>
      </c>
      <c r="AA63" s="141"/>
      <c r="AB63" s="142"/>
      <c r="AC63" s="133">
        <f t="shared" si="4"/>
        <v>0</v>
      </c>
      <c r="AD63" s="142"/>
      <c r="AE63" s="142"/>
      <c r="AF63" s="142"/>
      <c r="AG63" s="142"/>
      <c r="AH63" s="142"/>
      <c r="AI63" s="142"/>
      <c r="AJ63" s="142"/>
    </row>
    <row r="64" ht="22.5" hidden="1" customHeight="1">
      <c r="A64" s="4"/>
      <c r="B64" s="4"/>
      <c r="C64" s="131"/>
      <c r="D64" s="119"/>
      <c r="E64" s="119"/>
      <c r="F64" s="119"/>
      <c r="G64" s="119"/>
      <c r="H64" s="119"/>
      <c r="I64" s="119"/>
      <c r="J64" s="121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25">
        <f t="shared" si="1"/>
        <v>0</v>
      </c>
      <c r="X64" s="119"/>
      <c r="Y64" s="119"/>
      <c r="Z64" s="127">
        <f t="shared" si="2"/>
        <v>0</v>
      </c>
      <c r="AA64" s="141"/>
      <c r="AB64" s="142"/>
      <c r="AC64" s="133">
        <f t="shared" si="4"/>
        <v>0</v>
      </c>
      <c r="AD64" s="142"/>
      <c r="AE64" s="142"/>
      <c r="AF64" s="142"/>
      <c r="AG64" s="142"/>
      <c r="AH64" s="142"/>
      <c r="AI64" s="142"/>
      <c r="AJ64" s="142"/>
    </row>
    <row r="65" ht="22.5" hidden="1" customHeight="1">
      <c r="A65" s="4"/>
      <c r="B65" s="4"/>
      <c r="C65" s="131"/>
      <c r="D65" s="119"/>
      <c r="E65" s="119"/>
      <c r="F65" s="119"/>
      <c r="G65" s="119"/>
      <c r="H65" s="119"/>
      <c r="I65" s="119"/>
      <c r="J65" s="121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25">
        <f t="shared" si="1"/>
        <v>0</v>
      </c>
      <c r="X65" s="119"/>
      <c r="Y65" s="119"/>
      <c r="Z65" s="127">
        <f t="shared" si="2"/>
        <v>0</v>
      </c>
      <c r="AA65" s="141"/>
      <c r="AB65" s="142"/>
      <c r="AC65" s="133">
        <f t="shared" si="4"/>
        <v>0</v>
      </c>
      <c r="AD65" s="142"/>
      <c r="AE65" s="142"/>
      <c r="AF65" s="142"/>
      <c r="AG65" s="142"/>
      <c r="AH65" s="142"/>
      <c r="AI65" s="142"/>
      <c r="AJ65" s="142"/>
    </row>
    <row r="66" ht="22.5" hidden="1" customHeight="1">
      <c r="A66" s="4"/>
      <c r="B66" s="4"/>
      <c r="C66" s="131"/>
      <c r="D66" s="119"/>
      <c r="E66" s="119"/>
      <c r="F66" s="119"/>
      <c r="G66" s="119"/>
      <c r="H66" s="119"/>
      <c r="I66" s="119"/>
      <c r="J66" s="121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25">
        <f t="shared" si="1"/>
        <v>0</v>
      </c>
      <c r="X66" s="119"/>
      <c r="Y66" s="119"/>
      <c r="Z66" s="127">
        <f t="shared" si="2"/>
        <v>0</v>
      </c>
      <c r="AA66" s="141"/>
      <c r="AB66" s="142"/>
      <c r="AC66" s="133">
        <f t="shared" si="4"/>
        <v>0</v>
      </c>
      <c r="AD66" s="142"/>
      <c r="AE66" s="142"/>
      <c r="AF66" s="142"/>
      <c r="AG66" s="142"/>
      <c r="AH66" s="142"/>
      <c r="AI66" s="142"/>
      <c r="AJ66" s="142"/>
    </row>
    <row r="67" ht="22.5" hidden="1" customHeight="1">
      <c r="A67" s="4"/>
      <c r="B67" s="4"/>
      <c r="C67" s="131"/>
      <c r="D67" s="119"/>
      <c r="E67" s="119"/>
      <c r="F67" s="119"/>
      <c r="G67" s="119"/>
      <c r="H67" s="119"/>
      <c r="I67" s="119"/>
      <c r="J67" s="121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25">
        <f t="shared" si="1"/>
        <v>0</v>
      </c>
      <c r="X67" s="119"/>
      <c r="Y67" s="119"/>
      <c r="Z67" s="127">
        <f t="shared" si="2"/>
        <v>0</v>
      </c>
      <c r="AA67" s="141"/>
      <c r="AB67" s="142"/>
      <c r="AC67" s="133">
        <f t="shared" si="4"/>
        <v>0</v>
      </c>
      <c r="AD67" s="142"/>
      <c r="AE67" s="142"/>
      <c r="AF67" s="142"/>
      <c r="AG67" s="142"/>
      <c r="AH67" s="142"/>
      <c r="AI67" s="142"/>
      <c r="AJ67" s="142"/>
    </row>
    <row r="68" ht="22.5" hidden="1" customHeight="1">
      <c r="A68" s="4"/>
      <c r="B68" s="4"/>
      <c r="C68" s="131"/>
      <c r="D68" s="119"/>
      <c r="E68" s="119"/>
      <c r="F68" s="119"/>
      <c r="G68" s="119"/>
      <c r="H68" s="119"/>
      <c r="I68" s="119"/>
      <c r="J68" s="121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25">
        <f t="shared" si="1"/>
        <v>0</v>
      </c>
      <c r="X68" s="119"/>
      <c r="Y68" s="119"/>
      <c r="Z68" s="127">
        <f t="shared" si="2"/>
        <v>0</v>
      </c>
      <c r="AA68" s="141"/>
      <c r="AB68" s="142"/>
      <c r="AC68" s="133">
        <f t="shared" si="4"/>
        <v>0</v>
      </c>
      <c r="AD68" s="142"/>
      <c r="AE68" s="142"/>
      <c r="AF68" s="142"/>
      <c r="AG68" s="142"/>
      <c r="AH68" s="142"/>
      <c r="AI68" s="142"/>
      <c r="AJ68" s="142"/>
    </row>
    <row r="69" ht="22.5" hidden="1" customHeight="1">
      <c r="A69" s="4"/>
      <c r="B69" s="4"/>
      <c r="C69" s="131"/>
      <c r="D69" s="119"/>
      <c r="E69" s="119"/>
      <c r="F69" s="119"/>
      <c r="G69" s="119"/>
      <c r="H69" s="119"/>
      <c r="I69" s="119"/>
      <c r="J69" s="121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25">
        <f t="shared" si="1"/>
        <v>0</v>
      </c>
      <c r="X69" s="119"/>
      <c r="Y69" s="119"/>
      <c r="Z69" s="127">
        <f t="shared" si="2"/>
        <v>0</v>
      </c>
      <c r="AA69" s="141"/>
      <c r="AB69" s="142"/>
      <c r="AC69" s="133">
        <f t="shared" si="4"/>
        <v>0</v>
      </c>
      <c r="AD69" s="142"/>
      <c r="AE69" s="142"/>
      <c r="AF69" s="142"/>
      <c r="AG69" s="142"/>
      <c r="AH69" s="142"/>
      <c r="AI69" s="142"/>
      <c r="AJ69" s="142"/>
    </row>
    <row r="70" ht="22.5" hidden="1" customHeight="1">
      <c r="A70" s="4"/>
      <c r="B70" s="4"/>
      <c r="C70" s="131"/>
      <c r="D70" s="119"/>
      <c r="E70" s="119"/>
      <c r="F70" s="119"/>
      <c r="G70" s="119"/>
      <c r="H70" s="119"/>
      <c r="I70" s="119"/>
      <c r="J70" s="121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25">
        <f t="shared" si="1"/>
        <v>0</v>
      </c>
      <c r="X70" s="119"/>
      <c r="Y70" s="119"/>
      <c r="Z70" s="127">
        <f t="shared" si="2"/>
        <v>0</v>
      </c>
      <c r="AA70" s="141"/>
      <c r="AB70" s="142"/>
      <c r="AC70" s="133">
        <f t="shared" si="4"/>
        <v>0</v>
      </c>
      <c r="AD70" s="142"/>
      <c r="AE70" s="142"/>
      <c r="AF70" s="142"/>
      <c r="AG70" s="142"/>
      <c r="AH70" s="142"/>
      <c r="AI70" s="142"/>
      <c r="AJ70" s="142"/>
    </row>
    <row r="71" ht="22.5" hidden="1" customHeight="1">
      <c r="A71" s="4"/>
      <c r="B71" s="4"/>
      <c r="C71" s="131"/>
      <c r="D71" s="119"/>
      <c r="E71" s="119"/>
      <c r="F71" s="119"/>
      <c r="G71" s="119"/>
      <c r="H71" s="119"/>
      <c r="I71" s="119"/>
      <c r="J71" s="121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25">
        <f t="shared" si="1"/>
        <v>0</v>
      </c>
      <c r="X71" s="119"/>
      <c r="Y71" s="119"/>
      <c r="Z71" s="127">
        <f t="shared" si="2"/>
        <v>0</v>
      </c>
      <c r="AA71" s="141"/>
      <c r="AB71" s="142"/>
      <c r="AC71" s="133">
        <f t="shared" si="4"/>
        <v>0</v>
      </c>
      <c r="AD71" s="142"/>
      <c r="AE71" s="142"/>
      <c r="AF71" s="142"/>
      <c r="AG71" s="142"/>
      <c r="AH71" s="142"/>
      <c r="AI71" s="142"/>
      <c r="AJ71" s="142"/>
    </row>
    <row r="72" ht="22.5" hidden="1" customHeight="1">
      <c r="A72" s="4"/>
      <c r="B72" s="4"/>
      <c r="C72" s="131"/>
      <c r="D72" s="119"/>
      <c r="E72" s="119"/>
      <c r="F72" s="119"/>
      <c r="G72" s="119"/>
      <c r="H72" s="119"/>
      <c r="I72" s="119"/>
      <c r="J72" s="121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25">
        <f t="shared" si="1"/>
        <v>0</v>
      </c>
      <c r="X72" s="119"/>
      <c r="Y72" s="119"/>
      <c r="Z72" s="127">
        <f t="shared" si="2"/>
        <v>0</v>
      </c>
      <c r="AA72" s="141"/>
      <c r="AB72" s="142"/>
      <c r="AC72" s="133">
        <f t="shared" si="4"/>
        <v>0</v>
      </c>
      <c r="AD72" s="142"/>
      <c r="AE72" s="142"/>
      <c r="AF72" s="142"/>
      <c r="AG72" s="142"/>
      <c r="AH72" s="142"/>
      <c r="AI72" s="142"/>
      <c r="AJ72" s="142"/>
    </row>
    <row r="73" ht="22.5" hidden="1" customHeight="1">
      <c r="A73" s="4"/>
      <c r="B73" s="4"/>
      <c r="C73" s="131"/>
      <c r="D73" s="119"/>
      <c r="E73" s="119"/>
      <c r="F73" s="119"/>
      <c r="G73" s="119"/>
      <c r="H73" s="119"/>
      <c r="I73" s="119"/>
      <c r="J73" s="121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25">
        <f t="shared" si="1"/>
        <v>0</v>
      </c>
      <c r="X73" s="119"/>
      <c r="Y73" s="119"/>
      <c r="Z73" s="127">
        <f t="shared" si="2"/>
        <v>0</v>
      </c>
      <c r="AA73" s="141"/>
      <c r="AB73" s="142"/>
      <c r="AC73" s="133">
        <f t="shared" si="4"/>
        <v>0</v>
      </c>
      <c r="AD73" s="142"/>
      <c r="AE73" s="142"/>
      <c r="AF73" s="142"/>
      <c r="AG73" s="142"/>
      <c r="AH73" s="142"/>
      <c r="AI73" s="142"/>
      <c r="AJ73" s="142"/>
    </row>
    <row r="74" ht="22.5" hidden="1" customHeight="1">
      <c r="A74" s="4"/>
      <c r="B74" s="4"/>
      <c r="C74" s="131"/>
      <c r="D74" s="119"/>
      <c r="E74" s="119"/>
      <c r="F74" s="119"/>
      <c r="G74" s="119"/>
      <c r="H74" s="119"/>
      <c r="I74" s="119"/>
      <c r="J74" s="121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25">
        <f t="shared" si="1"/>
        <v>0</v>
      </c>
      <c r="X74" s="119"/>
      <c r="Y74" s="119"/>
      <c r="Z74" s="127">
        <f t="shared" si="2"/>
        <v>0</v>
      </c>
      <c r="AA74" s="141"/>
      <c r="AB74" s="142"/>
      <c r="AC74" s="133">
        <f t="shared" si="4"/>
        <v>0</v>
      </c>
      <c r="AD74" s="142"/>
      <c r="AE74" s="142"/>
      <c r="AF74" s="142"/>
      <c r="AG74" s="142"/>
      <c r="AH74" s="142"/>
      <c r="AI74" s="142"/>
      <c r="AJ74" s="142"/>
    </row>
    <row r="75" ht="22.5" hidden="1" customHeight="1">
      <c r="A75" s="4"/>
      <c r="B75" s="4"/>
      <c r="C75" s="131"/>
      <c r="D75" s="119"/>
      <c r="E75" s="119"/>
      <c r="F75" s="119"/>
      <c r="G75" s="119"/>
      <c r="H75" s="119"/>
      <c r="I75" s="119"/>
      <c r="J75" s="121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25">
        <f t="shared" si="1"/>
        <v>0</v>
      </c>
      <c r="X75" s="119"/>
      <c r="Y75" s="119"/>
      <c r="Z75" s="127">
        <f t="shared" si="2"/>
        <v>0</v>
      </c>
      <c r="AA75" s="141"/>
      <c r="AB75" s="142"/>
      <c r="AC75" s="133">
        <f t="shared" si="4"/>
        <v>0</v>
      </c>
      <c r="AD75" s="142"/>
      <c r="AE75" s="142"/>
      <c r="AF75" s="142"/>
      <c r="AG75" s="142"/>
      <c r="AH75" s="142"/>
      <c r="AI75" s="142"/>
      <c r="AJ75" s="142"/>
    </row>
    <row r="76" ht="22.5" hidden="1" customHeight="1">
      <c r="A76" s="4"/>
      <c r="B76" s="4"/>
      <c r="C76" s="131"/>
      <c r="D76" s="119"/>
      <c r="E76" s="119"/>
      <c r="F76" s="119"/>
      <c r="G76" s="119"/>
      <c r="H76" s="119"/>
      <c r="I76" s="119"/>
      <c r="J76" s="121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25">
        <f t="shared" si="1"/>
        <v>0</v>
      </c>
      <c r="X76" s="119"/>
      <c r="Y76" s="119"/>
      <c r="Z76" s="127">
        <f t="shared" si="2"/>
        <v>0</v>
      </c>
      <c r="AA76" s="141"/>
      <c r="AB76" s="142"/>
      <c r="AC76" s="133">
        <f t="shared" si="4"/>
        <v>0</v>
      </c>
      <c r="AD76" s="142"/>
      <c r="AE76" s="142"/>
      <c r="AF76" s="142"/>
      <c r="AG76" s="142"/>
      <c r="AH76" s="142"/>
      <c r="AI76" s="142"/>
      <c r="AJ76" s="142"/>
    </row>
    <row r="77" ht="22.5" hidden="1" customHeight="1">
      <c r="A77" s="4"/>
      <c r="B77" s="4"/>
      <c r="C77" s="131"/>
      <c r="D77" s="119"/>
      <c r="E77" s="119"/>
      <c r="F77" s="119"/>
      <c r="G77" s="119"/>
      <c r="H77" s="119"/>
      <c r="I77" s="119"/>
      <c r="J77" s="121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25">
        <f t="shared" si="1"/>
        <v>0</v>
      </c>
      <c r="X77" s="119"/>
      <c r="Y77" s="119"/>
      <c r="Z77" s="127">
        <f t="shared" si="2"/>
        <v>0</v>
      </c>
      <c r="AA77" s="141"/>
      <c r="AB77" s="142"/>
      <c r="AC77" s="133">
        <f t="shared" si="4"/>
        <v>0</v>
      </c>
      <c r="AD77" s="142"/>
      <c r="AE77" s="142"/>
      <c r="AF77" s="142"/>
      <c r="AG77" s="142"/>
      <c r="AH77" s="142"/>
      <c r="AI77" s="142"/>
      <c r="AJ77" s="142"/>
    </row>
    <row r="78" ht="22.5" hidden="1" customHeight="1">
      <c r="A78" s="4"/>
      <c r="B78" s="4"/>
      <c r="C78" s="131"/>
      <c r="D78" s="119"/>
      <c r="E78" s="119"/>
      <c r="F78" s="119"/>
      <c r="G78" s="119"/>
      <c r="H78" s="119"/>
      <c r="I78" s="119"/>
      <c r="J78" s="121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25">
        <f t="shared" si="1"/>
        <v>0</v>
      </c>
      <c r="X78" s="119"/>
      <c r="Y78" s="119"/>
      <c r="Z78" s="127">
        <f t="shared" si="2"/>
        <v>0</v>
      </c>
      <c r="AA78" s="141"/>
      <c r="AB78" s="142"/>
      <c r="AC78" s="133">
        <f t="shared" si="4"/>
        <v>0</v>
      </c>
      <c r="AD78" s="142"/>
      <c r="AE78" s="142"/>
      <c r="AF78" s="142"/>
      <c r="AG78" s="142"/>
      <c r="AH78" s="142"/>
      <c r="AI78" s="142"/>
      <c r="AJ78" s="142"/>
    </row>
    <row r="79" ht="22.5" hidden="1" customHeight="1">
      <c r="A79" s="4"/>
      <c r="B79" s="4"/>
      <c r="C79" s="131"/>
      <c r="D79" s="119"/>
      <c r="E79" s="119"/>
      <c r="F79" s="119"/>
      <c r="G79" s="119"/>
      <c r="H79" s="119"/>
      <c r="I79" s="119"/>
      <c r="J79" s="121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25">
        <f t="shared" si="1"/>
        <v>0</v>
      </c>
      <c r="X79" s="119"/>
      <c r="Y79" s="119"/>
      <c r="Z79" s="127">
        <f t="shared" si="2"/>
        <v>0</v>
      </c>
      <c r="AA79" s="141"/>
      <c r="AB79" s="142"/>
      <c r="AC79" s="133">
        <f t="shared" si="4"/>
        <v>0</v>
      </c>
      <c r="AD79" s="142"/>
      <c r="AE79" s="142"/>
      <c r="AF79" s="142"/>
      <c r="AG79" s="142"/>
      <c r="AH79" s="142"/>
      <c r="AI79" s="142"/>
      <c r="AJ79" s="142"/>
    </row>
    <row r="80" ht="22.5" hidden="1" customHeight="1">
      <c r="A80" s="4"/>
      <c r="B80" s="4"/>
      <c r="C80" s="131"/>
      <c r="D80" s="119"/>
      <c r="E80" s="119"/>
      <c r="F80" s="119"/>
      <c r="G80" s="119"/>
      <c r="H80" s="119"/>
      <c r="I80" s="119"/>
      <c r="J80" s="121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25">
        <f t="shared" si="1"/>
        <v>0</v>
      </c>
      <c r="X80" s="119"/>
      <c r="Y80" s="119"/>
      <c r="Z80" s="127">
        <f t="shared" si="2"/>
        <v>0</v>
      </c>
      <c r="AA80" s="141"/>
      <c r="AB80" s="142"/>
      <c r="AC80" s="133">
        <f t="shared" si="4"/>
        <v>0</v>
      </c>
      <c r="AD80" s="142"/>
      <c r="AE80" s="142"/>
      <c r="AF80" s="142"/>
      <c r="AG80" s="142"/>
      <c r="AH80" s="142"/>
      <c r="AI80" s="142"/>
      <c r="AJ80" s="142"/>
    </row>
    <row r="81" ht="22.5" hidden="1" customHeight="1">
      <c r="A81" s="4"/>
      <c r="B81" s="4"/>
      <c r="C81" s="131"/>
      <c r="D81" s="119"/>
      <c r="E81" s="119"/>
      <c r="F81" s="119"/>
      <c r="G81" s="119"/>
      <c r="H81" s="119"/>
      <c r="I81" s="119"/>
      <c r="J81" s="121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25">
        <f t="shared" si="1"/>
        <v>0</v>
      </c>
      <c r="X81" s="119"/>
      <c r="Y81" s="119"/>
      <c r="Z81" s="127">
        <f t="shared" si="2"/>
        <v>0</v>
      </c>
      <c r="AA81" s="141"/>
      <c r="AB81" s="142"/>
      <c r="AC81" s="133">
        <f t="shared" si="4"/>
        <v>0</v>
      </c>
      <c r="AD81" s="142"/>
      <c r="AE81" s="142"/>
      <c r="AF81" s="142"/>
      <c r="AG81" s="142"/>
      <c r="AH81" s="142"/>
      <c r="AI81" s="142"/>
      <c r="AJ81" s="142"/>
    </row>
    <row r="82" ht="22.5" hidden="1" customHeight="1">
      <c r="A82" s="4"/>
      <c r="B82" s="4"/>
      <c r="C82" s="131"/>
      <c r="D82" s="119"/>
      <c r="E82" s="119"/>
      <c r="F82" s="119"/>
      <c r="G82" s="119"/>
      <c r="H82" s="119"/>
      <c r="I82" s="119"/>
      <c r="J82" s="121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25">
        <f t="shared" si="1"/>
        <v>0</v>
      </c>
      <c r="X82" s="119"/>
      <c r="Y82" s="119"/>
      <c r="Z82" s="127">
        <f t="shared" si="2"/>
        <v>0</v>
      </c>
      <c r="AA82" s="141"/>
      <c r="AB82" s="142"/>
      <c r="AC82" s="133">
        <f t="shared" si="4"/>
        <v>0</v>
      </c>
      <c r="AD82" s="142"/>
      <c r="AE82" s="142"/>
      <c r="AF82" s="142"/>
      <c r="AG82" s="142"/>
      <c r="AH82" s="142"/>
      <c r="AI82" s="142"/>
      <c r="AJ82" s="142"/>
    </row>
    <row r="83" ht="22.5" hidden="1" customHeight="1">
      <c r="A83" s="4"/>
      <c r="B83" s="4"/>
      <c r="C83" s="131"/>
      <c r="D83" s="119"/>
      <c r="E83" s="119"/>
      <c r="F83" s="119"/>
      <c r="G83" s="119"/>
      <c r="H83" s="119"/>
      <c r="I83" s="119"/>
      <c r="J83" s="121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25">
        <f t="shared" si="1"/>
        <v>0</v>
      </c>
      <c r="X83" s="119"/>
      <c r="Y83" s="119"/>
      <c r="Z83" s="127">
        <f t="shared" si="2"/>
        <v>0</v>
      </c>
      <c r="AA83" s="141"/>
      <c r="AB83" s="142"/>
      <c r="AC83" s="133">
        <f t="shared" si="4"/>
        <v>0</v>
      </c>
      <c r="AD83" s="142"/>
      <c r="AE83" s="142"/>
      <c r="AF83" s="142"/>
      <c r="AG83" s="142"/>
      <c r="AH83" s="142"/>
      <c r="AI83" s="142"/>
      <c r="AJ83" s="142"/>
    </row>
    <row r="84" ht="22.5" hidden="1" customHeight="1">
      <c r="A84" s="4"/>
      <c r="B84" s="4"/>
      <c r="C84" s="131"/>
      <c r="D84" s="119"/>
      <c r="E84" s="119"/>
      <c r="F84" s="119"/>
      <c r="G84" s="119"/>
      <c r="H84" s="119"/>
      <c r="I84" s="119"/>
      <c r="J84" s="121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25">
        <f t="shared" si="1"/>
        <v>0</v>
      </c>
      <c r="X84" s="119"/>
      <c r="Y84" s="119"/>
      <c r="Z84" s="127">
        <f t="shared" si="2"/>
        <v>0</v>
      </c>
      <c r="AA84" s="141"/>
      <c r="AB84" s="142"/>
      <c r="AC84" s="133">
        <f t="shared" si="4"/>
        <v>0</v>
      </c>
      <c r="AD84" s="142"/>
      <c r="AE84" s="142"/>
      <c r="AF84" s="142"/>
      <c r="AG84" s="142"/>
      <c r="AH84" s="142"/>
      <c r="AI84" s="142"/>
      <c r="AJ84" s="142"/>
    </row>
    <row r="85" ht="22.5" hidden="1" customHeight="1">
      <c r="A85" s="4"/>
      <c r="B85" s="4"/>
      <c r="C85" s="131"/>
      <c r="D85" s="119"/>
      <c r="E85" s="119"/>
      <c r="F85" s="119"/>
      <c r="G85" s="119"/>
      <c r="H85" s="119"/>
      <c r="I85" s="119"/>
      <c r="J85" s="121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25">
        <f t="shared" si="1"/>
        <v>0</v>
      </c>
      <c r="X85" s="119"/>
      <c r="Y85" s="119"/>
      <c r="Z85" s="127">
        <f t="shared" si="2"/>
        <v>0</v>
      </c>
      <c r="AA85" s="141"/>
      <c r="AB85" s="142"/>
      <c r="AC85" s="133">
        <f t="shared" si="4"/>
        <v>0</v>
      </c>
      <c r="AD85" s="142"/>
      <c r="AE85" s="142"/>
      <c r="AF85" s="142"/>
      <c r="AG85" s="142"/>
      <c r="AH85" s="142"/>
      <c r="AI85" s="142"/>
      <c r="AJ85" s="142"/>
    </row>
    <row r="86" ht="22.5" hidden="1" customHeight="1">
      <c r="A86" s="4"/>
      <c r="B86" s="4"/>
      <c r="C86" s="131"/>
      <c r="D86" s="119"/>
      <c r="E86" s="119"/>
      <c r="F86" s="119"/>
      <c r="G86" s="119"/>
      <c r="H86" s="119"/>
      <c r="I86" s="119"/>
      <c r="J86" s="121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25">
        <f t="shared" si="1"/>
        <v>0</v>
      </c>
      <c r="X86" s="119"/>
      <c r="Y86" s="119"/>
      <c r="Z86" s="127">
        <f t="shared" si="2"/>
        <v>0</v>
      </c>
      <c r="AA86" s="141"/>
      <c r="AB86" s="142"/>
      <c r="AC86" s="133">
        <f t="shared" si="4"/>
        <v>0</v>
      </c>
      <c r="AD86" s="142"/>
      <c r="AE86" s="142"/>
      <c r="AF86" s="142"/>
      <c r="AG86" s="142"/>
      <c r="AH86" s="142"/>
      <c r="AI86" s="142"/>
      <c r="AJ86" s="142"/>
    </row>
    <row r="87" ht="22.5" hidden="1" customHeight="1">
      <c r="A87" s="4"/>
      <c r="B87" s="4"/>
      <c r="C87" s="131"/>
      <c r="D87" s="119"/>
      <c r="E87" s="119"/>
      <c r="F87" s="119"/>
      <c r="G87" s="119"/>
      <c r="H87" s="119"/>
      <c r="I87" s="119"/>
      <c r="J87" s="121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25">
        <f t="shared" si="1"/>
        <v>0</v>
      </c>
      <c r="X87" s="119"/>
      <c r="Y87" s="119"/>
      <c r="Z87" s="127">
        <f t="shared" si="2"/>
        <v>0</v>
      </c>
      <c r="AA87" s="141"/>
      <c r="AB87" s="142"/>
      <c r="AC87" s="133">
        <f t="shared" si="4"/>
        <v>0</v>
      </c>
      <c r="AD87" s="142"/>
      <c r="AE87" s="142"/>
      <c r="AF87" s="142"/>
      <c r="AG87" s="142"/>
      <c r="AH87" s="142"/>
      <c r="AI87" s="142"/>
      <c r="AJ87" s="142"/>
    </row>
    <row r="88" ht="22.5" hidden="1" customHeight="1">
      <c r="A88" s="4"/>
      <c r="B88" s="4"/>
      <c r="C88" s="131"/>
      <c r="D88" s="119"/>
      <c r="E88" s="119"/>
      <c r="F88" s="119"/>
      <c r="G88" s="119"/>
      <c r="H88" s="119"/>
      <c r="I88" s="119"/>
      <c r="J88" s="121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25">
        <f t="shared" si="1"/>
        <v>0</v>
      </c>
      <c r="X88" s="119"/>
      <c r="Y88" s="119"/>
      <c r="Z88" s="127">
        <f t="shared" si="2"/>
        <v>0</v>
      </c>
      <c r="AA88" s="141"/>
      <c r="AB88" s="142"/>
      <c r="AC88" s="133">
        <f t="shared" si="4"/>
        <v>0</v>
      </c>
      <c r="AD88" s="142"/>
      <c r="AE88" s="142"/>
      <c r="AF88" s="142"/>
      <c r="AG88" s="142"/>
      <c r="AH88" s="142"/>
      <c r="AI88" s="142"/>
      <c r="AJ88" s="142"/>
    </row>
    <row r="89" ht="22.5" hidden="1" customHeight="1">
      <c r="A89" s="4"/>
      <c r="B89" s="4"/>
      <c r="C89" s="131"/>
      <c r="D89" s="119"/>
      <c r="E89" s="119"/>
      <c r="F89" s="119"/>
      <c r="G89" s="119"/>
      <c r="H89" s="119"/>
      <c r="I89" s="119"/>
      <c r="J89" s="121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25">
        <f t="shared" si="1"/>
        <v>0</v>
      </c>
      <c r="X89" s="119"/>
      <c r="Y89" s="119"/>
      <c r="Z89" s="127">
        <f t="shared" si="2"/>
        <v>0</v>
      </c>
      <c r="AA89" s="141"/>
      <c r="AB89" s="142"/>
      <c r="AC89" s="133">
        <f t="shared" si="4"/>
        <v>0</v>
      </c>
      <c r="AD89" s="142"/>
      <c r="AE89" s="142"/>
      <c r="AF89" s="142"/>
      <c r="AG89" s="142"/>
      <c r="AH89" s="142"/>
      <c r="AI89" s="142"/>
      <c r="AJ89" s="142"/>
    </row>
    <row r="90" ht="22.5" hidden="1" customHeight="1">
      <c r="A90" s="4"/>
      <c r="B90" s="4"/>
      <c r="C90" s="131"/>
      <c r="D90" s="119"/>
      <c r="E90" s="119"/>
      <c r="F90" s="119"/>
      <c r="G90" s="119"/>
      <c r="H90" s="119"/>
      <c r="I90" s="119"/>
      <c r="J90" s="121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25">
        <f t="shared" si="1"/>
        <v>0</v>
      </c>
      <c r="X90" s="119"/>
      <c r="Y90" s="119"/>
      <c r="Z90" s="127">
        <f t="shared" si="2"/>
        <v>0</v>
      </c>
      <c r="AA90" s="141"/>
      <c r="AB90" s="142"/>
      <c r="AC90" s="133">
        <f t="shared" si="4"/>
        <v>0</v>
      </c>
      <c r="AD90" s="142"/>
      <c r="AE90" s="142"/>
      <c r="AF90" s="142"/>
      <c r="AG90" s="142"/>
      <c r="AH90" s="142"/>
      <c r="AI90" s="142"/>
      <c r="AJ90" s="142"/>
    </row>
    <row r="91" ht="22.5" hidden="1" customHeight="1">
      <c r="A91" s="4"/>
      <c r="B91" s="4"/>
      <c r="C91" s="131"/>
      <c r="D91" s="119"/>
      <c r="E91" s="119"/>
      <c r="F91" s="119"/>
      <c r="G91" s="119"/>
      <c r="H91" s="119"/>
      <c r="I91" s="119"/>
      <c r="J91" s="121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25">
        <f t="shared" si="1"/>
        <v>0</v>
      </c>
      <c r="X91" s="119"/>
      <c r="Y91" s="119"/>
      <c r="Z91" s="127">
        <f t="shared" si="2"/>
        <v>0</v>
      </c>
      <c r="AA91" s="141"/>
      <c r="AB91" s="142"/>
      <c r="AC91" s="133">
        <f t="shared" si="4"/>
        <v>0</v>
      </c>
      <c r="AD91" s="142"/>
      <c r="AE91" s="142"/>
      <c r="AF91" s="142"/>
      <c r="AG91" s="142"/>
      <c r="AH91" s="142"/>
      <c r="AI91" s="142"/>
      <c r="AJ91" s="142"/>
    </row>
    <row r="92" ht="22.5" hidden="1" customHeight="1">
      <c r="A92" s="4"/>
      <c r="B92" s="4"/>
      <c r="C92" s="131"/>
      <c r="D92" s="119"/>
      <c r="E92" s="119"/>
      <c r="F92" s="119"/>
      <c r="G92" s="119"/>
      <c r="H92" s="119"/>
      <c r="I92" s="119"/>
      <c r="J92" s="121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25">
        <f t="shared" si="1"/>
        <v>0</v>
      </c>
      <c r="X92" s="119"/>
      <c r="Y92" s="119"/>
      <c r="Z92" s="127">
        <f t="shared" si="2"/>
        <v>0</v>
      </c>
      <c r="AA92" s="141"/>
      <c r="AB92" s="142"/>
      <c r="AC92" s="133">
        <f t="shared" si="4"/>
        <v>0</v>
      </c>
      <c r="AD92" s="142"/>
      <c r="AE92" s="142"/>
      <c r="AF92" s="142"/>
      <c r="AG92" s="142"/>
      <c r="AH92" s="142"/>
      <c r="AI92" s="142"/>
      <c r="AJ92" s="142"/>
    </row>
    <row r="93" ht="22.5" hidden="1" customHeight="1">
      <c r="A93" s="4"/>
      <c r="B93" s="4"/>
      <c r="C93" s="131"/>
      <c r="D93" s="119"/>
      <c r="E93" s="119"/>
      <c r="F93" s="119"/>
      <c r="G93" s="119"/>
      <c r="H93" s="119"/>
      <c r="I93" s="119"/>
      <c r="J93" s="121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25">
        <f t="shared" si="1"/>
        <v>0</v>
      </c>
      <c r="X93" s="119"/>
      <c r="Y93" s="119"/>
      <c r="Z93" s="127">
        <f t="shared" si="2"/>
        <v>0</v>
      </c>
      <c r="AA93" s="141"/>
      <c r="AB93" s="142"/>
      <c r="AC93" s="133">
        <f t="shared" si="4"/>
        <v>0</v>
      </c>
      <c r="AD93" s="142"/>
      <c r="AE93" s="142"/>
      <c r="AF93" s="142"/>
      <c r="AG93" s="142"/>
      <c r="AH93" s="142"/>
      <c r="AI93" s="142"/>
      <c r="AJ93" s="142"/>
    </row>
    <row r="94" ht="22.5" hidden="1" customHeight="1">
      <c r="A94" s="4"/>
      <c r="B94" s="4"/>
      <c r="C94" s="131"/>
      <c r="D94" s="119"/>
      <c r="E94" s="119"/>
      <c r="F94" s="119"/>
      <c r="G94" s="119"/>
      <c r="H94" s="119"/>
      <c r="I94" s="119"/>
      <c r="J94" s="121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25">
        <f t="shared" si="1"/>
        <v>0</v>
      </c>
      <c r="X94" s="119"/>
      <c r="Y94" s="119"/>
      <c r="Z94" s="127">
        <f t="shared" si="2"/>
        <v>0</v>
      </c>
      <c r="AA94" s="141"/>
      <c r="AB94" s="142"/>
      <c r="AC94" s="133">
        <f t="shared" si="4"/>
        <v>0</v>
      </c>
      <c r="AD94" s="142"/>
      <c r="AE94" s="142"/>
      <c r="AF94" s="142"/>
      <c r="AG94" s="142"/>
      <c r="AH94" s="142"/>
      <c r="AI94" s="142"/>
      <c r="AJ94" s="142"/>
    </row>
    <row r="95" ht="22.5" hidden="1" customHeight="1">
      <c r="A95" s="4"/>
      <c r="B95" s="4"/>
      <c r="C95" s="131"/>
      <c r="D95" s="119"/>
      <c r="E95" s="119"/>
      <c r="F95" s="119"/>
      <c r="G95" s="119"/>
      <c r="H95" s="119"/>
      <c r="I95" s="119"/>
      <c r="J95" s="121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25">
        <f t="shared" si="1"/>
        <v>0</v>
      </c>
      <c r="X95" s="119"/>
      <c r="Y95" s="119"/>
      <c r="Z95" s="127">
        <f t="shared" si="2"/>
        <v>0</v>
      </c>
      <c r="AA95" s="141"/>
      <c r="AB95" s="142"/>
      <c r="AC95" s="133">
        <f t="shared" si="4"/>
        <v>0</v>
      </c>
      <c r="AD95" s="142"/>
      <c r="AE95" s="142"/>
      <c r="AF95" s="142"/>
      <c r="AG95" s="142"/>
      <c r="AH95" s="142"/>
      <c r="AI95" s="142"/>
      <c r="AJ95" s="142"/>
    </row>
    <row r="96" ht="22.5" hidden="1" customHeight="1">
      <c r="A96" s="4"/>
      <c r="B96" s="4"/>
      <c r="C96" s="131"/>
      <c r="D96" s="119"/>
      <c r="E96" s="119"/>
      <c r="F96" s="119"/>
      <c r="G96" s="119"/>
      <c r="H96" s="119"/>
      <c r="I96" s="119"/>
      <c r="J96" s="121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25">
        <f t="shared" si="1"/>
        <v>0</v>
      </c>
      <c r="X96" s="119"/>
      <c r="Y96" s="119"/>
      <c r="Z96" s="127">
        <f t="shared" si="2"/>
        <v>0</v>
      </c>
      <c r="AA96" s="141"/>
      <c r="AB96" s="142"/>
      <c r="AC96" s="133">
        <f t="shared" si="4"/>
        <v>0</v>
      </c>
      <c r="AD96" s="142"/>
      <c r="AE96" s="142"/>
      <c r="AF96" s="142"/>
      <c r="AG96" s="142"/>
      <c r="AH96" s="142"/>
      <c r="AI96" s="142"/>
      <c r="AJ96" s="142"/>
    </row>
    <row r="97" ht="22.5" hidden="1" customHeight="1">
      <c r="A97" s="4"/>
      <c r="B97" s="4"/>
      <c r="C97" s="131"/>
      <c r="D97" s="119"/>
      <c r="E97" s="119"/>
      <c r="F97" s="119"/>
      <c r="G97" s="119"/>
      <c r="H97" s="119"/>
      <c r="I97" s="119"/>
      <c r="J97" s="121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25">
        <f t="shared" si="1"/>
        <v>0</v>
      </c>
      <c r="X97" s="119"/>
      <c r="Y97" s="119"/>
      <c r="Z97" s="127">
        <f t="shared" si="2"/>
        <v>0</v>
      </c>
      <c r="AA97" s="141"/>
      <c r="AB97" s="142"/>
      <c r="AC97" s="133">
        <f t="shared" si="4"/>
        <v>0</v>
      </c>
      <c r="AD97" s="142"/>
      <c r="AE97" s="142"/>
      <c r="AF97" s="142"/>
      <c r="AG97" s="142"/>
      <c r="AH97" s="142"/>
      <c r="AI97" s="142"/>
      <c r="AJ97" s="142"/>
    </row>
    <row r="98" ht="22.5" hidden="1" customHeight="1">
      <c r="A98" s="4"/>
      <c r="B98" s="4"/>
      <c r="C98" s="131"/>
      <c r="D98" s="119"/>
      <c r="E98" s="119"/>
      <c r="F98" s="119"/>
      <c r="G98" s="119"/>
      <c r="H98" s="119"/>
      <c r="I98" s="119"/>
      <c r="J98" s="121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25">
        <f t="shared" si="1"/>
        <v>0</v>
      </c>
      <c r="X98" s="119"/>
      <c r="Y98" s="119"/>
      <c r="Z98" s="127">
        <f t="shared" si="2"/>
        <v>0</v>
      </c>
      <c r="AA98" s="141"/>
      <c r="AB98" s="142"/>
      <c r="AC98" s="133">
        <f t="shared" si="4"/>
        <v>0</v>
      </c>
      <c r="AD98" s="142"/>
      <c r="AE98" s="142"/>
      <c r="AF98" s="142"/>
      <c r="AG98" s="142"/>
      <c r="AH98" s="142"/>
      <c r="AI98" s="142"/>
      <c r="AJ98" s="142"/>
    </row>
    <row r="99" ht="22.5" hidden="1" customHeight="1">
      <c r="A99" s="4"/>
      <c r="B99" s="4"/>
      <c r="C99" s="131"/>
      <c r="D99" s="119"/>
      <c r="E99" s="119"/>
      <c r="F99" s="119"/>
      <c r="G99" s="119"/>
      <c r="H99" s="119"/>
      <c r="I99" s="119"/>
      <c r="J99" s="121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25">
        <f t="shared" si="1"/>
        <v>0</v>
      </c>
      <c r="X99" s="119"/>
      <c r="Y99" s="119"/>
      <c r="Z99" s="127">
        <f t="shared" si="2"/>
        <v>0</v>
      </c>
      <c r="AA99" s="141"/>
      <c r="AB99" s="142"/>
      <c r="AC99" s="133">
        <f t="shared" si="4"/>
        <v>0</v>
      </c>
      <c r="AD99" s="142"/>
      <c r="AE99" s="142"/>
      <c r="AF99" s="142"/>
      <c r="AG99" s="142"/>
      <c r="AH99" s="142"/>
      <c r="AI99" s="142"/>
      <c r="AJ99" s="142"/>
    </row>
    <row r="100" ht="22.5" hidden="1" customHeight="1">
      <c r="A100" s="4"/>
      <c r="B100" s="4"/>
      <c r="C100" s="131"/>
      <c r="D100" s="119"/>
      <c r="E100" s="119"/>
      <c r="F100" s="119"/>
      <c r="G100" s="119"/>
      <c r="H100" s="119"/>
      <c r="I100" s="119"/>
      <c r="J100" s="121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25">
        <f t="shared" si="1"/>
        <v>0</v>
      </c>
      <c r="X100" s="119"/>
      <c r="Y100" s="119"/>
      <c r="Z100" s="127">
        <f t="shared" si="2"/>
        <v>0</v>
      </c>
      <c r="AA100" s="141"/>
      <c r="AB100" s="142"/>
      <c r="AC100" s="133">
        <f t="shared" si="4"/>
        <v>0</v>
      </c>
      <c r="AD100" s="142"/>
      <c r="AE100" s="142"/>
      <c r="AF100" s="142"/>
      <c r="AG100" s="142"/>
      <c r="AH100" s="142"/>
      <c r="AI100" s="142"/>
      <c r="AJ100" s="142"/>
    </row>
    <row r="101" ht="22.5" hidden="1" customHeight="1">
      <c r="A101" s="4"/>
      <c r="B101" s="4"/>
      <c r="C101" s="131"/>
      <c r="D101" s="119"/>
      <c r="E101" s="119"/>
      <c r="F101" s="119"/>
      <c r="G101" s="119"/>
      <c r="H101" s="119"/>
      <c r="I101" s="119"/>
      <c r="J101" s="121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25">
        <f t="shared" si="1"/>
        <v>0</v>
      </c>
      <c r="X101" s="119"/>
      <c r="Y101" s="119"/>
      <c r="Z101" s="127">
        <f t="shared" si="2"/>
        <v>0</v>
      </c>
      <c r="AA101" s="141"/>
      <c r="AB101" s="142"/>
      <c r="AC101" s="133">
        <f t="shared" si="4"/>
        <v>0</v>
      </c>
      <c r="AD101" s="142"/>
      <c r="AE101" s="142"/>
      <c r="AF101" s="142"/>
      <c r="AG101" s="142"/>
      <c r="AH101" s="142"/>
      <c r="AI101" s="142"/>
      <c r="AJ101" s="142"/>
    </row>
    <row r="102" ht="22.5" hidden="1" customHeight="1">
      <c r="A102" s="4"/>
      <c r="B102" s="4"/>
      <c r="C102" s="131"/>
      <c r="D102" s="119"/>
      <c r="E102" s="119"/>
      <c r="F102" s="119"/>
      <c r="G102" s="119"/>
      <c r="H102" s="119"/>
      <c r="I102" s="119"/>
      <c r="J102" s="121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25">
        <f t="shared" si="1"/>
        <v>0</v>
      </c>
      <c r="X102" s="119"/>
      <c r="Y102" s="119"/>
      <c r="Z102" s="127">
        <f t="shared" si="2"/>
        <v>0</v>
      </c>
      <c r="AA102" s="141"/>
      <c r="AB102" s="142"/>
      <c r="AC102" s="133">
        <f t="shared" si="4"/>
        <v>0</v>
      </c>
      <c r="AD102" s="142"/>
      <c r="AE102" s="142"/>
      <c r="AF102" s="142"/>
      <c r="AG102" s="142"/>
      <c r="AH102" s="142"/>
      <c r="AI102" s="142"/>
      <c r="AJ102" s="142"/>
    </row>
    <row r="103" ht="22.5" hidden="1" customHeight="1">
      <c r="A103" s="4"/>
      <c r="B103" s="4"/>
      <c r="C103" s="131"/>
      <c r="D103" s="119"/>
      <c r="E103" s="119"/>
      <c r="F103" s="119"/>
      <c r="G103" s="119"/>
      <c r="H103" s="119"/>
      <c r="I103" s="119"/>
      <c r="J103" s="121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25">
        <f t="shared" si="1"/>
        <v>0</v>
      </c>
      <c r="X103" s="119"/>
      <c r="Y103" s="119"/>
      <c r="Z103" s="127">
        <f t="shared" si="2"/>
        <v>0</v>
      </c>
      <c r="AA103" s="141"/>
      <c r="AB103" s="142"/>
      <c r="AC103" s="133">
        <f t="shared" si="4"/>
        <v>0</v>
      </c>
      <c r="AD103" s="142"/>
      <c r="AE103" s="142"/>
      <c r="AF103" s="142"/>
      <c r="AG103" s="142"/>
      <c r="AH103" s="142"/>
      <c r="AI103" s="142"/>
      <c r="AJ103" s="142"/>
    </row>
    <row r="104" ht="22.5" hidden="1" customHeight="1">
      <c r="A104" s="4"/>
      <c r="B104" s="4"/>
      <c r="C104" s="131"/>
      <c r="D104" s="119"/>
      <c r="E104" s="119"/>
      <c r="F104" s="119"/>
      <c r="G104" s="119"/>
      <c r="H104" s="119"/>
      <c r="I104" s="119"/>
      <c r="J104" s="121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25">
        <f t="shared" si="1"/>
        <v>0</v>
      </c>
      <c r="X104" s="119"/>
      <c r="Y104" s="119"/>
      <c r="Z104" s="127">
        <f t="shared" si="2"/>
        <v>0</v>
      </c>
      <c r="AA104" s="141"/>
      <c r="AB104" s="142"/>
      <c r="AC104" s="133">
        <f t="shared" si="4"/>
        <v>0</v>
      </c>
      <c r="AD104" s="142"/>
      <c r="AE104" s="142"/>
      <c r="AF104" s="142"/>
      <c r="AG104" s="142"/>
      <c r="AH104" s="142"/>
      <c r="AI104" s="142"/>
      <c r="AJ104" s="142"/>
    </row>
    <row r="105" ht="22.5" hidden="1" customHeight="1">
      <c r="A105" s="4"/>
      <c r="B105" s="4"/>
      <c r="C105" s="131"/>
      <c r="D105" s="119"/>
      <c r="E105" s="119"/>
      <c r="F105" s="119"/>
      <c r="G105" s="119"/>
      <c r="H105" s="119"/>
      <c r="I105" s="119"/>
      <c r="J105" s="121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25">
        <f t="shared" si="1"/>
        <v>0</v>
      </c>
      <c r="X105" s="119"/>
      <c r="Y105" s="119"/>
      <c r="Z105" s="127">
        <f t="shared" si="2"/>
        <v>0</v>
      </c>
      <c r="AA105" s="141"/>
      <c r="AB105" s="142"/>
      <c r="AC105" s="133">
        <f t="shared" si="4"/>
        <v>0</v>
      </c>
      <c r="AD105" s="142"/>
      <c r="AE105" s="142"/>
      <c r="AF105" s="142"/>
      <c r="AG105" s="142"/>
      <c r="AH105" s="142"/>
      <c r="AI105" s="142"/>
      <c r="AJ105" s="142"/>
    </row>
    <row r="106" ht="22.5" hidden="1" customHeight="1">
      <c r="A106" s="4"/>
      <c r="B106" s="4"/>
      <c r="C106" s="131"/>
      <c r="D106" s="119"/>
      <c r="E106" s="119"/>
      <c r="F106" s="119"/>
      <c r="G106" s="119"/>
      <c r="H106" s="119"/>
      <c r="I106" s="119"/>
      <c r="J106" s="121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25">
        <f t="shared" si="1"/>
        <v>0</v>
      </c>
      <c r="X106" s="119"/>
      <c r="Y106" s="119"/>
      <c r="Z106" s="127">
        <f t="shared" si="2"/>
        <v>0</v>
      </c>
      <c r="AA106" s="141"/>
      <c r="AB106" s="142"/>
      <c r="AC106" s="133">
        <f t="shared" si="4"/>
        <v>0</v>
      </c>
      <c r="AD106" s="142"/>
      <c r="AE106" s="142"/>
      <c r="AF106" s="142"/>
      <c r="AG106" s="142"/>
      <c r="AH106" s="142"/>
      <c r="AI106" s="142"/>
      <c r="AJ106" s="142"/>
    </row>
    <row r="107" ht="22.5" hidden="1" customHeight="1">
      <c r="A107" s="4"/>
      <c r="B107" s="4"/>
      <c r="C107" s="131"/>
      <c r="D107" s="119"/>
      <c r="E107" s="119"/>
      <c r="F107" s="119"/>
      <c r="G107" s="119"/>
      <c r="H107" s="119"/>
      <c r="I107" s="119"/>
      <c r="J107" s="121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25">
        <f t="shared" si="1"/>
        <v>0</v>
      </c>
      <c r="X107" s="119"/>
      <c r="Y107" s="119"/>
      <c r="Z107" s="127">
        <f t="shared" si="2"/>
        <v>0</v>
      </c>
      <c r="AA107" s="141"/>
      <c r="AB107" s="142"/>
      <c r="AC107" s="133">
        <f t="shared" si="4"/>
        <v>0</v>
      </c>
      <c r="AD107" s="142"/>
      <c r="AE107" s="142"/>
      <c r="AF107" s="142"/>
      <c r="AG107" s="142"/>
      <c r="AH107" s="142"/>
      <c r="AI107" s="142"/>
      <c r="AJ107" s="142"/>
    </row>
    <row r="108" ht="22.5" hidden="1" customHeight="1">
      <c r="A108" s="4"/>
      <c r="B108" s="4"/>
      <c r="C108" s="131"/>
      <c r="D108" s="119"/>
      <c r="E108" s="119"/>
      <c r="F108" s="119"/>
      <c r="G108" s="119"/>
      <c r="H108" s="119"/>
      <c r="I108" s="119"/>
      <c r="J108" s="121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25">
        <f t="shared" si="1"/>
        <v>0</v>
      </c>
      <c r="X108" s="119"/>
      <c r="Y108" s="119"/>
      <c r="Z108" s="127">
        <f t="shared" si="2"/>
        <v>0</v>
      </c>
      <c r="AA108" s="141"/>
      <c r="AB108" s="142"/>
      <c r="AC108" s="133">
        <f t="shared" si="4"/>
        <v>0</v>
      </c>
      <c r="AD108" s="142"/>
      <c r="AE108" s="142"/>
      <c r="AF108" s="142"/>
      <c r="AG108" s="142"/>
      <c r="AH108" s="142"/>
      <c r="AI108" s="142"/>
      <c r="AJ108" s="142"/>
    </row>
    <row r="109" ht="22.5" customHeight="1">
      <c r="A109" s="4"/>
      <c r="B109" s="4"/>
      <c r="C109" s="131"/>
      <c r="D109" s="119"/>
      <c r="E109" s="119"/>
      <c r="F109" s="119"/>
      <c r="G109" s="119"/>
      <c r="H109" s="119"/>
      <c r="I109" s="119"/>
      <c r="J109" s="121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25">
        <f t="shared" si="1"/>
        <v>0</v>
      </c>
      <c r="X109" s="119"/>
      <c r="Y109" s="119"/>
      <c r="Z109" s="127">
        <f t="shared" si="2"/>
        <v>0</v>
      </c>
      <c r="AA109" s="141"/>
      <c r="AB109" s="142"/>
      <c r="AC109" s="133">
        <f t="shared" si="4"/>
        <v>0</v>
      </c>
      <c r="AD109" s="142"/>
      <c r="AE109" s="142"/>
      <c r="AF109" s="142"/>
      <c r="AG109" s="142"/>
      <c r="AH109" s="142"/>
      <c r="AI109" s="142"/>
      <c r="AJ109" s="142"/>
    </row>
    <row r="110" ht="22.5" customHeight="1">
      <c r="A110" s="115" t="s">
        <v>109</v>
      </c>
      <c r="B110" s="143"/>
      <c r="C110" s="136"/>
      <c r="D110" s="136">
        <f t="shared" ref="D110:V110" si="6">SUM(D3:D109)</f>
        <v>240000</v>
      </c>
      <c r="E110" s="136">
        <f t="shared" si="6"/>
        <v>30000</v>
      </c>
      <c r="F110" s="136">
        <f t="shared" si="6"/>
        <v>30000</v>
      </c>
      <c r="G110" s="136">
        <f t="shared" si="6"/>
        <v>12000</v>
      </c>
      <c r="H110" s="136">
        <f t="shared" si="6"/>
        <v>60000</v>
      </c>
      <c r="I110" s="136">
        <f t="shared" si="6"/>
        <v>115830</v>
      </c>
      <c r="J110" s="144">
        <f t="shared" si="6"/>
        <v>-135419</v>
      </c>
      <c r="K110" s="136">
        <f t="shared" si="6"/>
        <v>18150</v>
      </c>
      <c r="L110" s="136">
        <f t="shared" si="6"/>
        <v>7738</v>
      </c>
      <c r="M110" s="136">
        <f t="shared" si="6"/>
        <v>40000</v>
      </c>
      <c r="N110" s="136">
        <f t="shared" si="6"/>
        <v>0</v>
      </c>
      <c r="O110" s="136">
        <f t="shared" si="6"/>
        <v>29268</v>
      </c>
      <c r="P110" s="136">
        <f t="shared" si="6"/>
        <v>0</v>
      </c>
      <c r="Q110" s="136">
        <f t="shared" si="6"/>
        <v>12636</v>
      </c>
      <c r="R110" s="136">
        <f t="shared" si="6"/>
        <v>0</v>
      </c>
      <c r="S110" s="136">
        <f t="shared" si="6"/>
        <v>0</v>
      </c>
      <c r="T110" s="136">
        <f t="shared" si="6"/>
        <v>0</v>
      </c>
      <c r="U110" s="136">
        <f t="shared" si="6"/>
        <v>0</v>
      </c>
      <c r="V110" s="136">
        <f t="shared" si="6"/>
        <v>0</v>
      </c>
      <c r="W110" s="125">
        <f t="shared" si="1"/>
        <v>460203</v>
      </c>
      <c r="X110" s="136">
        <f t="shared" ref="X110:Z110" si="7">SUM(X3:X109)</f>
        <v>99407</v>
      </c>
      <c r="Y110" s="136">
        <f t="shared" si="7"/>
        <v>15500</v>
      </c>
      <c r="Z110" s="136">
        <f t="shared" si="7"/>
        <v>575110</v>
      </c>
      <c r="AA110" s="145"/>
      <c r="AC110" s="146"/>
    </row>
    <row r="111">
      <c r="A111" s="117"/>
      <c r="B111" s="11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</row>
    <row r="112">
      <c r="A112" s="117"/>
      <c r="B112" s="117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</row>
    <row r="113">
      <c r="A113" s="117"/>
      <c r="B113" s="11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</row>
    <row r="114">
      <c r="A114" s="117"/>
      <c r="B114" s="11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</row>
    <row r="115">
      <c r="A115" s="117"/>
      <c r="B115" s="11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</row>
    <row r="116">
      <c r="A116" s="117"/>
      <c r="B116" s="11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</row>
    <row r="117">
      <c r="A117" s="117"/>
      <c r="B117" s="11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</row>
    <row r="118">
      <c r="A118" s="117"/>
      <c r="B118" s="11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</row>
    <row r="119">
      <c r="A119" s="117"/>
      <c r="B119" s="11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</row>
    <row r="120">
      <c r="A120" s="117"/>
      <c r="B120" s="11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</row>
    <row r="121">
      <c r="A121" s="117"/>
      <c r="B121" s="11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</row>
    <row r="122">
      <c r="A122" s="117"/>
      <c r="B122" s="11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</row>
    <row r="123">
      <c r="A123" s="117"/>
      <c r="B123" s="11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</row>
    <row r="124">
      <c r="A124" s="117"/>
      <c r="B124" s="11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</row>
    <row r="125">
      <c r="A125" s="117"/>
      <c r="B125" s="11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</row>
    <row r="126">
      <c r="A126" s="117"/>
      <c r="B126" s="11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</row>
    <row r="127">
      <c r="A127" s="117"/>
      <c r="B127" s="117"/>
    </row>
    <row r="128">
      <c r="A128" s="117"/>
      <c r="B128" s="117"/>
    </row>
    <row r="129">
      <c r="A129" s="117"/>
      <c r="B129" s="117"/>
    </row>
    <row r="130">
      <c r="A130" s="117"/>
      <c r="B130" s="117"/>
    </row>
    <row r="131">
      <c r="A131" s="117"/>
      <c r="B131" s="117"/>
    </row>
    <row r="132">
      <c r="A132" s="117"/>
      <c r="B132" s="117"/>
    </row>
    <row r="133">
      <c r="A133" s="117"/>
      <c r="B133" s="117"/>
    </row>
    <row r="134">
      <c r="A134" s="117"/>
      <c r="B134" s="117"/>
    </row>
    <row r="135">
      <c r="A135" s="117"/>
      <c r="B135" s="117"/>
    </row>
    <row r="136">
      <c r="A136" s="117"/>
      <c r="B136" s="117"/>
    </row>
    <row r="137">
      <c r="A137" s="117"/>
      <c r="B137" s="117"/>
    </row>
    <row r="138">
      <c r="A138" s="117"/>
      <c r="B138" s="117"/>
    </row>
    <row r="139">
      <c r="A139" s="117"/>
      <c r="B139" s="117"/>
    </row>
    <row r="140">
      <c r="A140" s="117"/>
      <c r="B140" s="117"/>
    </row>
    <row r="141">
      <c r="A141" s="117"/>
      <c r="B141" s="117"/>
    </row>
    <row r="142">
      <c r="A142" s="117"/>
      <c r="B142" s="117"/>
    </row>
    <row r="143">
      <c r="A143" s="117"/>
      <c r="B143" s="117"/>
    </row>
    <row r="144">
      <c r="A144" s="117"/>
      <c r="B144" s="117"/>
    </row>
    <row r="145">
      <c r="A145" s="117"/>
      <c r="B145" s="117"/>
    </row>
    <row r="146">
      <c r="A146" s="117"/>
      <c r="B146" s="117"/>
    </row>
    <row r="147">
      <c r="A147" s="117"/>
      <c r="B147" s="117"/>
    </row>
    <row r="148">
      <c r="A148" s="117"/>
      <c r="B148" s="117"/>
    </row>
    <row r="149">
      <c r="A149" s="117"/>
      <c r="B149" s="117"/>
    </row>
    <row r="150">
      <c r="A150" s="117"/>
      <c r="B150" s="117"/>
    </row>
    <row r="151">
      <c r="A151" s="117"/>
      <c r="B151" s="117"/>
    </row>
    <row r="152">
      <c r="A152" s="117"/>
      <c r="B152" s="117"/>
    </row>
    <row r="153">
      <c r="A153" s="117"/>
      <c r="B153" s="117"/>
    </row>
    <row r="154">
      <c r="A154" s="117"/>
      <c r="B154" s="117"/>
    </row>
    <row r="155">
      <c r="A155" s="117"/>
      <c r="B155" s="117"/>
    </row>
    <row r="156">
      <c r="A156" s="117"/>
      <c r="B156" s="117"/>
    </row>
    <row r="157">
      <c r="A157" s="117"/>
      <c r="B157" s="117"/>
    </row>
    <row r="158">
      <c r="A158" s="117"/>
      <c r="B158" s="117"/>
    </row>
    <row r="159">
      <c r="A159" s="117"/>
      <c r="B159" s="117"/>
    </row>
    <row r="160">
      <c r="A160" s="117"/>
      <c r="B160" s="117"/>
    </row>
    <row r="161">
      <c r="A161" s="117"/>
      <c r="B161" s="117"/>
    </row>
    <row r="162">
      <c r="A162" s="117"/>
      <c r="B162" s="117"/>
    </row>
    <row r="163">
      <c r="A163" s="117"/>
      <c r="B163" s="117"/>
    </row>
    <row r="164">
      <c r="A164" s="117"/>
      <c r="B164" s="117"/>
    </row>
    <row r="165">
      <c r="A165" s="117"/>
      <c r="B165" s="117"/>
    </row>
    <row r="166">
      <c r="A166" s="117"/>
      <c r="B166" s="117"/>
    </row>
    <row r="167">
      <c r="A167" s="117"/>
      <c r="B167" s="117"/>
    </row>
    <row r="168">
      <c r="A168" s="117"/>
      <c r="B168" s="117"/>
    </row>
    <row r="169">
      <c r="A169" s="117"/>
      <c r="B169" s="117"/>
    </row>
    <row r="170">
      <c r="A170" s="117"/>
      <c r="B170" s="117"/>
    </row>
    <row r="171">
      <c r="A171" s="117"/>
      <c r="B171" s="117"/>
    </row>
    <row r="172">
      <c r="A172" s="117"/>
      <c r="B172" s="117"/>
    </row>
    <row r="173">
      <c r="A173" s="117"/>
      <c r="B173" s="117"/>
    </row>
    <row r="174">
      <c r="A174" s="117"/>
      <c r="B174" s="117"/>
    </row>
    <row r="175">
      <c r="A175" s="117"/>
      <c r="B175" s="117"/>
    </row>
    <row r="176">
      <c r="A176" s="117"/>
      <c r="B176" s="117"/>
    </row>
    <row r="177">
      <c r="A177" s="117"/>
      <c r="B177" s="117"/>
    </row>
    <row r="178">
      <c r="A178" s="117"/>
      <c r="B178" s="117"/>
    </row>
    <row r="179">
      <c r="A179" s="117"/>
      <c r="B179" s="117"/>
    </row>
    <row r="180">
      <c r="A180" s="117"/>
      <c r="B180" s="117"/>
    </row>
    <row r="181">
      <c r="A181" s="117"/>
      <c r="B181" s="117"/>
    </row>
    <row r="182">
      <c r="A182" s="117"/>
      <c r="B182" s="117"/>
    </row>
    <row r="183">
      <c r="A183" s="117"/>
      <c r="B183" s="117"/>
    </row>
    <row r="184">
      <c r="A184" s="117"/>
      <c r="B184" s="117"/>
    </row>
    <row r="185">
      <c r="A185" s="117"/>
      <c r="B185" s="117"/>
    </row>
    <row r="186">
      <c r="A186" s="117"/>
      <c r="B186" s="117"/>
    </row>
    <row r="187">
      <c r="A187" s="117"/>
      <c r="B187" s="117"/>
    </row>
    <row r="188">
      <c r="A188" s="117"/>
      <c r="B188" s="117"/>
    </row>
    <row r="189">
      <c r="A189" s="117"/>
      <c r="B189" s="117"/>
    </row>
    <row r="190">
      <c r="A190" s="117"/>
      <c r="B190" s="117"/>
    </row>
    <row r="191">
      <c r="A191" s="117"/>
      <c r="B191" s="117"/>
    </row>
    <row r="192">
      <c r="A192" s="117"/>
      <c r="B192" s="117"/>
    </row>
    <row r="193">
      <c r="A193" s="117"/>
      <c r="B193" s="117"/>
    </row>
    <row r="194">
      <c r="A194" s="117"/>
      <c r="B194" s="117"/>
    </row>
    <row r="195">
      <c r="A195" s="117"/>
      <c r="B195" s="117"/>
    </row>
    <row r="196">
      <c r="A196" s="117"/>
      <c r="B196" s="117"/>
    </row>
    <row r="197">
      <c r="A197" s="117"/>
      <c r="B197" s="117"/>
    </row>
    <row r="198">
      <c r="A198" s="117"/>
      <c r="B198" s="117"/>
    </row>
    <row r="199">
      <c r="A199" s="117"/>
      <c r="B199" s="117"/>
    </row>
    <row r="200">
      <c r="A200" s="117"/>
      <c r="B200" s="117"/>
    </row>
    <row r="201">
      <c r="A201" s="117"/>
      <c r="B201" s="117"/>
    </row>
    <row r="202">
      <c r="A202" s="117"/>
      <c r="B202" s="117"/>
    </row>
    <row r="203">
      <c r="A203" s="117"/>
      <c r="B203" s="117"/>
    </row>
    <row r="204">
      <c r="A204" s="117"/>
      <c r="B204" s="117"/>
    </row>
    <row r="205">
      <c r="A205" s="117"/>
      <c r="B205" s="117"/>
    </row>
    <row r="206">
      <c r="A206" s="117"/>
      <c r="B206" s="117"/>
    </row>
    <row r="207">
      <c r="A207" s="117"/>
      <c r="B207" s="117"/>
    </row>
    <row r="208">
      <c r="A208" s="117"/>
      <c r="B208" s="117"/>
    </row>
    <row r="209">
      <c r="A209" s="117"/>
      <c r="B209" s="117"/>
    </row>
    <row r="210">
      <c r="A210" s="117"/>
      <c r="B210" s="117"/>
    </row>
    <row r="211">
      <c r="A211" s="117"/>
      <c r="B211" s="117"/>
    </row>
    <row r="212">
      <c r="A212" s="117"/>
      <c r="B212" s="117"/>
    </row>
    <row r="213">
      <c r="A213" s="117"/>
      <c r="B213" s="117"/>
    </row>
    <row r="214">
      <c r="A214" s="117"/>
      <c r="B214" s="117"/>
    </row>
    <row r="215">
      <c r="A215" s="117"/>
      <c r="B215" s="117"/>
    </row>
    <row r="216">
      <c r="A216" s="117"/>
      <c r="B216" s="117"/>
    </row>
    <row r="217">
      <c r="A217" s="117"/>
      <c r="B217" s="117"/>
    </row>
    <row r="218">
      <c r="A218" s="117"/>
      <c r="B218" s="117"/>
    </row>
    <row r="219">
      <c r="A219" s="117"/>
      <c r="B219" s="117"/>
    </row>
    <row r="220">
      <c r="A220" s="117"/>
      <c r="B220" s="117"/>
    </row>
    <row r="221">
      <c r="A221" s="117"/>
      <c r="B221" s="117"/>
    </row>
    <row r="222">
      <c r="A222" s="117"/>
      <c r="B222" s="117"/>
    </row>
    <row r="223">
      <c r="A223" s="117"/>
      <c r="B223" s="117"/>
    </row>
    <row r="224">
      <c r="A224" s="117"/>
      <c r="B224" s="117"/>
    </row>
    <row r="225">
      <c r="A225" s="117"/>
      <c r="B225" s="117"/>
    </row>
    <row r="226">
      <c r="A226" s="117"/>
      <c r="B226" s="117"/>
    </row>
    <row r="227">
      <c r="A227" s="117"/>
      <c r="B227" s="117"/>
    </row>
    <row r="228">
      <c r="A228" s="117"/>
      <c r="B228" s="117"/>
    </row>
    <row r="229">
      <c r="A229" s="117"/>
      <c r="B229" s="117"/>
    </row>
    <row r="230">
      <c r="A230" s="117"/>
      <c r="B230" s="117"/>
    </row>
    <row r="231">
      <c r="A231" s="117"/>
      <c r="B231" s="117"/>
    </row>
    <row r="232">
      <c r="A232" s="117"/>
      <c r="B232" s="117"/>
    </row>
    <row r="233">
      <c r="A233" s="117"/>
      <c r="B233" s="117"/>
    </row>
    <row r="234">
      <c r="A234" s="117"/>
      <c r="B234" s="117"/>
    </row>
    <row r="235">
      <c r="A235" s="117"/>
      <c r="B235" s="117"/>
    </row>
    <row r="236">
      <c r="A236" s="117"/>
      <c r="B236" s="117"/>
    </row>
    <row r="237">
      <c r="A237" s="117"/>
      <c r="B237" s="117"/>
    </row>
    <row r="238">
      <c r="A238" s="117"/>
      <c r="B238" s="117"/>
    </row>
    <row r="239">
      <c r="A239" s="117"/>
      <c r="B239" s="117"/>
    </row>
    <row r="240">
      <c r="A240" s="117"/>
      <c r="B240" s="117"/>
    </row>
    <row r="241">
      <c r="A241" s="117"/>
      <c r="B241" s="117"/>
    </row>
    <row r="242">
      <c r="A242" s="117"/>
      <c r="B242" s="117"/>
    </row>
    <row r="243">
      <c r="A243" s="117"/>
      <c r="B243" s="117"/>
    </row>
    <row r="244">
      <c r="A244" s="117"/>
      <c r="B244" s="117"/>
    </row>
    <row r="245">
      <c r="A245" s="117"/>
      <c r="B245" s="117"/>
    </row>
    <row r="246">
      <c r="A246" s="117"/>
      <c r="B246" s="117"/>
    </row>
    <row r="247">
      <c r="A247" s="117"/>
      <c r="B247" s="117"/>
    </row>
    <row r="248">
      <c r="A248" s="117"/>
      <c r="B248" s="117"/>
    </row>
    <row r="249">
      <c r="A249" s="117"/>
      <c r="B249" s="117"/>
    </row>
    <row r="250">
      <c r="A250" s="117"/>
      <c r="B250" s="117"/>
    </row>
    <row r="251">
      <c r="A251" s="117"/>
      <c r="B251" s="117"/>
    </row>
    <row r="252">
      <c r="A252" s="117"/>
      <c r="B252" s="117"/>
    </row>
    <row r="253">
      <c r="A253" s="117"/>
      <c r="B253" s="117"/>
    </row>
    <row r="254">
      <c r="A254" s="117"/>
      <c r="B254" s="117"/>
    </row>
    <row r="255">
      <c r="A255" s="117"/>
      <c r="B255" s="117"/>
    </row>
    <row r="256">
      <c r="A256" s="117"/>
      <c r="B256" s="117"/>
    </row>
    <row r="257">
      <c r="A257" s="117"/>
      <c r="B257" s="117"/>
    </row>
    <row r="258">
      <c r="A258" s="117"/>
      <c r="B258" s="117"/>
    </row>
    <row r="259">
      <c r="A259" s="117"/>
      <c r="B259" s="117"/>
    </row>
    <row r="260">
      <c r="A260" s="117"/>
      <c r="B260" s="117"/>
    </row>
    <row r="261">
      <c r="A261" s="117"/>
      <c r="B261" s="117"/>
    </row>
    <row r="262">
      <c r="A262" s="117"/>
      <c r="B262" s="117"/>
    </row>
    <row r="263">
      <c r="A263" s="117"/>
      <c r="B263" s="117"/>
    </row>
    <row r="264">
      <c r="A264" s="117"/>
      <c r="B264" s="117"/>
    </row>
    <row r="265">
      <c r="A265" s="117"/>
      <c r="B265" s="117"/>
    </row>
    <row r="266">
      <c r="A266" s="117"/>
      <c r="B266" s="117"/>
    </row>
    <row r="267">
      <c r="A267" s="117"/>
      <c r="B267" s="117"/>
    </row>
    <row r="268">
      <c r="A268" s="117"/>
      <c r="B268" s="117"/>
    </row>
    <row r="269">
      <c r="A269" s="117"/>
      <c r="B269" s="117"/>
    </row>
    <row r="270">
      <c r="A270" s="117"/>
      <c r="B270" s="117"/>
    </row>
    <row r="271">
      <c r="A271" s="117"/>
      <c r="B271" s="117"/>
    </row>
    <row r="272">
      <c r="A272" s="117"/>
      <c r="B272" s="117"/>
    </row>
    <row r="273">
      <c r="A273" s="117"/>
      <c r="B273" s="117"/>
    </row>
    <row r="274">
      <c r="A274" s="117"/>
      <c r="B274" s="117"/>
    </row>
    <row r="275">
      <c r="A275" s="117"/>
      <c r="B275" s="117"/>
    </row>
    <row r="276">
      <c r="A276" s="117"/>
      <c r="B276" s="117"/>
    </row>
    <row r="277">
      <c r="A277" s="117"/>
      <c r="B277" s="117"/>
    </row>
    <row r="278">
      <c r="A278" s="117"/>
      <c r="B278" s="117"/>
    </row>
    <row r="279">
      <c r="A279" s="117"/>
      <c r="B279" s="117"/>
    </row>
    <row r="280">
      <c r="A280" s="117"/>
      <c r="B280" s="117"/>
    </row>
    <row r="281">
      <c r="A281" s="117"/>
      <c r="B281" s="117"/>
    </row>
    <row r="282">
      <c r="A282" s="117"/>
      <c r="B282" s="117"/>
    </row>
    <row r="283">
      <c r="A283" s="117"/>
      <c r="B283" s="117"/>
    </row>
    <row r="284">
      <c r="A284" s="117"/>
      <c r="B284" s="117"/>
    </row>
    <row r="285">
      <c r="A285" s="117"/>
      <c r="B285" s="117"/>
    </row>
    <row r="286">
      <c r="A286" s="117"/>
      <c r="B286" s="117"/>
    </row>
    <row r="287">
      <c r="A287" s="117"/>
      <c r="B287" s="117"/>
    </row>
    <row r="288">
      <c r="A288" s="117"/>
      <c r="B288" s="117"/>
    </row>
    <row r="289">
      <c r="A289" s="117"/>
      <c r="B289" s="117"/>
    </row>
    <row r="290">
      <c r="A290" s="117"/>
      <c r="B290" s="117"/>
    </row>
    <row r="291">
      <c r="A291" s="117"/>
      <c r="B291" s="117"/>
    </row>
    <row r="292">
      <c r="A292" s="117"/>
      <c r="B292" s="117"/>
    </row>
    <row r="293">
      <c r="A293" s="117"/>
      <c r="B293" s="117"/>
    </row>
    <row r="294">
      <c r="A294" s="117"/>
      <c r="B294" s="117"/>
    </row>
    <row r="295">
      <c r="A295" s="117"/>
      <c r="B295" s="117"/>
    </row>
    <row r="296">
      <c r="A296" s="117"/>
      <c r="B296" s="117"/>
    </row>
    <row r="297">
      <c r="A297" s="117"/>
      <c r="B297" s="117"/>
    </row>
    <row r="298">
      <c r="A298" s="117"/>
      <c r="B298" s="117"/>
    </row>
    <row r="299">
      <c r="A299" s="117"/>
      <c r="B299" s="117"/>
    </row>
    <row r="300">
      <c r="A300" s="117"/>
      <c r="B300" s="117"/>
    </row>
    <row r="301">
      <c r="A301" s="117"/>
      <c r="B301" s="117"/>
    </row>
    <row r="302">
      <c r="A302" s="117"/>
      <c r="B302" s="117"/>
    </row>
    <row r="303">
      <c r="A303" s="117"/>
      <c r="B303" s="117"/>
    </row>
    <row r="304">
      <c r="A304" s="117"/>
      <c r="B304" s="117"/>
    </row>
    <row r="305">
      <c r="A305" s="117"/>
      <c r="B305" s="117"/>
    </row>
    <row r="306">
      <c r="A306" s="117"/>
      <c r="B306" s="117"/>
    </row>
    <row r="307">
      <c r="A307" s="117"/>
      <c r="B307" s="117"/>
    </row>
    <row r="308">
      <c r="A308" s="117"/>
      <c r="B308" s="117"/>
    </row>
    <row r="309">
      <c r="A309" s="117"/>
      <c r="B309" s="117"/>
    </row>
    <row r="310">
      <c r="A310" s="117"/>
      <c r="B310" s="117"/>
    </row>
    <row r="311">
      <c r="A311" s="117"/>
      <c r="B311" s="117"/>
    </row>
    <row r="312">
      <c r="A312" s="117"/>
      <c r="B312" s="117"/>
    </row>
    <row r="313">
      <c r="A313" s="117"/>
      <c r="B313" s="117"/>
    </row>
    <row r="314">
      <c r="A314" s="117"/>
      <c r="B314" s="117"/>
    </row>
    <row r="315">
      <c r="A315" s="117"/>
      <c r="B315" s="117"/>
    </row>
    <row r="316">
      <c r="A316" s="117"/>
      <c r="B316" s="117"/>
    </row>
    <row r="317">
      <c r="A317" s="117"/>
      <c r="B317" s="117"/>
    </row>
    <row r="318">
      <c r="A318" s="117"/>
      <c r="B318" s="117"/>
    </row>
    <row r="319">
      <c r="A319" s="117"/>
      <c r="B319" s="117"/>
    </row>
    <row r="320">
      <c r="A320" s="117"/>
      <c r="B320" s="117"/>
    </row>
    <row r="321">
      <c r="A321" s="117"/>
      <c r="B321" s="117"/>
    </row>
    <row r="322">
      <c r="A322" s="117"/>
      <c r="B322" s="117"/>
    </row>
    <row r="323">
      <c r="A323" s="117"/>
      <c r="B323" s="117"/>
    </row>
    <row r="324">
      <c r="A324" s="117"/>
      <c r="B324" s="117"/>
    </row>
    <row r="325">
      <c r="A325" s="117"/>
      <c r="B325" s="117"/>
    </row>
    <row r="326">
      <c r="A326" s="117"/>
      <c r="B326" s="117"/>
    </row>
    <row r="327">
      <c r="A327" s="117"/>
      <c r="B327" s="117"/>
    </row>
    <row r="328">
      <c r="A328" s="117"/>
      <c r="B328" s="117"/>
    </row>
    <row r="329">
      <c r="A329" s="117"/>
      <c r="B329" s="117"/>
    </row>
    <row r="330">
      <c r="A330" s="117"/>
      <c r="B330" s="117"/>
    </row>
    <row r="331">
      <c r="A331" s="117"/>
      <c r="B331" s="117"/>
    </row>
    <row r="332">
      <c r="A332" s="117"/>
      <c r="B332" s="117"/>
    </row>
    <row r="333">
      <c r="A333" s="117"/>
      <c r="B333" s="117"/>
    </row>
    <row r="334">
      <c r="A334" s="117"/>
      <c r="B334" s="117"/>
    </row>
    <row r="335">
      <c r="A335" s="117"/>
      <c r="B335" s="117"/>
    </row>
    <row r="336">
      <c r="A336" s="117"/>
      <c r="B336" s="117"/>
    </row>
    <row r="337">
      <c r="A337" s="117"/>
      <c r="B337" s="117"/>
    </row>
    <row r="338">
      <c r="A338" s="117"/>
      <c r="B338" s="117"/>
    </row>
    <row r="339">
      <c r="A339" s="117"/>
      <c r="B339" s="117"/>
    </row>
    <row r="340">
      <c r="A340" s="117"/>
      <c r="B340" s="117"/>
    </row>
    <row r="341">
      <c r="A341" s="117"/>
      <c r="B341" s="117"/>
    </row>
    <row r="342">
      <c r="A342" s="117"/>
      <c r="B342" s="117"/>
    </row>
    <row r="343">
      <c r="A343" s="117"/>
      <c r="B343" s="117"/>
    </row>
    <row r="344">
      <c r="A344" s="117"/>
      <c r="B344" s="117"/>
    </row>
    <row r="345">
      <c r="A345" s="117"/>
      <c r="B345" s="117"/>
    </row>
    <row r="346">
      <c r="A346" s="117"/>
      <c r="B346" s="117"/>
    </row>
    <row r="347">
      <c r="A347" s="117"/>
      <c r="B347" s="117"/>
    </row>
    <row r="348">
      <c r="A348" s="117"/>
      <c r="B348" s="117"/>
    </row>
    <row r="349">
      <c r="A349" s="117"/>
      <c r="B349" s="117"/>
    </row>
    <row r="350">
      <c r="A350" s="117"/>
      <c r="B350" s="117"/>
    </row>
    <row r="351">
      <c r="A351" s="117"/>
      <c r="B351" s="117"/>
    </row>
    <row r="352">
      <c r="A352" s="117"/>
      <c r="B352" s="117"/>
    </row>
    <row r="353">
      <c r="A353" s="117"/>
      <c r="B353" s="117"/>
    </row>
    <row r="354">
      <c r="A354" s="117"/>
      <c r="B354" s="117"/>
    </row>
    <row r="355">
      <c r="A355" s="117"/>
      <c r="B355" s="117"/>
    </row>
    <row r="356">
      <c r="A356" s="117"/>
      <c r="B356" s="117"/>
    </row>
    <row r="357">
      <c r="A357" s="117"/>
      <c r="B357" s="117"/>
    </row>
    <row r="358">
      <c r="A358" s="117"/>
      <c r="B358" s="117"/>
    </row>
    <row r="359">
      <c r="A359" s="117"/>
      <c r="B359" s="117"/>
    </row>
    <row r="360">
      <c r="A360" s="117"/>
      <c r="B360" s="117"/>
    </row>
    <row r="361">
      <c r="A361" s="117"/>
      <c r="B361" s="117"/>
    </row>
    <row r="362">
      <c r="A362" s="117"/>
      <c r="B362" s="117"/>
    </row>
    <row r="363">
      <c r="A363" s="117"/>
      <c r="B363" s="117"/>
    </row>
    <row r="364">
      <c r="A364" s="117"/>
      <c r="B364" s="117"/>
    </row>
    <row r="365">
      <c r="A365" s="117"/>
      <c r="B365" s="117"/>
    </row>
    <row r="366">
      <c r="A366" s="117"/>
      <c r="B366" s="117"/>
    </row>
    <row r="367">
      <c r="A367" s="117"/>
      <c r="B367" s="117"/>
    </row>
    <row r="368">
      <c r="A368" s="117"/>
      <c r="B368" s="117"/>
    </row>
    <row r="369">
      <c r="A369" s="117"/>
      <c r="B369" s="117"/>
    </row>
    <row r="370">
      <c r="A370" s="117"/>
      <c r="B370" s="117"/>
    </row>
    <row r="371">
      <c r="A371" s="117"/>
      <c r="B371" s="117"/>
    </row>
    <row r="372">
      <c r="A372" s="117"/>
      <c r="B372" s="117"/>
    </row>
    <row r="373">
      <c r="A373" s="117"/>
      <c r="B373" s="117"/>
    </row>
    <row r="374">
      <c r="A374" s="117"/>
      <c r="B374" s="117"/>
    </row>
    <row r="375">
      <c r="A375" s="117"/>
      <c r="B375" s="117"/>
    </row>
    <row r="376">
      <c r="A376" s="117"/>
      <c r="B376" s="117"/>
    </row>
    <row r="377">
      <c r="A377" s="117"/>
      <c r="B377" s="117"/>
    </row>
    <row r="378">
      <c r="A378" s="117"/>
      <c r="B378" s="117"/>
    </row>
    <row r="379">
      <c r="A379" s="117"/>
      <c r="B379" s="117"/>
    </row>
    <row r="380">
      <c r="A380" s="117"/>
      <c r="B380" s="117"/>
    </row>
    <row r="381">
      <c r="A381" s="117"/>
      <c r="B381" s="117"/>
    </row>
    <row r="382">
      <c r="A382" s="117"/>
      <c r="B382" s="117"/>
    </row>
    <row r="383">
      <c r="A383" s="117"/>
      <c r="B383" s="117"/>
    </row>
    <row r="384">
      <c r="A384" s="117"/>
      <c r="B384" s="117"/>
    </row>
    <row r="385">
      <c r="A385" s="117"/>
      <c r="B385" s="117"/>
    </row>
    <row r="386">
      <c r="A386" s="117"/>
      <c r="B386" s="117"/>
    </row>
    <row r="387">
      <c r="A387" s="117"/>
      <c r="B387" s="117"/>
    </row>
    <row r="388">
      <c r="A388" s="117"/>
      <c r="B388" s="117"/>
    </row>
    <row r="389">
      <c r="A389" s="117"/>
      <c r="B389" s="117"/>
    </row>
    <row r="390">
      <c r="A390" s="117"/>
      <c r="B390" s="117"/>
    </row>
    <row r="391">
      <c r="A391" s="117"/>
      <c r="B391" s="117"/>
    </row>
    <row r="392">
      <c r="A392" s="117"/>
      <c r="B392" s="117"/>
    </row>
    <row r="393">
      <c r="A393" s="117"/>
      <c r="B393" s="117"/>
    </row>
    <row r="394">
      <c r="A394" s="117"/>
      <c r="B394" s="117"/>
    </row>
    <row r="395">
      <c r="A395" s="117"/>
      <c r="B395" s="117"/>
    </row>
    <row r="396">
      <c r="A396" s="117"/>
      <c r="B396" s="117"/>
    </row>
    <row r="397">
      <c r="A397" s="117"/>
      <c r="B397" s="117"/>
    </row>
    <row r="398">
      <c r="A398" s="117"/>
      <c r="B398" s="117"/>
    </row>
    <row r="399">
      <c r="A399" s="117"/>
      <c r="B399" s="117"/>
    </row>
    <row r="400">
      <c r="A400" s="117"/>
      <c r="B400" s="117"/>
    </row>
    <row r="401">
      <c r="A401" s="117"/>
      <c r="B401" s="117"/>
    </row>
    <row r="402">
      <c r="A402" s="117"/>
      <c r="B402" s="117"/>
    </row>
    <row r="403">
      <c r="A403" s="117"/>
      <c r="B403" s="117"/>
    </row>
    <row r="404">
      <c r="A404" s="117"/>
      <c r="B404" s="117"/>
    </row>
    <row r="405">
      <c r="A405" s="117"/>
      <c r="B405" s="117"/>
    </row>
    <row r="406">
      <c r="A406" s="117"/>
      <c r="B406" s="117"/>
    </row>
    <row r="407">
      <c r="A407" s="117"/>
      <c r="B407" s="117"/>
    </row>
    <row r="408">
      <c r="A408" s="117"/>
      <c r="B408" s="117"/>
    </row>
    <row r="409">
      <c r="A409" s="117"/>
      <c r="B409" s="117"/>
    </row>
    <row r="410">
      <c r="A410" s="117"/>
      <c r="B410" s="117"/>
    </row>
    <row r="411">
      <c r="A411" s="117"/>
      <c r="B411" s="117"/>
    </row>
    <row r="412">
      <c r="A412" s="117"/>
      <c r="B412" s="117"/>
    </row>
    <row r="413">
      <c r="A413" s="117"/>
      <c r="B413" s="117"/>
    </row>
    <row r="414">
      <c r="A414" s="117"/>
      <c r="B414" s="117"/>
    </row>
    <row r="415">
      <c r="A415" s="117"/>
      <c r="B415" s="117"/>
    </row>
    <row r="416">
      <c r="A416" s="117"/>
      <c r="B416" s="117"/>
    </row>
    <row r="417">
      <c r="A417" s="117"/>
      <c r="B417" s="117"/>
    </row>
    <row r="418">
      <c r="A418" s="117"/>
      <c r="B418" s="117"/>
    </row>
    <row r="419">
      <c r="A419" s="117"/>
      <c r="B419" s="117"/>
    </row>
    <row r="420">
      <c r="A420" s="117"/>
      <c r="B420" s="117"/>
    </row>
    <row r="421">
      <c r="A421" s="117"/>
      <c r="B421" s="117"/>
    </row>
    <row r="422">
      <c r="A422" s="117"/>
      <c r="B422" s="117"/>
    </row>
    <row r="423">
      <c r="A423" s="117"/>
      <c r="B423" s="117"/>
    </row>
    <row r="424">
      <c r="A424" s="117"/>
      <c r="B424" s="117"/>
    </row>
    <row r="425">
      <c r="A425" s="117"/>
      <c r="B425" s="117"/>
    </row>
    <row r="426">
      <c r="A426" s="117"/>
      <c r="B426" s="117"/>
    </row>
    <row r="427">
      <c r="A427" s="117"/>
      <c r="B427" s="117"/>
    </row>
    <row r="428">
      <c r="A428" s="117"/>
      <c r="B428" s="117"/>
    </row>
    <row r="429">
      <c r="A429" s="117"/>
      <c r="B429" s="117"/>
    </row>
    <row r="430">
      <c r="A430" s="117"/>
      <c r="B430" s="117"/>
    </row>
    <row r="431">
      <c r="A431" s="117"/>
      <c r="B431" s="117"/>
    </row>
    <row r="432">
      <c r="A432" s="117"/>
      <c r="B432" s="117"/>
    </row>
    <row r="433">
      <c r="A433" s="117"/>
      <c r="B433" s="117"/>
    </row>
    <row r="434">
      <c r="A434" s="117"/>
      <c r="B434" s="117"/>
    </row>
    <row r="435">
      <c r="A435" s="117"/>
      <c r="B435" s="117"/>
    </row>
    <row r="436">
      <c r="A436" s="117"/>
      <c r="B436" s="117"/>
    </row>
    <row r="437">
      <c r="A437" s="117"/>
      <c r="B437" s="117"/>
    </row>
    <row r="438">
      <c r="A438" s="117"/>
      <c r="B438" s="117"/>
    </row>
    <row r="439">
      <c r="A439" s="117"/>
      <c r="B439" s="117"/>
    </row>
    <row r="440">
      <c r="A440" s="117"/>
      <c r="B440" s="117"/>
    </row>
    <row r="441">
      <c r="A441" s="117"/>
      <c r="B441" s="117"/>
    </row>
    <row r="442">
      <c r="A442" s="117"/>
      <c r="B442" s="117"/>
    </row>
    <row r="443">
      <c r="A443" s="117"/>
      <c r="B443" s="117"/>
    </row>
    <row r="444">
      <c r="A444" s="117"/>
      <c r="B444" s="117"/>
    </row>
    <row r="445">
      <c r="A445" s="117"/>
      <c r="B445" s="117"/>
    </row>
    <row r="446">
      <c r="A446" s="117"/>
      <c r="B446" s="117"/>
    </row>
    <row r="447">
      <c r="A447" s="117"/>
      <c r="B447" s="117"/>
    </row>
    <row r="448">
      <c r="A448" s="117"/>
      <c r="B448" s="117"/>
    </row>
    <row r="449">
      <c r="A449" s="117"/>
      <c r="B449" s="117"/>
    </row>
    <row r="450">
      <c r="A450" s="117"/>
      <c r="B450" s="117"/>
    </row>
    <row r="451">
      <c r="A451" s="117"/>
      <c r="B451" s="117"/>
    </row>
    <row r="452">
      <c r="A452" s="117"/>
      <c r="B452" s="117"/>
    </row>
    <row r="453">
      <c r="A453" s="117"/>
      <c r="B453" s="117"/>
    </row>
    <row r="454">
      <c r="A454" s="117"/>
      <c r="B454" s="117"/>
    </row>
    <row r="455">
      <c r="A455" s="117"/>
      <c r="B455" s="117"/>
    </row>
    <row r="456">
      <c r="A456" s="117"/>
      <c r="B456" s="117"/>
    </row>
    <row r="457">
      <c r="A457" s="117"/>
      <c r="B457" s="117"/>
    </row>
    <row r="458">
      <c r="A458" s="117"/>
      <c r="B458" s="117"/>
    </row>
    <row r="459">
      <c r="A459" s="117"/>
      <c r="B459" s="117"/>
    </row>
    <row r="460">
      <c r="A460" s="117"/>
      <c r="B460" s="117"/>
    </row>
    <row r="461">
      <c r="A461" s="117"/>
      <c r="B461" s="117"/>
    </row>
    <row r="462">
      <c r="A462" s="117"/>
      <c r="B462" s="117"/>
    </row>
    <row r="463">
      <c r="A463" s="117"/>
      <c r="B463" s="117"/>
    </row>
    <row r="464">
      <c r="A464" s="117"/>
      <c r="B464" s="117"/>
    </row>
    <row r="465">
      <c r="A465" s="117"/>
      <c r="B465" s="117"/>
    </row>
    <row r="466">
      <c r="A466" s="117"/>
      <c r="B466" s="117"/>
    </row>
    <row r="467">
      <c r="A467" s="117"/>
      <c r="B467" s="117"/>
    </row>
    <row r="468">
      <c r="A468" s="117"/>
      <c r="B468" s="117"/>
    </row>
    <row r="469">
      <c r="A469" s="117"/>
      <c r="B469" s="117"/>
    </row>
    <row r="470">
      <c r="A470" s="117"/>
      <c r="B470" s="117"/>
    </row>
    <row r="471">
      <c r="A471" s="117"/>
      <c r="B471" s="117"/>
    </row>
    <row r="472">
      <c r="A472" s="117"/>
      <c r="B472" s="117"/>
    </row>
    <row r="473">
      <c r="A473" s="117"/>
      <c r="B473" s="117"/>
    </row>
    <row r="474">
      <c r="A474" s="117"/>
      <c r="B474" s="117"/>
    </row>
    <row r="475">
      <c r="A475" s="117"/>
      <c r="B475" s="117"/>
    </row>
    <row r="476">
      <c r="A476" s="117"/>
      <c r="B476" s="117"/>
    </row>
    <row r="477">
      <c r="A477" s="117"/>
      <c r="B477" s="117"/>
    </row>
    <row r="478">
      <c r="A478" s="117"/>
      <c r="B478" s="117"/>
    </row>
    <row r="479">
      <c r="A479" s="117"/>
      <c r="B479" s="117"/>
    </row>
    <row r="480">
      <c r="A480" s="117"/>
      <c r="B480" s="117"/>
    </row>
    <row r="481">
      <c r="A481" s="117"/>
      <c r="B481" s="117"/>
    </row>
    <row r="482">
      <c r="A482" s="117"/>
      <c r="B482" s="117"/>
    </row>
    <row r="483">
      <c r="A483" s="117"/>
      <c r="B483" s="117"/>
    </row>
    <row r="484">
      <c r="A484" s="117"/>
      <c r="B484" s="117"/>
    </row>
    <row r="485">
      <c r="A485" s="117"/>
      <c r="B485" s="117"/>
    </row>
    <row r="486">
      <c r="A486" s="117"/>
      <c r="B486" s="117"/>
    </row>
    <row r="487">
      <c r="A487" s="117"/>
      <c r="B487" s="117"/>
    </row>
    <row r="488">
      <c r="A488" s="117"/>
      <c r="B488" s="117"/>
    </row>
    <row r="489">
      <c r="A489" s="117"/>
      <c r="B489" s="117"/>
    </row>
    <row r="490">
      <c r="A490" s="117"/>
      <c r="B490" s="117"/>
    </row>
    <row r="491">
      <c r="A491" s="117"/>
      <c r="B491" s="117"/>
    </row>
    <row r="492">
      <c r="A492" s="117"/>
      <c r="B492" s="117"/>
    </row>
    <row r="493">
      <c r="A493" s="117"/>
      <c r="B493" s="117"/>
    </row>
    <row r="494">
      <c r="A494" s="117"/>
      <c r="B494" s="117"/>
    </row>
    <row r="495">
      <c r="A495" s="117"/>
      <c r="B495" s="117"/>
    </row>
    <row r="496">
      <c r="A496" s="117"/>
      <c r="B496" s="117"/>
    </row>
    <row r="497">
      <c r="A497" s="117"/>
      <c r="B497" s="117"/>
    </row>
    <row r="498">
      <c r="A498" s="117"/>
      <c r="B498" s="117"/>
    </row>
    <row r="499">
      <c r="A499" s="117"/>
      <c r="B499" s="117"/>
    </row>
    <row r="500">
      <c r="A500" s="117"/>
      <c r="B500" s="117"/>
    </row>
    <row r="501">
      <c r="A501" s="117"/>
      <c r="B501" s="117"/>
    </row>
    <row r="502">
      <c r="A502" s="117"/>
      <c r="B502" s="117"/>
    </row>
    <row r="503">
      <c r="A503" s="117"/>
      <c r="B503" s="117"/>
    </row>
    <row r="504">
      <c r="A504" s="117"/>
      <c r="B504" s="117"/>
    </row>
    <row r="505">
      <c r="A505" s="117"/>
      <c r="B505" s="117"/>
    </row>
    <row r="506">
      <c r="A506" s="117"/>
      <c r="B506" s="117"/>
    </row>
    <row r="507">
      <c r="A507" s="117"/>
      <c r="B507" s="117"/>
    </row>
    <row r="508">
      <c r="A508" s="117"/>
      <c r="B508" s="117"/>
    </row>
    <row r="509">
      <c r="A509" s="117"/>
      <c r="B509" s="117"/>
    </row>
    <row r="510">
      <c r="A510" s="117"/>
      <c r="B510" s="117"/>
    </row>
    <row r="511">
      <c r="A511" s="117"/>
      <c r="B511" s="117"/>
    </row>
    <row r="512">
      <c r="A512" s="117"/>
      <c r="B512" s="117"/>
    </row>
    <row r="513">
      <c r="A513" s="117"/>
      <c r="B513" s="117"/>
    </row>
    <row r="514">
      <c r="A514" s="117"/>
      <c r="B514" s="117"/>
    </row>
    <row r="515">
      <c r="A515" s="117"/>
      <c r="B515" s="117"/>
    </row>
    <row r="516">
      <c r="A516" s="117"/>
      <c r="B516" s="117"/>
    </row>
    <row r="517">
      <c r="A517" s="117"/>
      <c r="B517" s="117"/>
    </row>
    <row r="518">
      <c r="A518" s="117"/>
      <c r="B518" s="117"/>
    </row>
    <row r="519">
      <c r="A519" s="117"/>
      <c r="B519" s="117"/>
    </row>
    <row r="520">
      <c r="A520" s="117"/>
      <c r="B520" s="117"/>
    </row>
    <row r="521">
      <c r="A521" s="117"/>
      <c r="B521" s="117"/>
    </row>
    <row r="522">
      <c r="A522" s="117"/>
      <c r="B522" s="117"/>
    </row>
    <row r="523">
      <c r="A523" s="117"/>
      <c r="B523" s="117"/>
    </row>
    <row r="524">
      <c r="A524" s="117"/>
      <c r="B524" s="117"/>
    </row>
    <row r="525">
      <c r="A525" s="117"/>
      <c r="B525" s="117"/>
    </row>
    <row r="526">
      <c r="A526" s="117"/>
      <c r="B526" s="117"/>
    </row>
    <row r="527">
      <c r="A527" s="117"/>
      <c r="B527" s="117"/>
    </row>
    <row r="528">
      <c r="A528" s="117"/>
      <c r="B528" s="117"/>
    </row>
    <row r="529">
      <c r="A529" s="117"/>
      <c r="B529" s="117"/>
    </row>
    <row r="530">
      <c r="A530" s="117"/>
      <c r="B530" s="117"/>
    </row>
    <row r="531">
      <c r="A531" s="117"/>
      <c r="B531" s="117"/>
    </row>
    <row r="532">
      <c r="A532" s="117"/>
      <c r="B532" s="117"/>
    </row>
    <row r="533">
      <c r="A533" s="117"/>
      <c r="B533" s="117"/>
    </row>
    <row r="534">
      <c r="A534" s="117"/>
      <c r="B534" s="117"/>
    </row>
    <row r="535">
      <c r="A535" s="117"/>
      <c r="B535" s="117"/>
    </row>
    <row r="536">
      <c r="A536" s="117"/>
      <c r="B536" s="117"/>
    </row>
    <row r="537">
      <c r="A537" s="117"/>
      <c r="B537" s="117"/>
    </row>
    <row r="538">
      <c r="A538" s="117"/>
      <c r="B538" s="117"/>
    </row>
    <row r="539">
      <c r="A539" s="117"/>
      <c r="B539" s="117"/>
    </row>
    <row r="540">
      <c r="A540" s="117"/>
      <c r="B540" s="117"/>
    </row>
    <row r="541">
      <c r="A541" s="117"/>
      <c r="B541" s="117"/>
    </row>
    <row r="542">
      <c r="A542" s="117"/>
      <c r="B542" s="117"/>
    </row>
    <row r="543">
      <c r="A543" s="117"/>
      <c r="B543" s="117"/>
    </row>
    <row r="544">
      <c r="A544" s="117"/>
      <c r="B544" s="117"/>
    </row>
    <row r="545">
      <c r="A545" s="117"/>
      <c r="B545" s="117"/>
    </row>
    <row r="546">
      <c r="A546" s="117"/>
      <c r="B546" s="117"/>
    </row>
    <row r="547">
      <c r="A547" s="117"/>
      <c r="B547" s="117"/>
    </row>
    <row r="548">
      <c r="A548" s="117"/>
      <c r="B548" s="117"/>
    </row>
    <row r="549">
      <c r="A549" s="117"/>
      <c r="B549" s="117"/>
    </row>
    <row r="550">
      <c r="A550" s="117"/>
      <c r="B550" s="117"/>
    </row>
    <row r="551">
      <c r="A551" s="117"/>
      <c r="B551" s="117"/>
    </row>
    <row r="552">
      <c r="A552" s="117"/>
      <c r="B552" s="117"/>
    </row>
    <row r="553">
      <c r="A553" s="117"/>
      <c r="B553" s="117"/>
    </row>
    <row r="554">
      <c r="A554" s="117"/>
      <c r="B554" s="117"/>
    </row>
    <row r="555">
      <c r="A555" s="117"/>
      <c r="B555" s="117"/>
    </row>
    <row r="556">
      <c r="A556" s="117"/>
      <c r="B556" s="117"/>
    </row>
    <row r="557">
      <c r="A557" s="117"/>
      <c r="B557" s="117"/>
    </row>
    <row r="558">
      <c r="A558" s="117"/>
      <c r="B558" s="117"/>
    </row>
    <row r="559">
      <c r="A559" s="117"/>
      <c r="B559" s="117"/>
    </row>
    <row r="560">
      <c r="A560" s="117"/>
      <c r="B560" s="117"/>
    </row>
    <row r="561">
      <c r="A561" s="117"/>
      <c r="B561" s="117"/>
    </row>
    <row r="562">
      <c r="A562" s="117"/>
      <c r="B562" s="117"/>
    </row>
    <row r="563">
      <c r="A563" s="117"/>
      <c r="B563" s="117"/>
    </row>
    <row r="564">
      <c r="A564" s="117"/>
      <c r="B564" s="117"/>
    </row>
    <row r="565">
      <c r="A565" s="117"/>
      <c r="B565" s="117"/>
    </row>
    <row r="566">
      <c r="A566" s="117"/>
      <c r="B566" s="117"/>
    </row>
    <row r="567">
      <c r="A567" s="117"/>
      <c r="B567" s="117"/>
    </row>
    <row r="568">
      <c r="A568" s="117"/>
      <c r="B568" s="117"/>
    </row>
    <row r="569">
      <c r="A569" s="117"/>
      <c r="B569" s="117"/>
    </row>
    <row r="570">
      <c r="A570" s="117"/>
      <c r="B570" s="117"/>
    </row>
    <row r="571">
      <c r="A571" s="117"/>
      <c r="B571" s="117"/>
    </row>
    <row r="572">
      <c r="A572" s="117"/>
      <c r="B572" s="117"/>
    </row>
    <row r="573">
      <c r="A573" s="117"/>
      <c r="B573" s="117"/>
    </row>
    <row r="574">
      <c r="A574" s="117"/>
      <c r="B574" s="117"/>
    </row>
    <row r="575">
      <c r="A575" s="117"/>
      <c r="B575" s="117"/>
    </row>
    <row r="576">
      <c r="A576" s="117"/>
      <c r="B576" s="117"/>
    </row>
    <row r="577">
      <c r="A577" s="117"/>
      <c r="B577" s="117"/>
    </row>
    <row r="578">
      <c r="A578" s="117"/>
      <c r="B578" s="117"/>
    </row>
    <row r="579">
      <c r="A579" s="117"/>
      <c r="B579" s="117"/>
    </row>
    <row r="580">
      <c r="A580" s="117"/>
      <c r="B580" s="117"/>
    </row>
    <row r="581">
      <c r="A581" s="117"/>
      <c r="B581" s="117"/>
    </row>
    <row r="582">
      <c r="A582" s="117"/>
      <c r="B582" s="117"/>
    </row>
    <row r="583">
      <c r="A583" s="117"/>
      <c r="B583" s="117"/>
    </row>
    <row r="584">
      <c r="A584" s="117"/>
      <c r="B584" s="117"/>
    </row>
    <row r="585">
      <c r="A585" s="117"/>
      <c r="B585" s="117"/>
    </row>
    <row r="586">
      <c r="A586" s="117"/>
      <c r="B586" s="117"/>
    </row>
    <row r="587">
      <c r="A587" s="117"/>
      <c r="B587" s="117"/>
    </row>
    <row r="588">
      <c r="A588" s="117"/>
      <c r="B588" s="117"/>
    </row>
    <row r="589">
      <c r="A589" s="117"/>
      <c r="B589" s="117"/>
    </row>
    <row r="590">
      <c r="A590" s="117"/>
      <c r="B590" s="117"/>
    </row>
    <row r="591">
      <c r="A591" s="117"/>
      <c r="B591" s="117"/>
    </row>
    <row r="592">
      <c r="A592" s="117"/>
      <c r="B592" s="117"/>
    </row>
    <row r="593">
      <c r="A593" s="117"/>
      <c r="B593" s="117"/>
    </row>
    <row r="594">
      <c r="A594" s="117"/>
      <c r="B594" s="117"/>
    </row>
    <row r="595">
      <c r="A595" s="117"/>
      <c r="B595" s="117"/>
    </row>
    <row r="596">
      <c r="A596" s="117"/>
      <c r="B596" s="117"/>
    </row>
    <row r="597">
      <c r="A597" s="117"/>
      <c r="B597" s="117"/>
    </row>
    <row r="598">
      <c r="A598" s="117"/>
      <c r="B598" s="117"/>
    </row>
    <row r="599">
      <c r="A599" s="117"/>
      <c r="B599" s="117"/>
    </row>
    <row r="600">
      <c r="A600" s="117"/>
      <c r="B600" s="117"/>
    </row>
    <row r="601">
      <c r="A601" s="117"/>
      <c r="B601" s="117"/>
    </row>
    <row r="602">
      <c r="A602" s="117"/>
      <c r="B602" s="117"/>
    </row>
    <row r="603">
      <c r="A603" s="117"/>
      <c r="B603" s="117"/>
    </row>
    <row r="604">
      <c r="A604" s="117"/>
      <c r="B604" s="117"/>
    </row>
    <row r="605">
      <c r="A605" s="117"/>
      <c r="B605" s="117"/>
    </row>
    <row r="606">
      <c r="A606" s="117"/>
      <c r="B606" s="117"/>
    </row>
    <row r="607">
      <c r="A607" s="117"/>
      <c r="B607" s="117"/>
    </row>
    <row r="608">
      <c r="A608" s="117"/>
      <c r="B608" s="117"/>
    </row>
    <row r="609">
      <c r="A609" s="117"/>
      <c r="B609" s="117"/>
    </row>
    <row r="610">
      <c r="A610" s="117"/>
      <c r="B610" s="117"/>
    </row>
    <row r="611">
      <c r="A611" s="117"/>
      <c r="B611" s="117"/>
    </row>
    <row r="612">
      <c r="A612" s="117"/>
      <c r="B612" s="117"/>
    </row>
    <row r="613">
      <c r="A613" s="117"/>
      <c r="B613" s="117"/>
    </row>
    <row r="614">
      <c r="A614" s="117"/>
      <c r="B614" s="117"/>
    </row>
    <row r="615">
      <c r="A615" s="117"/>
      <c r="B615" s="117"/>
    </row>
    <row r="616">
      <c r="A616" s="117"/>
      <c r="B616" s="117"/>
    </row>
    <row r="617">
      <c r="A617" s="117"/>
      <c r="B617" s="117"/>
    </row>
    <row r="618">
      <c r="A618" s="117"/>
      <c r="B618" s="117"/>
    </row>
    <row r="619">
      <c r="A619" s="117"/>
      <c r="B619" s="117"/>
    </row>
    <row r="620">
      <c r="A620" s="117"/>
      <c r="B620" s="117"/>
    </row>
    <row r="621">
      <c r="A621" s="117"/>
      <c r="B621" s="117"/>
    </row>
    <row r="622">
      <c r="A622" s="117"/>
      <c r="B622" s="117"/>
    </row>
    <row r="623">
      <c r="A623" s="117"/>
      <c r="B623" s="117"/>
    </row>
    <row r="624">
      <c r="A624" s="117"/>
      <c r="B624" s="117"/>
    </row>
    <row r="625">
      <c r="A625" s="117"/>
      <c r="B625" s="117"/>
    </row>
    <row r="626">
      <c r="A626" s="117"/>
      <c r="B626" s="117"/>
    </row>
    <row r="627">
      <c r="A627" s="117"/>
      <c r="B627" s="117"/>
    </row>
    <row r="628">
      <c r="A628" s="117"/>
      <c r="B628" s="117"/>
    </row>
    <row r="629">
      <c r="A629" s="117"/>
      <c r="B629" s="117"/>
    </row>
    <row r="630">
      <c r="A630" s="117"/>
      <c r="B630" s="117"/>
    </row>
    <row r="631">
      <c r="A631" s="117"/>
      <c r="B631" s="117"/>
    </row>
    <row r="632">
      <c r="A632" s="117"/>
      <c r="B632" s="117"/>
    </row>
    <row r="633">
      <c r="A633" s="117"/>
      <c r="B633" s="117"/>
    </row>
    <row r="634">
      <c r="A634" s="117"/>
      <c r="B634" s="117"/>
    </row>
    <row r="635">
      <c r="A635" s="117"/>
      <c r="B635" s="117"/>
    </row>
    <row r="636">
      <c r="A636" s="117"/>
      <c r="B636" s="117"/>
    </row>
    <row r="637">
      <c r="A637" s="117"/>
      <c r="B637" s="117"/>
    </row>
    <row r="638">
      <c r="A638" s="117"/>
      <c r="B638" s="117"/>
    </row>
    <row r="639">
      <c r="A639" s="117"/>
      <c r="B639" s="117"/>
    </row>
    <row r="640">
      <c r="A640" s="117"/>
      <c r="B640" s="117"/>
    </row>
    <row r="641">
      <c r="A641" s="117"/>
      <c r="B641" s="117"/>
    </row>
    <row r="642">
      <c r="A642" s="117"/>
      <c r="B642" s="117"/>
    </row>
    <row r="643">
      <c r="A643" s="117"/>
      <c r="B643" s="117"/>
    </row>
    <row r="644">
      <c r="A644" s="117"/>
      <c r="B644" s="117"/>
    </row>
    <row r="645">
      <c r="A645" s="117"/>
      <c r="B645" s="117"/>
    </row>
    <row r="646">
      <c r="A646" s="117"/>
      <c r="B646" s="117"/>
    </row>
    <row r="647">
      <c r="A647" s="117"/>
      <c r="B647" s="117"/>
    </row>
    <row r="648">
      <c r="A648" s="117"/>
      <c r="B648" s="117"/>
    </row>
    <row r="649">
      <c r="A649" s="117"/>
      <c r="B649" s="117"/>
    </row>
    <row r="650">
      <c r="A650" s="117"/>
      <c r="B650" s="117"/>
    </row>
    <row r="651">
      <c r="A651" s="117"/>
      <c r="B651" s="117"/>
    </row>
    <row r="652">
      <c r="A652" s="117"/>
      <c r="B652" s="117"/>
    </row>
    <row r="653">
      <c r="A653" s="117"/>
      <c r="B653" s="117"/>
    </row>
    <row r="654">
      <c r="A654" s="117"/>
      <c r="B654" s="117"/>
    </row>
    <row r="655">
      <c r="A655" s="117"/>
      <c r="B655" s="117"/>
    </row>
    <row r="656">
      <c r="A656" s="117"/>
      <c r="B656" s="117"/>
    </row>
    <row r="657">
      <c r="A657" s="117"/>
      <c r="B657" s="117"/>
    </row>
    <row r="658">
      <c r="A658" s="117"/>
      <c r="B658" s="117"/>
    </row>
    <row r="659">
      <c r="A659" s="117"/>
      <c r="B659" s="117"/>
    </row>
    <row r="660">
      <c r="A660" s="117"/>
      <c r="B660" s="117"/>
    </row>
    <row r="661">
      <c r="A661" s="117"/>
      <c r="B661" s="117"/>
    </row>
    <row r="662">
      <c r="A662" s="117"/>
      <c r="B662" s="117"/>
    </row>
    <row r="663">
      <c r="A663" s="117"/>
      <c r="B663" s="117"/>
    </row>
    <row r="664">
      <c r="A664" s="117"/>
      <c r="B664" s="117"/>
    </row>
    <row r="665">
      <c r="A665" s="117"/>
      <c r="B665" s="117"/>
    </row>
    <row r="666">
      <c r="A666" s="117"/>
      <c r="B666" s="117"/>
    </row>
    <row r="667">
      <c r="A667" s="117"/>
      <c r="B667" s="117"/>
    </row>
    <row r="668">
      <c r="A668" s="117"/>
      <c r="B668" s="117"/>
    </row>
    <row r="669">
      <c r="A669" s="117"/>
      <c r="B669" s="117"/>
    </row>
    <row r="670">
      <c r="A670" s="117"/>
      <c r="B670" s="117"/>
    </row>
    <row r="671">
      <c r="A671" s="117"/>
      <c r="B671" s="117"/>
    </row>
    <row r="672">
      <c r="A672" s="117"/>
      <c r="B672" s="117"/>
    </row>
    <row r="673">
      <c r="A673" s="117"/>
      <c r="B673" s="117"/>
    </row>
    <row r="674">
      <c r="A674" s="117"/>
      <c r="B674" s="117"/>
    </row>
    <row r="675">
      <c r="A675" s="117"/>
      <c r="B675" s="117"/>
    </row>
    <row r="676">
      <c r="A676" s="117"/>
      <c r="B676" s="117"/>
    </row>
    <row r="677">
      <c r="A677" s="117"/>
      <c r="B677" s="117"/>
    </row>
    <row r="678">
      <c r="A678" s="117"/>
      <c r="B678" s="117"/>
    </row>
    <row r="679">
      <c r="A679" s="117"/>
      <c r="B679" s="117"/>
    </row>
    <row r="680">
      <c r="A680" s="117"/>
      <c r="B680" s="117"/>
    </row>
    <row r="681">
      <c r="A681" s="117"/>
      <c r="B681" s="117"/>
    </row>
    <row r="682">
      <c r="A682" s="117"/>
      <c r="B682" s="117"/>
    </row>
    <row r="683">
      <c r="A683" s="117"/>
      <c r="B683" s="117"/>
    </row>
    <row r="684">
      <c r="A684" s="117"/>
      <c r="B684" s="117"/>
    </row>
    <row r="685">
      <c r="A685" s="117"/>
      <c r="B685" s="117"/>
    </row>
    <row r="686">
      <c r="A686" s="117"/>
      <c r="B686" s="117"/>
    </row>
    <row r="687">
      <c r="A687" s="117"/>
      <c r="B687" s="117"/>
    </row>
    <row r="688">
      <c r="A688" s="117"/>
      <c r="B688" s="117"/>
    </row>
    <row r="689">
      <c r="A689" s="117"/>
      <c r="B689" s="117"/>
    </row>
    <row r="690">
      <c r="A690" s="117"/>
      <c r="B690" s="117"/>
    </row>
    <row r="691">
      <c r="A691" s="117"/>
      <c r="B691" s="117"/>
    </row>
    <row r="692">
      <c r="A692" s="117"/>
      <c r="B692" s="117"/>
    </row>
    <row r="693">
      <c r="A693" s="117"/>
      <c r="B693" s="117"/>
    </row>
    <row r="694">
      <c r="A694" s="117"/>
      <c r="B694" s="117"/>
    </row>
    <row r="695">
      <c r="A695" s="117"/>
      <c r="B695" s="117"/>
    </row>
    <row r="696">
      <c r="A696" s="117"/>
      <c r="B696" s="117"/>
    </row>
    <row r="697">
      <c r="A697" s="117"/>
      <c r="B697" s="117"/>
    </row>
    <row r="698">
      <c r="A698" s="117"/>
      <c r="B698" s="117"/>
    </row>
    <row r="699">
      <c r="A699" s="117"/>
      <c r="B699" s="117"/>
    </row>
    <row r="700">
      <c r="A700" s="117"/>
      <c r="B700" s="117"/>
    </row>
    <row r="701">
      <c r="A701" s="117"/>
      <c r="B701" s="117"/>
    </row>
    <row r="702">
      <c r="A702" s="117"/>
      <c r="B702" s="117"/>
    </row>
    <row r="703">
      <c r="A703" s="117"/>
      <c r="B703" s="117"/>
    </row>
    <row r="704">
      <c r="A704" s="117"/>
      <c r="B704" s="117"/>
    </row>
    <row r="705">
      <c r="A705" s="117"/>
      <c r="B705" s="117"/>
    </row>
    <row r="706">
      <c r="A706" s="117"/>
      <c r="B706" s="117"/>
    </row>
    <row r="707">
      <c r="A707" s="117"/>
      <c r="B707" s="117"/>
    </row>
    <row r="708">
      <c r="A708" s="117"/>
      <c r="B708" s="117"/>
    </row>
    <row r="709">
      <c r="A709" s="117"/>
      <c r="B709" s="117"/>
    </row>
    <row r="710">
      <c r="A710" s="117"/>
      <c r="B710" s="117"/>
    </row>
    <row r="711">
      <c r="A711" s="117"/>
      <c r="B711" s="117"/>
    </row>
    <row r="712">
      <c r="A712" s="117"/>
      <c r="B712" s="117"/>
    </row>
    <row r="713">
      <c r="A713" s="117"/>
      <c r="B713" s="117"/>
    </row>
    <row r="714">
      <c r="A714" s="117"/>
      <c r="B714" s="117"/>
    </row>
    <row r="715">
      <c r="A715" s="117"/>
      <c r="B715" s="117"/>
    </row>
    <row r="716">
      <c r="A716" s="117"/>
      <c r="B716" s="117"/>
    </row>
    <row r="717">
      <c r="A717" s="117"/>
      <c r="B717" s="117"/>
    </row>
    <row r="718">
      <c r="A718" s="117"/>
      <c r="B718" s="117"/>
    </row>
    <row r="719">
      <c r="A719" s="117"/>
      <c r="B719" s="117"/>
    </row>
    <row r="720">
      <c r="A720" s="117"/>
      <c r="B720" s="117"/>
    </row>
    <row r="721">
      <c r="A721" s="117"/>
      <c r="B721" s="117"/>
    </row>
    <row r="722">
      <c r="A722" s="117"/>
      <c r="B722" s="117"/>
    </row>
    <row r="723">
      <c r="A723" s="117"/>
      <c r="B723" s="117"/>
    </row>
    <row r="724">
      <c r="A724" s="117"/>
      <c r="B724" s="117"/>
    </row>
    <row r="725">
      <c r="A725" s="117"/>
      <c r="B725" s="117"/>
    </row>
    <row r="726">
      <c r="A726" s="117"/>
      <c r="B726" s="117"/>
    </row>
    <row r="727">
      <c r="A727" s="117"/>
      <c r="B727" s="117"/>
    </row>
    <row r="728">
      <c r="A728" s="117"/>
      <c r="B728" s="117"/>
    </row>
    <row r="729">
      <c r="A729" s="117"/>
      <c r="B729" s="117"/>
    </row>
    <row r="730">
      <c r="A730" s="117"/>
      <c r="B730" s="117"/>
    </row>
    <row r="731">
      <c r="A731" s="117"/>
      <c r="B731" s="117"/>
    </row>
    <row r="732">
      <c r="A732" s="117"/>
      <c r="B732" s="117"/>
    </row>
    <row r="733">
      <c r="A733" s="117"/>
      <c r="B733" s="117"/>
    </row>
    <row r="734">
      <c r="A734" s="117"/>
      <c r="B734" s="117"/>
    </row>
    <row r="735">
      <c r="A735" s="117"/>
      <c r="B735" s="117"/>
    </row>
    <row r="736">
      <c r="A736" s="117"/>
      <c r="B736" s="117"/>
    </row>
    <row r="737">
      <c r="A737" s="117"/>
      <c r="B737" s="117"/>
    </row>
    <row r="738">
      <c r="A738" s="117"/>
      <c r="B738" s="117"/>
    </row>
    <row r="739">
      <c r="A739" s="117"/>
      <c r="B739" s="117"/>
    </row>
    <row r="740">
      <c r="A740" s="117"/>
      <c r="B740" s="117"/>
    </row>
    <row r="741">
      <c r="A741" s="117"/>
      <c r="B741" s="117"/>
    </row>
    <row r="742">
      <c r="A742" s="117"/>
      <c r="B742" s="117"/>
    </row>
    <row r="743">
      <c r="A743" s="117"/>
      <c r="B743" s="117"/>
    </row>
    <row r="744">
      <c r="A744" s="117"/>
      <c r="B744" s="117"/>
    </row>
    <row r="745">
      <c r="A745" s="117"/>
      <c r="B745" s="117"/>
    </row>
    <row r="746">
      <c r="A746" s="117"/>
      <c r="B746" s="117"/>
    </row>
    <row r="747">
      <c r="A747" s="117"/>
      <c r="B747" s="117"/>
    </row>
    <row r="748">
      <c r="A748" s="117"/>
      <c r="B748" s="117"/>
    </row>
    <row r="749">
      <c r="A749" s="117"/>
      <c r="B749" s="117"/>
    </row>
    <row r="750">
      <c r="A750" s="117"/>
      <c r="B750" s="117"/>
    </row>
    <row r="751">
      <c r="A751" s="117"/>
      <c r="B751" s="117"/>
    </row>
    <row r="752">
      <c r="A752" s="117"/>
      <c r="B752" s="117"/>
    </row>
    <row r="753">
      <c r="A753" s="117"/>
      <c r="B753" s="117"/>
    </row>
    <row r="754">
      <c r="A754" s="117"/>
      <c r="B754" s="117"/>
    </row>
    <row r="755">
      <c r="A755" s="117"/>
      <c r="B755" s="117"/>
    </row>
    <row r="756">
      <c r="A756" s="117"/>
      <c r="B756" s="117"/>
    </row>
    <row r="757">
      <c r="A757" s="117"/>
      <c r="B757" s="117"/>
    </row>
    <row r="758">
      <c r="A758" s="117"/>
      <c r="B758" s="117"/>
    </row>
    <row r="759">
      <c r="A759" s="117"/>
      <c r="B759" s="117"/>
    </row>
    <row r="760">
      <c r="A760" s="117"/>
      <c r="B760" s="117"/>
    </row>
    <row r="761">
      <c r="A761" s="117"/>
      <c r="B761" s="117"/>
    </row>
    <row r="762">
      <c r="A762" s="117"/>
      <c r="B762" s="117"/>
    </row>
    <row r="763">
      <c r="A763" s="117"/>
      <c r="B763" s="117"/>
    </row>
    <row r="764">
      <c r="A764" s="117"/>
      <c r="B764" s="117"/>
    </row>
    <row r="765">
      <c r="A765" s="117"/>
      <c r="B765" s="117"/>
    </row>
    <row r="766">
      <c r="A766" s="117"/>
      <c r="B766" s="117"/>
    </row>
    <row r="767">
      <c r="A767" s="117"/>
      <c r="B767" s="117"/>
    </row>
    <row r="768">
      <c r="A768" s="117"/>
      <c r="B768" s="117"/>
    </row>
    <row r="769">
      <c r="A769" s="117"/>
      <c r="B769" s="117"/>
    </row>
    <row r="770">
      <c r="A770" s="117"/>
      <c r="B770" s="117"/>
    </row>
    <row r="771">
      <c r="A771" s="117"/>
      <c r="B771" s="117"/>
    </row>
    <row r="772">
      <c r="A772" s="117"/>
      <c r="B772" s="117"/>
    </row>
    <row r="773">
      <c r="A773" s="117"/>
      <c r="B773" s="117"/>
    </row>
    <row r="774">
      <c r="A774" s="117"/>
      <c r="B774" s="117"/>
    </row>
    <row r="775">
      <c r="A775" s="117"/>
      <c r="B775" s="117"/>
    </row>
    <row r="776">
      <c r="A776" s="117"/>
      <c r="B776" s="117"/>
    </row>
    <row r="777">
      <c r="A777" s="117"/>
      <c r="B777" s="117"/>
    </row>
    <row r="778">
      <c r="A778" s="117"/>
      <c r="B778" s="117"/>
    </row>
    <row r="779">
      <c r="A779" s="117"/>
      <c r="B779" s="117"/>
    </row>
    <row r="780">
      <c r="A780" s="117"/>
      <c r="B780" s="117"/>
    </row>
    <row r="781">
      <c r="A781" s="117"/>
      <c r="B781" s="117"/>
    </row>
    <row r="782">
      <c r="A782" s="117"/>
      <c r="B782" s="117"/>
    </row>
    <row r="783">
      <c r="A783" s="117"/>
      <c r="B783" s="117"/>
    </row>
    <row r="784">
      <c r="A784" s="117"/>
      <c r="B784" s="117"/>
    </row>
    <row r="785">
      <c r="A785" s="117"/>
      <c r="B785" s="117"/>
    </row>
    <row r="786">
      <c r="A786" s="117"/>
      <c r="B786" s="117"/>
    </row>
    <row r="787">
      <c r="A787" s="117"/>
      <c r="B787" s="117"/>
    </row>
    <row r="788">
      <c r="A788" s="117"/>
      <c r="B788" s="117"/>
    </row>
    <row r="789">
      <c r="A789" s="117"/>
      <c r="B789" s="117"/>
    </row>
    <row r="790">
      <c r="A790" s="117"/>
      <c r="B790" s="117"/>
    </row>
    <row r="791">
      <c r="A791" s="117"/>
      <c r="B791" s="117"/>
    </row>
    <row r="792">
      <c r="A792" s="117"/>
      <c r="B792" s="117"/>
    </row>
    <row r="793">
      <c r="A793" s="117"/>
      <c r="B793" s="117"/>
    </row>
    <row r="794">
      <c r="A794" s="117"/>
      <c r="B794" s="117"/>
    </row>
    <row r="795">
      <c r="A795" s="117"/>
      <c r="B795" s="117"/>
    </row>
    <row r="796">
      <c r="A796" s="117"/>
      <c r="B796" s="117"/>
    </row>
    <row r="797">
      <c r="A797" s="117"/>
      <c r="B797" s="117"/>
    </row>
    <row r="798">
      <c r="A798" s="117"/>
      <c r="B798" s="117"/>
    </row>
    <row r="799">
      <c r="A799" s="117"/>
      <c r="B799" s="117"/>
    </row>
    <row r="800">
      <c r="A800" s="117"/>
      <c r="B800" s="117"/>
    </row>
    <row r="801">
      <c r="A801" s="117"/>
      <c r="B801" s="117"/>
    </row>
    <row r="802">
      <c r="A802" s="117"/>
      <c r="B802" s="117"/>
    </row>
    <row r="803">
      <c r="A803" s="117"/>
      <c r="B803" s="117"/>
    </row>
    <row r="804">
      <c r="A804" s="117"/>
      <c r="B804" s="117"/>
    </row>
    <row r="805">
      <c r="A805" s="117"/>
      <c r="B805" s="117"/>
    </row>
    <row r="806">
      <c r="A806" s="117"/>
      <c r="B806" s="117"/>
    </row>
    <row r="807">
      <c r="A807" s="117"/>
      <c r="B807" s="117"/>
    </row>
    <row r="808">
      <c r="A808" s="117"/>
      <c r="B808" s="117"/>
    </row>
    <row r="809">
      <c r="A809" s="117"/>
      <c r="B809" s="117"/>
    </row>
    <row r="810">
      <c r="A810" s="117"/>
      <c r="B810" s="117"/>
    </row>
    <row r="811">
      <c r="A811" s="117"/>
      <c r="B811" s="117"/>
    </row>
    <row r="812">
      <c r="A812" s="117"/>
      <c r="B812" s="117"/>
    </row>
    <row r="813">
      <c r="A813" s="117"/>
      <c r="B813" s="117"/>
    </row>
    <row r="814">
      <c r="A814" s="117"/>
      <c r="B814" s="117"/>
    </row>
    <row r="815">
      <c r="A815" s="117"/>
      <c r="B815" s="117"/>
    </row>
    <row r="816">
      <c r="A816" s="117"/>
      <c r="B816" s="117"/>
    </row>
    <row r="817">
      <c r="A817" s="117"/>
      <c r="B817" s="117"/>
    </row>
    <row r="818">
      <c r="A818" s="117"/>
      <c r="B818" s="117"/>
    </row>
    <row r="819">
      <c r="A819" s="117"/>
      <c r="B819" s="117"/>
    </row>
    <row r="820">
      <c r="A820" s="117"/>
      <c r="B820" s="117"/>
    </row>
    <row r="821">
      <c r="A821" s="117"/>
      <c r="B821" s="117"/>
    </row>
    <row r="822">
      <c r="A822" s="117"/>
      <c r="B822" s="117"/>
    </row>
    <row r="823">
      <c r="A823" s="117"/>
      <c r="B823" s="117"/>
    </row>
    <row r="824">
      <c r="A824" s="117"/>
      <c r="B824" s="117"/>
    </row>
    <row r="825">
      <c r="A825" s="117"/>
      <c r="B825" s="117"/>
    </row>
    <row r="826">
      <c r="A826" s="117"/>
      <c r="B826" s="117"/>
    </row>
    <row r="827">
      <c r="A827" s="117"/>
      <c r="B827" s="117"/>
    </row>
    <row r="828">
      <c r="A828" s="117"/>
      <c r="B828" s="117"/>
    </row>
    <row r="829">
      <c r="A829" s="117"/>
      <c r="B829" s="117"/>
    </row>
    <row r="830">
      <c r="A830" s="117"/>
      <c r="B830" s="117"/>
    </row>
    <row r="831">
      <c r="A831" s="117"/>
      <c r="B831" s="117"/>
    </row>
    <row r="832">
      <c r="A832" s="117"/>
      <c r="B832" s="117"/>
    </row>
    <row r="833">
      <c r="A833" s="117"/>
      <c r="B833" s="117"/>
    </row>
    <row r="834">
      <c r="A834" s="117"/>
      <c r="B834" s="117"/>
    </row>
    <row r="835">
      <c r="A835" s="117"/>
      <c r="B835" s="117"/>
    </row>
    <row r="836">
      <c r="A836" s="117"/>
      <c r="B836" s="117"/>
    </row>
    <row r="837">
      <c r="A837" s="117"/>
      <c r="B837" s="117"/>
    </row>
    <row r="838">
      <c r="A838" s="117"/>
      <c r="B838" s="117"/>
    </row>
    <row r="839">
      <c r="A839" s="117"/>
      <c r="B839" s="117"/>
    </row>
    <row r="840">
      <c r="A840" s="117"/>
      <c r="B840" s="117"/>
    </row>
    <row r="841">
      <c r="A841" s="117"/>
      <c r="B841" s="117"/>
    </row>
    <row r="842">
      <c r="A842" s="117"/>
      <c r="B842" s="117"/>
    </row>
    <row r="843">
      <c r="A843" s="117"/>
      <c r="B843" s="117"/>
    </row>
    <row r="844">
      <c r="A844" s="117"/>
      <c r="B844" s="117"/>
    </row>
    <row r="845">
      <c r="A845" s="117"/>
      <c r="B845" s="117"/>
    </row>
    <row r="846">
      <c r="A846" s="117"/>
      <c r="B846" s="117"/>
    </row>
    <row r="847">
      <c r="A847" s="117"/>
      <c r="B847" s="117"/>
    </row>
    <row r="848">
      <c r="A848" s="117"/>
      <c r="B848" s="117"/>
    </row>
    <row r="849">
      <c r="A849" s="117"/>
      <c r="B849" s="117"/>
    </row>
    <row r="850">
      <c r="A850" s="117"/>
      <c r="B850" s="117"/>
    </row>
    <row r="851">
      <c r="A851" s="117"/>
      <c r="B851" s="117"/>
    </row>
    <row r="852">
      <c r="A852" s="117"/>
      <c r="B852" s="117"/>
    </row>
    <row r="853">
      <c r="A853" s="117"/>
      <c r="B853" s="117"/>
    </row>
    <row r="854">
      <c r="A854" s="117"/>
      <c r="B854" s="117"/>
    </row>
    <row r="855">
      <c r="A855" s="117"/>
      <c r="B855" s="117"/>
    </row>
    <row r="856">
      <c r="A856" s="117"/>
      <c r="B856" s="117"/>
    </row>
    <row r="857">
      <c r="A857" s="117"/>
      <c r="B857" s="117"/>
    </row>
    <row r="858">
      <c r="A858" s="117"/>
      <c r="B858" s="117"/>
    </row>
    <row r="859">
      <c r="A859" s="117"/>
      <c r="B859" s="117"/>
    </row>
    <row r="860">
      <c r="A860" s="117"/>
      <c r="B860" s="117"/>
    </row>
    <row r="861">
      <c r="A861" s="117"/>
      <c r="B861" s="117"/>
    </row>
    <row r="862">
      <c r="A862" s="117"/>
      <c r="B862" s="117"/>
    </row>
    <row r="863">
      <c r="A863" s="117"/>
      <c r="B863" s="117"/>
    </row>
    <row r="864">
      <c r="A864" s="117"/>
      <c r="B864" s="117"/>
    </row>
    <row r="865">
      <c r="A865" s="117"/>
      <c r="B865" s="117"/>
    </row>
    <row r="866">
      <c r="A866" s="117"/>
      <c r="B866" s="117"/>
    </row>
    <row r="867">
      <c r="A867" s="117"/>
      <c r="B867" s="117"/>
    </row>
    <row r="868">
      <c r="A868" s="117"/>
      <c r="B868" s="117"/>
    </row>
    <row r="869">
      <c r="A869" s="117"/>
      <c r="B869" s="117"/>
    </row>
    <row r="870">
      <c r="A870" s="117"/>
      <c r="B870" s="117"/>
    </row>
    <row r="871">
      <c r="A871" s="117"/>
      <c r="B871" s="117"/>
    </row>
    <row r="872">
      <c r="A872" s="117"/>
      <c r="B872" s="117"/>
    </row>
    <row r="873">
      <c r="A873" s="117"/>
      <c r="B873" s="117"/>
    </row>
    <row r="874">
      <c r="A874" s="117"/>
      <c r="B874" s="117"/>
    </row>
    <row r="875">
      <c r="A875" s="117"/>
      <c r="B875" s="117"/>
    </row>
    <row r="876">
      <c r="A876" s="117"/>
      <c r="B876" s="117"/>
    </row>
    <row r="877">
      <c r="A877" s="117"/>
      <c r="B877" s="117"/>
    </row>
    <row r="878">
      <c r="A878" s="117"/>
      <c r="B878" s="117"/>
    </row>
    <row r="879">
      <c r="A879" s="117"/>
      <c r="B879" s="117"/>
    </row>
    <row r="880">
      <c r="A880" s="117"/>
      <c r="B880" s="117"/>
    </row>
    <row r="881">
      <c r="A881" s="117"/>
      <c r="B881" s="117"/>
    </row>
    <row r="882">
      <c r="A882" s="117"/>
      <c r="B882" s="117"/>
    </row>
    <row r="883">
      <c r="A883" s="117"/>
      <c r="B883" s="117"/>
    </row>
    <row r="884">
      <c r="A884" s="117"/>
      <c r="B884" s="117"/>
    </row>
    <row r="885">
      <c r="A885" s="117"/>
      <c r="B885" s="117"/>
    </row>
    <row r="886">
      <c r="A886" s="117"/>
      <c r="B886" s="117"/>
    </row>
    <row r="887">
      <c r="A887" s="117"/>
      <c r="B887" s="117"/>
    </row>
    <row r="888">
      <c r="A888" s="117"/>
      <c r="B888" s="117"/>
    </row>
    <row r="889">
      <c r="A889" s="117"/>
      <c r="B889" s="117"/>
    </row>
    <row r="890">
      <c r="A890" s="117"/>
      <c r="B890" s="117"/>
    </row>
    <row r="891">
      <c r="A891" s="117"/>
      <c r="B891" s="117"/>
    </row>
    <row r="892">
      <c r="A892" s="117"/>
      <c r="B892" s="117"/>
    </row>
    <row r="893">
      <c r="A893" s="117"/>
      <c r="B893" s="117"/>
    </row>
    <row r="894">
      <c r="A894" s="117"/>
      <c r="B894" s="117"/>
    </row>
    <row r="895">
      <c r="A895" s="117"/>
      <c r="B895" s="117"/>
    </row>
    <row r="896">
      <c r="A896" s="117"/>
      <c r="B896" s="117"/>
    </row>
    <row r="897">
      <c r="A897" s="117"/>
      <c r="B897" s="117"/>
    </row>
    <row r="898">
      <c r="A898" s="117"/>
      <c r="B898" s="117"/>
    </row>
    <row r="899">
      <c r="A899" s="117"/>
      <c r="B899" s="117"/>
    </row>
    <row r="900">
      <c r="A900" s="117"/>
      <c r="B900" s="117"/>
    </row>
    <row r="901">
      <c r="A901" s="117"/>
      <c r="B901" s="117"/>
    </row>
    <row r="902">
      <c r="A902" s="117"/>
      <c r="B902" s="117"/>
    </row>
    <row r="903">
      <c r="A903" s="117"/>
      <c r="B903" s="117"/>
    </row>
    <row r="904">
      <c r="A904" s="117"/>
      <c r="B904" s="117"/>
    </row>
    <row r="905">
      <c r="A905" s="117"/>
      <c r="B905" s="117"/>
    </row>
    <row r="906">
      <c r="A906" s="117"/>
      <c r="B906" s="117"/>
    </row>
    <row r="907">
      <c r="A907" s="117"/>
      <c r="B907" s="117"/>
    </row>
    <row r="908">
      <c r="A908" s="117"/>
      <c r="B908" s="117"/>
    </row>
    <row r="909">
      <c r="A909" s="117"/>
      <c r="B909" s="117"/>
    </row>
    <row r="910">
      <c r="A910" s="117"/>
      <c r="B910" s="117"/>
    </row>
    <row r="911">
      <c r="A911" s="117"/>
      <c r="B911" s="117"/>
    </row>
    <row r="912">
      <c r="A912" s="117"/>
      <c r="B912" s="117"/>
    </row>
    <row r="913">
      <c r="A913" s="117"/>
      <c r="B913" s="117"/>
    </row>
    <row r="914">
      <c r="A914" s="117"/>
      <c r="B914" s="117"/>
    </row>
    <row r="915">
      <c r="A915" s="117"/>
      <c r="B915" s="117"/>
    </row>
    <row r="916">
      <c r="A916" s="117"/>
      <c r="B916" s="117"/>
    </row>
    <row r="917">
      <c r="A917" s="117"/>
      <c r="B917" s="117"/>
    </row>
    <row r="918">
      <c r="A918" s="117"/>
      <c r="B918" s="117"/>
    </row>
    <row r="919">
      <c r="A919" s="117"/>
      <c r="B919" s="117"/>
    </row>
    <row r="920">
      <c r="A920" s="117"/>
      <c r="B920" s="117"/>
    </row>
    <row r="921">
      <c r="A921" s="117"/>
      <c r="B921" s="117"/>
    </row>
    <row r="922">
      <c r="A922" s="117"/>
      <c r="B922" s="117"/>
    </row>
    <row r="923">
      <c r="A923" s="117"/>
      <c r="B923" s="117"/>
    </row>
    <row r="924">
      <c r="A924" s="117"/>
      <c r="B924" s="117"/>
    </row>
    <row r="925">
      <c r="A925" s="117"/>
      <c r="B925" s="117"/>
    </row>
    <row r="926">
      <c r="A926" s="117"/>
      <c r="B926" s="117"/>
    </row>
    <row r="927">
      <c r="A927" s="117"/>
      <c r="B927" s="117"/>
    </row>
    <row r="928">
      <c r="A928" s="117"/>
      <c r="B928" s="117"/>
    </row>
    <row r="929">
      <c r="A929" s="117"/>
      <c r="B929" s="117"/>
    </row>
    <row r="930">
      <c r="A930" s="117"/>
      <c r="B930" s="117"/>
    </row>
    <row r="931">
      <c r="A931" s="117"/>
      <c r="B931" s="117"/>
    </row>
    <row r="932">
      <c r="A932" s="117"/>
      <c r="B932" s="117"/>
    </row>
    <row r="933">
      <c r="A933" s="117"/>
      <c r="B933" s="117"/>
    </row>
    <row r="934">
      <c r="A934" s="117"/>
      <c r="B934" s="117"/>
    </row>
    <row r="935">
      <c r="A935" s="117"/>
      <c r="B935" s="117"/>
    </row>
    <row r="936">
      <c r="A936" s="117"/>
      <c r="B936" s="117"/>
    </row>
    <row r="937">
      <c r="A937" s="117"/>
      <c r="B937" s="117"/>
    </row>
    <row r="938">
      <c r="A938" s="117"/>
      <c r="B938" s="117"/>
    </row>
    <row r="939">
      <c r="A939" s="117"/>
      <c r="B939" s="117"/>
    </row>
    <row r="940">
      <c r="A940" s="117"/>
      <c r="B940" s="117"/>
    </row>
    <row r="941">
      <c r="A941" s="117"/>
      <c r="B941" s="117"/>
    </row>
    <row r="942">
      <c r="A942" s="117"/>
      <c r="B942" s="117"/>
    </row>
    <row r="943">
      <c r="A943" s="117"/>
      <c r="B943" s="117"/>
    </row>
    <row r="944">
      <c r="A944" s="117"/>
      <c r="B944" s="117"/>
    </row>
    <row r="945">
      <c r="A945" s="117"/>
      <c r="B945" s="117"/>
    </row>
    <row r="946">
      <c r="A946" s="117"/>
      <c r="B946" s="117"/>
    </row>
    <row r="947">
      <c r="A947" s="117"/>
      <c r="B947" s="117"/>
    </row>
    <row r="948">
      <c r="A948" s="117"/>
      <c r="B948" s="117"/>
    </row>
    <row r="949">
      <c r="A949" s="117"/>
      <c r="B949" s="117"/>
    </row>
    <row r="950">
      <c r="A950" s="117"/>
      <c r="B950" s="117"/>
    </row>
    <row r="951">
      <c r="A951" s="117"/>
      <c r="B951" s="117"/>
    </row>
    <row r="952">
      <c r="A952" s="117"/>
      <c r="B952" s="117"/>
    </row>
    <row r="953">
      <c r="A953" s="117"/>
      <c r="B953" s="117"/>
    </row>
    <row r="954">
      <c r="A954" s="117"/>
      <c r="B954" s="117"/>
    </row>
    <row r="955">
      <c r="A955" s="117"/>
      <c r="B955" s="117"/>
    </row>
    <row r="956">
      <c r="A956" s="117"/>
      <c r="B956" s="117"/>
    </row>
    <row r="957">
      <c r="A957" s="117"/>
      <c r="B957" s="117"/>
    </row>
    <row r="958">
      <c r="A958" s="117"/>
      <c r="B958" s="117"/>
    </row>
    <row r="959">
      <c r="A959" s="117"/>
      <c r="B959" s="117"/>
    </row>
    <row r="960">
      <c r="A960" s="117"/>
      <c r="B960" s="117"/>
    </row>
    <row r="961">
      <c r="A961" s="117"/>
      <c r="B961" s="117"/>
    </row>
    <row r="962">
      <c r="A962" s="117"/>
      <c r="B962" s="117"/>
    </row>
    <row r="963">
      <c r="A963" s="117"/>
      <c r="B963" s="117"/>
    </row>
    <row r="964">
      <c r="A964" s="117"/>
      <c r="B964" s="117"/>
    </row>
    <row r="965">
      <c r="A965" s="117"/>
      <c r="B965" s="117"/>
    </row>
    <row r="966">
      <c r="A966" s="117"/>
      <c r="B966" s="117"/>
    </row>
    <row r="967">
      <c r="A967" s="117"/>
      <c r="B967" s="117"/>
    </row>
    <row r="968">
      <c r="A968" s="117"/>
      <c r="B968" s="117"/>
    </row>
    <row r="969">
      <c r="A969" s="117"/>
      <c r="B969" s="117"/>
    </row>
    <row r="970">
      <c r="A970" s="117"/>
      <c r="B970" s="117"/>
    </row>
    <row r="971">
      <c r="A971" s="117"/>
      <c r="B971" s="117"/>
    </row>
    <row r="972">
      <c r="A972" s="117"/>
      <c r="B972" s="117"/>
    </row>
    <row r="973">
      <c r="A973" s="117"/>
      <c r="B973" s="117"/>
    </row>
    <row r="974">
      <c r="A974" s="117"/>
      <c r="B974" s="117"/>
    </row>
    <row r="975">
      <c r="A975" s="117"/>
      <c r="B975" s="117"/>
    </row>
    <row r="976">
      <c r="A976" s="117"/>
      <c r="B976" s="117"/>
    </row>
    <row r="977">
      <c r="A977" s="117"/>
      <c r="B977" s="117"/>
    </row>
    <row r="978">
      <c r="A978" s="117"/>
      <c r="B978" s="117"/>
    </row>
    <row r="979">
      <c r="A979" s="117"/>
      <c r="B979" s="117"/>
    </row>
    <row r="980">
      <c r="A980" s="117"/>
      <c r="B980" s="117"/>
    </row>
    <row r="981">
      <c r="A981" s="117"/>
      <c r="B981" s="117"/>
    </row>
    <row r="982">
      <c r="A982" s="117"/>
      <c r="B982" s="117"/>
    </row>
    <row r="983">
      <c r="A983" s="117"/>
      <c r="B983" s="117"/>
    </row>
    <row r="984">
      <c r="A984" s="117"/>
      <c r="B984" s="117"/>
    </row>
    <row r="985">
      <c r="A985" s="117"/>
      <c r="B985" s="117"/>
    </row>
    <row r="986">
      <c r="A986" s="117"/>
      <c r="B986" s="117"/>
    </row>
    <row r="987">
      <c r="A987" s="117"/>
      <c r="B987" s="117"/>
    </row>
    <row r="988">
      <c r="A988" s="117"/>
      <c r="B988" s="117"/>
    </row>
    <row r="989">
      <c r="A989" s="117"/>
      <c r="B989" s="117"/>
    </row>
    <row r="990">
      <c r="A990" s="117"/>
      <c r="B990" s="117"/>
    </row>
    <row r="991">
      <c r="A991" s="117"/>
      <c r="B991" s="117"/>
    </row>
    <row r="992">
      <c r="A992" s="117"/>
      <c r="B992" s="117"/>
    </row>
    <row r="993">
      <c r="A993" s="117"/>
      <c r="B993" s="117"/>
    </row>
    <row r="994">
      <c r="A994" s="117"/>
      <c r="B994" s="117"/>
    </row>
    <row r="995">
      <c r="A995" s="117"/>
      <c r="B995" s="117"/>
    </row>
    <row r="996">
      <c r="A996" s="117"/>
      <c r="B996" s="117"/>
    </row>
    <row r="997">
      <c r="A997" s="117"/>
      <c r="B997" s="117"/>
    </row>
    <row r="998">
      <c r="A998" s="117"/>
      <c r="B998" s="117"/>
    </row>
    <row r="999">
      <c r="A999" s="117"/>
      <c r="B999" s="117"/>
    </row>
    <row r="1000">
      <c r="A1000" s="117"/>
      <c r="B1000" s="117"/>
    </row>
    <row r="1001">
      <c r="A1001" s="117"/>
      <c r="B1001" s="117"/>
    </row>
    <row r="1002">
      <c r="A1002" s="117"/>
      <c r="B1002" s="117"/>
    </row>
    <row r="1003">
      <c r="A1003" s="117"/>
      <c r="B1003" s="117"/>
    </row>
    <row r="1004">
      <c r="A1004" s="117"/>
      <c r="B1004" s="117"/>
    </row>
    <row r="1005">
      <c r="A1005" s="117"/>
      <c r="B1005" s="117"/>
    </row>
    <row r="1006">
      <c r="A1006" s="117"/>
      <c r="B1006" s="117"/>
    </row>
    <row r="1007">
      <c r="A1007" s="117"/>
      <c r="B1007" s="117"/>
    </row>
    <row r="1008">
      <c r="A1008" s="117"/>
      <c r="B1008" s="117"/>
    </row>
    <row r="1009">
      <c r="A1009" s="117"/>
      <c r="B1009" s="117"/>
    </row>
    <row r="1010">
      <c r="A1010" s="117"/>
      <c r="B1010" s="117"/>
    </row>
    <row r="1011">
      <c r="A1011" s="117"/>
      <c r="B1011" s="117"/>
    </row>
    <row r="1012">
      <c r="A1012" s="117"/>
      <c r="B1012" s="117"/>
    </row>
    <row r="1013">
      <c r="A1013" s="117"/>
      <c r="B1013" s="117"/>
    </row>
    <row r="1014">
      <c r="A1014" s="117"/>
      <c r="B1014" s="117"/>
    </row>
    <row r="1015">
      <c r="A1015" s="117"/>
      <c r="B1015" s="117"/>
    </row>
    <row r="1016">
      <c r="A1016" s="117"/>
      <c r="B1016" s="117"/>
    </row>
    <row r="1017">
      <c r="A1017" s="117"/>
      <c r="B1017" s="117"/>
    </row>
    <row r="1018">
      <c r="A1018" s="117"/>
      <c r="B1018" s="117"/>
    </row>
    <row r="1019">
      <c r="A1019" s="117"/>
      <c r="B1019" s="117"/>
    </row>
    <row r="1020">
      <c r="A1020" s="117"/>
      <c r="B1020" s="117"/>
    </row>
    <row r="1021">
      <c r="A1021" s="117"/>
      <c r="B1021" s="117"/>
    </row>
    <row r="1022">
      <c r="A1022" s="117"/>
      <c r="B1022" s="117"/>
    </row>
    <row r="1023">
      <c r="A1023" s="117"/>
      <c r="B1023" s="117"/>
    </row>
    <row r="1024">
      <c r="A1024" s="117"/>
      <c r="B1024" s="117"/>
    </row>
    <row r="1025">
      <c r="A1025" s="117"/>
      <c r="B1025" s="117"/>
    </row>
    <row r="1026">
      <c r="A1026" s="117"/>
      <c r="B1026" s="117"/>
    </row>
    <row r="1027">
      <c r="A1027" s="117"/>
      <c r="B1027" s="117"/>
    </row>
    <row r="1028">
      <c r="A1028" s="117"/>
      <c r="B1028" s="117"/>
    </row>
    <row r="1029">
      <c r="A1029" s="117"/>
      <c r="B1029" s="117"/>
    </row>
    <row r="1030">
      <c r="A1030" s="117"/>
      <c r="B1030" s="117"/>
    </row>
    <row r="1031">
      <c r="A1031" s="117"/>
      <c r="B1031" s="117"/>
    </row>
    <row r="1032">
      <c r="A1032" s="117"/>
      <c r="B1032" s="117"/>
    </row>
    <row r="1033">
      <c r="A1033" s="117"/>
      <c r="B1033" s="117"/>
    </row>
    <row r="1034">
      <c r="A1034" s="117"/>
      <c r="B1034" s="117"/>
    </row>
    <row r="1035">
      <c r="A1035" s="117"/>
      <c r="B1035" s="117"/>
    </row>
    <row r="1036">
      <c r="A1036" s="117"/>
      <c r="B1036" s="117"/>
    </row>
    <row r="1037">
      <c r="A1037" s="117"/>
      <c r="B1037" s="117"/>
    </row>
    <row r="1038">
      <c r="A1038" s="117"/>
      <c r="B1038" s="117"/>
    </row>
    <row r="1039">
      <c r="A1039" s="117"/>
      <c r="B1039" s="117"/>
    </row>
    <row r="1040">
      <c r="A1040" s="117"/>
      <c r="B1040" s="117"/>
    </row>
    <row r="1041">
      <c r="A1041" s="117"/>
      <c r="B1041" s="117"/>
    </row>
    <row r="1042">
      <c r="A1042" s="117"/>
      <c r="B1042" s="117"/>
    </row>
    <row r="1043">
      <c r="A1043" s="117"/>
      <c r="B1043" s="117"/>
    </row>
    <row r="1044">
      <c r="A1044" s="117"/>
      <c r="B1044" s="117"/>
    </row>
    <row r="1045">
      <c r="A1045" s="117"/>
      <c r="B1045" s="117"/>
    </row>
    <row r="1046">
      <c r="A1046" s="117"/>
      <c r="B1046" s="117"/>
    </row>
    <row r="1047">
      <c r="A1047" s="117"/>
      <c r="B1047" s="117"/>
    </row>
    <row r="1048">
      <c r="A1048" s="117"/>
      <c r="B1048" s="117"/>
    </row>
    <row r="1049">
      <c r="A1049" s="117"/>
      <c r="B1049" s="117"/>
    </row>
    <row r="1050">
      <c r="A1050" s="117"/>
      <c r="B1050" s="117"/>
    </row>
    <row r="1051">
      <c r="A1051" s="117"/>
      <c r="B1051" s="117"/>
    </row>
    <row r="1052">
      <c r="A1052" s="117"/>
      <c r="B1052" s="117"/>
    </row>
    <row r="1053">
      <c r="A1053" s="117"/>
      <c r="B1053" s="117"/>
    </row>
    <row r="1054">
      <c r="A1054" s="117"/>
      <c r="B1054" s="117"/>
    </row>
    <row r="1055">
      <c r="A1055" s="117"/>
      <c r="B1055" s="117"/>
    </row>
    <row r="1056">
      <c r="A1056" s="117"/>
      <c r="B1056" s="117"/>
    </row>
    <row r="1057">
      <c r="A1057" s="117"/>
      <c r="B1057" s="117"/>
    </row>
    <row r="1058">
      <c r="A1058" s="117"/>
      <c r="B1058" s="117"/>
    </row>
    <row r="1059">
      <c r="A1059" s="117"/>
      <c r="B1059" s="117"/>
    </row>
    <row r="1060">
      <c r="A1060" s="117"/>
      <c r="B1060" s="117"/>
    </row>
    <row r="1061">
      <c r="A1061" s="117"/>
      <c r="B1061" s="117"/>
    </row>
    <row r="1062">
      <c r="A1062" s="117"/>
      <c r="B1062" s="117"/>
    </row>
    <row r="1063">
      <c r="A1063" s="117"/>
      <c r="B1063" s="117"/>
    </row>
    <row r="1064">
      <c r="A1064" s="117"/>
      <c r="B1064" s="117"/>
    </row>
    <row r="1065">
      <c r="A1065" s="117"/>
      <c r="B1065" s="117"/>
    </row>
    <row r="1066">
      <c r="A1066" s="117"/>
      <c r="B1066" s="117"/>
    </row>
    <row r="1067">
      <c r="A1067" s="117"/>
      <c r="B1067" s="117"/>
    </row>
    <row r="1068">
      <c r="A1068" s="117"/>
      <c r="B1068" s="117"/>
    </row>
    <row r="1069">
      <c r="A1069" s="117"/>
      <c r="B1069" s="117"/>
    </row>
    <row r="1070">
      <c r="A1070" s="117"/>
      <c r="B1070" s="117"/>
    </row>
    <row r="1071">
      <c r="A1071" s="117"/>
      <c r="B1071" s="117"/>
    </row>
    <row r="1072">
      <c r="A1072" s="117"/>
      <c r="B1072" s="117"/>
    </row>
    <row r="1073">
      <c r="A1073" s="117"/>
      <c r="B1073" s="117"/>
    </row>
    <row r="1074">
      <c r="A1074" s="117"/>
      <c r="B1074" s="117"/>
    </row>
    <row r="1075">
      <c r="A1075" s="117"/>
      <c r="B1075" s="117"/>
    </row>
    <row r="1076">
      <c r="A1076" s="117"/>
      <c r="B1076" s="117"/>
    </row>
    <row r="1077">
      <c r="A1077" s="117"/>
      <c r="B1077" s="117"/>
    </row>
    <row r="1078">
      <c r="A1078" s="117"/>
      <c r="B1078" s="117"/>
    </row>
    <row r="1079">
      <c r="A1079" s="117"/>
      <c r="B1079" s="117"/>
    </row>
    <row r="1080">
      <c r="A1080" s="117"/>
      <c r="B1080" s="117"/>
    </row>
    <row r="1081">
      <c r="A1081" s="117"/>
      <c r="B1081" s="117"/>
    </row>
    <row r="1082">
      <c r="A1082" s="117"/>
      <c r="B1082" s="117"/>
    </row>
    <row r="1083">
      <c r="A1083" s="117"/>
      <c r="B1083" s="117"/>
    </row>
    <row r="1084">
      <c r="A1084" s="117"/>
      <c r="B1084" s="11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08">
        <v>46053.0</v>
      </c>
      <c r="C1" s="109" t="s">
        <v>62</v>
      </c>
      <c r="D1" s="110" t="s">
        <v>63</v>
      </c>
      <c r="E1" s="110" t="s">
        <v>64</v>
      </c>
      <c r="F1" s="110" t="s">
        <v>65</v>
      </c>
      <c r="G1" s="110" t="s">
        <v>66</v>
      </c>
      <c r="H1" s="110" t="s">
        <v>67</v>
      </c>
      <c r="I1" s="110" t="s">
        <v>68</v>
      </c>
      <c r="J1" s="110" t="s">
        <v>69</v>
      </c>
      <c r="K1" s="110" t="s">
        <v>70</v>
      </c>
      <c r="L1" s="110" t="s">
        <v>71</v>
      </c>
      <c r="M1" s="110" t="s">
        <v>72</v>
      </c>
      <c r="N1" s="110" t="s">
        <v>73</v>
      </c>
      <c r="O1" s="110" t="s">
        <v>74</v>
      </c>
      <c r="P1" s="110" t="s">
        <v>75</v>
      </c>
      <c r="Q1" s="110" t="s">
        <v>76</v>
      </c>
      <c r="R1" s="110" t="s">
        <v>77</v>
      </c>
      <c r="S1" s="110" t="s">
        <v>78</v>
      </c>
      <c r="T1" s="110" t="s">
        <v>79</v>
      </c>
      <c r="U1" s="110" t="s">
        <v>80</v>
      </c>
      <c r="V1" s="110" t="s">
        <v>81</v>
      </c>
      <c r="W1" s="110" t="s">
        <v>82</v>
      </c>
      <c r="X1" s="110" t="s">
        <v>83</v>
      </c>
      <c r="Y1" s="110" t="s">
        <v>84</v>
      </c>
      <c r="Z1" s="110" t="s">
        <v>85</v>
      </c>
      <c r="AA1" s="110" t="s">
        <v>86</v>
      </c>
      <c r="AB1" s="110" t="s">
        <v>87</v>
      </c>
    </row>
    <row r="2" ht="22.5" customHeight="1">
      <c r="A2" s="1" t="s">
        <v>0</v>
      </c>
      <c r="B2" s="1" t="s">
        <v>1</v>
      </c>
      <c r="C2" s="4" t="s">
        <v>88</v>
      </c>
      <c r="D2" s="111" t="s">
        <v>89</v>
      </c>
      <c r="E2" s="111" t="s">
        <v>90</v>
      </c>
      <c r="F2" s="111" t="s">
        <v>91</v>
      </c>
      <c r="G2" s="111" t="s">
        <v>92</v>
      </c>
      <c r="H2" s="112" t="s">
        <v>93</v>
      </c>
      <c r="I2" s="112" t="s">
        <v>94</v>
      </c>
      <c r="J2" s="113" t="s">
        <v>95</v>
      </c>
      <c r="K2" s="112" t="s">
        <v>96</v>
      </c>
      <c r="L2" s="112" t="s">
        <v>97</v>
      </c>
      <c r="M2" s="112" t="s">
        <v>98</v>
      </c>
      <c r="N2" s="112" t="s">
        <v>99</v>
      </c>
      <c r="O2" s="112" t="s">
        <v>100</v>
      </c>
      <c r="P2" s="111" t="s">
        <v>101</v>
      </c>
      <c r="Q2" s="111" t="s">
        <v>102</v>
      </c>
      <c r="R2" s="111" t="s">
        <v>103</v>
      </c>
      <c r="S2" s="111" t="s">
        <v>104</v>
      </c>
      <c r="T2" s="111" t="s">
        <v>105</v>
      </c>
      <c r="U2" s="111"/>
      <c r="V2" s="111"/>
      <c r="W2" s="114" t="s">
        <v>106</v>
      </c>
      <c r="X2" s="4" t="s">
        <v>107</v>
      </c>
      <c r="Y2" s="4" t="s">
        <v>108</v>
      </c>
      <c r="Z2" s="115" t="s">
        <v>109</v>
      </c>
      <c r="AA2" s="116" t="s">
        <v>24</v>
      </c>
      <c r="AB2" s="116" t="s">
        <v>110</v>
      </c>
      <c r="AC2" s="1" t="s">
        <v>111</v>
      </c>
      <c r="AD2" s="117"/>
      <c r="AE2" s="117"/>
      <c r="AF2" s="117"/>
      <c r="AG2" s="117"/>
      <c r="AH2" s="117"/>
      <c r="AI2" s="117"/>
      <c r="AJ2" s="117"/>
    </row>
    <row r="3" ht="22.5" customHeight="1">
      <c r="A3" s="2">
        <v>608.0</v>
      </c>
      <c r="B3" s="118" t="s">
        <v>2</v>
      </c>
      <c r="C3" s="119"/>
      <c r="D3" s="120">
        <v>40000.0</v>
      </c>
      <c r="E3" s="120">
        <v>5000.0</v>
      </c>
      <c r="F3" s="120">
        <v>5000.0</v>
      </c>
      <c r="G3" s="120">
        <v>2000.0</v>
      </c>
      <c r="H3" s="120">
        <v>10000.0</v>
      </c>
      <c r="I3" s="120"/>
      <c r="J3" s="121"/>
      <c r="K3" s="122">
        <v>0.0</v>
      </c>
      <c r="L3" s="122">
        <v>0.0</v>
      </c>
      <c r="M3" s="120"/>
      <c r="N3" s="119"/>
      <c r="O3" s="119"/>
      <c r="P3" s="119"/>
      <c r="Q3" s="120"/>
      <c r="R3" s="123"/>
      <c r="S3" s="123"/>
      <c r="T3" s="124"/>
      <c r="U3" s="123"/>
      <c r="V3" s="123"/>
      <c r="W3" s="125">
        <f t="shared" ref="W3:W110" si="1">SUM(D3:V3)</f>
        <v>62000</v>
      </c>
      <c r="X3" s="126"/>
      <c r="Y3" s="126"/>
      <c r="Z3" s="127">
        <f t="shared" ref="Z3:Z109" si="2">SUM(W3:Y3)</f>
        <v>62000</v>
      </c>
      <c r="AA3" s="128"/>
      <c r="AB3" s="129" t="s">
        <v>112</v>
      </c>
      <c r="AC3" s="130">
        <f t="shared" ref="AC3:AC4" si="3">C3-M3</f>
        <v>0</v>
      </c>
    </row>
    <row r="4" ht="22.5" customHeight="1">
      <c r="A4" s="2">
        <v>703.0</v>
      </c>
      <c r="B4" s="4" t="s">
        <v>3</v>
      </c>
      <c r="C4" s="131"/>
      <c r="D4" s="120">
        <v>40000.0</v>
      </c>
      <c r="E4" s="120">
        <v>5000.0</v>
      </c>
      <c r="F4" s="120">
        <v>5000.0</v>
      </c>
      <c r="G4" s="120">
        <v>2000.0</v>
      </c>
      <c r="H4" s="120">
        <v>10000.0</v>
      </c>
      <c r="I4" s="120">
        <v>16500.0</v>
      </c>
      <c r="J4" s="132">
        <f>IF(90000 - (SUM(D4:I4, K4:V4) + X4 + Y4) &gt; 0, 0, 90000 - (SUM(D4:I4, K4:V4) + X4 + Y4))</f>
        <v>-45578</v>
      </c>
      <c r="K4" s="119">
        <v>11253.0</v>
      </c>
      <c r="L4" s="119">
        <v>2263.0</v>
      </c>
      <c r="M4" s="119"/>
      <c r="N4" s="119"/>
      <c r="O4" s="119"/>
      <c r="P4" s="119"/>
      <c r="Q4" s="119">
        <v>3982.0</v>
      </c>
      <c r="R4" s="119"/>
      <c r="S4" s="119"/>
      <c r="T4" s="119"/>
      <c r="U4" s="119"/>
      <c r="V4" s="119"/>
      <c r="W4" s="125">
        <f t="shared" si="1"/>
        <v>50420</v>
      </c>
      <c r="X4" s="126">
        <v>39580.0</v>
      </c>
      <c r="Y4" s="126"/>
      <c r="Z4" s="127">
        <f t="shared" si="2"/>
        <v>90000</v>
      </c>
      <c r="AA4" s="128" t="s">
        <v>113</v>
      </c>
      <c r="AB4" s="129" t="s">
        <v>112</v>
      </c>
      <c r="AC4" s="133">
        <f t="shared" si="3"/>
        <v>0</v>
      </c>
    </row>
    <row r="5" ht="22.5" customHeight="1">
      <c r="A5" s="2">
        <v>801.0</v>
      </c>
      <c r="B5" s="118"/>
      <c r="C5" s="134"/>
      <c r="D5" s="120">
        <v>0.0</v>
      </c>
      <c r="E5" s="120">
        <v>0.0</v>
      </c>
      <c r="F5" s="120">
        <v>0.0</v>
      </c>
      <c r="G5" s="120">
        <v>0.0</v>
      </c>
      <c r="H5" s="120">
        <v>0.0</v>
      </c>
      <c r="I5" s="120"/>
      <c r="J5" s="121"/>
      <c r="K5" s="120"/>
      <c r="L5" s="120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5">
        <f t="shared" si="1"/>
        <v>0</v>
      </c>
      <c r="X5" s="126"/>
      <c r="Y5" s="126"/>
      <c r="Z5" s="127">
        <f t="shared" si="2"/>
        <v>0</v>
      </c>
      <c r="AA5" s="128"/>
      <c r="AB5" s="129" t="s">
        <v>112</v>
      </c>
      <c r="AC5" s="135">
        <v>0.0</v>
      </c>
    </row>
    <row r="6" ht="22.5" customHeight="1">
      <c r="A6" s="1">
        <v>813.0</v>
      </c>
      <c r="B6" s="4" t="s">
        <v>114</v>
      </c>
      <c r="C6" s="131"/>
      <c r="D6" s="120">
        <v>40000.0</v>
      </c>
      <c r="E6" s="120">
        <v>5000.0</v>
      </c>
      <c r="F6" s="120">
        <v>5000.0</v>
      </c>
      <c r="G6" s="120">
        <v>2000.0</v>
      </c>
      <c r="H6" s="120">
        <v>10000.0</v>
      </c>
      <c r="I6" s="120"/>
      <c r="J6" s="121"/>
      <c r="K6" s="136"/>
      <c r="L6" s="136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25">
        <f t="shared" si="1"/>
        <v>62000</v>
      </c>
      <c r="X6" s="126"/>
      <c r="Y6" s="126"/>
      <c r="Z6" s="127">
        <f t="shared" si="2"/>
        <v>62000</v>
      </c>
      <c r="AA6" s="128" t="s">
        <v>115</v>
      </c>
      <c r="AB6" s="129" t="s">
        <v>112</v>
      </c>
      <c r="AC6" s="133">
        <f t="shared" ref="AC6:AC109" si="4">C6-M6</f>
        <v>0</v>
      </c>
    </row>
    <row r="7" ht="22.5" customHeight="1">
      <c r="A7" s="1">
        <v>906.0</v>
      </c>
      <c r="B7" s="4" t="s">
        <v>5</v>
      </c>
      <c r="C7" s="131">
        <v>62000.0</v>
      </c>
      <c r="D7" s="120">
        <v>40000.0</v>
      </c>
      <c r="E7" s="120">
        <v>5000.0</v>
      </c>
      <c r="F7" s="120">
        <v>5000.0</v>
      </c>
      <c r="G7" s="120">
        <v>2000.0</v>
      </c>
      <c r="H7" s="120">
        <v>10000.0</v>
      </c>
      <c r="I7" s="120">
        <v>42900.0</v>
      </c>
      <c r="J7" s="121">
        <f t="shared" ref="J7:J8" si="5">IF(110000 - (SUM(D7:I7, K7:V7) + X7 + Y7) &gt; 0, 0, 110000 - (SUM(D7:I7, K7:V7) + X7 + Y7))</f>
        <v>-32266</v>
      </c>
      <c r="K7" s="119"/>
      <c r="L7" s="119">
        <v>2263.0</v>
      </c>
      <c r="M7" s="119">
        <v>10000.0</v>
      </c>
      <c r="N7" s="119"/>
      <c r="O7" s="119"/>
      <c r="P7" s="119"/>
      <c r="Q7" s="119"/>
      <c r="R7" s="137"/>
      <c r="S7" s="137"/>
      <c r="T7" s="137"/>
      <c r="U7" s="137"/>
      <c r="V7" s="137"/>
      <c r="W7" s="125">
        <f t="shared" si="1"/>
        <v>84897</v>
      </c>
      <c r="X7" s="138">
        <v>20103.0</v>
      </c>
      <c r="Y7" s="138">
        <v>5000.0</v>
      </c>
      <c r="Z7" s="127">
        <f t="shared" si="2"/>
        <v>110000</v>
      </c>
      <c r="AA7" s="128" t="s">
        <v>116</v>
      </c>
      <c r="AB7" s="129" t="s">
        <v>112</v>
      </c>
      <c r="AC7" s="133">
        <f t="shared" si="4"/>
        <v>52000</v>
      </c>
    </row>
    <row r="8" ht="22.5" customHeight="1">
      <c r="A8" s="1">
        <v>913.0</v>
      </c>
      <c r="B8" s="4" t="s">
        <v>117</v>
      </c>
      <c r="C8" s="134">
        <v>47000.0</v>
      </c>
      <c r="D8" s="120">
        <v>40000.0</v>
      </c>
      <c r="E8" s="120">
        <v>5000.0</v>
      </c>
      <c r="F8" s="120">
        <v>5000.0</v>
      </c>
      <c r="G8" s="120">
        <v>2000.0</v>
      </c>
      <c r="H8" s="120">
        <v>10000.0</v>
      </c>
      <c r="I8" s="120">
        <v>39380.0</v>
      </c>
      <c r="J8" s="121">
        <f t="shared" si="5"/>
        <v>-55991</v>
      </c>
      <c r="K8" s="119">
        <v>11253.0</v>
      </c>
      <c r="L8" s="119">
        <v>2263.0</v>
      </c>
      <c r="M8" s="119">
        <v>10000.0</v>
      </c>
      <c r="N8" s="119"/>
      <c r="O8" s="119">
        <v>12192.0</v>
      </c>
      <c r="P8" s="119"/>
      <c r="Q8" s="119">
        <v>6662.0</v>
      </c>
      <c r="R8" s="137"/>
      <c r="S8" s="137"/>
      <c r="T8" s="137"/>
      <c r="U8" s="137"/>
      <c r="V8" s="137"/>
      <c r="W8" s="125">
        <f t="shared" si="1"/>
        <v>87759</v>
      </c>
      <c r="X8" s="138">
        <v>22241.0</v>
      </c>
      <c r="Y8" s="138"/>
      <c r="Z8" s="127">
        <f t="shared" si="2"/>
        <v>110000</v>
      </c>
      <c r="AA8" s="128" t="s">
        <v>118</v>
      </c>
      <c r="AB8" s="129" t="s">
        <v>112</v>
      </c>
      <c r="AC8" s="133">
        <f t="shared" si="4"/>
        <v>37000</v>
      </c>
    </row>
    <row r="9" ht="22.5" customHeight="1">
      <c r="A9" s="1">
        <v>915.0</v>
      </c>
      <c r="B9" s="4" t="s">
        <v>7</v>
      </c>
      <c r="C9" s="134">
        <v>110000.0</v>
      </c>
      <c r="D9" s="120">
        <v>0.0</v>
      </c>
      <c r="E9" s="120">
        <v>0.0</v>
      </c>
      <c r="F9" s="120">
        <v>0.0</v>
      </c>
      <c r="G9" s="120">
        <v>0.0</v>
      </c>
      <c r="H9" s="120">
        <v>0.0</v>
      </c>
      <c r="I9" s="120"/>
      <c r="J9" s="121"/>
      <c r="K9" s="119"/>
      <c r="L9" s="119"/>
      <c r="M9" s="119">
        <v>10000.0</v>
      </c>
      <c r="N9" s="119"/>
      <c r="O9" s="119"/>
      <c r="P9" s="119"/>
      <c r="Q9" s="119">
        <v>3460.0</v>
      </c>
      <c r="R9" s="119"/>
      <c r="S9" s="119"/>
      <c r="T9" s="119"/>
      <c r="U9" s="119"/>
      <c r="V9" s="119"/>
      <c r="W9" s="125">
        <f t="shared" si="1"/>
        <v>13460</v>
      </c>
      <c r="X9" s="126">
        <v>3541.0</v>
      </c>
      <c r="Y9" s="126"/>
      <c r="Z9" s="127">
        <f t="shared" si="2"/>
        <v>17001</v>
      </c>
      <c r="AA9" s="139">
        <v>13.0</v>
      </c>
      <c r="AB9" s="129" t="s">
        <v>112</v>
      </c>
      <c r="AC9" s="133">
        <f t="shared" si="4"/>
        <v>100000</v>
      </c>
    </row>
    <row r="10" ht="22.5" customHeight="1">
      <c r="A10" s="1">
        <v>1005.0</v>
      </c>
      <c r="B10" s="4"/>
      <c r="C10" s="134"/>
      <c r="D10" s="120"/>
      <c r="E10" s="120"/>
      <c r="F10" s="120"/>
      <c r="G10" s="120"/>
      <c r="H10" s="120"/>
      <c r="I10" s="120"/>
      <c r="J10" s="121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25">
        <f t="shared" si="1"/>
        <v>0</v>
      </c>
      <c r="X10" s="140"/>
      <c r="Y10" s="140"/>
      <c r="Z10" s="127">
        <f t="shared" si="2"/>
        <v>0</v>
      </c>
      <c r="AA10" s="128"/>
      <c r="AB10" s="129" t="s">
        <v>112</v>
      </c>
      <c r="AC10" s="133">
        <f t="shared" si="4"/>
        <v>0</v>
      </c>
    </row>
    <row r="11" ht="22.5" customHeight="1">
      <c r="A11" s="1">
        <v>1006.0</v>
      </c>
      <c r="B11" s="4" t="s">
        <v>8</v>
      </c>
      <c r="C11" s="134">
        <v>110000.0</v>
      </c>
      <c r="D11" s="120">
        <v>40000.0</v>
      </c>
      <c r="E11" s="120">
        <v>5000.0</v>
      </c>
      <c r="F11" s="120">
        <v>5000.0</v>
      </c>
      <c r="G11" s="120">
        <v>2000.0</v>
      </c>
      <c r="H11" s="120">
        <v>10000.0</v>
      </c>
      <c r="I11" s="120">
        <v>31900.0</v>
      </c>
      <c r="J11" s="121">
        <f>IF(150000 - (SUM(D11:I11, K11:V11) + X11 + Y11) &gt; 0, 0, 150000 - (SUM(D11:I11, K11:V11) + X11 + Y11))</f>
        <v>0</v>
      </c>
      <c r="K11" s="119"/>
      <c r="L11" s="119">
        <v>2263.0</v>
      </c>
      <c r="M11" s="119">
        <v>10000.0</v>
      </c>
      <c r="N11" s="119"/>
      <c r="O11" s="119"/>
      <c r="P11" s="119"/>
      <c r="Q11" s="119">
        <v>7182.0</v>
      </c>
      <c r="R11" s="119"/>
      <c r="S11" s="119"/>
      <c r="T11" s="119"/>
      <c r="U11" s="119"/>
      <c r="V11" s="119"/>
      <c r="W11" s="125">
        <f t="shared" si="1"/>
        <v>113345</v>
      </c>
      <c r="X11" s="126">
        <v>21655.0</v>
      </c>
      <c r="Y11" s="126"/>
      <c r="Z11" s="127">
        <f t="shared" si="2"/>
        <v>135000</v>
      </c>
      <c r="AA11" s="128" t="s">
        <v>119</v>
      </c>
      <c r="AB11" s="129" t="s">
        <v>112</v>
      </c>
      <c r="AC11" s="133">
        <f t="shared" si="4"/>
        <v>100000</v>
      </c>
    </row>
    <row r="12" ht="22.5" customHeight="1">
      <c r="A12" s="1">
        <v>1012.0</v>
      </c>
      <c r="B12" s="4"/>
      <c r="C12" s="134"/>
      <c r="D12" s="120"/>
      <c r="E12" s="120"/>
      <c r="F12" s="120"/>
      <c r="G12" s="120"/>
      <c r="H12" s="120"/>
      <c r="I12" s="119"/>
      <c r="J12" s="121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25">
        <f t="shared" si="1"/>
        <v>0</v>
      </c>
      <c r="X12" s="140"/>
      <c r="Y12" s="140"/>
      <c r="Z12" s="127">
        <f t="shared" si="2"/>
        <v>0</v>
      </c>
      <c r="AA12" s="128"/>
      <c r="AB12" s="129" t="s">
        <v>112</v>
      </c>
      <c r="AC12" s="133">
        <f t="shared" si="4"/>
        <v>0</v>
      </c>
    </row>
    <row r="13" ht="22.5" customHeight="1">
      <c r="A13" s="1"/>
      <c r="B13" s="4"/>
      <c r="C13" s="131"/>
      <c r="D13" s="120"/>
      <c r="E13" s="120"/>
      <c r="F13" s="120"/>
      <c r="G13" s="120"/>
      <c r="H13" s="120"/>
      <c r="I13" s="119"/>
      <c r="J13" s="121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25">
        <f t="shared" si="1"/>
        <v>0</v>
      </c>
      <c r="X13" s="140"/>
      <c r="Y13" s="140"/>
      <c r="Z13" s="127">
        <f t="shared" si="2"/>
        <v>0</v>
      </c>
      <c r="AA13" s="128"/>
      <c r="AB13" s="129" t="s">
        <v>112</v>
      </c>
      <c r="AC13" s="133">
        <f t="shared" si="4"/>
        <v>0</v>
      </c>
    </row>
    <row r="14" ht="22.5" customHeight="1">
      <c r="A14" s="1" t="str">
        <f>'入居者'!A13</f>
        <v/>
      </c>
      <c r="B14" s="4"/>
      <c r="C14" s="131"/>
      <c r="D14" s="119"/>
      <c r="E14" s="119"/>
      <c r="F14" s="119"/>
      <c r="G14" s="119"/>
      <c r="H14" s="119"/>
      <c r="I14" s="119"/>
      <c r="J14" s="121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25">
        <f t="shared" si="1"/>
        <v>0</v>
      </c>
      <c r="X14" s="119"/>
      <c r="Y14" s="119"/>
      <c r="Z14" s="127">
        <f t="shared" si="2"/>
        <v>0</v>
      </c>
      <c r="AA14" s="141"/>
      <c r="AB14" s="142"/>
      <c r="AC14" s="133">
        <f t="shared" si="4"/>
        <v>0</v>
      </c>
      <c r="AD14" s="142"/>
      <c r="AE14" s="142"/>
      <c r="AF14" s="142"/>
      <c r="AG14" s="142"/>
      <c r="AH14" s="142"/>
      <c r="AI14" s="142"/>
      <c r="AJ14" s="142"/>
    </row>
    <row r="15" ht="22.5" customHeight="1">
      <c r="A15" s="4"/>
      <c r="B15" s="4"/>
      <c r="C15" s="131"/>
      <c r="D15" s="119"/>
      <c r="E15" s="119"/>
      <c r="F15" s="119"/>
      <c r="G15" s="119"/>
      <c r="H15" s="119"/>
      <c r="I15" s="119"/>
      <c r="J15" s="121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25">
        <f t="shared" si="1"/>
        <v>0</v>
      </c>
      <c r="X15" s="119"/>
      <c r="Y15" s="119"/>
      <c r="Z15" s="127">
        <f t="shared" si="2"/>
        <v>0</v>
      </c>
      <c r="AA15" s="141"/>
      <c r="AB15" s="142"/>
      <c r="AC15" s="133">
        <f t="shared" si="4"/>
        <v>0</v>
      </c>
      <c r="AD15" s="142"/>
      <c r="AE15" s="142"/>
      <c r="AF15" s="142"/>
      <c r="AG15" s="142"/>
      <c r="AH15" s="142"/>
      <c r="AI15" s="142"/>
      <c r="AJ15" s="142"/>
    </row>
    <row r="16" ht="22.5" customHeight="1">
      <c r="A16" s="4"/>
      <c r="B16" s="4"/>
      <c r="C16" s="131"/>
      <c r="D16" s="119"/>
      <c r="E16" s="119"/>
      <c r="F16" s="119"/>
      <c r="G16" s="119"/>
      <c r="H16" s="119"/>
      <c r="I16" s="119"/>
      <c r="J16" s="121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25">
        <f t="shared" si="1"/>
        <v>0</v>
      </c>
      <c r="X16" s="119"/>
      <c r="Y16" s="119"/>
      <c r="Z16" s="127">
        <f t="shared" si="2"/>
        <v>0</v>
      </c>
      <c r="AA16" s="141"/>
      <c r="AB16" s="142"/>
      <c r="AC16" s="133">
        <f t="shared" si="4"/>
        <v>0</v>
      </c>
      <c r="AD16" s="142"/>
      <c r="AE16" s="142"/>
      <c r="AF16" s="142"/>
      <c r="AG16" s="142"/>
      <c r="AH16" s="142"/>
      <c r="AI16" s="142"/>
      <c r="AJ16" s="142"/>
    </row>
    <row r="17" ht="22.5" customHeight="1">
      <c r="A17" s="4"/>
      <c r="B17" s="4"/>
      <c r="C17" s="131"/>
      <c r="D17" s="119"/>
      <c r="E17" s="119"/>
      <c r="F17" s="119"/>
      <c r="G17" s="119"/>
      <c r="H17" s="119"/>
      <c r="I17" s="119"/>
      <c r="J17" s="121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25">
        <f t="shared" si="1"/>
        <v>0</v>
      </c>
      <c r="X17" s="119"/>
      <c r="Y17" s="119"/>
      <c r="Z17" s="127">
        <f t="shared" si="2"/>
        <v>0</v>
      </c>
      <c r="AA17" s="141"/>
      <c r="AB17" s="142"/>
      <c r="AC17" s="133">
        <f t="shared" si="4"/>
        <v>0</v>
      </c>
      <c r="AD17" s="142"/>
      <c r="AE17" s="142"/>
      <c r="AF17" s="142"/>
      <c r="AG17" s="142"/>
      <c r="AH17" s="142"/>
      <c r="AI17" s="142"/>
      <c r="AJ17" s="142"/>
    </row>
    <row r="18" ht="22.5" customHeight="1">
      <c r="A18" s="4"/>
      <c r="B18" s="4"/>
      <c r="C18" s="131"/>
      <c r="D18" s="119"/>
      <c r="E18" s="119"/>
      <c r="F18" s="119"/>
      <c r="G18" s="119"/>
      <c r="H18" s="119"/>
      <c r="I18" s="119"/>
      <c r="J18" s="121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25">
        <f t="shared" si="1"/>
        <v>0</v>
      </c>
      <c r="X18" s="119"/>
      <c r="Y18" s="119"/>
      <c r="Z18" s="127">
        <f t="shared" si="2"/>
        <v>0</v>
      </c>
      <c r="AA18" s="141"/>
      <c r="AB18" s="142"/>
      <c r="AC18" s="133">
        <f t="shared" si="4"/>
        <v>0</v>
      </c>
      <c r="AD18" s="142"/>
      <c r="AE18" s="142"/>
      <c r="AF18" s="142"/>
      <c r="AG18" s="142"/>
      <c r="AH18" s="142"/>
      <c r="AI18" s="142"/>
      <c r="AJ18" s="142"/>
    </row>
    <row r="19" ht="22.5" customHeight="1">
      <c r="A19" s="4"/>
      <c r="B19" s="4"/>
      <c r="C19" s="131"/>
      <c r="D19" s="119"/>
      <c r="E19" s="119"/>
      <c r="F19" s="119"/>
      <c r="G19" s="119"/>
      <c r="H19" s="119"/>
      <c r="I19" s="119"/>
      <c r="J19" s="121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25">
        <f t="shared" si="1"/>
        <v>0</v>
      </c>
      <c r="X19" s="119"/>
      <c r="Y19" s="119"/>
      <c r="Z19" s="127">
        <f t="shared" si="2"/>
        <v>0</v>
      </c>
      <c r="AA19" s="141"/>
      <c r="AB19" s="142"/>
      <c r="AC19" s="133">
        <f t="shared" si="4"/>
        <v>0</v>
      </c>
      <c r="AD19" s="142"/>
      <c r="AE19" s="142"/>
      <c r="AF19" s="142"/>
      <c r="AG19" s="142"/>
      <c r="AH19" s="142"/>
      <c r="AI19" s="142"/>
      <c r="AJ19" s="142"/>
    </row>
    <row r="20" ht="22.5" customHeight="1">
      <c r="A20" s="4"/>
      <c r="B20" s="4"/>
      <c r="C20" s="131"/>
      <c r="D20" s="119"/>
      <c r="E20" s="119"/>
      <c r="F20" s="119"/>
      <c r="G20" s="119"/>
      <c r="H20" s="119"/>
      <c r="I20" s="119"/>
      <c r="J20" s="121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25">
        <f t="shared" si="1"/>
        <v>0</v>
      </c>
      <c r="X20" s="119"/>
      <c r="Y20" s="119"/>
      <c r="Z20" s="127">
        <f t="shared" si="2"/>
        <v>0</v>
      </c>
      <c r="AA20" s="141"/>
      <c r="AB20" s="142"/>
      <c r="AC20" s="133">
        <f t="shared" si="4"/>
        <v>0</v>
      </c>
      <c r="AD20" s="142"/>
      <c r="AE20" s="142"/>
      <c r="AF20" s="142"/>
      <c r="AG20" s="142"/>
      <c r="AH20" s="142"/>
      <c r="AI20" s="142"/>
      <c r="AJ20" s="142"/>
    </row>
    <row r="21" ht="22.5" customHeight="1">
      <c r="A21" s="4"/>
      <c r="B21" s="4"/>
      <c r="C21" s="131"/>
      <c r="D21" s="119"/>
      <c r="E21" s="119"/>
      <c r="F21" s="119"/>
      <c r="G21" s="119"/>
      <c r="H21" s="119"/>
      <c r="I21" s="119"/>
      <c r="J21" s="121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25">
        <f t="shared" si="1"/>
        <v>0</v>
      </c>
      <c r="X21" s="119"/>
      <c r="Y21" s="119"/>
      <c r="Z21" s="127">
        <f t="shared" si="2"/>
        <v>0</v>
      </c>
      <c r="AA21" s="141"/>
      <c r="AB21" s="142"/>
      <c r="AC21" s="133">
        <f t="shared" si="4"/>
        <v>0</v>
      </c>
      <c r="AD21" s="142"/>
      <c r="AE21" s="142"/>
      <c r="AF21" s="142"/>
      <c r="AG21" s="142"/>
      <c r="AH21" s="142"/>
      <c r="AI21" s="142"/>
      <c r="AJ21" s="142"/>
    </row>
    <row r="22" ht="22.5" hidden="1" customHeight="1">
      <c r="A22" s="4"/>
      <c r="B22" s="4"/>
      <c r="C22" s="131"/>
      <c r="D22" s="119"/>
      <c r="E22" s="119"/>
      <c r="F22" s="119"/>
      <c r="G22" s="119"/>
      <c r="H22" s="119"/>
      <c r="I22" s="119"/>
      <c r="J22" s="121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25">
        <f t="shared" si="1"/>
        <v>0</v>
      </c>
      <c r="X22" s="119"/>
      <c r="Y22" s="119"/>
      <c r="Z22" s="127">
        <f t="shared" si="2"/>
        <v>0</v>
      </c>
      <c r="AA22" s="141"/>
      <c r="AB22" s="142"/>
      <c r="AC22" s="133">
        <f t="shared" si="4"/>
        <v>0</v>
      </c>
      <c r="AD22" s="142"/>
      <c r="AE22" s="142"/>
      <c r="AF22" s="142"/>
      <c r="AG22" s="142"/>
      <c r="AH22" s="142"/>
      <c r="AI22" s="142"/>
      <c r="AJ22" s="142"/>
    </row>
    <row r="23" ht="22.5" hidden="1" customHeight="1">
      <c r="A23" s="4"/>
      <c r="B23" s="4"/>
      <c r="C23" s="131"/>
      <c r="D23" s="119"/>
      <c r="E23" s="119"/>
      <c r="F23" s="119"/>
      <c r="G23" s="119"/>
      <c r="H23" s="119"/>
      <c r="I23" s="119"/>
      <c r="J23" s="121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25">
        <f t="shared" si="1"/>
        <v>0</v>
      </c>
      <c r="X23" s="119"/>
      <c r="Y23" s="119"/>
      <c r="Z23" s="127">
        <f t="shared" si="2"/>
        <v>0</v>
      </c>
      <c r="AA23" s="141"/>
      <c r="AB23" s="142"/>
      <c r="AC23" s="133">
        <f t="shared" si="4"/>
        <v>0</v>
      </c>
      <c r="AD23" s="142"/>
      <c r="AE23" s="142"/>
      <c r="AF23" s="142"/>
      <c r="AG23" s="142"/>
      <c r="AH23" s="142"/>
      <c r="AI23" s="142"/>
      <c r="AJ23" s="142"/>
    </row>
    <row r="24" ht="22.5" hidden="1" customHeight="1">
      <c r="A24" s="4"/>
      <c r="B24" s="4"/>
      <c r="C24" s="131"/>
      <c r="D24" s="119"/>
      <c r="E24" s="119"/>
      <c r="F24" s="119"/>
      <c r="G24" s="119"/>
      <c r="H24" s="119"/>
      <c r="I24" s="119"/>
      <c r="J24" s="121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25">
        <f t="shared" si="1"/>
        <v>0</v>
      </c>
      <c r="X24" s="119"/>
      <c r="Y24" s="119"/>
      <c r="Z24" s="127">
        <f t="shared" si="2"/>
        <v>0</v>
      </c>
      <c r="AA24" s="141"/>
      <c r="AB24" s="142"/>
      <c r="AC24" s="133">
        <f t="shared" si="4"/>
        <v>0</v>
      </c>
      <c r="AD24" s="142"/>
      <c r="AE24" s="142"/>
      <c r="AF24" s="142"/>
      <c r="AG24" s="142"/>
      <c r="AH24" s="142"/>
      <c r="AI24" s="142"/>
      <c r="AJ24" s="142"/>
    </row>
    <row r="25" ht="22.5" hidden="1" customHeight="1">
      <c r="A25" s="4"/>
      <c r="B25" s="4"/>
      <c r="C25" s="131"/>
      <c r="D25" s="119"/>
      <c r="E25" s="119"/>
      <c r="F25" s="119"/>
      <c r="G25" s="119"/>
      <c r="H25" s="119"/>
      <c r="I25" s="119"/>
      <c r="J25" s="121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25">
        <f t="shared" si="1"/>
        <v>0</v>
      </c>
      <c r="X25" s="119"/>
      <c r="Y25" s="119"/>
      <c r="Z25" s="127">
        <f t="shared" si="2"/>
        <v>0</v>
      </c>
      <c r="AA25" s="141"/>
      <c r="AB25" s="142"/>
      <c r="AC25" s="133">
        <f t="shared" si="4"/>
        <v>0</v>
      </c>
      <c r="AD25" s="142"/>
      <c r="AE25" s="142"/>
      <c r="AF25" s="142"/>
      <c r="AG25" s="142"/>
      <c r="AH25" s="142"/>
      <c r="AI25" s="142"/>
      <c r="AJ25" s="142"/>
    </row>
    <row r="26" ht="22.5" hidden="1" customHeight="1">
      <c r="A26" s="4"/>
      <c r="B26" s="4"/>
      <c r="C26" s="131"/>
      <c r="D26" s="119"/>
      <c r="E26" s="119"/>
      <c r="F26" s="119"/>
      <c r="G26" s="119"/>
      <c r="H26" s="119"/>
      <c r="I26" s="119"/>
      <c r="J26" s="121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25">
        <f t="shared" si="1"/>
        <v>0</v>
      </c>
      <c r="X26" s="119"/>
      <c r="Y26" s="119"/>
      <c r="Z26" s="127">
        <f t="shared" si="2"/>
        <v>0</v>
      </c>
      <c r="AA26" s="141"/>
      <c r="AB26" s="142"/>
      <c r="AC26" s="133">
        <f t="shared" si="4"/>
        <v>0</v>
      </c>
      <c r="AD26" s="142"/>
      <c r="AE26" s="142"/>
      <c r="AF26" s="142"/>
      <c r="AG26" s="142"/>
      <c r="AH26" s="142"/>
      <c r="AI26" s="142"/>
      <c r="AJ26" s="142"/>
    </row>
    <row r="27" ht="22.5" hidden="1" customHeight="1">
      <c r="A27" s="4"/>
      <c r="B27" s="4"/>
      <c r="C27" s="131"/>
      <c r="D27" s="119"/>
      <c r="E27" s="119"/>
      <c r="F27" s="119"/>
      <c r="G27" s="119"/>
      <c r="H27" s="119"/>
      <c r="I27" s="119"/>
      <c r="J27" s="121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25">
        <f t="shared" si="1"/>
        <v>0</v>
      </c>
      <c r="X27" s="119"/>
      <c r="Y27" s="119"/>
      <c r="Z27" s="127">
        <f t="shared" si="2"/>
        <v>0</v>
      </c>
      <c r="AA27" s="141"/>
      <c r="AB27" s="142"/>
      <c r="AC27" s="133">
        <f t="shared" si="4"/>
        <v>0</v>
      </c>
      <c r="AD27" s="142"/>
      <c r="AE27" s="142"/>
      <c r="AF27" s="142"/>
      <c r="AG27" s="142"/>
      <c r="AH27" s="142"/>
      <c r="AI27" s="142"/>
      <c r="AJ27" s="142"/>
    </row>
    <row r="28" ht="22.5" hidden="1" customHeight="1">
      <c r="A28" s="4"/>
      <c r="B28" s="4"/>
      <c r="C28" s="131"/>
      <c r="D28" s="119"/>
      <c r="E28" s="119"/>
      <c r="F28" s="119"/>
      <c r="G28" s="119"/>
      <c r="H28" s="119"/>
      <c r="I28" s="119"/>
      <c r="J28" s="121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25">
        <f t="shared" si="1"/>
        <v>0</v>
      </c>
      <c r="X28" s="119"/>
      <c r="Y28" s="119"/>
      <c r="Z28" s="127">
        <f t="shared" si="2"/>
        <v>0</v>
      </c>
      <c r="AA28" s="141"/>
      <c r="AB28" s="142"/>
      <c r="AC28" s="133">
        <f t="shared" si="4"/>
        <v>0</v>
      </c>
      <c r="AD28" s="142"/>
      <c r="AE28" s="142"/>
      <c r="AF28" s="142"/>
      <c r="AG28" s="142"/>
      <c r="AH28" s="142"/>
      <c r="AI28" s="142"/>
      <c r="AJ28" s="142"/>
    </row>
    <row r="29" ht="22.5" hidden="1" customHeight="1">
      <c r="A29" s="4"/>
      <c r="B29" s="4"/>
      <c r="C29" s="131"/>
      <c r="D29" s="119"/>
      <c r="E29" s="119"/>
      <c r="F29" s="119"/>
      <c r="G29" s="119"/>
      <c r="H29" s="119"/>
      <c r="I29" s="119"/>
      <c r="J29" s="121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25">
        <f t="shared" si="1"/>
        <v>0</v>
      </c>
      <c r="X29" s="119"/>
      <c r="Y29" s="119"/>
      <c r="Z29" s="127">
        <f t="shared" si="2"/>
        <v>0</v>
      </c>
      <c r="AA29" s="141"/>
      <c r="AB29" s="142"/>
      <c r="AC29" s="133">
        <f t="shared" si="4"/>
        <v>0</v>
      </c>
      <c r="AD29" s="142"/>
      <c r="AE29" s="142"/>
      <c r="AF29" s="142"/>
      <c r="AG29" s="142"/>
      <c r="AH29" s="142"/>
      <c r="AI29" s="142"/>
      <c r="AJ29" s="142"/>
    </row>
    <row r="30" ht="22.5" hidden="1" customHeight="1">
      <c r="A30" s="4"/>
      <c r="B30" s="4"/>
      <c r="C30" s="131"/>
      <c r="D30" s="119"/>
      <c r="E30" s="119"/>
      <c r="F30" s="119"/>
      <c r="G30" s="119"/>
      <c r="H30" s="119"/>
      <c r="I30" s="119"/>
      <c r="J30" s="121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25">
        <f t="shared" si="1"/>
        <v>0</v>
      </c>
      <c r="X30" s="119"/>
      <c r="Y30" s="119"/>
      <c r="Z30" s="127">
        <f t="shared" si="2"/>
        <v>0</v>
      </c>
      <c r="AA30" s="141"/>
      <c r="AB30" s="142"/>
      <c r="AC30" s="133">
        <f t="shared" si="4"/>
        <v>0</v>
      </c>
      <c r="AD30" s="142"/>
      <c r="AE30" s="142"/>
      <c r="AF30" s="142"/>
      <c r="AG30" s="142"/>
      <c r="AH30" s="142"/>
      <c r="AI30" s="142"/>
      <c r="AJ30" s="142"/>
    </row>
    <row r="31" ht="22.5" hidden="1" customHeight="1">
      <c r="A31" s="4"/>
      <c r="B31" s="4"/>
      <c r="C31" s="131"/>
      <c r="D31" s="119"/>
      <c r="E31" s="119"/>
      <c r="F31" s="119"/>
      <c r="G31" s="119"/>
      <c r="H31" s="119"/>
      <c r="I31" s="119"/>
      <c r="J31" s="121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25">
        <f t="shared" si="1"/>
        <v>0</v>
      </c>
      <c r="X31" s="119"/>
      <c r="Y31" s="119"/>
      <c r="Z31" s="127">
        <f t="shared" si="2"/>
        <v>0</v>
      </c>
      <c r="AA31" s="141"/>
      <c r="AB31" s="142"/>
      <c r="AC31" s="133">
        <f t="shared" si="4"/>
        <v>0</v>
      </c>
      <c r="AD31" s="142"/>
      <c r="AE31" s="142"/>
      <c r="AF31" s="142"/>
      <c r="AG31" s="142"/>
      <c r="AH31" s="142"/>
      <c r="AI31" s="142"/>
      <c r="AJ31" s="142"/>
    </row>
    <row r="32" ht="22.5" hidden="1" customHeight="1">
      <c r="A32" s="4"/>
      <c r="B32" s="4"/>
      <c r="C32" s="131"/>
      <c r="D32" s="119"/>
      <c r="E32" s="119"/>
      <c r="F32" s="119"/>
      <c r="G32" s="119"/>
      <c r="H32" s="119"/>
      <c r="I32" s="119"/>
      <c r="J32" s="121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25">
        <f t="shared" si="1"/>
        <v>0</v>
      </c>
      <c r="X32" s="119"/>
      <c r="Y32" s="119"/>
      <c r="Z32" s="127">
        <f t="shared" si="2"/>
        <v>0</v>
      </c>
      <c r="AA32" s="141"/>
      <c r="AB32" s="142"/>
      <c r="AC32" s="133">
        <f t="shared" si="4"/>
        <v>0</v>
      </c>
      <c r="AD32" s="142"/>
      <c r="AE32" s="142"/>
      <c r="AF32" s="142"/>
      <c r="AG32" s="142"/>
      <c r="AH32" s="142"/>
      <c r="AI32" s="142"/>
      <c r="AJ32" s="142"/>
    </row>
    <row r="33" ht="22.5" hidden="1" customHeight="1">
      <c r="A33" s="4"/>
      <c r="B33" s="4"/>
      <c r="C33" s="131"/>
      <c r="D33" s="119"/>
      <c r="E33" s="119"/>
      <c r="F33" s="119"/>
      <c r="G33" s="119"/>
      <c r="H33" s="119"/>
      <c r="I33" s="119"/>
      <c r="J33" s="121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25">
        <f t="shared" si="1"/>
        <v>0</v>
      </c>
      <c r="X33" s="119"/>
      <c r="Y33" s="119"/>
      <c r="Z33" s="127">
        <f t="shared" si="2"/>
        <v>0</v>
      </c>
      <c r="AA33" s="141"/>
      <c r="AB33" s="142"/>
      <c r="AC33" s="133">
        <f t="shared" si="4"/>
        <v>0</v>
      </c>
      <c r="AD33" s="142"/>
      <c r="AE33" s="142"/>
      <c r="AF33" s="142"/>
      <c r="AG33" s="142"/>
      <c r="AH33" s="142"/>
      <c r="AI33" s="142"/>
      <c r="AJ33" s="142"/>
    </row>
    <row r="34" ht="22.5" hidden="1" customHeight="1">
      <c r="A34" s="4"/>
      <c r="B34" s="4"/>
      <c r="C34" s="131"/>
      <c r="D34" s="119"/>
      <c r="E34" s="119"/>
      <c r="F34" s="119"/>
      <c r="G34" s="119"/>
      <c r="H34" s="119"/>
      <c r="I34" s="119"/>
      <c r="J34" s="121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25">
        <f t="shared" si="1"/>
        <v>0</v>
      </c>
      <c r="X34" s="119"/>
      <c r="Y34" s="119"/>
      <c r="Z34" s="127">
        <f t="shared" si="2"/>
        <v>0</v>
      </c>
      <c r="AA34" s="141"/>
      <c r="AB34" s="142"/>
      <c r="AC34" s="133">
        <f t="shared" si="4"/>
        <v>0</v>
      </c>
      <c r="AD34" s="142"/>
      <c r="AE34" s="142"/>
      <c r="AF34" s="142"/>
      <c r="AG34" s="142"/>
      <c r="AH34" s="142"/>
      <c r="AI34" s="142"/>
      <c r="AJ34" s="142"/>
    </row>
    <row r="35" ht="22.5" hidden="1" customHeight="1">
      <c r="A35" s="4"/>
      <c r="B35" s="4"/>
      <c r="C35" s="131"/>
      <c r="D35" s="119"/>
      <c r="E35" s="119"/>
      <c r="F35" s="119"/>
      <c r="G35" s="119"/>
      <c r="H35" s="119"/>
      <c r="I35" s="119"/>
      <c r="J35" s="121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25">
        <f t="shared" si="1"/>
        <v>0</v>
      </c>
      <c r="X35" s="119"/>
      <c r="Y35" s="119"/>
      <c r="Z35" s="127">
        <f t="shared" si="2"/>
        <v>0</v>
      </c>
      <c r="AA35" s="141"/>
      <c r="AB35" s="142"/>
      <c r="AC35" s="133">
        <f t="shared" si="4"/>
        <v>0</v>
      </c>
      <c r="AD35" s="142"/>
      <c r="AE35" s="142"/>
      <c r="AF35" s="142"/>
      <c r="AG35" s="142"/>
      <c r="AH35" s="142"/>
      <c r="AI35" s="142"/>
      <c r="AJ35" s="142"/>
    </row>
    <row r="36" ht="22.5" hidden="1" customHeight="1">
      <c r="A36" s="4"/>
      <c r="B36" s="4"/>
      <c r="C36" s="131"/>
      <c r="D36" s="119"/>
      <c r="E36" s="119"/>
      <c r="F36" s="119"/>
      <c r="G36" s="119"/>
      <c r="H36" s="119"/>
      <c r="I36" s="119"/>
      <c r="J36" s="121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25">
        <f t="shared" si="1"/>
        <v>0</v>
      </c>
      <c r="X36" s="119"/>
      <c r="Y36" s="119"/>
      <c r="Z36" s="127">
        <f t="shared" si="2"/>
        <v>0</v>
      </c>
      <c r="AA36" s="141"/>
      <c r="AB36" s="142"/>
      <c r="AC36" s="133">
        <f t="shared" si="4"/>
        <v>0</v>
      </c>
      <c r="AD36" s="142"/>
      <c r="AE36" s="142"/>
      <c r="AF36" s="142"/>
      <c r="AG36" s="142"/>
      <c r="AH36" s="142"/>
      <c r="AI36" s="142"/>
      <c r="AJ36" s="142"/>
    </row>
    <row r="37" ht="22.5" hidden="1" customHeight="1">
      <c r="A37" s="4"/>
      <c r="B37" s="4"/>
      <c r="C37" s="131"/>
      <c r="D37" s="119"/>
      <c r="E37" s="119"/>
      <c r="F37" s="119"/>
      <c r="G37" s="119"/>
      <c r="H37" s="119"/>
      <c r="I37" s="119"/>
      <c r="J37" s="121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25">
        <f t="shared" si="1"/>
        <v>0</v>
      </c>
      <c r="X37" s="119"/>
      <c r="Y37" s="119"/>
      <c r="Z37" s="127">
        <f t="shared" si="2"/>
        <v>0</v>
      </c>
      <c r="AA37" s="141"/>
      <c r="AB37" s="142"/>
      <c r="AC37" s="133">
        <f t="shared" si="4"/>
        <v>0</v>
      </c>
      <c r="AD37" s="142"/>
      <c r="AE37" s="142"/>
      <c r="AF37" s="142"/>
      <c r="AG37" s="142"/>
      <c r="AH37" s="142"/>
      <c r="AI37" s="142"/>
      <c r="AJ37" s="142"/>
    </row>
    <row r="38" ht="22.5" hidden="1" customHeight="1">
      <c r="A38" s="4"/>
      <c r="B38" s="4"/>
      <c r="C38" s="131"/>
      <c r="D38" s="119"/>
      <c r="E38" s="119"/>
      <c r="F38" s="119"/>
      <c r="G38" s="119"/>
      <c r="H38" s="119"/>
      <c r="I38" s="119"/>
      <c r="J38" s="121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25">
        <f t="shared" si="1"/>
        <v>0</v>
      </c>
      <c r="X38" s="119"/>
      <c r="Y38" s="119"/>
      <c r="Z38" s="127">
        <f t="shared" si="2"/>
        <v>0</v>
      </c>
      <c r="AA38" s="141"/>
      <c r="AB38" s="142"/>
      <c r="AC38" s="133">
        <f t="shared" si="4"/>
        <v>0</v>
      </c>
      <c r="AD38" s="142"/>
      <c r="AE38" s="142"/>
      <c r="AF38" s="142"/>
      <c r="AG38" s="142"/>
      <c r="AH38" s="142"/>
      <c r="AI38" s="142"/>
      <c r="AJ38" s="142"/>
    </row>
    <row r="39" ht="22.5" hidden="1" customHeight="1">
      <c r="A39" s="4"/>
      <c r="B39" s="4"/>
      <c r="C39" s="131"/>
      <c r="D39" s="119"/>
      <c r="E39" s="119"/>
      <c r="F39" s="119"/>
      <c r="G39" s="119"/>
      <c r="H39" s="119"/>
      <c r="I39" s="119"/>
      <c r="J39" s="121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25">
        <f t="shared" si="1"/>
        <v>0</v>
      </c>
      <c r="X39" s="119"/>
      <c r="Y39" s="119"/>
      <c r="Z39" s="127">
        <f t="shared" si="2"/>
        <v>0</v>
      </c>
      <c r="AA39" s="141"/>
      <c r="AB39" s="142"/>
      <c r="AC39" s="133">
        <f t="shared" si="4"/>
        <v>0</v>
      </c>
      <c r="AD39" s="142"/>
      <c r="AE39" s="142"/>
      <c r="AF39" s="142"/>
      <c r="AG39" s="142"/>
      <c r="AH39" s="142"/>
      <c r="AI39" s="142"/>
      <c r="AJ39" s="142"/>
    </row>
    <row r="40" ht="22.5" hidden="1" customHeight="1">
      <c r="A40" s="4"/>
      <c r="B40" s="4"/>
      <c r="C40" s="131"/>
      <c r="D40" s="119"/>
      <c r="E40" s="119"/>
      <c r="F40" s="119"/>
      <c r="G40" s="119"/>
      <c r="H40" s="119"/>
      <c r="I40" s="119"/>
      <c r="J40" s="121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25">
        <f t="shared" si="1"/>
        <v>0</v>
      </c>
      <c r="X40" s="119"/>
      <c r="Y40" s="119"/>
      <c r="Z40" s="127">
        <f t="shared" si="2"/>
        <v>0</v>
      </c>
      <c r="AA40" s="141"/>
      <c r="AB40" s="142"/>
      <c r="AC40" s="133">
        <f t="shared" si="4"/>
        <v>0</v>
      </c>
      <c r="AD40" s="142"/>
      <c r="AE40" s="142"/>
      <c r="AF40" s="142"/>
      <c r="AG40" s="142"/>
      <c r="AH40" s="142"/>
      <c r="AI40" s="142"/>
      <c r="AJ40" s="142"/>
    </row>
    <row r="41" ht="22.5" hidden="1" customHeight="1">
      <c r="A41" s="4"/>
      <c r="B41" s="4"/>
      <c r="C41" s="131"/>
      <c r="D41" s="119"/>
      <c r="E41" s="119"/>
      <c r="F41" s="119"/>
      <c r="G41" s="119"/>
      <c r="H41" s="119"/>
      <c r="I41" s="119"/>
      <c r="J41" s="121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25">
        <f t="shared" si="1"/>
        <v>0</v>
      </c>
      <c r="X41" s="119"/>
      <c r="Y41" s="119"/>
      <c r="Z41" s="127">
        <f t="shared" si="2"/>
        <v>0</v>
      </c>
      <c r="AA41" s="141"/>
      <c r="AB41" s="142"/>
      <c r="AC41" s="133">
        <f t="shared" si="4"/>
        <v>0</v>
      </c>
      <c r="AD41" s="142"/>
      <c r="AE41" s="142"/>
      <c r="AF41" s="142"/>
      <c r="AG41" s="142"/>
      <c r="AH41" s="142"/>
      <c r="AI41" s="142"/>
      <c r="AJ41" s="142"/>
    </row>
    <row r="42" ht="22.5" hidden="1" customHeight="1">
      <c r="A42" s="4"/>
      <c r="B42" s="4"/>
      <c r="C42" s="131"/>
      <c r="D42" s="119"/>
      <c r="E42" s="119"/>
      <c r="F42" s="119"/>
      <c r="G42" s="119"/>
      <c r="H42" s="119"/>
      <c r="I42" s="119"/>
      <c r="J42" s="121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25">
        <f t="shared" si="1"/>
        <v>0</v>
      </c>
      <c r="X42" s="119"/>
      <c r="Y42" s="119"/>
      <c r="Z42" s="127">
        <f t="shared" si="2"/>
        <v>0</v>
      </c>
      <c r="AA42" s="141"/>
      <c r="AB42" s="142"/>
      <c r="AC42" s="133">
        <f t="shared" si="4"/>
        <v>0</v>
      </c>
      <c r="AD42" s="142"/>
      <c r="AE42" s="142"/>
      <c r="AF42" s="142"/>
      <c r="AG42" s="142"/>
      <c r="AH42" s="142"/>
      <c r="AI42" s="142"/>
      <c r="AJ42" s="142"/>
    </row>
    <row r="43" ht="22.5" hidden="1" customHeight="1">
      <c r="A43" s="4"/>
      <c r="B43" s="4"/>
      <c r="C43" s="131"/>
      <c r="D43" s="119"/>
      <c r="E43" s="119"/>
      <c r="F43" s="119"/>
      <c r="G43" s="119"/>
      <c r="H43" s="119"/>
      <c r="I43" s="119"/>
      <c r="J43" s="121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25">
        <f t="shared" si="1"/>
        <v>0</v>
      </c>
      <c r="X43" s="119"/>
      <c r="Y43" s="119"/>
      <c r="Z43" s="127">
        <f t="shared" si="2"/>
        <v>0</v>
      </c>
      <c r="AA43" s="141"/>
      <c r="AB43" s="142"/>
      <c r="AC43" s="133">
        <f t="shared" si="4"/>
        <v>0</v>
      </c>
      <c r="AD43" s="142"/>
      <c r="AE43" s="142"/>
      <c r="AF43" s="142"/>
      <c r="AG43" s="142"/>
      <c r="AH43" s="142"/>
      <c r="AI43" s="142"/>
      <c r="AJ43" s="142"/>
    </row>
    <row r="44" ht="22.5" hidden="1" customHeight="1">
      <c r="A44" s="4"/>
      <c r="B44" s="4"/>
      <c r="C44" s="131"/>
      <c r="D44" s="119"/>
      <c r="E44" s="119"/>
      <c r="F44" s="119"/>
      <c r="G44" s="119"/>
      <c r="H44" s="119"/>
      <c r="I44" s="119"/>
      <c r="J44" s="121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25">
        <f t="shared" si="1"/>
        <v>0</v>
      </c>
      <c r="X44" s="119"/>
      <c r="Y44" s="119"/>
      <c r="Z44" s="127">
        <f t="shared" si="2"/>
        <v>0</v>
      </c>
      <c r="AA44" s="141"/>
      <c r="AB44" s="142"/>
      <c r="AC44" s="133">
        <f t="shared" si="4"/>
        <v>0</v>
      </c>
      <c r="AD44" s="142"/>
      <c r="AE44" s="142"/>
      <c r="AF44" s="142"/>
      <c r="AG44" s="142"/>
      <c r="AH44" s="142"/>
      <c r="AI44" s="142"/>
      <c r="AJ44" s="142"/>
    </row>
    <row r="45" ht="22.5" hidden="1" customHeight="1">
      <c r="A45" s="4"/>
      <c r="B45" s="4"/>
      <c r="C45" s="131"/>
      <c r="D45" s="119"/>
      <c r="E45" s="119"/>
      <c r="F45" s="119"/>
      <c r="G45" s="119"/>
      <c r="H45" s="119"/>
      <c r="I45" s="119"/>
      <c r="J45" s="121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25">
        <f t="shared" si="1"/>
        <v>0</v>
      </c>
      <c r="X45" s="119"/>
      <c r="Y45" s="119"/>
      <c r="Z45" s="127">
        <f t="shared" si="2"/>
        <v>0</v>
      </c>
      <c r="AA45" s="141"/>
      <c r="AB45" s="142"/>
      <c r="AC45" s="133">
        <f t="shared" si="4"/>
        <v>0</v>
      </c>
      <c r="AD45" s="142"/>
      <c r="AE45" s="142"/>
      <c r="AF45" s="142"/>
      <c r="AG45" s="142"/>
      <c r="AH45" s="142"/>
      <c r="AI45" s="142"/>
      <c r="AJ45" s="142"/>
    </row>
    <row r="46" ht="22.5" hidden="1" customHeight="1">
      <c r="A46" s="4"/>
      <c r="B46" s="4"/>
      <c r="C46" s="131"/>
      <c r="D46" s="119"/>
      <c r="E46" s="119"/>
      <c r="F46" s="119"/>
      <c r="G46" s="119"/>
      <c r="H46" s="119"/>
      <c r="I46" s="119"/>
      <c r="J46" s="121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25">
        <f t="shared" si="1"/>
        <v>0</v>
      </c>
      <c r="X46" s="119"/>
      <c r="Y46" s="119"/>
      <c r="Z46" s="127">
        <f t="shared" si="2"/>
        <v>0</v>
      </c>
      <c r="AA46" s="141"/>
      <c r="AB46" s="142"/>
      <c r="AC46" s="133">
        <f t="shared" si="4"/>
        <v>0</v>
      </c>
      <c r="AD46" s="142"/>
      <c r="AE46" s="142"/>
      <c r="AF46" s="142"/>
      <c r="AG46" s="142"/>
      <c r="AH46" s="142"/>
      <c r="AI46" s="142"/>
      <c r="AJ46" s="142"/>
    </row>
    <row r="47" ht="22.5" hidden="1" customHeight="1">
      <c r="A47" s="4"/>
      <c r="B47" s="4"/>
      <c r="C47" s="131"/>
      <c r="D47" s="119"/>
      <c r="E47" s="119"/>
      <c r="F47" s="119"/>
      <c r="G47" s="119"/>
      <c r="H47" s="119"/>
      <c r="I47" s="119"/>
      <c r="J47" s="121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25">
        <f t="shared" si="1"/>
        <v>0</v>
      </c>
      <c r="X47" s="119"/>
      <c r="Y47" s="119"/>
      <c r="Z47" s="127">
        <f t="shared" si="2"/>
        <v>0</v>
      </c>
      <c r="AA47" s="141"/>
      <c r="AB47" s="142"/>
      <c r="AC47" s="133">
        <f t="shared" si="4"/>
        <v>0</v>
      </c>
      <c r="AD47" s="142"/>
      <c r="AE47" s="142"/>
      <c r="AF47" s="142"/>
      <c r="AG47" s="142"/>
      <c r="AH47" s="142"/>
      <c r="AI47" s="142"/>
      <c r="AJ47" s="142"/>
    </row>
    <row r="48" ht="22.5" hidden="1" customHeight="1">
      <c r="A48" s="4"/>
      <c r="B48" s="4"/>
      <c r="C48" s="131"/>
      <c r="D48" s="119"/>
      <c r="E48" s="119"/>
      <c r="F48" s="119"/>
      <c r="G48" s="119"/>
      <c r="H48" s="119"/>
      <c r="I48" s="119"/>
      <c r="J48" s="121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25">
        <f t="shared" si="1"/>
        <v>0</v>
      </c>
      <c r="X48" s="119"/>
      <c r="Y48" s="119"/>
      <c r="Z48" s="127">
        <f t="shared" si="2"/>
        <v>0</v>
      </c>
      <c r="AA48" s="141"/>
      <c r="AB48" s="142"/>
      <c r="AC48" s="133">
        <f t="shared" si="4"/>
        <v>0</v>
      </c>
      <c r="AD48" s="142"/>
      <c r="AE48" s="142"/>
      <c r="AF48" s="142"/>
      <c r="AG48" s="142"/>
      <c r="AH48" s="142"/>
      <c r="AI48" s="142"/>
      <c r="AJ48" s="142"/>
    </row>
    <row r="49" ht="22.5" hidden="1" customHeight="1">
      <c r="A49" s="4"/>
      <c r="B49" s="4"/>
      <c r="C49" s="131"/>
      <c r="D49" s="119"/>
      <c r="E49" s="119"/>
      <c r="F49" s="119"/>
      <c r="G49" s="119"/>
      <c r="H49" s="119"/>
      <c r="I49" s="119"/>
      <c r="J49" s="121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25">
        <f t="shared" si="1"/>
        <v>0</v>
      </c>
      <c r="X49" s="119"/>
      <c r="Y49" s="119"/>
      <c r="Z49" s="127">
        <f t="shared" si="2"/>
        <v>0</v>
      </c>
      <c r="AA49" s="141"/>
      <c r="AB49" s="142"/>
      <c r="AC49" s="133">
        <f t="shared" si="4"/>
        <v>0</v>
      </c>
      <c r="AD49" s="142"/>
      <c r="AE49" s="142"/>
      <c r="AF49" s="142"/>
      <c r="AG49" s="142"/>
      <c r="AH49" s="142"/>
      <c r="AI49" s="142"/>
      <c r="AJ49" s="142"/>
    </row>
    <row r="50" ht="22.5" hidden="1" customHeight="1">
      <c r="A50" s="4"/>
      <c r="B50" s="4"/>
      <c r="C50" s="131"/>
      <c r="D50" s="119"/>
      <c r="E50" s="119"/>
      <c r="F50" s="119"/>
      <c r="G50" s="119"/>
      <c r="H50" s="119"/>
      <c r="I50" s="119"/>
      <c r="J50" s="121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25">
        <f t="shared" si="1"/>
        <v>0</v>
      </c>
      <c r="X50" s="119"/>
      <c r="Y50" s="119"/>
      <c r="Z50" s="127">
        <f t="shared" si="2"/>
        <v>0</v>
      </c>
      <c r="AA50" s="141"/>
      <c r="AB50" s="142"/>
      <c r="AC50" s="133">
        <f t="shared" si="4"/>
        <v>0</v>
      </c>
      <c r="AD50" s="142"/>
      <c r="AE50" s="142"/>
      <c r="AF50" s="142"/>
      <c r="AG50" s="142"/>
      <c r="AH50" s="142"/>
      <c r="AI50" s="142"/>
      <c r="AJ50" s="142"/>
    </row>
    <row r="51" ht="22.5" hidden="1" customHeight="1">
      <c r="A51" s="4"/>
      <c r="B51" s="4"/>
      <c r="C51" s="131"/>
      <c r="D51" s="119"/>
      <c r="E51" s="119"/>
      <c r="F51" s="119"/>
      <c r="G51" s="119"/>
      <c r="H51" s="119"/>
      <c r="I51" s="119"/>
      <c r="J51" s="121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25">
        <f t="shared" si="1"/>
        <v>0</v>
      </c>
      <c r="X51" s="119"/>
      <c r="Y51" s="119"/>
      <c r="Z51" s="127">
        <f t="shared" si="2"/>
        <v>0</v>
      </c>
      <c r="AA51" s="141"/>
      <c r="AB51" s="142"/>
      <c r="AC51" s="133">
        <f t="shared" si="4"/>
        <v>0</v>
      </c>
      <c r="AD51" s="142"/>
      <c r="AE51" s="142"/>
      <c r="AF51" s="142"/>
      <c r="AG51" s="142"/>
      <c r="AH51" s="142"/>
      <c r="AI51" s="142"/>
      <c r="AJ51" s="142"/>
    </row>
    <row r="52" ht="22.5" hidden="1" customHeight="1">
      <c r="A52" s="4"/>
      <c r="B52" s="4"/>
      <c r="C52" s="131"/>
      <c r="D52" s="119"/>
      <c r="E52" s="119"/>
      <c r="F52" s="119"/>
      <c r="G52" s="119"/>
      <c r="H52" s="119"/>
      <c r="I52" s="119"/>
      <c r="J52" s="121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25">
        <f t="shared" si="1"/>
        <v>0</v>
      </c>
      <c r="X52" s="119"/>
      <c r="Y52" s="119"/>
      <c r="Z52" s="127">
        <f t="shared" si="2"/>
        <v>0</v>
      </c>
      <c r="AA52" s="141"/>
      <c r="AB52" s="142"/>
      <c r="AC52" s="133">
        <f t="shared" si="4"/>
        <v>0</v>
      </c>
      <c r="AD52" s="142"/>
      <c r="AE52" s="142"/>
      <c r="AF52" s="142"/>
      <c r="AG52" s="142"/>
      <c r="AH52" s="142"/>
      <c r="AI52" s="142"/>
      <c r="AJ52" s="142"/>
    </row>
    <row r="53" ht="22.5" hidden="1" customHeight="1">
      <c r="A53" s="4"/>
      <c r="B53" s="4"/>
      <c r="C53" s="131"/>
      <c r="D53" s="119"/>
      <c r="E53" s="119"/>
      <c r="F53" s="119"/>
      <c r="G53" s="119"/>
      <c r="H53" s="119"/>
      <c r="I53" s="119"/>
      <c r="J53" s="121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25">
        <f t="shared" si="1"/>
        <v>0</v>
      </c>
      <c r="X53" s="119"/>
      <c r="Y53" s="119"/>
      <c r="Z53" s="127">
        <f t="shared" si="2"/>
        <v>0</v>
      </c>
      <c r="AA53" s="141"/>
      <c r="AB53" s="142"/>
      <c r="AC53" s="133">
        <f t="shared" si="4"/>
        <v>0</v>
      </c>
      <c r="AD53" s="142"/>
      <c r="AE53" s="142"/>
      <c r="AF53" s="142"/>
      <c r="AG53" s="142"/>
      <c r="AH53" s="142"/>
      <c r="AI53" s="142"/>
      <c r="AJ53" s="142"/>
    </row>
    <row r="54" ht="22.5" hidden="1" customHeight="1">
      <c r="A54" s="4"/>
      <c r="B54" s="4"/>
      <c r="C54" s="131"/>
      <c r="D54" s="119"/>
      <c r="E54" s="119"/>
      <c r="F54" s="119"/>
      <c r="G54" s="119"/>
      <c r="H54" s="119"/>
      <c r="I54" s="119"/>
      <c r="J54" s="121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25">
        <f t="shared" si="1"/>
        <v>0</v>
      </c>
      <c r="X54" s="119"/>
      <c r="Y54" s="119"/>
      <c r="Z54" s="127">
        <f t="shared" si="2"/>
        <v>0</v>
      </c>
      <c r="AA54" s="141"/>
      <c r="AB54" s="142"/>
      <c r="AC54" s="133">
        <f t="shared" si="4"/>
        <v>0</v>
      </c>
      <c r="AD54" s="142"/>
      <c r="AE54" s="142"/>
      <c r="AF54" s="142"/>
      <c r="AG54" s="142"/>
      <c r="AH54" s="142"/>
      <c r="AI54" s="142"/>
      <c r="AJ54" s="142"/>
    </row>
    <row r="55" ht="22.5" hidden="1" customHeight="1">
      <c r="A55" s="4"/>
      <c r="B55" s="4"/>
      <c r="C55" s="131"/>
      <c r="D55" s="119"/>
      <c r="E55" s="119"/>
      <c r="F55" s="119"/>
      <c r="G55" s="119"/>
      <c r="H55" s="119"/>
      <c r="I55" s="119"/>
      <c r="J55" s="121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25">
        <f t="shared" si="1"/>
        <v>0</v>
      </c>
      <c r="X55" s="119"/>
      <c r="Y55" s="119"/>
      <c r="Z55" s="127">
        <f t="shared" si="2"/>
        <v>0</v>
      </c>
      <c r="AA55" s="141"/>
      <c r="AB55" s="142"/>
      <c r="AC55" s="133">
        <f t="shared" si="4"/>
        <v>0</v>
      </c>
      <c r="AD55" s="142"/>
      <c r="AE55" s="142"/>
      <c r="AF55" s="142"/>
      <c r="AG55" s="142"/>
      <c r="AH55" s="142"/>
      <c r="AI55" s="142"/>
      <c r="AJ55" s="142"/>
    </row>
    <row r="56" ht="22.5" hidden="1" customHeight="1">
      <c r="A56" s="4"/>
      <c r="B56" s="4"/>
      <c r="C56" s="131"/>
      <c r="D56" s="119"/>
      <c r="E56" s="119"/>
      <c r="F56" s="119"/>
      <c r="G56" s="119"/>
      <c r="H56" s="119"/>
      <c r="I56" s="119"/>
      <c r="J56" s="121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25">
        <f t="shared" si="1"/>
        <v>0</v>
      </c>
      <c r="X56" s="119"/>
      <c r="Y56" s="119"/>
      <c r="Z56" s="127">
        <f t="shared" si="2"/>
        <v>0</v>
      </c>
      <c r="AA56" s="141"/>
      <c r="AB56" s="142"/>
      <c r="AC56" s="133">
        <f t="shared" si="4"/>
        <v>0</v>
      </c>
      <c r="AD56" s="142"/>
      <c r="AE56" s="142"/>
      <c r="AF56" s="142"/>
      <c r="AG56" s="142"/>
      <c r="AH56" s="142"/>
      <c r="AI56" s="142"/>
      <c r="AJ56" s="142"/>
    </row>
    <row r="57" ht="22.5" hidden="1" customHeight="1">
      <c r="A57" s="4"/>
      <c r="B57" s="4"/>
      <c r="C57" s="131"/>
      <c r="D57" s="119"/>
      <c r="E57" s="119"/>
      <c r="F57" s="119"/>
      <c r="G57" s="119"/>
      <c r="H57" s="119"/>
      <c r="I57" s="119"/>
      <c r="J57" s="121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25">
        <f t="shared" si="1"/>
        <v>0</v>
      </c>
      <c r="X57" s="119"/>
      <c r="Y57" s="119"/>
      <c r="Z57" s="127">
        <f t="shared" si="2"/>
        <v>0</v>
      </c>
      <c r="AA57" s="141"/>
      <c r="AB57" s="142"/>
      <c r="AC57" s="133">
        <f t="shared" si="4"/>
        <v>0</v>
      </c>
      <c r="AD57" s="142"/>
      <c r="AE57" s="142"/>
      <c r="AF57" s="142"/>
      <c r="AG57" s="142"/>
      <c r="AH57" s="142"/>
      <c r="AI57" s="142"/>
      <c r="AJ57" s="142"/>
    </row>
    <row r="58" ht="22.5" hidden="1" customHeight="1">
      <c r="A58" s="4"/>
      <c r="B58" s="4"/>
      <c r="C58" s="131"/>
      <c r="D58" s="119"/>
      <c r="E58" s="119"/>
      <c r="F58" s="119"/>
      <c r="G58" s="119"/>
      <c r="H58" s="119"/>
      <c r="I58" s="119"/>
      <c r="J58" s="121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25">
        <f t="shared" si="1"/>
        <v>0</v>
      </c>
      <c r="X58" s="119"/>
      <c r="Y58" s="119"/>
      <c r="Z58" s="127">
        <f t="shared" si="2"/>
        <v>0</v>
      </c>
      <c r="AA58" s="141"/>
      <c r="AB58" s="142"/>
      <c r="AC58" s="133">
        <f t="shared" si="4"/>
        <v>0</v>
      </c>
      <c r="AD58" s="142"/>
      <c r="AE58" s="142"/>
      <c r="AF58" s="142"/>
      <c r="AG58" s="142"/>
      <c r="AH58" s="142"/>
      <c r="AI58" s="142"/>
      <c r="AJ58" s="142"/>
    </row>
    <row r="59" ht="22.5" hidden="1" customHeight="1">
      <c r="A59" s="4"/>
      <c r="B59" s="4"/>
      <c r="C59" s="131"/>
      <c r="D59" s="119"/>
      <c r="E59" s="119"/>
      <c r="F59" s="119"/>
      <c r="G59" s="119"/>
      <c r="H59" s="119"/>
      <c r="I59" s="119"/>
      <c r="J59" s="121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25">
        <f t="shared" si="1"/>
        <v>0</v>
      </c>
      <c r="X59" s="119"/>
      <c r="Y59" s="119"/>
      <c r="Z59" s="127">
        <f t="shared" si="2"/>
        <v>0</v>
      </c>
      <c r="AA59" s="141"/>
      <c r="AB59" s="142"/>
      <c r="AC59" s="133">
        <f t="shared" si="4"/>
        <v>0</v>
      </c>
      <c r="AD59" s="142"/>
      <c r="AE59" s="142"/>
      <c r="AF59" s="142"/>
      <c r="AG59" s="142"/>
      <c r="AH59" s="142"/>
      <c r="AI59" s="142"/>
      <c r="AJ59" s="142"/>
    </row>
    <row r="60" ht="22.5" hidden="1" customHeight="1">
      <c r="A60" s="4"/>
      <c r="B60" s="4"/>
      <c r="C60" s="131"/>
      <c r="D60" s="119"/>
      <c r="E60" s="119"/>
      <c r="F60" s="119"/>
      <c r="G60" s="119"/>
      <c r="H60" s="119"/>
      <c r="I60" s="119"/>
      <c r="J60" s="121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25">
        <f t="shared" si="1"/>
        <v>0</v>
      </c>
      <c r="X60" s="119"/>
      <c r="Y60" s="119"/>
      <c r="Z60" s="127">
        <f t="shared" si="2"/>
        <v>0</v>
      </c>
      <c r="AA60" s="141"/>
      <c r="AB60" s="142"/>
      <c r="AC60" s="133">
        <f t="shared" si="4"/>
        <v>0</v>
      </c>
      <c r="AD60" s="142"/>
      <c r="AE60" s="142"/>
      <c r="AF60" s="142"/>
      <c r="AG60" s="142"/>
      <c r="AH60" s="142"/>
      <c r="AI60" s="142"/>
      <c r="AJ60" s="142"/>
    </row>
    <row r="61" ht="22.5" hidden="1" customHeight="1">
      <c r="A61" s="4"/>
      <c r="B61" s="4"/>
      <c r="C61" s="131"/>
      <c r="D61" s="119"/>
      <c r="E61" s="119"/>
      <c r="F61" s="119"/>
      <c r="G61" s="119"/>
      <c r="H61" s="119"/>
      <c r="I61" s="119"/>
      <c r="J61" s="121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25">
        <f t="shared" si="1"/>
        <v>0</v>
      </c>
      <c r="X61" s="119"/>
      <c r="Y61" s="119"/>
      <c r="Z61" s="127">
        <f t="shared" si="2"/>
        <v>0</v>
      </c>
      <c r="AA61" s="141"/>
      <c r="AB61" s="142"/>
      <c r="AC61" s="133">
        <f t="shared" si="4"/>
        <v>0</v>
      </c>
      <c r="AD61" s="142"/>
      <c r="AE61" s="142"/>
      <c r="AF61" s="142"/>
      <c r="AG61" s="142"/>
      <c r="AH61" s="142"/>
      <c r="AI61" s="142"/>
      <c r="AJ61" s="142"/>
    </row>
    <row r="62" ht="22.5" hidden="1" customHeight="1">
      <c r="A62" s="4"/>
      <c r="B62" s="4"/>
      <c r="C62" s="131"/>
      <c r="D62" s="119"/>
      <c r="E62" s="119"/>
      <c r="F62" s="119"/>
      <c r="G62" s="119"/>
      <c r="H62" s="119"/>
      <c r="I62" s="119"/>
      <c r="J62" s="121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25">
        <f t="shared" si="1"/>
        <v>0</v>
      </c>
      <c r="X62" s="119"/>
      <c r="Y62" s="119"/>
      <c r="Z62" s="127">
        <f t="shared" si="2"/>
        <v>0</v>
      </c>
      <c r="AA62" s="141"/>
      <c r="AB62" s="142"/>
      <c r="AC62" s="133">
        <f t="shared" si="4"/>
        <v>0</v>
      </c>
      <c r="AD62" s="142"/>
      <c r="AE62" s="142"/>
      <c r="AF62" s="142"/>
      <c r="AG62" s="142"/>
      <c r="AH62" s="142"/>
      <c r="AI62" s="142"/>
      <c r="AJ62" s="142"/>
    </row>
    <row r="63" ht="22.5" hidden="1" customHeight="1">
      <c r="A63" s="4"/>
      <c r="B63" s="4"/>
      <c r="C63" s="131"/>
      <c r="D63" s="119"/>
      <c r="E63" s="119"/>
      <c r="F63" s="119"/>
      <c r="G63" s="119"/>
      <c r="H63" s="119"/>
      <c r="I63" s="119"/>
      <c r="J63" s="121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25">
        <f t="shared" si="1"/>
        <v>0</v>
      </c>
      <c r="X63" s="119"/>
      <c r="Y63" s="119"/>
      <c r="Z63" s="127">
        <f t="shared" si="2"/>
        <v>0</v>
      </c>
      <c r="AA63" s="141"/>
      <c r="AB63" s="142"/>
      <c r="AC63" s="133">
        <f t="shared" si="4"/>
        <v>0</v>
      </c>
      <c r="AD63" s="142"/>
      <c r="AE63" s="142"/>
      <c r="AF63" s="142"/>
      <c r="AG63" s="142"/>
      <c r="AH63" s="142"/>
      <c r="AI63" s="142"/>
      <c r="AJ63" s="142"/>
    </row>
    <row r="64" ht="22.5" hidden="1" customHeight="1">
      <c r="A64" s="4"/>
      <c r="B64" s="4"/>
      <c r="C64" s="131"/>
      <c r="D64" s="119"/>
      <c r="E64" s="119"/>
      <c r="F64" s="119"/>
      <c r="G64" s="119"/>
      <c r="H64" s="119"/>
      <c r="I64" s="119"/>
      <c r="J64" s="121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25">
        <f t="shared" si="1"/>
        <v>0</v>
      </c>
      <c r="X64" s="119"/>
      <c r="Y64" s="119"/>
      <c r="Z64" s="127">
        <f t="shared" si="2"/>
        <v>0</v>
      </c>
      <c r="AA64" s="141"/>
      <c r="AB64" s="142"/>
      <c r="AC64" s="133">
        <f t="shared" si="4"/>
        <v>0</v>
      </c>
      <c r="AD64" s="142"/>
      <c r="AE64" s="142"/>
      <c r="AF64" s="142"/>
      <c r="AG64" s="142"/>
      <c r="AH64" s="142"/>
      <c r="AI64" s="142"/>
      <c r="AJ64" s="142"/>
    </row>
    <row r="65" ht="22.5" hidden="1" customHeight="1">
      <c r="A65" s="4"/>
      <c r="B65" s="4"/>
      <c r="C65" s="131"/>
      <c r="D65" s="119"/>
      <c r="E65" s="119"/>
      <c r="F65" s="119"/>
      <c r="G65" s="119"/>
      <c r="H65" s="119"/>
      <c r="I65" s="119"/>
      <c r="J65" s="121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25">
        <f t="shared" si="1"/>
        <v>0</v>
      </c>
      <c r="X65" s="119"/>
      <c r="Y65" s="119"/>
      <c r="Z65" s="127">
        <f t="shared" si="2"/>
        <v>0</v>
      </c>
      <c r="AA65" s="141"/>
      <c r="AB65" s="142"/>
      <c r="AC65" s="133">
        <f t="shared" si="4"/>
        <v>0</v>
      </c>
      <c r="AD65" s="142"/>
      <c r="AE65" s="142"/>
      <c r="AF65" s="142"/>
      <c r="AG65" s="142"/>
      <c r="AH65" s="142"/>
      <c r="AI65" s="142"/>
      <c r="AJ65" s="142"/>
    </row>
    <row r="66" ht="22.5" hidden="1" customHeight="1">
      <c r="A66" s="4"/>
      <c r="B66" s="4"/>
      <c r="C66" s="131"/>
      <c r="D66" s="119"/>
      <c r="E66" s="119"/>
      <c r="F66" s="119"/>
      <c r="G66" s="119"/>
      <c r="H66" s="119"/>
      <c r="I66" s="119"/>
      <c r="J66" s="121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25">
        <f t="shared" si="1"/>
        <v>0</v>
      </c>
      <c r="X66" s="119"/>
      <c r="Y66" s="119"/>
      <c r="Z66" s="127">
        <f t="shared" si="2"/>
        <v>0</v>
      </c>
      <c r="AA66" s="141"/>
      <c r="AB66" s="142"/>
      <c r="AC66" s="133">
        <f t="shared" si="4"/>
        <v>0</v>
      </c>
      <c r="AD66" s="142"/>
      <c r="AE66" s="142"/>
      <c r="AF66" s="142"/>
      <c r="AG66" s="142"/>
      <c r="AH66" s="142"/>
      <c r="AI66" s="142"/>
      <c r="AJ66" s="142"/>
    </row>
    <row r="67" ht="22.5" hidden="1" customHeight="1">
      <c r="A67" s="4"/>
      <c r="B67" s="4"/>
      <c r="C67" s="131"/>
      <c r="D67" s="119"/>
      <c r="E67" s="119"/>
      <c r="F67" s="119"/>
      <c r="G67" s="119"/>
      <c r="H67" s="119"/>
      <c r="I67" s="119"/>
      <c r="J67" s="121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25">
        <f t="shared" si="1"/>
        <v>0</v>
      </c>
      <c r="X67" s="119"/>
      <c r="Y67" s="119"/>
      <c r="Z67" s="127">
        <f t="shared" si="2"/>
        <v>0</v>
      </c>
      <c r="AA67" s="141"/>
      <c r="AB67" s="142"/>
      <c r="AC67" s="133">
        <f t="shared" si="4"/>
        <v>0</v>
      </c>
      <c r="AD67" s="142"/>
      <c r="AE67" s="142"/>
      <c r="AF67" s="142"/>
      <c r="AG67" s="142"/>
      <c r="AH67" s="142"/>
      <c r="AI67" s="142"/>
      <c r="AJ67" s="142"/>
    </row>
    <row r="68" ht="22.5" hidden="1" customHeight="1">
      <c r="A68" s="4"/>
      <c r="B68" s="4"/>
      <c r="C68" s="131"/>
      <c r="D68" s="119"/>
      <c r="E68" s="119"/>
      <c r="F68" s="119"/>
      <c r="G68" s="119"/>
      <c r="H68" s="119"/>
      <c r="I68" s="119"/>
      <c r="J68" s="121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25">
        <f t="shared" si="1"/>
        <v>0</v>
      </c>
      <c r="X68" s="119"/>
      <c r="Y68" s="119"/>
      <c r="Z68" s="127">
        <f t="shared" si="2"/>
        <v>0</v>
      </c>
      <c r="AA68" s="141"/>
      <c r="AB68" s="142"/>
      <c r="AC68" s="133">
        <f t="shared" si="4"/>
        <v>0</v>
      </c>
      <c r="AD68" s="142"/>
      <c r="AE68" s="142"/>
      <c r="AF68" s="142"/>
      <c r="AG68" s="142"/>
      <c r="AH68" s="142"/>
      <c r="AI68" s="142"/>
      <c r="AJ68" s="142"/>
    </row>
    <row r="69" ht="22.5" hidden="1" customHeight="1">
      <c r="A69" s="4"/>
      <c r="B69" s="4"/>
      <c r="C69" s="131"/>
      <c r="D69" s="119"/>
      <c r="E69" s="119"/>
      <c r="F69" s="119"/>
      <c r="G69" s="119"/>
      <c r="H69" s="119"/>
      <c r="I69" s="119"/>
      <c r="J69" s="121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25">
        <f t="shared" si="1"/>
        <v>0</v>
      </c>
      <c r="X69" s="119"/>
      <c r="Y69" s="119"/>
      <c r="Z69" s="127">
        <f t="shared" si="2"/>
        <v>0</v>
      </c>
      <c r="AA69" s="141"/>
      <c r="AB69" s="142"/>
      <c r="AC69" s="133">
        <f t="shared" si="4"/>
        <v>0</v>
      </c>
      <c r="AD69" s="142"/>
      <c r="AE69" s="142"/>
      <c r="AF69" s="142"/>
      <c r="AG69" s="142"/>
      <c r="AH69" s="142"/>
      <c r="AI69" s="142"/>
      <c r="AJ69" s="142"/>
    </row>
    <row r="70" ht="22.5" hidden="1" customHeight="1">
      <c r="A70" s="4"/>
      <c r="B70" s="4"/>
      <c r="C70" s="131"/>
      <c r="D70" s="119"/>
      <c r="E70" s="119"/>
      <c r="F70" s="119"/>
      <c r="G70" s="119"/>
      <c r="H70" s="119"/>
      <c r="I70" s="119"/>
      <c r="J70" s="121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25">
        <f t="shared" si="1"/>
        <v>0</v>
      </c>
      <c r="X70" s="119"/>
      <c r="Y70" s="119"/>
      <c r="Z70" s="127">
        <f t="shared" si="2"/>
        <v>0</v>
      </c>
      <c r="AA70" s="141"/>
      <c r="AB70" s="142"/>
      <c r="AC70" s="133">
        <f t="shared" si="4"/>
        <v>0</v>
      </c>
      <c r="AD70" s="142"/>
      <c r="AE70" s="142"/>
      <c r="AF70" s="142"/>
      <c r="AG70" s="142"/>
      <c r="AH70" s="142"/>
      <c r="AI70" s="142"/>
      <c r="AJ70" s="142"/>
    </row>
    <row r="71" ht="22.5" hidden="1" customHeight="1">
      <c r="A71" s="4"/>
      <c r="B71" s="4"/>
      <c r="C71" s="131"/>
      <c r="D71" s="119"/>
      <c r="E71" s="119"/>
      <c r="F71" s="119"/>
      <c r="G71" s="119"/>
      <c r="H71" s="119"/>
      <c r="I71" s="119"/>
      <c r="J71" s="121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25">
        <f t="shared" si="1"/>
        <v>0</v>
      </c>
      <c r="X71" s="119"/>
      <c r="Y71" s="119"/>
      <c r="Z71" s="127">
        <f t="shared" si="2"/>
        <v>0</v>
      </c>
      <c r="AA71" s="141"/>
      <c r="AB71" s="142"/>
      <c r="AC71" s="133">
        <f t="shared" si="4"/>
        <v>0</v>
      </c>
      <c r="AD71" s="142"/>
      <c r="AE71" s="142"/>
      <c r="AF71" s="142"/>
      <c r="AG71" s="142"/>
      <c r="AH71" s="142"/>
      <c r="AI71" s="142"/>
      <c r="AJ71" s="142"/>
    </row>
    <row r="72" ht="22.5" hidden="1" customHeight="1">
      <c r="A72" s="4"/>
      <c r="B72" s="4"/>
      <c r="C72" s="131"/>
      <c r="D72" s="119"/>
      <c r="E72" s="119"/>
      <c r="F72" s="119"/>
      <c r="G72" s="119"/>
      <c r="H72" s="119"/>
      <c r="I72" s="119"/>
      <c r="J72" s="121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25">
        <f t="shared" si="1"/>
        <v>0</v>
      </c>
      <c r="X72" s="119"/>
      <c r="Y72" s="119"/>
      <c r="Z72" s="127">
        <f t="shared" si="2"/>
        <v>0</v>
      </c>
      <c r="AA72" s="141"/>
      <c r="AB72" s="142"/>
      <c r="AC72" s="133">
        <f t="shared" si="4"/>
        <v>0</v>
      </c>
      <c r="AD72" s="142"/>
      <c r="AE72" s="142"/>
      <c r="AF72" s="142"/>
      <c r="AG72" s="142"/>
      <c r="AH72" s="142"/>
      <c r="AI72" s="142"/>
      <c r="AJ72" s="142"/>
    </row>
    <row r="73" ht="22.5" hidden="1" customHeight="1">
      <c r="A73" s="4"/>
      <c r="B73" s="4"/>
      <c r="C73" s="131"/>
      <c r="D73" s="119"/>
      <c r="E73" s="119"/>
      <c r="F73" s="119"/>
      <c r="G73" s="119"/>
      <c r="H73" s="119"/>
      <c r="I73" s="119"/>
      <c r="J73" s="121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25">
        <f t="shared" si="1"/>
        <v>0</v>
      </c>
      <c r="X73" s="119"/>
      <c r="Y73" s="119"/>
      <c r="Z73" s="127">
        <f t="shared" si="2"/>
        <v>0</v>
      </c>
      <c r="AA73" s="141"/>
      <c r="AB73" s="142"/>
      <c r="AC73" s="133">
        <f t="shared" si="4"/>
        <v>0</v>
      </c>
      <c r="AD73" s="142"/>
      <c r="AE73" s="142"/>
      <c r="AF73" s="142"/>
      <c r="AG73" s="142"/>
      <c r="AH73" s="142"/>
      <c r="AI73" s="142"/>
      <c r="AJ73" s="142"/>
    </row>
    <row r="74" ht="22.5" hidden="1" customHeight="1">
      <c r="A74" s="4"/>
      <c r="B74" s="4"/>
      <c r="C74" s="131"/>
      <c r="D74" s="119"/>
      <c r="E74" s="119"/>
      <c r="F74" s="119"/>
      <c r="G74" s="119"/>
      <c r="H74" s="119"/>
      <c r="I74" s="119"/>
      <c r="J74" s="121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25">
        <f t="shared" si="1"/>
        <v>0</v>
      </c>
      <c r="X74" s="119"/>
      <c r="Y74" s="119"/>
      <c r="Z74" s="127">
        <f t="shared" si="2"/>
        <v>0</v>
      </c>
      <c r="AA74" s="141"/>
      <c r="AB74" s="142"/>
      <c r="AC74" s="133">
        <f t="shared" si="4"/>
        <v>0</v>
      </c>
      <c r="AD74" s="142"/>
      <c r="AE74" s="142"/>
      <c r="AF74" s="142"/>
      <c r="AG74" s="142"/>
      <c r="AH74" s="142"/>
      <c r="AI74" s="142"/>
      <c r="AJ74" s="142"/>
    </row>
    <row r="75" ht="22.5" hidden="1" customHeight="1">
      <c r="A75" s="4"/>
      <c r="B75" s="4"/>
      <c r="C75" s="131"/>
      <c r="D75" s="119"/>
      <c r="E75" s="119"/>
      <c r="F75" s="119"/>
      <c r="G75" s="119"/>
      <c r="H75" s="119"/>
      <c r="I75" s="119"/>
      <c r="J75" s="121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25">
        <f t="shared" si="1"/>
        <v>0</v>
      </c>
      <c r="X75" s="119"/>
      <c r="Y75" s="119"/>
      <c r="Z75" s="127">
        <f t="shared" si="2"/>
        <v>0</v>
      </c>
      <c r="AA75" s="141"/>
      <c r="AB75" s="142"/>
      <c r="AC75" s="133">
        <f t="shared" si="4"/>
        <v>0</v>
      </c>
      <c r="AD75" s="142"/>
      <c r="AE75" s="142"/>
      <c r="AF75" s="142"/>
      <c r="AG75" s="142"/>
      <c r="AH75" s="142"/>
      <c r="AI75" s="142"/>
      <c r="AJ75" s="142"/>
    </row>
    <row r="76" ht="22.5" hidden="1" customHeight="1">
      <c r="A76" s="4"/>
      <c r="B76" s="4"/>
      <c r="C76" s="131"/>
      <c r="D76" s="119"/>
      <c r="E76" s="119"/>
      <c r="F76" s="119"/>
      <c r="G76" s="119"/>
      <c r="H76" s="119"/>
      <c r="I76" s="119"/>
      <c r="J76" s="121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25">
        <f t="shared" si="1"/>
        <v>0</v>
      </c>
      <c r="X76" s="119"/>
      <c r="Y76" s="119"/>
      <c r="Z76" s="127">
        <f t="shared" si="2"/>
        <v>0</v>
      </c>
      <c r="AA76" s="141"/>
      <c r="AB76" s="142"/>
      <c r="AC76" s="133">
        <f t="shared" si="4"/>
        <v>0</v>
      </c>
      <c r="AD76" s="142"/>
      <c r="AE76" s="142"/>
      <c r="AF76" s="142"/>
      <c r="AG76" s="142"/>
      <c r="AH76" s="142"/>
      <c r="AI76" s="142"/>
      <c r="AJ76" s="142"/>
    </row>
    <row r="77" ht="22.5" hidden="1" customHeight="1">
      <c r="A77" s="4"/>
      <c r="B77" s="4"/>
      <c r="C77" s="131"/>
      <c r="D77" s="119"/>
      <c r="E77" s="119"/>
      <c r="F77" s="119"/>
      <c r="G77" s="119"/>
      <c r="H77" s="119"/>
      <c r="I77" s="119"/>
      <c r="J77" s="121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25">
        <f t="shared" si="1"/>
        <v>0</v>
      </c>
      <c r="X77" s="119"/>
      <c r="Y77" s="119"/>
      <c r="Z77" s="127">
        <f t="shared" si="2"/>
        <v>0</v>
      </c>
      <c r="AA77" s="141"/>
      <c r="AB77" s="142"/>
      <c r="AC77" s="133">
        <f t="shared" si="4"/>
        <v>0</v>
      </c>
      <c r="AD77" s="142"/>
      <c r="AE77" s="142"/>
      <c r="AF77" s="142"/>
      <c r="AG77" s="142"/>
      <c r="AH77" s="142"/>
      <c r="AI77" s="142"/>
      <c r="AJ77" s="142"/>
    </row>
    <row r="78" ht="22.5" hidden="1" customHeight="1">
      <c r="A78" s="4"/>
      <c r="B78" s="4"/>
      <c r="C78" s="131"/>
      <c r="D78" s="119"/>
      <c r="E78" s="119"/>
      <c r="F78" s="119"/>
      <c r="G78" s="119"/>
      <c r="H78" s="119"/>
      <c r="I78" s="119"/>
      <c r="J78" s="121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25">
        <f t="shared" si="1"/>
        <v>0</v>
      </c>
      <c r="X78" s="119"/>
      <c r="Y78" s="119"/>
      <c r="Z78" s="127">
        <f t="shared" si="2"/>
        <v>0</v>
      </c>
      <c r="AA78" s="141"/>
      <c r="AB78" s="142"/>
      <c r="AC78" s="133">
        <f t="shared" si="4"/>
        <v>0</v>
      </c>
      <c r="AD78" s="142"/>
      <c r="AE78" s="142"/>
      <c r="AF78" s="142"/>
      <c r="AG78" s="142"/>
      <c r="AH78" s="142"/>
      <c r="AI78" s="142"/>
      <c r="AJ78" s="142"/>
    </row>
    <row r="79" ht="22.5" hidden="1" customHeight="1">
      <c r="A79" s="4"/>
      <c r="B79" s="4"/>
      <c r="C79" s="131"/>
      <c r="D79" s="119"/>
      <c r="E79" s="119"/>
      <c r="F79" s="119"/>
      <c r="G79" s="119"/>
      <c r="H79" s="119"/>
      <c r="I79" s="119"/>
      <c r="J79" s="121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25">
        <f t="shared" si="1"/>
        <v>0</v>
      </c>
      <c r="X79" s="119"/>
      <c r="Y79" s="119"/>
      <c r="Z79" s="127">
        <f t="shared" si="2"/>
        <v>0</v>
      </c>
      <c r="AA79" s="141"/>
      <c r="AB79" s="142"/>
      <c r="AC79" s="133">
        <f t="shared" si="4"/>
        <v>0</v>
      </c>
      <c r="AD79" s="142"/>
      <c r="AE79" s="142"/>
      <c r="AF79" s="142"/>
      <c r="AG79" s="142"/>
      <c r="AH79" s="142"/>
      <c r="AI79" s="142"/>
      <c r="AJ79" s="142"/>
    </row>
    <row r="80" ht="22.5" hidden="1" customHeight="1">
      <c r="A80" s="4"/>
      <c r="B80" s="4"/>
      <c r="C80" s="131"/>
      <c r="D80" s="119"/>
      <c r="E80" s="119"/>
      <c r="F80" s="119"/>
      <c r="G80" s="119"/>
      <c r="H80" s="119"/>
      <c r="I80" s="119"/>
      <c r="J80" s="121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25">
        <f t="shared" si="1"/>
        <v>0</v>
      </c>
      <c r="X80" s="119"/>
      <c r="Y80" s="119"/>
      <c r="Z80" s="127">
        <f t="shared" si="2"/>
        <v>0</v>
      </c>
      <c r="AA80" s="141"/>
      <c r="AB80" s="142"/>
      <c r="AC80" s="133">
        <f t="shared" si="4"/>
        <v>0</v>
      </c>
      <c r="AD80" s="142"/>
      <c r="AE80" s="142"/>
      <c r="AF80" s="142"/>
      <c r="AG80" s="142"/>
      <c r="AH80" s="142"/>
      <c r="AI80" s="142"/>
      <c r="AJ80" s="142"/>
    </row>
    <row r="81" ht="22.5" hidden="1" customHeight="1">
      <c r="A81" s="4"/>
      <c r="B81" s="4"/>
      <c r="C81" s="131"/>
      <c r="D81" s="119"/>
      <c r="E81" s="119"/>
      <c r="F81" s="119"/>
      <c r="G81" s="119"/>
      <c r="H81" s="119"/>
      <c r="I81" s="119"/>
      <c r="J81" s="121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25">
        <f t="shared" si="1"/>
        <v>0</v>
      </c>
      <c r="X81" s="119"/>
      <c r="Y81" s="119"/>
      <c r="Z81" s="127">
        <f t="shared" si="2"/>
        <v>0</v>
      </c>
      <c r="AA81" s="141"/>
      <c r="AB81" s="142"/>
      <c r="AC81" s="133">
        <f t="shared" si="4"/>
        <v>0</v>
      </c>
      <c r="AD81" s="142"/>
      <c r="AE81" s="142"/>
      <c r="AF81" s="142"/>
      <c r="AG81" s="142"/>
      <c r="AH81" s="142"/>
      <c r="AI81" s="142"/>
      <c r="AJ81" s="142"/>
    </row>
    <row r="82" ht="22.5" hidden="1" customHeight="1">
      <c r="A82" s="4"/>
      <c r="B82" s="4"/>
      <c r="C82" s="131"/>
      <c r="D82" s="119"/>
      <c r="E82" s="119"/>
      <c r="F82" s="119"/>
      <c r="G82" s="119"/>
      <c r="H82" s="119"/>
      <c r="I82" s="119"/>
      <c r="J82" s="121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25">
        <f t="shared" si="1"/>
        <v>0</v>
      </c>
      <c r="X82" s="119"/>
      <c r="Y82" s="119"/>
      <c r="Z82" s="127">
        <f t="shared" si="2"/>
        <v>0</v>
      </c>
      <c r="AA82" s="141"/>
      <c r="AB82" s="142"/>
      <c r="AC82" s="133">
        <f t="shared" si="4"/>
        <v>0</v>
      </c>
      <c r="AD82" s="142"/>
      <c r="AE82" s="142"/>
      <c r="AF82" s="142"/>
      <c r="AG82" s="142"/>
      <c r="AH82" s="142"/>
      <c r="AI82" s="142"/>
      <c r="AJ82" s="142"/>
    </row>
    <row r="83" ht="22.5" hidden="1" customHeight="1">
      <c r="A83" s="4"/>
      <c r="B83" s="4"/>
      <c r="C83" s="131"/>
      <c r="D83" s="119"/>
      <c r="E83" s="119"/>
      <c r="F83" s="119"/>
      <c r="G83" s="119"/>
      <c r="H83" s="119"/>
      <c r="I83" s="119"/>
      <c r="J83" s="121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25">
        <f t="shared" si="1"/>
        <v>0</v>
      </c>
      <c r="X83" s="119"/>
      <c r="Y83" s="119"/>
      <c r="Z83" s="127">
        <f t="shared" si="2"/>
        <v>0</v>
      </c>
      <c r="AA83" s="141"/>
      <c r="AB83" s="142"/>
      <c r="AC83" s="133">
        <f t="shared" si="4"/>
        <v>0</v>
      </c>
      <c r="AD83" s="142"/>
      <c r="AE83" s="142"/>
      <c r="AF83" s="142"/>
      <c r="AG83" s="142"/>
      <c r="AH83" s="142"/>
      <c r="AI83" s="142"/>
      <c r="AJ83" s="142"/>
    </row>
    <row r="84" ht="22.5" hidden="1" customHeight="1">
      <c r="A84" s="4"/>
      <c r="B84" s="4"/>
      <c r="C84" s="131"/>
      <c r="D84" s="119"/>
      <c r="E84" s="119"/>
      <c r="F84" s="119"/>
      <c r="G84" s="119"/>
      <c r="H84" s="119"/>
      <c r="I84" s="119"/>
      <c r="J84" s="121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25">
        <f t="shared" si="1"/>
        <v>0</v>
      </c>
      <c r="X84" s="119"/>
      <c r="Y84" s="119"/>
      <c r="Z84" s="127">
        <f t="shared" si="2"/>
        <v>0</v>
      </c>
      <c r="AA84" s="141"/>
      <c r="AB84" s="142"/>
      <c r="AC84" s="133">
        <f t="shared" si="4"/>
        <v>0</v>
      </c>
      <c r="AD84" s="142"/>
      <c r="AE84" s="142"/>
      <c r="AF84" s="142"/>
      <c r="AG84" s="142"/>
      <c r="AH84" s="142"/>
      <c r="AI84" s="142"/>
      <c r="AJ84" s="142"/>
    </row>
    <row r="85" ht="22.5" hidden="1" customHeight="1">
      <c r="A85" s="4"/>
      <c r="B85" s="4"/>
      <c r="C85" s="131"/>
      <c r="D85" s="119"/>
      <c r="E85" s="119"/>
      <c r="F85" s="119"/>
      <c r="G85" s="119"/>
      <c r="H85" s="119"/>
      <c r="I85" s="119"/>
      <c r="J85" s="121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25">
        <f t="shared" si="1"/>
        <v>0</v>
      </c>
      <c r="X85" s="119"/>
      <c r="Y85" s="119"/>
      <c r="Z85" s="127">
        <f t="shared" si="2"/>
        <v>0</v>
      </c>
      <c r="AA85" s="141"/>
      <c r="AB85" s="142"/>
      <c r="AC85" s="133">
        <f t="shared" si="4"/>
        <v>0</v>
      </c>
      <c r="AD85" s="142"/>
      <c r="AE85" s="142"/>
      <c r="AF85" s="142"/>
      <c r="AG85" s="142"/>
      <c r="AH85" s="142"/>
      <c r="AI85" s="142"/>
      <c r="AJ85" s="142"/>
    </row>
    <row r="86" ht="22.5" hidden="1" customHeight="1">
      <c r="A86" s="4"/>
      <c r="B86" s="4"/>
      <c r="C86" s="131"/>
      <c r="D86" s="119"/>
      <c r="E86" s="119"/>
      <c r="F86" s="119"/>
      <c r="G86" s="119"/>
      <c r="H86" s="119"/>
      <c r="I86" s="119"/>
      <c r="J86" s="121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25">
        <f t="shared" si="1"/>
        <v>0</v>
      </c>
      <c r="X86" s="119"/>
      <c r="Y86" s="119"/>
      <c r="Z86" s="127">
        <f t="shared" si="2"/>
        <v>0</v>
      </c>
      <c r="AA86" s="141"/>
      <c r="AB86" s="142"/>
      <c r="AC86" s="133">
        <f t="shared" si="4"/>
        <v>0</v>
      </c>
      <c r="AD86" s="142"/>
      <c r="AE86" s="142"/>
      <c r="AF86" s="142"/>
      <c r="AG86" s="142"/>
      <c r="AH86" s="142"/>
      <c r="AI86" s="142"/>
      <c r="AJ86" s="142"/>
    </row>
    <row r="87" ht="22.5" hidden="1" customHeight="1">
      <c r="A87" s="4"/>
      <c r="B87" s="4"/>
      <c r="C87" s="131"/>
      <c r="D87" s="119"/>
      <c r="E87" s="119"/>
      <c r="F87" s="119"/>
      <c r="G87" s="119"/>
      <c r="H87" s="119"/>
      <c r="I87" s="119"/>
      <c r="J87" s="121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25">
        <f t="shared" si="1"/>
        <v>0</v>
      </c>
      <c r="X87" s="119"/>
      <c r="Y87" s="119"/>
      <c r="Z87" s="127">
        <f t="shared" si="2"/>
        <v>0</v>
      </c>
      <c r="AA87" s="141"/>
      <c r="AB87" s="142"/>
      <c r="AC87" s="133">
        <f t="shared" si="4"/>
        <v>0</v>
      </c>
      <c r="AD87" s="142"/>
      <c r="AE87" s="142"/>
      <c r="AF87" s="142"/>
      <c r="AG87" s="142"/>
      <c r="AH87" s="142"/>
      <c r="AI87" s="142"/>
      <c r="AJ87" s="142"/>
    </row>
    <row r="88" ht="22.5" hidden="1" customHeight="1">
      <c r="A88" s="4"/>
      <c r="B88" s="4"/>
      <c r="C88" s="131"/>
      <c r="D88" s="119"/>
      <c r="E88" s="119"/>
      <c r="F88" s="119"/>
      <c r="G88" s="119"/>
      <c r="H88" s="119"/>
      <c r="I88" s="119"/>
      <c r="J88" s="121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25">
        <f t="shared" si="1"/>
        <v>0</v>
      </c>
      <c r="X88" s="119"/>
      <c r="Y88" s="119"/>
      <c r="Z88" s="127">
        <f t="shared" si="2"/>
        <v>0</v>
      </c>
      <c r="AA88" s="141"/>
      <c r="AB88" s="142"/>
      <c r="AC88" s="133">
        <f t="shared" si="4"/>
        <v>0</v>
      </c>
      <c r="AD88" s="142"/>
      <c r="AE88" s="142"/>
      <c r="AF88" s="142"/>
      <c r="AG88" s="142"/>
      <c r="AH88" s="142"/>
      <c r="AI88" s="142"/>
      <c r="AJ88" s="142"/>
    </row>
    <row r="89" ht="22.5" hidden="1" customHeight="1">
      <c r="A89" s="4"/>
      <c r="B89" s="4"/>
      <c r="C89" s="131"/>
      <c r="D89" s="119"/>
      <c r="E89" s="119"/>
      <c r="F89" s="119"/>
      <c r="G89" s="119"/>
      <c r="H89" s="119"/>
      <c r="I89" s="119"/>
      <c r="J89" s="121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25">
        <f t="shared" si="1"/>
        <v>0</v>
      </c>
      <c r="X89" s="119"/>
      <c r="Y89" s="119"/>
      <c r="Z89" s="127">
        <f t="shared" si="2"/>
        <v>0</v>
      </c>
      <c r="AA89" s="141"/>
      <c r="AB89" s="142"/>
      <c r="AC89" s="133">
        <f t="shared" si="4"/>
        <v>0</v>
      </c>
      <c r="AD89" s="142"/>
      <c r="AE89" s="142"/>
      <c r="AF89" s="142"/>
      <c r="AG89" s="142"/>
      <c r="AH89" s="142"/>
      <c r="AI89" s="142"/>
      <c r="AJ89" s="142"/>
    </row>
    <row r="90" ht="22.5" hidden="1" customHeight="1">
      <c r="A90" s="4"/>
      <c r="B90" s="4"/>
      <c r="C90" s="131"/>
      <c r="D90" s="119"/>
      <c r="E90" s="119"/>
      <c r="F90" s="119"/>
      <c r="G90" s="119"/>
      <c r="H90" s="119"/>
      <c r="I90" s="119"/>
      <c r="J90" s="121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25">
        <f t="shared" si="1"/>
        <v>0</v>
      </c>
      <c r="X90" s="119"/>
      <c r="Y90" s="119"/>
      <c r="Z90" s="127">
        <f t="shared" si="2"/>
        <v>0</v>
      </c>
      <c r="AA90" s="141"/>
      <c r="AB90" s="142"/>
      <c r="AC90" s="133">
        <f t="shared" si="4"/>
        <v>0</v>
      </c>
      <c r="AD90" s="142"/>
      <c r="AE90" s="142"/>
      <c r="AF90" s="142"/>
      <c r="AG90" s="142"/>
      <c r="AH90" s="142"/>
      <c r="AI90" s="142"/>
      <c r="AJ90" s="142"/>
    </row>
    <row r="91" ht="22.5" hidden="1" customHeight="1">
      <c r="A91" s="4"/>
      <c r="B91" s="4"/>
      <c r="C91" s="131"/>
      <c r="D91" s="119"/>
      <c r="E91" s="119"/>
      <c r="F91" s="119"/>
      <c r="G91" s="119"/>
      <c r="H91" s="119"/>
      <c r="I91" s="119"/>
      <c r="J91" s="121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25">
        <f t="shared" si="1"/>
        <v>0</v>
      </c>
      <c r="X91" s="119"/>
      <c r="Y91" s="119"/>
      <c r="Z91" s="127">
        <f t="shared" si="2"/>
        <v>0</v>
      </c>
      <c r="AA91" s="141"/>
      <c r="AB91" s="142"/>
      <c r="AC91" s="133">
        <f t="shared" si="4"/>
        <v>0</v>
      </c>
      <c r="AD91" s="142"/>
      <c r="AE91" s="142"/>
      <c r="AF91" s="142"/>
      <c r="AG91" s="142"/>
      <c r="AH91" s="142"/>
      <c r="AI91" s="142"/>
      <c r="AJ91" s="142"/>
    </row>
    <row r="92" ht="22.5" hidden="1" customHeight="1">
      <c r="A92" s="4"/>
      <c r="B92" s="4"/>
      <c r="C92" s="131"/>
      <c r="D92" s="119"/>
      <c r="E92" s="119"/>
      <c r="F92" s="119"/>
      <c r="G92" s="119"/>
      <c r="H92" s="119"/>
      <c r="I92" s="119"/>
      <c r="J92" s="121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25">
        <f t="shared" si="1"/>
        <v>0</v>
      </c>
      <c r="X92" s="119"/>
      <c r="Y92" s="119"/>
      <c r="Z92" s="127">
        <f t="shared" si="2"/>
        <v>0</v>
      </c>
      <c r="AA92" s="141"/>
      <c r="AB92" s="142"/>
      <c r="AC92" s="133">
        <f t="shared" si="4"/>
        <v>0</v>
      </c>
      <c r="AD92" s="142"/>
      <c r="AE92" s="142"/>
      <c r="AF92" s="142"/>
      <c r="AG92" s="142"/>
      <c r="AH92" s="142"/>
      <c r="AI92" s="142"/>
      <c r="AJ92" s="142"/>
    </row>
    <row r="93" ht="22.5" hidden="1" customHeight="1">
      <c r="A93" s="4"/>
      <c r="B93" s="4"/>
      <c r="C93" s="131"/>
      <c r="D93" s="119"/>
      <c r="E93" s="119"/>
      <c r="F93" s="119"/>
      <c r="G93" s="119"/>
      <c r="H93" s="119"/>
      <c r="I93" s="119"/>
      <c r="J93" s="121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25">
        <f t="shared" si="1"/>
        <v>0</v>
      </c>
      <c r="X93" s="119"/>
      <c r="Y93" s="119"/>
      <c r="Z93" s="127">
        <f t="shared" si="2"/>
        <v>0</v>
      </c>
      <c r="AA93" s="141"/>
      <c r="AB93" s="142"/>
      <c r="AC93" s="133">
        <f t="shared" si="4"/>
        <v>0</v>
      </c>
      <c r="AD93" s="142"/>
      <c r="AE93" s="142"/>
      <c r="AF93" s="142"/>
      <c r="AG93" s="142"/>
      <c r="AH93" s="142"/>
      <c r="AI93" s="142"/>
      <c r="AJ93" s="142"/>
    </row>
    <row r="94" ht="22.5" hidden="1" customHeight="1">
      <c r="A94" s="4"/>
      <c r="B94" s="4"/>
      <c r="C94" s="131"/>
      <c r="D94" s="119"/>
      <c r="E94" s="119"/>
      <c r="F94" s="119"/>
      <c r="G94" s="119"/>
      <c r="H94" s="119"/>
      <c r="I94" s="119"/>
      <c r="J94" s="121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25">
        <f t="shared" si="1"/>
        <v>0</v>
      </c>
      <c r="X94" s="119"/>
      <c r="Y94" s="119"/>
      <c r="Z94" s="127">
        <f t="shared" si="2"/>
        <v>0</v>
      </c>
      <c r="AA94" s="141"/>
      <c r="AB94" s="142"/>
      <c r="AC94" s="133">
        <f t="shared" si="4"/>
        <v>0</v>
      </c>
      <c r="AD94" s="142"/>
      <c r="AE94" s="142"/>
      <c r="AF94" s="142"/>
      <c r="AG94" s="142"/>
      <c r="AH94" s="142"/>
      <c r="AI94" s="142"/>
      <c r="AJ94" s="142"/>
    </row>
    <row r="95" ht="22.5" hidden="1" customHeight="1">
      <c r="A95" s="4"/>
      <c r="B95" s="4"/>
      <c r="C95" s="131"/>
      <c r="D95" s="119"/>
      <c r="E95" s="119"/>
      <c r="F95" s="119"/>
      <c r="G95" s="119"/>
      <c r="H95" s="119"/>
      <c r="I95" s="119"/>
      <c r="J95" s="121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25">
        <f t="shared" si="1"/>
        <v>0</v>
      </c>
      <c r="X95" s="119"/>
      <c r="Y95" s="119"/>
      <c r="Z95" s="127">
        <f t="shared" si="2"/>
        <v>0</v>
      </c>
      <c r="AA95" s="141"/>
      <c r="AB95" s="142"/>
      <c r="AC95" s="133">
        <f t="shared" si="4"/>
        <v>0</v>
      </c>
      <c r="AD95" s="142"/>
      <c r="AE95" s="142"/>
      <c r="AF95" s="142"/>
      <c r="AG95" s="142"/>
      <c r="AH95" s="142"/>
      <c r="AI95" s="142"/>
      <c r="AJ95" s="142"/>
    </row>
    <row r="96" ht="22.5" hidden="1" customHeight="1">
      <c r="A96" s="4"/>
      <c r="B96" s="4"/>
      <c r="C96" s="131"/>
      <c r="D96" s="119"/>
      <c r="E96" s="119"/>
      <c r="F96" s="119"/>
      <c r="G96" s="119"/>
      <c r="H96" s="119"/>
      <c r="I96" s="119"/>
      <c r="J96" s="121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25">
        <f t="shared" si="1"/>
        <v>0</v>
      </c>
      <c r="X96" s="119"/>
      <c r="Y96" s="119"/>
      <c r="Z96" s="127">
        <f t="shared" si="2"/>
        <v>0</v>
      </c>
      <c r="AA96" s="141"/>
      <c r="AB96" s="142"/>
      <c r="AC96" s="133">
        <f t="shared" si="4"/>
        <v>0</v>
      </c>
      <c r="AD96" s="142"/>
      <c r="AE96" s="142"/>
      <c r="AF96" s="142"/>
      <c r="AG96" s="142"/>
      <c r="AH96" s="142"/>
      <c r="AI96" s="142"/>
      <c r="AJ96" s="142"/>
    </row>
    <row r="97" ht="22.5" hidden="1" customHeight="1">
      <c r="A97" s="4"/>
      <c r="B97" s="4"/>
      <c r="C97" s="131"/>
      <c r="D97" s="119"/>
      <c r="E97" s="119"/>
      <c r="F97" s="119"/>
      <c r="G97" s="119"/>
      <c r="H97" s="119"/>
      <c r="I97" s="119"/>
      <c r="J97" s="121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25">
        <f t="shared" si="1"/>
        <v>0</v>
      </c>
      <c r="X97" s="119"/>
      <c r="Y97" s="119"/>
      <c r="Z97" s="127">
        <f t="shared" si="2"/>
        <v>0</v>
      </c>
      <c r="AA97" s="141"/>
      <c r="AB97" s="142"/>
      <c r="AC97" s="133">
        <f t="shared" si="4"/>
        <v>0</v>
      </c>
      <c r="AD97" s="142"/>
      <c r="AE97" s="142"/>
      <c r="AF97" s="142"/>
      <c r="AG97" s="142"/>
      <c r="AH97" s="142"/>
      <c r="AI97" s="142"/>
      <c r="AJ97" s="142"/>
    </row>
    <row r="98" ht="22.5" hidden="1" customHeight="1">
      <c r="A98" s="4"/>
      <c r="B98" s="4"/>
      <c r="C98" s="131"/>
      <c r="D98" s="119"/>
      <c r="E98" s="119"/>
      <c r="F98" s="119"/>
      <c r="G98" s="119"/>
      <c r="H98" s="119"/>
      <c r="I98" s="119"/>
      <c r="J98" s="121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25">
        <f t="shared" si="1"/>
        <v>0</v>
      </c>
      <c r="X98" s="119"/>
      <c r="Y98" s="119"/>
      <c r="Z98" s="127">
        <f t="shared" si="2"/>
        <v>0</v>
      </c>
      <c r="AA98" s="141"/>
      <c r="AB98" s="142"/>
      <c r="AC98" s="133">
        <f t="shared" si="4"/>
        <v>0</v>
      </c>
      <c r="AD98" s="142"/>
      <c r="AE98" s="142"/>
      <c r="AF98" s="142"/>
      <c r="AG98" s="142"/>
      <c r="AH98" s="142"/>
      <c r="AI98" s="142"/>
      <c r="AJ98" s="142"/>
    </row>
    <row r="99" ht="22.5" hidden="1" customHeight="1">
      <c r="A99" s="4"/>
      <c r="B99" s="4"/>
      <c r="C99" s="131"/>
      <c r="D99" s="119"/>
      <c r="E99" s="119"/>
      <c r="F99" s="119"/>
      <c r="G99" s="119"/>
      <c r="H99" s="119"/>
      <c r="I99" s="119"/>
      <c r="J99" s="121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25">
        <f t="shared" si="1"/>
        <v>0</v>
      </c>
      <c r="X99" s="119"/>
      <c r="Y99" s="119"/>
      <c r="Z99" s="127">
        <f t="shared" si="2"/>
        <v>0</v>
      </c>
      <c r="AA99" s="141"/>
      <c r="AB99" s="142"/>
      <c r="AC99" s="133">
        <f t="shared" si="4"/>
        <v>0</v>
      </c>
      <c r="AD99" s="142"/>
      <c r="AE99" s="142"/>
      <c r="AF99" s="142"/>
      <c r="AG99" s="142"/>
      <c r="AH99" s="142"/>
      <c r="AI99" s="142"/>
      <c r="AJ99" s="142"/>
    </row>
    <row r="100" ht="22.5" hidden="1" customHeight="1">
      <c r="A100" s="4"/>
      <c r="B100" s="4"/>
      <c r="C100" s="131"/>
      <c r="D100" s="119"/>
      <c r="E100" s="119"/>
      <c r="F100" s="119"/>
      <c r="G100" s="119"/>
      <c r="H100" s="119"/>
      <c r="I100" s="119"/>
      <c r="J100" s="121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25">
        <f t="shared" si="1"/>
        <v>0</v>
      </c>
      <c r="X100" s="119"/>
      <c r="Y100" s="119"/>
      <c r="Z100" s="127">
        <f t="shared" si="2"/>
        <v>0</v>
      </c>
      <c r="AA100" s="141"/>
      <c r="AB100" s="142"/>
      <c r="AC100" s="133">
        <f t="shared" si="4"/>
        <v>0</v>
      </c>
      <c r="AD100" s="142"/>
      <c r="AE100" s="142"/>
      <c r="AF100" s="142"/>
      <c r="AG100" s="142"/>
      <c r="AH100" s="142"/>
      <c r="AI100" s="142"/>
      <c r="AJ100" s="142"/>
    </row>
    <row r="101" ht="22.5" hidden="1" customHeight="1">
      <c r="A101" s="4"/>
      <c r="B101" s="4"/>
      <c r="C101" s="131"/>
      <c r="D101" s="119"/>
      <c r="E101" s="119"/>
      <c r="F101" s="119"/>
      <c r="G101" s="119"/>
      <c r="H101" s="119"/>
      <c r="I101" s="119"/>
      <c r="J101" s="121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25">
        <f t="shared" si="1"/>
        <v>0</v>
      </c>
      <c r="X101" s="119"/>
      <c r="Y101" s="119"/>
      <c r="Z101" s="127">
        <f t="shared" si="2"/>
        <v>0</v>
      </c>
      <c r="AA101" s="141"/>
      <c r="AB101" s="142"/>
      <c r="AC101" s="133">
        <f t="shared" si="4"/>
        <v>0</v>
      </c>
      <c r="AD101" s="142"/>
      <c r="AE101" s="142"/>
      <c r="AF101" s="142"/>
      <c r="AG101" s="142"/>
      <c r="AH101" s="142"/>
      <c r="AI101" s="142"/>
      <c r="AJ101" s="142"/>
    </row>
    <row r="102" ht="22.5" hidden="1" customHeight="1">
      <c r="A102" s="4"/>
      <c r="B102" s="4"/>
      <c r="C102" s="131"/>
      <c r="D102" s="119"/>
      <c r="E102" s="119"/>
      <c r="F102" s="119"/>
      <c r="G102" s="119"/>
      <c r="H102" s="119"/>
      <c r="I102" s="119"/>
      <c r="J102" s="121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25">
        <f t="shared" si="1"/>
        <v>0</v>
      </c>
      <c r="X102" s="119"/>
      <c r="Y102" s="119"/>
      <c r="Z102" s="127">
        <f t="shared" si="2"/>
        <v>0</v>
      </c>
      <c r="AA102" s="141"/>
      <c r="AB102" s="142"/>
      <c r="AC102" s="133">
        <f t="shared" si="4"/>
        <v>0</v>
      </c>
      <c r="AD102" s="142"/>
      <c r="AE102" s="142"/>
      <c r="AF102" s="142"/>
      <c r="AG102" s="142"/>
      <c r="AH102" s="142"/>
      <c r="AI102" s="142"/>
      <c r="AJ102" s="142"/>
    </row>
    <row r="103" ht="22.5" hidden="1" customHeight="1">
      <c r="A103" s="4"/>
      <c r="B103" s="4"/>
      <c r="C103" s="131"/>
      <c r="D103" s="119"/>
      <c r="E103" s="119"/>
      <c r="F103" s="119"/>
      <c r="G103" s="119"/>
      <c r="H103" s="119"/>
      <c r="I103" s="119"/>
      <c r="J103" s="121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25">
        <f t="shared" si="1"/>
        <v>0</v>
      </c>
      <c r="X103" s="119"/>
      <c r="Y103" s="119"/>
      <c r="Z103" s="127">
        <f t="shared" si="2"/>
        <v>0</v>
      </c>
      <c r="AA103" s="141"/>
      <c r="AB103" s="142"/>
      <c r="AC103" s="133">
        <f t="shared" si="4"/>
        <v>0</v>
      </c>
      <c r="AD103" s="142"/>
      <c r="AE103" s="142"/>
      <c r="AF103" s="142"/>
      <c r="AG103" s="142"/>
      <c r="AH103" s="142"/>
      <c r="AI103" s="142"/>
      <c r="AJ103" s="142"/>
    </row>
    <row r="104" ht="22.5" hidden="1" customHeight="1">
      <c r="A104" s="4"/>
      <c r="B104" s="4"/>
      <c r="C104" s="131"/>
      <c r="D104" s="119"/>
      <c r="E104" s="119"/>
      <c r="F104" s="119"/>
      <c r="G104" s="119"/>
      <c r="H104" s="119"/>
      <c r="I104" s="119"/>
      <c r="J104" s="121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25">
        <f t="shared" si="1"/>
        <v>0</v>
      </c>
      <c r="X104" s="119"/>
      <c r="Y104" s="119"/>
      <c r="Z104" s="127">
        <f t="shared" si="2"/>
        <v>0</v>
      </c>
      <c r="AA104" s="141"/>
      <c r="AB104" s="142"/>
      <c r="AC104" s="133">
        <f t="shared" si="4"/>
        <v>0</v>
      </c>
      <c r="AD104" s="142"/>
      <c r="AE104" s="142"/>
      <c r="AF104" s="142"/>
      <c r="AG104" s="142"/>
      <c r="AH104" s="142"/>
      <c r="AI104" s="142"/>
      <c r="AJ104" s="142"/>
    </row>
    <row r="105" ht="22.5" hidden="1" customHeight="1">
      <c r="A105" s="4"/>
      <c r="B105" s="4"/>
      <c r="C105" s="131"/>
      <c r="D105" s="119"/>
      <c r="E105" s="119"/>
      <c r="F105" s="119"/>
      <c r="G105" s="119"/>
      <c r="H105" s="119"/>
      <c r="I105" s="119"/>
      <c r="J105" s="121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25">
        <f t="shared" si="1"/>
        <v>0</v>
      </c>
      <c r="X105" s="119"/>
      <c r="Y105" s="119"/>
      <c r="Z105" s="127">
        <f t="shared" si="2"/>
        <v>0</v>
      </c>
      <c r="AA105" s="141"/>
      <c r="AB105" s="142"/>
      <c r="AC105" s="133">
        <f t="shared" si="4"/>
        <v>0</v>
      </c>
      <c r="AD105" s="142"/>
      <c r="AE105" s="142"/>
      <c r="AF105" s="142"/>
      <c r="AG105" s="142"/>
      <c r="AH105" s="142"/>
      <c r="AI105" s="142"/>
      <c r="AJ105" s="142"/>
    </row>
    <row r="106" ht="22.5" hidden="1" customHeight="1">
      <c r="A106" s="4"/>
      <c r="B106" s="4"/>
      <c r="C106" s="131"/>
      <c r="D106" s="119"/>
      <c r="E106" s="119"/>
      <c r="F106" s="119"/>
      <c r="G106" s="119"/>
      <c r="H106" s="119"/>
      <c r="I106" s="119"/>
      <c r="J106" s="121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25">
        <f t="shared" si="1"/>
        <v>0</v>
      </c>
      <c r="X106" s="119"/>
      <c r="Y106" s="119"/>
      <c r="Z106" s="127">
        <f t="shared" si="2"/>
        <v>0</v>
      </c>
      <c r="AA106" s="141"/>
      <c r="AB106" s="142"/>
      <c r="AC106" s="133">
        <f t="shared" si="4"/>
        <v>0</v>
      </c>
      <c r="AD106" s="142"/>
      <c r="AE106" s="142"/>
      <c r="AF106" s="142"/>
      <c r="AG106" s="142"/>
      <c r="AH106" s="142"/>
      <c r="AI106" s="142"/>
      <c r="AJ106" s="142"/>
    </row>
    <row r="107" ht="22.5" hidden="1" customHeight="1">
      <c r="A107" s="4"/>
      <c r="B107" s="4"/>
      <c r="C107" s="131"/>
      <c r="D107" s="119"/>
      <c r="E107" s="119"/>
      <c r="F107" s="119"/>
      <c r="G107" s="119"/>
      <c r="H107" s="119"/>
      <c r="I107" s="119"/>
      <c r="J107" s="121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25">
        <f t="shared" si="1"/>
        <v>0</v>
      </c>
      <c r="X107" s="119"/>
      <c r="Y107" s="119"/>
      <c r="Z107" s="127">
        <f t="shared" si="2"/>
        <v>0</v>
      </c>
      <c r="AA107" s="141"/>
      <c r="AB107" s="142"/>
      <c r="AC107" s="133">
        <f t="shared" si="4"/>
        <v>0</v>
      </c>
      <c r="AD107" s="142"/>
      <c r="AE107" s="142"/>
      <c r="AF107" s="142"/>
      <c r="AG107" s="142"/>
      <c r="AH107" s="142"/>
      <c r="AI107" s="142"/>
      <c r="AJ107" s="142"/>
    </row>
    <row r="108" ht="22.5" hidden="1" customHeight="1">
      <c r="A108" s="4"/>
      <c r="B108" s="4"/>
      <c r="C108" s="131"/>
      <c r="D108" s="119"/>
      <c r="E108" s="119"/>
      <c r="F108" s="119"/>
      <c r="G108" s="119"/>
      <c r="H108" s="119"/>
      <c r="I108" s="119"/>
      <c r="J108" s="121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25">
        <f t="shared" si="1"/>
        <v>0</v>
      </c>
      <c r="X108" s="119"/>
      <c r="Y108" s="119"/>
      <c r="Z108" s="127">
        <f t="shared" si="2"/>
        <v>0</v>
      </c>
      <c r="AA108" s="141"/>
      <c r="AB108" s="142"/>
      <c r="AC108" s="133">
        <f t="shared" si="4"/>
        <v>0</v>
      </c>
      <c r="AD108" s="142"/>
      <c r="AE108" s="142"/>
      <c r="AF108" s="142"/>
      <c r="AG108" s="142"/>
      <c r="AH108" s="142"/>
      <c r="AI108" s="142"/>
      <c r="AJ108" s="142"/>
    </row>
    <row r="109" ht="22.5" customHeight="1">
      <c r="A109" s="4"/>
      <c r="B109" s="4"/>
      <c r="C109" s="131"/>
      <c r="D109" s="119"/>
      <c r="E109" s="119"/>
      <c r="F109" s="119"/>
      <c r="G109" s="119"/>
      <c r="H109" s="119"/>
      <c r="I109" s="119"/>
      <c r="J109" s="121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25">
        <f t="shared" si="1"/>
        <v>0</v>
      </c>
      <c r="X109" s="119"/>
      <c r="Y109" s="119"/>
      <c r="Z109" s="127">
        <f t="shared" si="2"/>
        <v>0</v>
      </c>
      <c r="AA109" s="141"/>
      <c r="AB109" s="142"/>
      <c r="AC109" s="133">
        <f t="shared" si="4"/>
        <v>0</v>
      </c>
      <c r="AD109" s="142"/>
      <c r="AE109" s="142"/>
      <c r="AF109" s="142"/>
      <c r="AG109" s="142"/>
      <c r="AH109" s="142"/>
      <c r="AI109" s="142"/>
      <c r="AJ109" s="142"/>
    </row>
    <row r="110" ht="22.5" customHeight="1">
      <c r="A110" s="115" t="s">
        <v>109</v>
      </c>
      <c r="B110" s="143"/>
      <c r="C110" s="136"/>
      <c r="D110" s="136">
        <f t="shared" ref="D110:V110" si="6">SUM(D3:D109)</f>
        <v>240000</v>
      </c>
      <c r="E110" s="136">
        <f t="shared" si="6"/>
        <v>30000</v>
      </c>
      <c r="F110" s="136">
        <f t="shared" si="6"/>
        <v>30000</v>
      </c>
      <c r="G110" s="136">
        <f t="shared" si="6"/>
        <v>12000</v>
      </c>
      <c r="H110" s="136">
        <f t="shared" si="6"/>
        <v>60000</v>
      </c>
      <c r="I110" s="136">
        <f t="shared" si="6"/>
        <v>130680</v>
      </c>
      <c r="J110" s="144">
        <f t="shared" si="6"/>
        <v>-133835</v>
      </c>
      <c r="K110" s="136">
        <f t="shared" si="6"/>
        <v>22506</v>
      </c>
      <c r="L110" s="136">
        <f t="shared" si="6"/>
        <v>9052</v>
      </c>
      <c r="M110" s="136">
        <f t="shared" si="6"/>
        <v>40000</v>
      </c>
      <c r="N110" s="136">
        <f t="shared" si="6"/>
        <v>0</v>
      </c>
      <c r="O110" s="136">
        <f t="shared" si="6"/>
        <v>12192</v>
      </c>
      <c r="P110" s="136">
        <f t="shared" si="6"/>
        <v>0</v>
      </c>
      <c r="Q110" s="136">
        <f t="shared" si="6"/>
        <v>21286</v>
      </c>
      <c r="R110" s="136">
        <f t="shared" si="6"/>
        <v>0</v>
      </c>
      <c r="S110" s="136">
        <f t="shared" si="6"/>
        <v>0</v>
      </c>
      <c r="T110" s="136">
        <f t="shared" si="6"/>
        <v>0</v>
      </c>
      <c r="U110" s="136">
        <f t="shared" si="6"/>
        <v>0</v>
      </c>
      <c r="V110" s="136">
        <f t="shared" si="6"/>
        <v>0</v>
      </c>
      <c r="W110" s="125">
        <f t="shared" si="1"/>
        <v>473881</v>
      </c>
      <c r="X110" s="136">
        <f t="shared" ref="X110:Z110" si="7">SUM(X3:X109)</f>
        <v>107120</v>
      </c>
      <c r="Y110" s="136">
        <f t="shared" si="7"/>
        <v>5000</v>
      </c>
      <c r="Z110" s="136">
        <f t="shared" si="7"/>
        <v>586001</v>
      </c>
      <c r="AA110" s="145"/>
      <c r="AC110" s="146"/>
    </row>
    <row r="111">
      <c r="A111" s="117"/>
      <c r="B111" s="11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</row>
    <row r="112">
      <c r="A112" s="117"/>
      <c r="B112" s="117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</row>
    <row r="113">
      <c r="A113" s="117"/>
      <c r="B113" s="11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</row>
    <row r="114">
      <c r="A114" s="117"/>
      <c r="B114" s="11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</row>
    <row r="115">
      <c r="A115" s="117"/>
      <c r="B115" s="11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</row>
    <row r="116">
      <c r="A116" s="117"/>
      <c r="B116" s="11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</row>
    <row r="117">
      <c r="A117" s="117"/>
      <c r="B117" s="11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</row>
    <row r="118">
      <c r="A118" s="117"/>
      <c r="B118" s="11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</row>
    <row r="119">
      <c r="A119" s="117"/>
      <c r="B119" s="11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</row>
    <row r="120">
      <c r="A120" s="117"/>
      <c r="B120" s="11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</row>
    <row r="121">
      <c r="A121" s="117"/>
      <c r="B121" s="11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</row>
    <row r="122">
      <c r="A122" s="117"/>
      <c r="B122" s="11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</row>
    <row r="123">
      <c r="A123" s="117"/>
      <c r="B123" s="11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</row>
    <row r="124">
      <c r="A124" s="117"/>
      <c r="B124" s="11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</row>
    <row r="125">
      <c r="A125" s="117"/>
      <c r="B125" s="11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</row>
    <row r="126">
      <c r="A126" s="117"/>
      <c r="B126" s="11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</row>
    <row r="127">
      <c r="A127" s="117"/>
      <c r="B127" s="117"/>
    </row>
    <row r="128">
      <c r="A128" s="117"/>
      <c r="B128" s="117"/>
    </row>
    <row r="129">
      <c r="A129" s="117"/>
      <c r="B129" s="117"/>
    </row>
    <row r="130">
      <c r="A130" s="117"/>
      <c r="B130" s="117"/>
    </row>
    <row r="131">
      <c r="A131" s="117"/>
      <c r="B131" s="117"/>
    </row>
    <row r="132">
      <c r="A132" s="117"/>
      <c r="B132" s="117"/>
    </row>
    <row r="133">
      <c r="A133" s="117"/>
      <c r="B133" s="117"/>
    </row>
    <row r="134">
      <c r="A134" s="117"/>
      <c r="B134" s="117"/>
    </row>
    <row r="135">
      <c r="A135" s="117"/>
      <c r="B135" s="117"/>
    </row>
    <row r="136">
      <c r="A136" s="117"/>
      <c r="B136" s="117"/>
    </row>
    <row r="137">
      <c r="A137" s="117"/>
      <c r="B137" s="117"/>
    </row>
    <row r="138">
      <c r="A138" s="117"/>
      <c r="B138" s="117"/>
    </row>
    <row r="139">
      <c r="A139" s="117"/>
      <c r="B139" s="117"/>
    </row>
    <row r="140">
      <c r="A140" s="117"/>
      <c r="B140" s="117"/>
    </row>
    <row r="141">
      <c r="A141" s="117"/>
      <c r="B141" s="117"/>
    </row>
    <row r="142">
      <c r="A142" s="117"/>
      <c r="B142" s="117"/>
    </row>
    <row r="143">
      <c r="A143" s="117"/>
      <c r="B143" s="117"/>
    </row>
    <row r="144">
      <c r="A144" s="117"/>
      <c r="B144" s="117"/>
    </row>
    <row r="145">
      <c r="A145" s="117"/>
      <c r="B145" s="117"/>
    </row>
    <row r="146">
      <c r="A146" s="117"/>
      <c r="B146" s="117"/>
    </row>
    <row r="147">
      <c r="A147" s="117"/>
      <c r="B147" s="117"/>
    </row>
    <row r="148">
      <c r="A148" s="117"/>
      <c r="B148" s="117"/>
    </row>
    <row r="149">
      <c r="A149" s="117"/>
      <c r="B149" s="117"/>
    </row>
    <row r="150">
      <c r="A150" s="117"/>
      <c r="B150" s="117"/>
    </row>
    <row r="151">
      <c r="A151" s="117"/>
      <c r="B151" s="117"/>
    </row>
    <row r="152">
      <c r="A152" s="117"/>
      <c r="B152" s="117"/>
    </row>
    <row r="153">
      <c r="A153" s="117"/>
      <c r="B153" s="117"/>
    </row>
    <row r="154">
      <c r="A154" s="117"/>
      <c r="B154" s="117"/>
    </row>
    <row r="155">
      <c r="A155" s="117"/>
      <c r="B155" s="117"/>
    </row>
    <row r="156">
      <c r="A156" s="117"/>
      <c r="B156" s="117"/>
    </row>
    <row r="157">
      <c r="A157" s="117"/>
      <c r="B157" s="117"/>
    </row>
    <row r="158">
      <c r="A158" s="117"/>
      <c r="B158" s="117"/>
    </row>
    <row r="159">
      <c r="A159" s="117"/>
      <c r="B159" s="117"/>
    </row>
    <row r="160">
      <c r="A160" s="117"/>
      <c r="B160" s="117"/>
    </row>
    <row r="161">
      <c r="A161" s="117"/>
      <c r="B161" s="117"/>
    </row>
    <row r="162">
      <c r="A162" s="117"/>
      <c r="B162" s="117"/>
    </row>
    <row r="163">
      <c r="A163" s="117"/>
      <c r="B163" s="117"/>
    </row>
    <row r="164">
      <c r="A164" s="117"/>
      <c r="B164" s="117"/>
    </row>
    <row r="165">
      <c r="A165" s="117"/>
      <c r="B165" s="117"/>
    </row>
    <row r="166">
      <c r="A166" s="117"/>
      <c r="B166" s="117"/>
    </row>
    <row r="167">
      <c r="A167" s="117"/>
      <c r="B167" s="117"/>
    </row>
    <row r="168">
      <c r="A168" s="117"/>
      <c r="B168" s="117"/>
    </row>
    <row r="169">
      <c r="A169" s="117"/>
      <c r="B169" s="117"/>
    </row>
    <row r="170">
      <c r="A170" s="117"/>
      <c r="B170" s="117"/>
    </row>
    <row r="171">
      <c r="A171" s="117"/>
      <c r="B171" s="117"/>
    </row>
    <row r="172">
      <c r="A172" s="117"/>
      <c r="B172" s="117"/>
    </row>
    <row r="173">
      <c r="A173" s="117"/>
      <c r="B173" s="117"/>
    </row>
    <row r="174">
      <c r="A174" s="117"/>
      <c r="B174" s="117"/>
    </row>
    <row r="175">
      <c r="A175" s="117"/>
      <c r="B175" s="117"/>
    </row>
    <row r="176">
      <c r="A176" s="117"/>
      <c r="B176" s="117"/>
    </row>
    <row r="177">
      <c r="A177" s="117"/>
      <c r="B177" s="117"/>
    </row>
    <row r="178">
      <c r="A178" s="117"/>
      <c r="B178" s="117"/>
    </row>
    <row r="179">
      <c r="A179" s="117"/>
      <c r="B179" s="117"/>
    </row>
    <row r="180">
      <c r="A180" s="117"/>
      <c r="B180" s="117"/>
    </row>
    <row r="181">
      <c r="A181" s="117"/>
      <c r="B181" s="117"/>
    </row>
    <row r="182">
      <c r="A182" s="117"/>
      <c r="B182" s="117"/>
    </row>
    <row r="183">
      <c r="A183" s="117"/>
      <c r="B183" s="117"/>
    </row>
    <row r="184">
      <c r="A184" s="117"/>
      <c r="B184" s="117"/>
    </row>
    <row r="185">
      <c r="A185" s="117"/>
      <c r="B185" s="117"/>
    </row>
    <row r="186">
      <c r="A186" s="117"/>
      <c r="B186" s="117"/>
    </row>
    <row r="187">
      <c r="A187" s="117"/>
      <c r="B187" s="117"/>
    </row>
    <row r="188">
      <c r="A188" s="117"/>
      <c r="B188" s="117"/>
    </row>
    <row r="189">
      <c r="A189" s="117"/>
      <c r="B189" s="117"/>
    </row>
    <row r="190">
      <c r="A190" s="117"/>
      <c r="B190" s="117"/>
    </row>
    <row r="191">
      <c r="A191" s="117"/>
      <c r="B191" s="117"/>
    </row>
    <row r="192">
      <c r="A192" s="117"/>
      <c r="B192" s="117"/>
    </row>
    <row r="193">
      <c r="A193" s="117"/>
      <c r="B193" s="117"/>
    </row>
    <row r="194">
      <c r="A194" s="117"/>
      <c r="B194" s="117"/>
    </row>
    <row r="195">
      <c r="A195" s="117"/>
      <c r="B195" s="117"/>
    </row>
    <row r="196">
      <c r="A196" s="117"/>
      <c r="B196" s="117"/>
    </row>
    <row r="197">
      <c r="A197" s="117"/>
      <c r="B197" s="117"/>
    </row>
    <row r="198">
      <c r="A198" s="117"/>
      <c r="B198" s="117"/>
    </row>
    <row r="199">
      <c r="A199" s="117"/>
      <c r="B199" s="117"/>
    </row>
    <row r="200">
      <c r="A200" s="117"/>
      <c r="B200" s="117"/>
    </row>
    <row r="201">
      <c r="A201" s="117"/>
      <c r="B201" s="117"/>
    </row>
    <row r="202">
      <c r="A202" s="117"/>
      <c r="B202" s="117"/>
    </row>
    <row r="203">
      <c r="A203" s="117"/>
      <c r="B203" s="117"/>
    </row>
    <row r="204">
      <c r="A204" s="117"/>
      <c r="B204" s="117"/>
    </row>
    <row r="205">
      <c r="A205" s="117"/>
      <c r="B205" s="117"/>
    </row>
    <row r="206">
      <c r="A206" s="117"/>
      <c r="B206" s="117"/>
    </row>
    <row r="207">
      <c r="A207" s="117"/>
      <c r="B207" s="117"/>
    </row>
    <row r="208">
      <c r="A208" s="117"/>
      <c r="B208" s="117"/>
    </row>
    <row r="209">
      <c r="A209" s="117"/>
      <c r="B209" s="117"/>
    </row>
    <row r="210">
      <c r="A210" s="117"/>
      <c r="B210" s="117"/>
    </row>
    <row r="211">
      <c r="A211" s="117"/>
      <c r="B211" s="117"/>
    </row>
    <row r="212">
      <c r="A212" s="117"/>
      <c r="B212" s="117"/>
    </row>
    <row r="213">
      <c r="A213" s="117"/>
      <c r="B213" s="117"/>
    </row>
    <row r="214">
      <c r="A214" s="117"/>
      <c r="B214" s="117"/>
    </row>
    <row r="215">
      <c r="A215" s="117"/>
      <c r="B215" s="117"/>
    </row>
    <row r="216">
      <c r="A216" s="117"/>
      <c r="B216" s="117"/>
    </row>
    <row r="217">
      <c r="A217" s="117"/>
      <c r="B217" s="117"/>
    </row>
    <row r="218">
      <c r="A218" s="117"/>
      <c r="B218" s="117"/>
    </row>
    <row r="219">
      <c r="A219" s="117"/>
      <c r="B219" s="117"/>
    </row>
    <row r="220">
      <c r="A220" s="117"/>
      <c r="B220" s="117"/>
    </row>
    <row r="221">
      <c r="A221" s="117"/>
      <c r="B221" s="117"/>
    </row>
    <row r="222">
      <c r="A222" s="117"/>
      <c r="B222" s="117"/>
    </row>
    <row r="223">
      <c r="A223" s="117"/>
      <c r="B223" s="117"/>
    </row>
    <row r="224">
      <c r="A224" s="117"/>
      <c r="B224" s="117"/>
    </row>
    <row r="225">
      <c r="A225" s="117"/>
      <c r="B225" s="117"/>
    </row>
    <row r="226">
      <c r="A226" s="117"/>
      <c r="B226" s="117"/>
    </row>
    <row r="227">
      <c r="A227" s="117"/>
      <c r="B227" s="117"/>
    </row>
    <row r="228">
      <c r="A228" s="117"/>
      <c r="B228" s="117"/>
    </row>
    <row r="229">
      <c r="A229" s="117"/>
      <c r="B229" s="117"/>
    </row>
    <row r="230">
      <c r="A230" s="117"/>
      <c r="B230" s="117"/>
    </row>
    <row r="231">
      <c r="A231" s="117"/>
      <c r="B231" s="117"/>
    </row>
    <row r="232">
      <c r="A232" s="117"/>
      <c r="B232" s="117"/>
    </row>
    <row r="233">
      <c r="A233" s="117"/>
      <c r="B233" s="117"/>
    </row>
    <row r="234">
      <c r="A234" s="117"/>
      <c r="B234" s="117"/>
    </row>
    <row r="235">
      <c r="A235" s="117"/>
      <c r="B235" s="117"/>
    </row>
    <row r="236">
      <c r="A236" s="117"/>
      <c r="B236" s="117"/>
    </row>
    <row r="237">
      <c r="A237" s="117"/>
      <c r="B237" s="117"/>
    </row>
    <row r="238">
      <c r="A238" s="117"/>
      <c r="B238" s="117"/>
    </row>
    <row r="239">
      <c r="A239" s="117"/>
      <c r="B239" s="117"/>
    </row>
    <row r="240">
      <c r="A240" s="117"/>
      <c r="B240" s="117"/>
    </row>
    <row r="241">
      <c r="A241" s="117"/>
      <c r="B241" s="117"/>
    </row>
    <row r="242">
      <c r="A242" s="117"/>
      <c r="B242" s="117"/>
    </row>
    <row r="243">
      <c r="A243" s="117"/>
      <c r="B243" s="117"/>
    </row>
    <row r="244">
      <c r="A244" s="117"/>
      <c r="B244" s="117"/>
    </row>
    <row r="245">
      <c r="A245" s="117"/>
      <c r="B245" s="117"/>
    </row>
    <row r="246">
      <c r="A246" s="117"/>
      <c r="B246" s="117"/>
    </row>
    <row r="247">
      <c r="A247" s="117"/>
      <c r="B247" s="117"/>
    </row>
    <row r="248">
      <c r="A248" s="117"/>
      <c r="B248" s="117"/>
    </row>
    <row r="249">
      <c r="A249" s="117"/>
      <c r="B249" s="117"/>
    </row>
    <row r="250">
      <c r="A250" s="117"/>
      <c r="B250" s="117"/>
    </row>
    <row r="251">
      <c r="A251" s="117"/>
      <c r="B251" s="117"/>
    </row>
    <row r="252">
      <c r="A252" s="117"/>
      <c r="B252" s="117"/>
    </row>
    <row r="253">
      <c r="A253" s="117"/>
      <c r="B253" s="117"/>
    </row>
    <row r="254">
      <c r="A254" s="117"/>
      <c r="B254" s="117"/>
    </row>
    <row r="255">
      <c r="A255" s="117"/>
      <c r="B255" s="117"/>
    </row>
    <row r="256">
      <c r="A256" s="117"/>
      <c r="B256" s="117"/>
    </row>
    <row r="257">
      <c r="A257" s="117"/>
      <c r="B257" s="117"/>
    </row>
    <row r="258">
      <c r="A258" s="117"/>
      <c r="B258" s="117"/>
    </row>
    <row r="259">
      <c r="A259" s="117"/>
      <c r="B259" s="117"/>
    </row>
    <row r="260">
      <c r="A260" s="117"/>
      <c r="B260" s="117"/>
    </row>
    <row r="261">
      <c r="A261" s="117"/>
      <c r="B261" s="117"/>
    </row>
    <row r="262">
      <c r="A262" s="117"/>
      <c r="B262" s="117"/>
    </row>
    <row r="263">
      <c r="A263" s="117"/>
      <c r="B263" s="117"/>
    </row>
    <row r="264">
      <c r="A264" s="117"/>
      <c r="B264" s="117"/>
    </row>
    <row r="265">
      <c r="A265" s="117"/>
      <c r="B265" s="117"/>
    </row>
    <row r="266">
      <c r="A266" s="117"/>
      <c r="B266" s="117"/>
    </row>
    <row r="267">
      <c r="A267" s="117"/>
      <c r="B267" s="117"/>
    </row>
    <row r="268">
      <c r="A268" s="117"/>
      <c r="B268" s="117"/>
    </row>
    <row r="269">
      <c r="A269" s="117"/>
      <c r="B269" s="117"/>
    </row>
    <row r="270">
      <c r="A270" s="117"/>
      <c r="B270" s="117"/>
    </row>
    <row r="271">
      <c r="A271" s="117"/>
      <c r="B271" s="117"/>
    </row>
    <row r="272">
      <c r="A272" s="117"/>
      <c r="B272" s="117"/>
    </row>
    <row r="273">
      <c r="A273" s="117"/>
      <c r="B273" s="117"/>
    </row>
    <row r="274">
      <c r="A274" s="117"/>
      <c r="B274" s="117"/>
    </row>
    <row r="275">
      <c r="A275" s="117"/>
      <c r="B275" s="117"/>
    </row>
    <row r="276">
      <c r="A276" s="117"/>
      <c r="B276" s="117"/>
    </row>
    <row r="277">
      <c r="A277" s="117"/>
      <c r="B277" s="117"/>
    </row>
    <row r="278">
      <c r="A278" s="117"/>
      <c r="B278" s="117"/>
    </row>
    <row r="279">
      <c r="A279" s="117"/>
      <c r="B279" s="117"/>
    </row>
    <row r="280">
      <c r="A280" s="117"/>
      <c r="B280" s="117"/>
    </row>
    <row r="281">
      <c r="A281" s="117"/>
      <c r="B281" s="117"/>
    </row>
    <row r="282">
      <c r="A282" s="117"/>
      <c r="B282" s="117"/>
    </row>
    <row r="283">
      <c r="A283" s="117"/>
      <c r="B283" s="117"/>
    </row>
    <row r="284">
      <c r="A284" s="117"/>
      <c r="B284" s="117"/>
    </row>
    <row r="285">
      <c r="A285" s="117"/>
      <c r="B285" s="117"/>
    </row>
    <row r="286">
      <c r="A286" s="117"/>
      <c r="B286" s="117"/>
    </row>
    <row r="287">
      <c r="A287" s="117"/>
      <c r="B287" s="117"/>
    </row>
    <row r="288">
      <c r="A288" s="117"/>
      <c r="B288" s="117"/>
    </row>
    <row r="289">
      <c r="A289" s="117"/>
      <c r="B289" s="117"/>
    </row>
    <row r="290">
      <c r="A290" s="117"/>
      <c r="B290" s="117"/>
    </row>
    <row r="291">
      <c r="A291" s="117"/>
      <c r="B291" s="117"/>
    </row>
    <row r="292">
      <c r="A292" s="117"/>
      <c r="B292" s="117"/>
    </row>
    <row r="293">
      <c r="A293" s="117"/>
      <c r="B293" s="117"/>
    </row>
    <row r="294">
      <c r="A294" s="117"/>
      <c r="B294" s="117"/>
    </row>
    <row r="295">
      <c r="A295" s="117"/>
      <c r="B295" s="117"/>
    </row>
    <row r="296">
      <c r="A296" s="117"/>
      <c r="B296" s="117"/>
    </row>
    <row r="297">
      <c r="A297" s="117"/>
      <c r="B297" s="117"/>
    </row>
    <row r="298">
      <c r="A298" s="117"/>
      <c r="B298" s="117"/>
    </row>
    <row r="299">
      <c r="A299" s="117"/>
      <c r="B299" s="117"/>
    </row>
    <row r="300">
      <c r="A300" s="117"/>
      <c r="B300" s="117"/>
    </row>
    <row r="301">
      <c r="A301" s="117"/>
      <c r="B301" s="117"/>
    </row>
    <row r="302">
      <c r="A302" s="117"/>
      <c r="B302" s="117"/>
    </row>
    <row r="303">
      <c r="A303" s="117"/>
      <c r="B303" s="117"/>
    </row>
    <row r="304">
      <c r="A304" s="117"/>
      <c r="B304" s="117"/>
    </row>
    <row r="305">
      <c r="A305" s="117"/>
      <c r="B305" s="117"/>
    </row>
    <row r="306">
      <c r="A306" s="117"/>
      <c r="B306" s="117"/>
    </row>
    <row r="307">
      <c r="A307" s="117"/>
      <c r="B307" s="117"/>
    </row>
    <row r="308">
      <c r="A308" s="117"/>
      <c r="B308" s="117"/>
    </row>
    <row r="309">
      <c r="A309" s="117"/>
      <c r="B309" s="117"/>
    </row>
    <row r="310">
      <c r="A310" s="117"/>
      <c r="B310" s="117"/>
    </row>
    <row r="311">
      <c r="A311" s="117"/>
      <c r="B311" s="117"/>
    </row>
    <row r="312">
      <c r="A312" s="117"/>
      <c r="B312" s="117"/>
    </row>
    <row r="313">
      <c r="A313" s="117"/>
      <c r="B313" s="117"/>
    </row>
    <row r="314">
      <c r="A314" s="117"/>
      <c r="B314" s="117"/>
    </row>
    <row r="315">
      <c r="A315" s="117"/>
      <c r="B315" s="117"/>
    </row>
    <row r="316">
      <c r="A316" s="117"/>
      <c r="B316" s="117"/>
    </row>
    <row r="317">
      <c r="A317" s="117"/>
      <c r="B317" s="117"/>
    </row>
    <row r="318">
      <c r="A318" s="117"/>
      <c r="B318" s="117"/>
    </row>
    <row r="319">
      <c r="A319" s="117"/>
      <c r="B319" s="117"/>
    </row>
    <row r="320">
      <c r="A320" s="117"/>
      <c r="B320" s="117"/>
    </row>
    <row r="321">
      <c r="A321" s="117"/>
      <c r="B321" s="117"/>
    </row>
    <row r="322">
      <c r="A322" s="117"/>
      <c r="B322" s="117"/>
    </row>
    <row r="323">
      <c r="A323" s="117"/>
      <c r="B323" s="117"/>
    </row>
    <row r="324">
      <c r="A324" s="117"/>
      <c r="B324" s="117"/>
    </row>
    <row r="325">
      <c r="A325" s="117"/>
      <c r="B325" s="117"/>
    </row>
    <row r="326">
      <c r="A326" s="117"/>
      <c r="B326" s="117"/>
    </row>
    <row r="327">
      <c r="A327" s="117"/>
      <c r="B327" s="117"/>
    </row>
    <row r="328">
      <c r="A328" s="117"/>
      <c r="B328" s="117"/>
    </row>
    <row r="329">
      <c r="A329" s="117"/>
      <c r="B329" s="117"/>
    </row>
    <row r="330">
      <c r="A330" s="117"/>
      <c r="B330" s="117"/>
    </row>
    <row r="331">
      <c r="A331" s="117"/>
      <c r="B331" s="117"/>
    </row>
    <row r="332">
      <c r="A332" s="117"/>
      <c r="B332" s="117"/>
    </row>
    <row r="333">
      <c r="A333" s="117"/>
      <c r="B333" s="117"/>
    </row>
    <row r="334">
      <c r="A334" s="117"/>
      <c r="B334" s="117"/>
    </row>
    <row r="335">
      <c r="A335" s="117"/>
      <c r="B335" s="117"/>
    </row>
    <row r="336">
      <c r="A336" s="117"/>
      <c r="B336" s="117"/>
    </row>
    <row r="337">
      <c r="A337" s="117"/>
      <c r="B337" s="117"/>
    </row>
    <row r="338">
      <c r="A338" s="117"/>
      <c r="B338" s="117"/>
    </row>
    <row r="339">
      <c r="A339" s="117"/>
      <c r="B339" s="117"/>
    </row>
    <row r="340">
      <c r="A340" s="117"/>
      <c r="B340" s="117"/>
    </row>
    <row r="341">
      <c r="A341" s="117"/>
      <c r="B341" s="117"/>
    </row>
    <row r="342">
      <c r="A342" s="117"/>
      <c r="B342" s="117"/>
    </row>
    <row r="343">
      <c r="A343" s="117"/>
      <c r="B343" s="117"/>
    </row>
    <row r="344">
      <c r="A344" s="117"/>
      <c r="B344" s="117"/>
    </row>
    <row r="345">
      <c r="A345" s="117"/>
      <c r="B345" s="117"/>
    </row>
    <row r="346">
      <c r="A346" s="117"/>
      <c r="B346" s="117"/>
    </row>
    <row r="347">
      <c r="A347" s="117"/>
      <c r="B347" s="117"/>
    </row>
    <row r="348">
      <c r="A348" s="117"/>
      <c r="B348" s="117"/>
    </row>
    <row r="349">
      <c r="A349" s="117"/>
      <c r="B349" s="117"/>
    </row>
    <row r="350">
      <c r="A350" s="117"/>
      <c r="B350" s="117"/>
    </row>
    <row r="351">
      <c r="A351" s="117"/>
      <c r="B351" s="117"/>
    </row>
    <row r="352">
      <c r="A352" s="117"/>
      <c r="B352" s="117"/>
    </row>
    <row r="353">
      <c r="A353" s="117"/>
      <c r="B353" s="117"/>
    </row>
    <row r="354">
      <c r="A354" s="117"/>
      <c r="B354" s="117"/>
    </row>
    <row r="355">
      <c r="A355" s="117"/>
      <c r="B355" s="117"/>
    </row>
    <row r="356">
      <c r="A356" s="117"/>
      <c r="B356" s="117"/>
    </row>
    <row r="357">
      <c r="A357" s="117"/>
      <c r="B357" s="117"/>
    </row>
    <row r="358">
      <c r="A358" s="117"/>
      <c r="B358" s="117"/>
    </row>
    <row r="359">
      <c r="A359" s="117"/>
      <c r="B359" s="117"/>
    </row>
    <row r="360">
      <c r="A360" s="117"/>
      <c r="B360" s="117"/>
    </row>
    <row r="361">
      <c r="A361" s="117"/>
      <c r="B361" s="117"/>
    </row>
    <row r="362">
      <c r="A362" s="117"/>
      <c r="B362" s="117"/>
    </row>
    <row r="363">
      <c r="A363" s="117"/>
      <c r="B363" s="117"/>
    </row>
    <row r="364">
      <c r="A364" s="117"/>
      <c r="B364" s="117"/>
    </row>
    <row r="365">
      <c r="A365" s="117"/>
      <c r="B365" s="117"/>
    </row>
    <row r="366">
      <c r="A366" s="117"/>
      <c r="B366" s="117"/>
    </row>
    <row r="367">
      <c r="A367" s="117"/>
      <c r="B367" s="117"/>
    </row>
    <row r="368">
      <c r="A368" s="117"/>
      <c r="B368" s="117"/>
    </row>
    <row r="369">
      <c r="A369" s="117"/>
      <c r="B369" s="117"/>
    </row>
    <row r="370">
      <c r="A370" s="117"/>
      <c r="B370" s="117"/>
    </row>
    <row r="371">
      <c r="A371" s="117"/>
      <c r="B371" s="117"/>
    </row>
    <row r="372">
      <c r="A372" s="117"/>
      <c r="B372" s="117"/>
    </row>
    <row r="373">
      <c r="A373" s="117"/>
      <c r="B373" s="117"/>
    </row>
    <row r="374">
      <c r="A374" s="117"/>
      <c r="B374" s="117"/>
    </row>
    <row r="375">
      <c r="A375" s="117"/>
      <c r="B375" s="117"/>
    </row>
    <row r="376">
      <c r="A376" s="117"/>
      <c r="B376" s="117"/>
    </row>
    <row r="377">
      <c r="A377" s="117"/>
      <c r="B377" s="117"/>
    </row>
    <row r="378">
      <c r="A378" s="117"/>
      <c r="B378" s="117"/>
    </row>
    <row r="379">
      <c r="A379" s="117"/>
      <c r="B379" s="117"/>
    </row>
    <row r="380">
      <c r="A380" s="117"/>
      <c r="B380" s="117"/>
    </row>
    <row r="381">
      <c r="A381" s="117"/>
      <c r="B381" s="117"/>
    </row>
    <row r="382">
      <c r="A382" s="117"/>
      <c r="B382" s="117"/>
    </row>
    <row r="383">
      <c r="A383" s="117"/>
      <c r="B383" s="117"/>
    </row>
    <row r="384">
      <c r="A384" s="117"/>
      <c r="B384" s="117"/>
    </row>
    <row r="385">
      <c r="A385" s="117"/>
      <c r="B385" s="117"/>
    </row>
    <row r="386">
      <c r="A386" s="117"/>
      <c r="B386" s="117"/>
    </row>
    <row r="387">
      <c r="A387" s="117"/>
      <c r="B387" s="117"/>
    </row>
    <row r="388">
      <c r="A388" s="117"/>
      <c r="B388" s="117"/>
    </row>
    <row r="389">
      <c r="A389" s="117"/>
      <c r="B389" s="117"/>
    </row>
    <row r="390">
      <c r="A390" s="117"/>
      <c r="B390" s="117"/>
    </row>
    <row r="391">
      <c r="A391" s="117"/>
      <c r="B391" s="117"/>
    </row>
    <row r="392">
      <c r="A392" s="117"/>
      <c r="B392" s="117"/>
    </row>
    <row r="393">
      <c r="A393" s="117"/>
      <c r="B393" s="117"/>
    </row>
    <row r="394">
      <c r="A394" s="117"/>
      <c r="B394" s="117"/>
    </row>
    <row r="395">
      <c r="A395" s="117"/>
      <c r="B395" s="117"/>
    </row>
    <row r="396">
      <c r="A396" s="117"/>
      <c r="B396" s="117"/>
    </row>
    <row r="397">
      <c r="A397" s="117"/>
      <c r="B397" s="117"/>
    </row>
    <row r="398">
      <c r="A398" s="117"/>
      <c r="B398" s="117"/>
    </row>
    <row r="399">
      <c r="A399" s="117"/>
      <c r="B399" s="117"/>
    </row>
    <row r="400">
      <c r="A400" s="117"/>
      <c r="B400" s="117"/>
    </row>
    <row r="401">
      <c r="A401" s="117"/>
      <c r="B401" s="117"/>
    </row>
    <row r="402">
      <c r="A402" s="117"/>
      <c r="B402" s="117"/>
    </row>
    <row r="403">
      <c r="A403" s="117"/>
      <c r="B403" s="117"/>
    </row>
    <row r="404">
      <c r="A404" s="117"/>
      <c r="B404" s="117"/>
    </row>
    <row r="405">
      <c r="A405" s="117"/>
      <c r="B405" s="117"/>
    </row>
    <row r="406">
      <c r="A406" s="117"/>
      <c r="B406" s="117"/>
    </row>
    <row r="407">
      <c r="A407" s="117"/>
      <c r="B407" s="117"/>
    </row>
    <row r="408">
      <c r="A408" s="117"/>
      <c r="B408" s="117"/>
    </row>
    <row r="409">
      <c r="A409" s="117"/>
      <c r="B409" s="117"/>
    </row>
    <row r="410">
      <c r="A410" s="117"/>
      <c r="B410" s="117"/>
    </row>
    <row r="411">
      <c r="A411" s="117"/>
      <c r="B411" s="117"/>
    </row>
    <row r="412">
      <c r="A412" s="117"/>
      <c r="B412" s="117"/>
    </row>
    <row r="413">
      <c r="A413" s="117"/>
      <c r="B413" s="117"/>
    </row>
    <row r="414">
      <c r="A414" s="117"/>
      <c r="B414" s="117"/>
    </row>
    <row r="415">
      <c r="A415" s="117"/>
      <c r="B415" s="117"/>
    </row>
    <row r="416">
      <c r="A416" s="117"/>
      <c r="B416" s="117"/>
    </row>
    <row r="417">
      <c r="A417" s="117"/>
      <c r="B417" s="117"/>
    </row>
    <row r="418">
      <c r="A418" s="117"/>
      <c r="B418" s="117"/>
    </row>
    <row r="419">
      <c r="A419" s="117"/>
      <c r="B419" s="117"/>
    </row>
    <row r="420">
      <c r="A420" s="117"/>
      <c r="B420" s="117"/>
    </row>
    <row r="421">
      <c r="A421" s="117"/>
      <c r="B421" s="117"/>
    </row>
    <row r="422">
      <c r="A422" s="117"/>
      <c r="B422" s="117"/>
    </row>
    <row r="423">
      <c r="A423" s="117"/>
      <c r="B423" s="117"/>
    </row>
    <row r="424">
      <c r="A424" s="117"/>
      <c r="B424" s="117"/>
    </row>
    <row r="425">
      <c r="A425" s="117"/>
      <c r="B425" s="117"/>
    </row>
    <row r="426">
      <c r="A426" s="117"/>
      <c r="B426" s="117"/>
    </row>
    <row r="427">
      <c r="A427" s="117"/>
      <c r="B427" s="117"/>
    </row>
    <row r="428">
      <c r="A428" s="117"/>
      <c r="B428" s="117"/>
    </row>
    <row r="429">
      <c r="A429" s="117"/>
      <c r="B429" s="117"/>
    </row>
    <row r="430">
      <c r="A430" s="117"/>
      <c r="B430" s="117"/>
    </row>
    <row r="431">
      <c r="A431" s="117"/>
      <c r="B431" s="117"/>
    </row>
    <row r="432">
      <c r="A432" s="117"/>
      <c r="B432" s="117"/>
    </row>
    <row r="433">
      <c r="A433" s="117"/>
      <c r="B433" s="117"/>
    </row>
    <row r="434">
      <c r="A434" s="117"/>
      <c r="B434" s="117"/>
    </row>
    <row r="435">
      <c r="A435" s="117"/>
      <c r="B435" s="117"/>
    </row>
    <row r="436">
      <c r="A436" s="117"/>
      <c r="B436" s="117"/>
    </row>
    <row r="437">
      <c r="A437" s="117"/>
      <c r="B437" s="117"/>
    </row>
    <row r="438">
      <c r="A438" s="117"/>
      <c r="B438" s="117"/>
    </row>
    <row r="439">
      <c r="A439" s="117"/>
      <c r="B439" s="117"/>
    </row>
    <row r="440">
      <c r="A440" s="117"/>
      <c r="B440" s="117"/>
    </row>
    <row r="441">
      <c r="A441" s="117"/>
      <c r="B441" s="117"/>
    </row>
    <row r="442">
      <c r="A442" s="117"/>
      <c r="B442" s="117"/>
    </row>
    <row r="443">
      <c r="A443" s="117"/>
      <c r="B443" s="117"/>
    </row>
    <row r="444">
      <c r="A444" s="117"/>
      <c r="B444" s="117"/>
    </row>
    <row r="445">
      <c r="A445" s="117"/>
      <c r="B445" s="117"/>
    </row>
    <row r="446">
      <c r="A446" s="117"/>
      <c r="B446" s="117"/>
    </row>
    <row r="447">
      <c r="A447" s="117"/>
      <c r="B447" s="117"/>
    </row>
    <row r="448">
      <c r="A448" s="117"/>
      <c r="B448" s="117"/>
    </row>
    <row r="449">
      <c r="A449" s="117"/>
      <c r="B449" s="117"/>
    </row>
    <row r="450">
      <c r="A450" s="117"/>
      <c r="B450" s="117"/>
    </row>
    <row r="451">
      <c r="A451" s="117"/>
      <c r="B451" s="117"/>
    </row>
    <row r="452">
      <c r="A452" s="117"/>
      <c r="B452" s="117"/>
    </row>
    <row r="453">
      <c r="A453" s="117"/>
      <c r="B453" s="117"/>
    </row>
    <row r="454">
      <c r="A454" s="117"/>
      <c r="B454" s="117"/>
    </row>
    <row r="455">
      <c r="A455" s="117"/>
      <c r="B455" s="117"/>
    </row>
    <row r="456">
      <c r="A456" s="117"/>
      <c r="B456" s="117"/>
    </row>
    <row r="457">
      <c r="A457" s="117"/>
      <c r="B457" s="117"/>
    </row>
    <row r="458">
      <c r="A458" s="117"/>
      <c r="B458" s="117"/>
    </row>
    <row r="459">
      <c r="A459" s="117"/>
      <c r="B459" s="117"/>
    </row>
    <row r="460">
      <c r="A460" s="117"/>
      <c r="B460" s="117"/>
    </row>
    <row r="461">
      <c r="A461" s="117"/>
      <c r="B461" s="117"/>
    </row>
    <row r="462">
      <c r="A462" s="117"/>
      <c r="B462" s="117"/>
    </row>
    <row r="463">
      <c r="A463" s="117"/>
      <c r="B463" s="117"/>
    </row>
    <row r="464">
      <c r="A464" s="117"/>
      <c r="B464" s="117"/>
    </row>
    <row r="465">
      <c r="A465" s="117"/>
      <c r="B465" s="117"/>
    </row>
    <row r="466">
      <c r="A466" s="117"/>
      <c r="B466" s="117"/>
    </row>
    <row r="467">
      <c r="A467" s="117"/>
      <c r="B467" s="117"/>
    </row>
    <row r="468">
      <c r="A468" s="117"/>
      <c r="B468" s="117"/>
    </row>
    <row r="469">
      <c r="A469" s="117"/>
      <c r="B469" s="117"/>
    </row>
    <row r="470">
      <c r="A470" s="117"/>
      <c r="B470" s="117"/>
    </row>
    <row r="471">
      <c r="A471" s="117"/>
      <c r="B471" s="117"/>
    </row>
    <row r="472">
      <c r="A472" s="117"/>
      <c r="B472" s="117"/>
    </row>
    <row r="473">
      <c r="A473" s="117"/>
      <c r="B473" s="117"/>
    </row>
    <row r="474">
      <c r="A474" s="117"/>
      <c r="B474" s="117"/>
    </row>
    <row r="475">
      <c r="A475" s="117"/>
      <c r="B475" s="117"/>
    </row>
    <row r="476">
      <c r="A476" s="117"/>
      <c r="B476" s="117"/>
    </row>
    <row r="477">
      <c r="A477" s="117"/>
      <c r="B477" s="117"/>
    </row>
    <row r="478">
      <c r="A478" s="117"/>
      <c r="B478" s="117"/>
    </row>
    <row r="479">
      <c r="A479" s="117"/>
      <c r="B479" s="117"/>
    </row>
    <row r="480">
      <c r="A480" s="117"/>
      <c r="B480" s="117"/>
    </row>
    <row r="481">
      <c r="A481" s="117"/>
      <c r="B481" s="117"/>
    </row>
    <row r="482">
      <c r="A482" s="117"/>
      <c r="B482" s="117"/>
    </row>
    <row r="483">
      <c r="A483" s="117"/>
      <c r="B483" s="117"/>
    </row>
    <row r="484">
      <c r="A484" s="117"/>
      <c r="B484" s="117"/>
    </row>
    <row r="485">
      <c r="A485" s="117"/>
      <c r="B485" s="117"/>
    </row>
    <row r="486">
      <c r="A486" s="117"/>
      <c r="B486" s="117"/>
    </row>
    <row r="487">
      <c r="A487" s="117"/>
      <c r="B487" s="117"/>
    </row>
    <row r="488">
      <c r="A488" s="117"/>
      <c r="B488" s="117"/>
    </row>
    <row r="489">
      <c r="A489" s="117"/>
      <c r="B489" s="117"/>
    </row>
    <row r="490">
      <c r="A490" s="117"/>
      <c r="B490" s="117"/>
    </row>
    <row r="491">
      <c r="A491" s="117"/>
      <c r="B491" s="117"/>
    </row>
    <row r="492">
      <c r="A492" s="117"/>
      <c r="B492" s="117"/>
    </row>
    <row r="493">
      <c r="A493" s="117"/>
      <c r="B493" s="117"/>
    </row>
    <row r="494">
      <c r="A494" s="117"/>
      <c r="B494" s="117"/>
    </row>
    <row r="495">
      <c r="A495" s="117"/>
      <c r="B495" s="117"/>
    </row>
    <row r="496">
      <c r="A496" s="117"/>
      <c r="B496" s="117"/>
    </row>
    <row r="497">
      <c r="A497" s="117"/>
      <c r="B497" s="117"/>
    </row>
    <row r="498">
      <c r="A498" s="117"/>
      <c r="B498" s="117"/>
    </row>
    <row r="499">
      <c r="A499" s="117"/>
      <c r="B499" s="117"/>
    </row>
    <row r="500">
      <c r="A500" s="117"/>
      <c r="B500" s="117"/>
    </row>
    <row r="501">
      <c r="A501" s="117"/>
      <c r="B501" s="117"/>
    </row>
    <row r="502">
      <c r="A502" s="117"/>
      <c r="B502" s="117"/>
    </row>
    <row r="503">
      <c r="A503" s="117"/>
      <c r="B503" s="117"/>
    </row>
    <row r="504">
      <c r="A504" s="117"/>
      <c r="B504" s="117"/>
    </row>
    <row r="505">
      <c r="A505" s="117"/>
      <c r="B505" s="117"/>
    </row>
    <row r="506">
      <c r="A506" s="117"/>
      <c r="B506" s="117"/>
    </row>
    <row r="507">
      <c r="A507" s="117"/>
      <c r="B507" s="117"/>
    </row>
    <row r="508">
      <c r="A508" s="117"/>
      <c r="B508" s="117"/>
    </row>
    <row r="509">
      <c r="A509" s="117"/>
      <c r="B509" s="117"/>
    </row>
    <row r="510">
      <c r="A510" s="117"/>
      <c r="B510" s="117"/>
    </row>
    <row r="511">
      <c r="A511" s="117"/>
      <c r="B511" s="117"/>
    </row>
    <row r="512">
      <c r="A512" s="117"/>
      <c r="B512" s="117"/>
    </row>
    <row r="513">
      <c r="A513" s="117"/>
      <c r="B513" s="117"/>
    </row>
    <row r="514">
      <c r="A514" s="117"/>
      <c r="B514" s="117"/>
    </row>
    <row r="515">
      <c r="A515" s="117"/>
      <c r="B515" s="117"/>
    </row>
    <row r="516">
      <c r="A516" s="117"/>
      <c r="B516" s="117"/>
    </row>
    <row r="517">
      <c r="A517" s="117"/>
      <c r="B517" s="117"/>
    </row>
    <row r="518">
      <c r="A518" s="117"/>
      <c r="B518" s="117"/>
    </row>
    <row r="519">
      <c r="A519" s="117"/>
      <c r="B519" s="117"/>
    </row>
    <row r="520">
      <c r="A520" s="117"/>
      <c r="B520" s="117"/>
    </row>
    <row r="521">
      <c r="A521" s="117"/>
      <c r="B521" s="117"/>
    </row>
    <row r="522">
      <c r="A522" s="117"/>
      <c r="B522" s="117"/>
    </row>
    <row r="523">
      <c r="A523" s="117"/>
      <c r="B523" s="117"/>
    </row>
    <row r="524">
      <c r="A524" s="117"/>
      <c r="B524" s="117"/>
    </row>
    <row r="525">
      <c r="A525" s="117"/>
      <c r="B525" s="117"/>
    </row>
    <row r="526">
      <c r="A526" s="117"/>
      <c r="B526" s="117"/>
    </row>
    <row r="527">
      <c r="A527" s="117"/>
      <c r="B527" s="117"/>
    </row>
    <row r="528">
      <c r="A528" s="117"/>
      <c r="B528" s="117"/>
    </row>
    <row r="529">
      <c r="A529" s="117"/>
      <c r="B529" s="117"/>
    </row>
    <row r="530">
      <c r="A530" s="117"/>
      <c r="B530" s="117"/>
    </row>
    <row r="531">
      <c r="A531" s="117"/>
      <c r="B531" s="117"/>
    </row>
    <row r="532">
      <c r="A532" s="117"/>
      <c r="B532" s="117"/>
    </row>
    <row r="533">
      <c r="A533" s="117"/>
      <c r="B533" s="117"/>
    </row>
    <row r="534">
      <c r="A534" s="117"/>
      <c r="B534" s="117"/>
    </row>
    <row r="535">
      <c r="A535" s="117"/>
      <c r="B535" s="117"/>
    </row>
    <row r="536">
      <c r="A536" s="117"/>
      <c r="B536" s="117"/>
    </row>
    <row r="537">
      <c r="A537" s="117"/>
      <c r="B537" s="117"/>
    </row>
    <row r="538">
      <c r="A538" s="117"/>
      <c r="B538" s="117"/>
    </row>
    <row r="539">
      <c r="A539" s="117"/>
      <c r="B539" s="117"/>
    </row>
    <row r="540">
      <c r="A540" s="117"/>
      <c r="B540" s="117"/>
    </row>
    <row r="541">
      <c r="A541" s="117"/>
      <c r="B541" s="117"/>
    </row>
    <row r="542">
      <c r="A542" s="117"/>
      <c r="B542" s="117"/>
    </row>
    <row r="543">
      <c r="A543" s="117"/>
      <c r="B543" s="117"/>
    </row>
    <row r="544">
      <c r="A544" s="117"/>
      <c r="B544" s="117"/>
    </row>
    <row r="545">
      <c r="A545" s="117"/>
      <c r="B545" s="117"/>
    </row>
    <row r="546">
      <c r="A546" s="117"/>
      <c r="B546" s="117"/>
    </row>
    <row r="547">
      <c r="A547" s="117"/>
      <c r="B547" s="117"/>
    </row>
    <row r="548">
      <c r="A548" s="117"/>
      <c r="B548" s="117"/>
    </row>
    <row r="549">
      <c r="A549" s="117"/>
      <c r="B549" s="117"/>
    </row>
    <row r="550">
      <c r="A550" s="117"/>
      <c r="B550" s="117"/>
    </row>
    <row r="551">
      <c r="A551" s="117"/>
      <c r="B551" s="117"/>
    </row>
    <row r="552">
      <c r="A552" s="117"/>
      <c r="B552" s="117"/>
    </row>
    <row r="553">
      <c r="A553" s="117"/>
      <c r="B553" s="117"/>
    </row>
    <row r="554">
      <c r="A554" s="117"/>
      <c r="B554" s="117"/>
    </row>
    <row r="555">
      <c r="A555" s="117"/>
      <c r="B555" s="117"/>
    </row>
    <row r="556">
      <c r="A556" s="117"/>
      <c r="B556" s="117"/>
    </row>
    <row r="557">
      <c r="A557" s="117"/>
      <c r="B557" s="117"/>
    </row>
    <row r="558">
      <c r="A558" s="117"/>
      <c r="B558" s="117"/>
    </row>
    <row r="559">
      <c r="A559" s="117"/>
      <c r="B559" s="117"/>
    </row>
    <row r="560">
      <c r="A560" s="117"/>
      <c r="B560" s="117"/>
    </row>
    <row r="561">
      <c r="A561" s="117"/>
      <c r="B561" s="117"/>
    </row>
    <row r="562">
      <c r="A562" s="117"/>
      <c r="B562" s="117"/>
    </row>
    <row r="563">
      <c r="A563" s="117"/>
      <c r="B563" s="117"/>
    </row>
    <row r="564">
      <c r="A564" s="117"/>
      <c r="B564" s="117"/>
    </row>
    <row r="565">
      <c r="A565" s="117"/>
      <c r="B565" s="117"/>
    </row>
    <row r="566">
      <c r="A566" s="117"/>
      <c r="B566" s="117"/>
    </row>
    <row r="567">
      <c r="A567" s="117"/>
      <c r="B567" s="117"/>
    </row>
    <row r="568">
      <c r="A568" s="117"/>
      <c r="B568" s="117"/>
    </row>
    <row r="569">
      <c r="A569" s="117"/>
      <c r="B569" s="117"/>
    </row>
    <row r="570">
      <c r="A570" s="117"/>
      <c r="B570" s="117"/>
    </row>
    <row r="571">
      <c r="A571" s="117"/>
      <c r="B571" s="117"/>
    </row>
    <row r="572">
      <c r="A572" s="117"/>
      <c r="B572" s="117"/>
    </row>
    <row r="573">
      <c r="A573" s="117"/>
      <c r="B573" s="117"/>
    </row>
    <row r="574">
      <c r="A574" s="117"/>
      <c r="B574" s="117"/>
    </row>
    <row r="575">
      <c r="A575" s="117"/>
      <c r="B575" s="117"/>
    </row>
    <row r="576">
      <c r="A576" s="117"/>
      <c r="B576" s="117"/>
    </row>
    <row r="577">
      <c r="A577" s="117"/>
      <c r="B577" s="117"/>
    </row>
    <row r="578">
      <c r="A578" s="117"/>
      <c r="B578" s="117"/>
    </row>
    <row r="579">
      <c r="A579" s="117"/>
      <c r="B579" s="117"/>
    </row>
    <row r="580">
      <c r="A580" s="117"/>
      <c r="B580" s="117"/>
    </row>
    <row r="581">
      <c r="A581" s="117"/>
      <c r="B581" s="117"/>
    </row>
    <row r="582">
      <c r="A582" s="117"/>
      <c r="B582" s="117"/>
    </row>
    <row r="583">
      <c r="A583" s="117"/>
      <c r="B583" s="117"/>
    </row>
    <row r="584">
      <c r="A584" s="117"/>
      <c r="B584" s="117"/>
    </row>
    <row r="585">
      <c r="A585" s="117"/>
      <c r="B585" s="117"/>
    </row>
    <row r="586">
      <c r="A586" s="117"/>
      <c r="B586" s="117"/>
    </row>
    <row r="587">
      <c r="A587" s="117"/>
      <c r="B587" s="117"/>
    </row>
    <row r="588">
      <c r="A588" s="117"/>
      <c r="B588" s="117"/>
    </row>
    <row r="589">
      <c r="A589" s="117"/>
      <c r="B589" s="117"/>
    </row>
    <row r="590">
      <c r="A590" s="117"/>
      <c r="B590" s="117"/>
    </row>
    <row r="591">
      <c r="A591" s="117"/>
      <c r="B591" s="117"/>
    </row>
    <row r="592">
      <c r="A592" s="117"/>
      <c r="B592" s="117"/>
    </row>
    <row r="593">
      <c r="A593" s="117"/>
      <c r="B593" s="117"/>
    </row>
    <row r="594">
      <c r="A594" s="117"/>
      <c r="B594" s="117"/>
    </row>
    <row r="595">
      <c r="A595" s="117"/>
      <c r="B595" s="117"/>
    </row>
    <row r="596">
      <c r="A596" s="117"/>
      <c r="B596" s="117"/>
    </row>
    <row r="597">
      <c r="A597" s="117"/>
      <c r="B597" s="117"/>
    </row>
    <row r="598">
      <c r="A598" s="117"/>
      <c r="B598" s="117"/>
    </row>
    <row r="599">
      <c r="A599" s="117"/>
      <c r="B599" s="117"/>
    </row>
    <row r="600">
      <c r="A600" s="117"/>
      <c r="B600" s="117"/>
    </row>
    <row r="601">
      <c r="A601" s="117"/>
      <c r="B601" s="117"/>
    </row>
    <row r="602">
      <c r="A602" s="117"/>
      <c r="B602" s="117"/>
    </row>
    <row r="603">
      <c r="A603" s="117"/>
      <c r="B603" s="117"/>
    </row>
    <row r="604">
      <c r="A604" s="117"/>
      <c r="B604" s="117"/>
    </row>
    <row r="605">
      <c r="A605" s="117"/>
      <c r="B605" s="117"/>
    </row>
    <row r="606">
      <c r="A606" s="117"/>
      <c r="B606" s="117"/>
    </row>
    <row r="607">
      <c r="A607" s="117"/>
      <c r="B607" s="117"/>
    </row>
    <row r="608">
      <c r="A608" s="117"/>
      <c r="B608" s="117"/>
    </row>
    <row r="609">
      <c r="A609" s="117"/>
      <c r="B609" s="117"/>
    </row>
    <row r="610">
      <c r="A610" s="117"/>
      <c r="B610" s="117"/>
    </row>
    <row r="611">
      <c r="A611" s="117"/>
      <c r="B611" s="117"/>
    </row>
    <row r="612">
      <c r="A612" s="117"/>
      <c r="B612" s="117"/>
    </row>
    <row r="613">
      <c r="A613" s="117"/>
      <c r="B613" s="117"/>
    </row>
    <row r="614">
      <c r="A614" s="117"/>
      <c r="B614" s="117"/>
    </row>
    <row r="615">
      <c r="A615" s="117"/>
      <c r="B615" s="117"/>
    </row>
    <row r="616">
      <c r="A616" s="117"/>
      <c r="B616" s="117"/>
    </row>
    <row r="617">
      <c r="A617" s="117"/>
      <c r="B617" s="117"/>
    </row>
    <row r="618">
      <c r="A618" s="117"/>
      <c r="B618" s="117"/>
    </row>
    <row r="619">
      <c r="A619" s="117"/>
      <c r="B619" s="117"/>
    </row>
    <row r="620">
      <c r="A620" s="117"/>
      <c r="B620" s="117"/>
    </row>
    <row r="621">
      <c r="A621" s="117"/>
      <c r="B621" s="117"/>
    </row>
    <row r="622">
      <c r="A622" s="117"/>
      <c r="B622" s="117"/>
    </row>
    <row r="623">
      <c r="A623" s="117"/>
      <c r="B623" s="117"/>
    </row>
    <row r="624">
      <c r="A624" s="117"/>
      <c r="B624" s="117"/>
    </row>
    <row r="625">
      <c r="A625" s="117"/>
      <c r="B625" s="117"/>
    </row>
    <row r="626">
      <c r="A626" s="117"/>
      <c r="B626" s="117"/>
    </row>
    <row r="627">
      <c r="A627" s="117"/>
      <c r="B627" s="117"/>
    </row>
    <row r="628">
      <c r="A628" s="117"/>
      <c r="B628" s="117"/>
    </row>
    <row r="629">
      <c r="A629" s="117"/>
      <c r="B629" s="117"/>
    </row>
    <row r="630">
      <c r="A630" s="117"/>
      <c r="B630" s="117"/>
    </row>
    <row r="631">
      <c r="A631" s="117"/>
      <c r="B631" s="117"/>
    </row>
    <row r="632">
      <c r="A632" s="117"/>
      <c r="B632" s="117"/>
    </row>
    <row r="633">
      <c r="A633" s="117"/>
      <c r="B633" s="117"/>
    </row>
    <row r="634">
      <c r="A634" s="117"/>
      <c r="B634" s="117"/>
    </row>
    <row r="635">
      <c r="A635" s="117"/>
      <c r="B635" s="117"/>
    </row>
    <row r="636">
      <c r="A636" s="117"/>
      <c r="B636" s="117"/>
    </row>
    <row r="637">
      <c r="A637" s="117"/>
      <c r="B637" s="117"/>
    </row>
    <row r="638">
      <c r="A638" s="117"/>
      <c r="B638" s="117"/>
    </row>
    <row r="639">
      <c r="A639" s="117"/>
      <c r="B639" s="117"/>
    </row>
    <row r="640">
      <c r="A640" s="117"/>
      <c r="B640" s="117"/>
    </row>
    <row r="641">
      <c r="A641" s="117"/>
      <c r="B641" s="117"/>
    </row>
    <row r="642">
      <c r="A642" s="117"/>
      <c r="B642" s="117"/>
    </row>
    <row r="643">
      <c r="A643" s="117"/>
      <c r="B643" s="117"/>
    </row>
    <row r="644">
      <c r="A644" s="117"/>
      <c r="B644" s="117"/>
    </row>
    <row r="645">
      <c r="A645" s="117"/>
      <c r="B645" s="117"/>
    </row>
    <row r="646">
      <c r="A646" s="117"/>
      <c r="B646" s="117"/>
    </row>
    <row r="647">
      <c r="A647" s="117"/>
      <c r="B647" s="117"/>
    </row>
    <row r="648">
      <c r="A648" s="117"/>
      <c r="B648" s="117"/>
    </row>
    <row r="649">
      <c r="A649" s="117"/>
      <c r="B649" s="117"/>
    </row>
    <row r="650">
      <c r="A650" s="117"/>
      <c r="B650" s="117"/>
    </row>
    <row r="651">
      <c r="A651" s="117"/>
      <c r="B651" s="117"/>
    </row>
    <row r="652">
      <c r="A652" s="117"/>
      <c r="B652" s="117"/>
    </row>
    <row r="653">
      <c r="A653" s="117"/>
      <c r="B653" s="117"/>
    </row>
    <row r="654">
      <c r="A654" s="117"/>
      <c r="B654" s="117"/>
    </row>
    <row r="655">
      <c r="A655" s="117"/>
      <c r="B655" s="117"/>
    </row>
    <row r="656">
      <c r="A656" s="117"/>
      <c r="B656" s="117"/>
    </row>
    <row r="657">
      <c r="A657" s="117"/>
      <c r="B657" s="117"/>
    </row>
    <row r="658">
      <c r="A658" s="117"/>
      <c r="B658" s="117"/>
    </row>
    <row r="659">
      <c r="A659" s="117"/>
      <c r="B659" s="117"/>
    </row>
    <row r="660">
      <c r="A660" s="117"/>
      <c r="B660" s="117"/>
    </row>
    <row r="661">
      <c r="A661" s="117"/>
      <c r="B661" s="117"/>
    </row>
    <row r="662">
      <c r="A662" s="117"/>
      <c r="B662" s="117"/>
    </row>
    <row r="663">
      <c r="A663" s="117"/>
      <c r="B663" s="117"/>
    </row>
    <row r="664">
      <c r="A664" s="117"/>
      <c r="B664" s="117"/>
    </row>
    <row r="665">
      <c r="A665" s="117"/>
      <c r="B665" s="117"/>
    </row>
    <row r="666">
      <c r="A666" s="117"/>
      <c r="B666" s="117"/>
    </row>
    <row r="667">
      <c r="A667" s="117"/>
      <c r="B667" s="117"/>
    </row>
    <row r="668">
      <c r="A668" s="117"/>
      <c r="B668" s="117"/>
    </row>
    <row r="669">
      <c r="A669" s="117"/>
      <c r="B669" s="117"/>
    </row>
    <row r="670">
      <c r="A670" s="117"/>
      <c r="B670" s="117"/>
    </row>
    <row r="671">
      <c r="A671" s="117"/>
      <c r="B671" s="117"/>
    </row>
    <row r="672">
      <c r="A672" s="117"/>
      <c r="B672" s="117"/>
    </row>
    <row r="673">
      <c r="A673" s="117"/>
      <c r="B673" s="117"/>
    </row>
    <row r="674">
      <c r="A674" s="117"/>
      <c r="B674" s="117"/>
    </row>
    <row r="675">
      <c r="A675" s="117"/>
      <c r="B675" s="117"/>
    </row>
    <row r="676">
      <c r="A676" s="117"/>
      <c r="B676" s="117"/>
    </row>
    <row r="677">
      <c r="A677" s="117"/>
      <c r="B677" s="117"/>
    </row>
    <row r="678">
      <c r="A678" s="117"/>
      <c r="B678" s="117"/>
    </row>
    <row r="679">
      <c r="A679" s="117"/>
      <c r="B679" s="117"/>
    </row>
    <row r="680">
      <c r="A680" s="117"/>
      <c r="B680" s="117"/>
    </row>
    <row r="681">
      <c r="A681" s="117"/>
      <c r="B681" s="117"/>
    </row>
    <row r="682">
      <c r="A682" s="117"/>
      <c r="B682" s="117"/>
    </row>
    <row r="683">
      <c r="A683" s="117"/>
      <c r="B683" s="117"/>
    </row>
    <row r="684">
      <c r="A684" s="117"/>
      <c r="B684" s="117"/>
    </row>
    <row r="685">
      <c r="A685" s="117"/>
      <c r="B685" s="117"/>
    </row>
    <row r="686">
      <c r="A686" s="117"/>
      <c r="B686" s="117"/>
    </row>
    <row r="687">
      <c r="A687" s="117"/>
      <c r="B687" s="117"/>
    </row>
    <row r="688">
      <c r="A688" s="117"/>
      <c r="B688" s="117"/>
    </row>
    <row r="689">
      <c r="A689" s="117"/>
      <c r="B689" s="117"/>
    </row>
    <row r="690">
      <c r="A690" s="117"/>
      <c r="B690" s="117"/>
    </row>
    <row r="691">
      <c r="A691" s="117"/>
      <c r="B691" s="117"/>
    </row>
    <row r="692">
      <c r="A692" s="117"/>
      <c r="B692" s="117"/>
    </row>
    <row r="693">
      <c r="A693" s="117"/>
      <c r="B693" s="117"/>
    </row>
    <row r="694">
      <c r="A694" s="117"/>
      <c r="B694" s="117"/>
    </row>
    <row r="695">
      <c r="A695" s="117"/>
      <c r="B695" s="117"/>
    </row>
    <row r="696">
      <c r="A696" s="117"/>
      <c r="B696" s="117"/>
    </row>
    <row r="697">
      <c r="A697" s="117"/>
      <c r="B697" s="117"/>
    </row>
    <row r="698">
      <c r="A698" s="117"/>
      <c r="B698" s="117"/>
    </row>
    <row r="699">
      <c r="A699" s="117"/>
      <c r="B699" s="117"/>
    </row>
    <row r="700">
      <c r="A700" s="117"/>
      <c r="B700" s="117"/>
    </row>
    <row r="701">
      <c r="A701" s="117"/>
      <c r="B701" s="117"/>
    </row>
    <row r="702">
      <c r="A702" s="117"/>
      <c r="B702" s="117"/>
    </row>
    <row r="703">
      <c r="A703" s="117"/>
      <c r="B703" s="117"/>
    </row>
    <row r="704">
      <c r="A704" s="117"/>
      <c r="B704" s="117"/>
    </row>
    <row r="705">
      <c r="A705" s="117"/>
      <c r="B705" s="117"/>
    </row>
    <row r="706">
      <c r="A706" s="117"/>
      <c r="B706" s="117"/>
    </row>
    <row r="707">
      <c r="A707" s="117"/>
      <c r="B707" s="117"/>
    </row>
    <row r="708">
      <c r="A708" s="117"/>
      <c r="B708" s="117"/>
    </row>
    <row r="709">
      <c r="A709" s="117"/>
      <c r="B709" s="117"/>
    </row>
    <row r="710">
      <c r="A710" s="117"/>
      <c r="B710" s="117"/>
    </row>
    <row r="711">
      <c r="A711" s="117"/>
      <c r="B711" s="117"/>
    </row>
    <row r="712">
      <c r="A712" s="117"/>
      <c r="B712" s="117"/>
    </row>
    <row r="713">
      <c r="A713" s="117"/>
      <c r="B713" s="117"/>
    </row>
    <row r="714">
      <c r="A714" s="117"/>
      <c r="B714" s="117"/>
    </row>
    <row r="715">
      <c r="A715" s="117"/>
      <c r="B715" s="117"/>
    </row>
    <row r="716">
      <c r="A716" s="117"/>
      <c r="B716" s="117"/>
    </row>
    <row r="717">
      <c r="A717" s="117"/>
      <c r="B717" s="117"/>
    </row>
    <row r="718">
      <c r="A718" s="117"/>
      <c r="B718" s="117"/>
    </row>
    <row r="719">
      <c r="A719" s="117"/>
      <c r="B719" s="117"/>
    </row>
    <row r="720">
      <c r="A720" s="117"/>
      <c r="B720" s="117"/>
    </row>
    <row r="721">
      <c r="A721" s="117"/>
      <c r="B721" s="117"/>
    </row>
    <row r="722">
      <c r="A722" s="117"/>
      <c r="B722" s="117"/>
    </row>
    <row r="723">
      <c r="A723" s="117"/>
      <c r="B723" s="117"/>
    </row>
    <row r="724">
      <c r="A724" s="117"/>
      <c r="B724" s="117"/>
    </row>
    <row r="725">
      <c r="A725" s="117"/>
      <c r="B725" s="117"/>
    </row>
    <row r="726">
      <c r="A726" s="117"/>
      <c r="B726" s="117"/>
    </row>
    <row r="727">
      <c r="A727" s="117"/>
      <c r="B727" s="117"/>
    </row>
    <row r="728">
      <c r="A728" s="117"/>
      <c r="B728" s="117"/>
    </row>
    <row r="729">
      <c r="A729" s="117"/>
      <c r="B729" s="117"/>
    </row>
    <row r="730">
      <c r="A730" s="117"/>
      <c r="B730" s="117"/>
    </row>
    <row r="731">
      <c r="A731" s="117"/>
      <c r="B731" s="117"/>
    </row>
    <row r="732">
      <c r="A732" s="117"/>
      <c r="B732" s="117"/>
    </row>
    <row r="733">
      <c r="A733" s="117"/>
      <c r="B733" s="117"/>
    </row>
    <row r="734">
      <c r="A734" s="117"/>
      <c r="B734" s="117"/>
    </row>
    <row r="735">
      <c r="A735" s="117"/>
      <c r="B735" s="117"/>
    </row>
    <row r="736">
      <c r="A736" s="117"/>
      <c r="B736" s="117"/>
    </row>
    <row r="737">
      <c r="A737" s="117"/>
      <c r="B737" s="117"/>
    </row>
    <row r="738">
      <c r="A738" s="117"/>
      <c r="B738" s="117"/>
    </row>
    <row r="739">
      <c r="A739" s="117"/>
      <c r="B739" s="117"/>
    </row>
    <row r="740">
      <c r="A740" s="117"/>
      <c r="B740" s="117"/>
    </row>
    <row r="741">
      <c r="A741" s="117"/>
      <c r="B741" s="117"/>
    </row>
    <row r="742">
      <c r="A742" s="117"/>
      <c r="B742" s="117"/>
    </row>
    <row r="743">
      <c r="A743" s="117"/>
      <c r="B743" s="117"/>
    </row>
    <row r="744">
      <c r="A744" s="117"/>
      <c r="B744" s="117"/>
    </row>
    <row r="745">
      <c r="A745" s="117"/>
      <c r="B745" s="117"/>
    </row>
    <row r="746">
      <c r="A746" s="117"/>
      <c r="B746" s="117"/>
    </row>
    <row r="747">
      <c r="A747" s="117"/>
      <c r="B747" s="117"/>
    </row>
    <row r="748">
      <c r="A748" s="117"/>
      <c r="B748" s="117"/>
    </row>
    <row r="749">
      <c r="A749" s="117"/>
      <c r="B749" s="117"/>
    </row>
    <row r="750">
      <c r="A750" s="117"/>
      <c r="B750" s="117"/>
    </row>
    <row r="751">
      <c r="A751" s="117"/>
      <c r="B751" s="117"/>
    </row>
    <row r="752">
      <c r="A752" s="117"/>
      <c r="B752" s="117"/>
    </row>
    <row r="753">
      <c r="A753" s="117"/>
      <c r="B753" s="117"/>
    </row>
    <row r="754">
      <c r="A754" s="117"/>
      <c r="B754" s="117"/>
    </row>
    <row r="755">
      <c r="A755" s="117"/>
      <c r="B755" s="117"/>
    </row>
    <row r="756">
      <c r="A756" s="117"/>
      <c r="B756" s="117"/>
    </row>
    <row r="757">
      <c r="A757" s="117"/>
      <c r="B757" s="117"/>
    </row>
    <row r="758">
      <c r="A758" s="117"/>
      <c r="B758" s="117"/>
    </row>
    <row r="759">
      <c r="A759" s="117"/>
      <c r="B759" s="117"/>
    </row>
    <row r="760">
      <c r="A760" s="117"/>
      <c r="B760" s="117"/>
    </row>
    <row r="761">
      <c r="A761" s="117"/>
      <c r="B761" s="117"/>
    </row>
    <row r="762">
      <c r="A762" s="117"/>
      <c r="B762" s="117"/>
    </row>
    <row r="763">
      <c r="A763" s="117"/>
      <c r="B763" s="117"/>
    </row>
    <row r="764">
      <c r="A764" s="117"/>
      <c r="B764" s="117"/>
    </row>
    <row r="765">
      <c r="A765" s="117"/>
      <c r="B765" s="117"/>
    </row>
    <row r="766">
      <c r="A766" s="117"/>
      <c r="B766" s="117"/>
    </row>
    <row r="767">
      <c r="A767" s="117"/>
      <c r="B767" s="117"/>
    </row>
    <row r="768">
      <c r="A768" s="117"/>
      <c r="B768" s="117"/>
    </row>
    <row r="769">
      <c r="A769" s="117"/>
      <c r="B769" s="117"/>
    </row>
    <row r="770">
      <c r="A770" s="117"/>
      <c r="B770" s="117"/>
    </row>
    <row r="771">
      <c r="A771" s="117"/>
      <c r="B771" s="117"/>
    </row>
    <row r="772">
      <c r="A772" s="117"/>
      <c r="B772" s="117"/>
    </row>
    <row r="773">
      <c r="A773" s="117"/>
      <c r="B773" s="117"/>
    </row>
    <row r="774">
      <c r="A774" s="117"/>
      <c r="B774" s="117"/>
    </row>
    <row r="775">
      <c r="A775" s="117"/>
      <c r="B775" s="117"/>
    </row>
    <row r="776">
      <c r="A776" s="117"/>
      <c r="B776" s="117"/>
    </row>
    <row r="777">
      <c r="A777" s="117"/>
      <c r="B777" s="117"/>
    </row>
    <row r="778">
      <c r="A778" s="117"/>
      <c r="B778" s="117"/>
    </row>
    <row r="779">
      <c r="A779" s="117"/>
      <c r="B779" s="117"/>
    </row>
    <row r="780">
      <c r="A780" s="117"/>
      <c r="B780" s="117"/>
    </row>
    <row r="781">
      <c r="A781" s="117"/>
      <c r="B781" s="117"/>
    </row>
    <row r="782">
      <c r="A782" s="117"/>
      <c r="B782" s="117"/>
    </row>
    <row r="783">
      <c r="A783" s="117"/>
      <c r="B783" s="117"/>
    </row>
    <row r="784">
      <c r="A784" s="117"/>
      <c r="B784" s="117"/>
    </row>
    <row r="785">
      <c r="A785" s="117"/>
      <c r="B785" s="117"/>
    </row>
    <row r="786">
      <c r="A786" s="117"/>
      <c r="B786" s="117"/>
    </row>
    <row r="787">
      <c r="A787" s="117"/>
      <c r="B787" s="117"/>
    </row>
    <row r="788">
      <c r="A788" s="117"/>
      <c r="B788" s="117"/>
    </row>
    <row r="789">
      <c r="A789" s="117"/>
      <c r="B789" s="117"/>
    </row>
    <row r="790">
      <c r="A790" s="117"/>
      <c r="B790" s="117"/>
    </row>
    <row r="791">
      <c r="A791" s="117"/>
      <c r="B791" s="117"/>
    </row>
    <row r="792">
      <c r="A792" s="117"/>
      <c r="B792" s="117"/>
    </row>
    <row r="793">
      <c r="A793" s="117"/>
      <c r="B793" s="117"/>
    </row>
    <row r="794">
      <c r="A794" s="117"/>
      <c r="B794" s="117"/>
    </row>
    <row r="795">
      <c r="A795" s="117"/>
      <c r="B795" s="117"/>
    </row>
    <row r="796">
      <c r="A796" s="117"/>
      <c r="B796" s="117"/>
    </row>
    <row r="797">
      <c r="A797" s="117"/>
      <c r="B797" s="117"/>
    </row>
    <row r="798">
      <c r="A798" s="117"/>
      <c r="B798" s="117"/>
    </row>
    <row r="799">
      <c r="A799" s="117"/>
      <c r="B799" s="117"/>
    </row>
    <row r="800">
      <c r="A800" s="117"/>
      <c r="B800" s="117"/>
    </row>
    <row r="801">
      <c r="A801" s="117"/>
      <c r="B801" s="117"/>
    </row>
    <row r="802">
      <c r="A802" s="117"/>
      <c r="B802" s="117"/>
    </row>
    <row r="803">
      <c r="A803" s="117"/>
      <c r="B803" s="117"/>
    </row>
    <row r="804">
      <c r="A804" s="117"/>
      <c r="B804" s="117"/>
    </row>
    <row r="805">
      <c r="A805" s="117"/>
      <c r="B805" s="117"/>
    </row>
    <row r="806">
      <c r="A806" s="117"/>
      <c r="B806" s="117"/>
    </row>
    <row r="807">
      <c r="A807" s="117"/>
      <c r="B807" s="117"/>
    </row>
    <row r="808">
      <c r="A808" s="117"/>
      <c r="B808" s="117"/>
    </row>
    <row r="809">
      <c r="A809" s="117"/>
      <c r="B809" s="117"/>
    </row>
    <row r="810">
      <c r="A810" s="117"/>
      <c r="B810" s="117"/>
    </row>
    <row r="811">
      <c r="A811" s="117"/>
      <c r="B811" s="117"/>
    </row>
    <row r="812">
      <c r="A812" s="117"/>
      <c r="B812" s="117"/>
    </row>
    <row r="813">
      <c r="A813" s="117"/>
      <c r="B813" s="117"/>
    </row>
    <row r="814">
      <c r="A814" s="117"/>
      <c r="B814" s="117"/>
    </row>
    <row r="815">
      <c r="A815" s="117"/>
      <c r="B815" s="117"/>
    </row>
    <row r="816">
      <c r="A816" s="117"/>
      <c r="B816" s="117"/>
    </row>
    <row r="817">
      <c r="A817" s="117"/>
      <c r="B817" s="117"/>
    </row>
    <row r="818">
      <c r="A818" s="117"/>
      <c r="B818" s="117"/>
    </row>
    <row r="819">
      <c r="A819" s="117"/>
      <c r="B819" s="117"/>
    </row>
    <row r="820">
      <c r="A820" s="117"/>
      <c r="B820" s="117"/>
    </row>
    <row r="821">
      <c r="A821" s="117"/>
      <c r="B821" s="117"/>
    </row>
    <row r="822">
      <c r="A822" s="117"/>
      <c r="B822" s="117"/>
    </row>
    <row r="823">
      <c r="A823" s="117"/>
      <c r="B823" s="117"/>
    </row>
    <row r="824">
      <c r="A824" s="117"/>
      <c r="B824" s="117"/>
    </row>
    <row r="825">
      <c r="A825" s="117"/>
      <c r="B825" s="117"/>
    </row>
    <row r="826">
      <c r="A826" s="117"/>
      <c r="B826" s="117"/>
    </row>
    <row r="827">
      <c r="A827" s="117"/>
      <c r="B827" s="117"/>
    </row>
    <row r="828">
      <c r="A828" s="117"/>
      <c r="B828" s="117"/>
    </row>
    <row r="829">
      <c r="A829" s="117"/>
      <c r="B829" s="117"/>
    </row>
    <row r="830">
      <c r="A830" s="117"/>
      <c r="B830" s="117"/>
    </row>
    <row r="831">
      <c r="A831" s="117"/>
      <c r="B831" s="117"/>
    </row>
    <row r="832">
      <c r="A832" s="117"/>
      <c r="B832" s="117"/>
    </row>
    <row r="833">
      <c r="A833" s="117"/>
      <c r="B833" s="117"/>
    </row>
    <row r="834">
      <c r="A834" s="117"/>
      <c r="B834" s="117"/>
    </row>
    <row r="835">
      <c r="A835" s="117"/>
      <c r="B835" s="117"/>
    </row>
    <row r="836">
      <c r="A836" s="117"/>
      <c r="B836" s="117"/>
    </row>
    <row r="837">
      <c r="A837" s="117"/>
      <c r="B837" s="117"/>
    </row>
    <row r="838">
      <c r="A838" s="117"/>
      <c r="B838" s="117"/>
    </row>
    <row r="839">
      <c r="A839" s="117"/>
      <c r="B839" s="117"/>
    </row>
    <row r="840">
      <c r="A840" s="117"/>
      <c r="B840" s="117"/>
    </row>
    <row r="841">
      <c r="A841" s="117"/>
      <c r="B841" s="117"/>
    </row>
    <row r="842">
      <c r="A842" s="117"/>
      <c r="B842" s="117"/>
    </row>
    <row r="843">
      <c r="A843" s="117"/>
      <c r="B843" s="117"/>
    </row>
    <row r="844">
      <c r="A844" s="117"/>
      <c r="B844" s="117"/>
    </row>
    <row r="845">
      <c r="A845" s="117"/>
      <c r="B845" s="117"/>
    </row>
    <row r="846">
      <c r="A846" s="117"/>
      <c r="B846" s="117"/>
    </row>
    <row r="847">
      <c r="A847" s="117"/>
      <c r="B847" s="117"/>
    </row>
    <row r="848">
      <c r="A848" s="117"/>
      <c r="B848" s="117"/>
    </row>
    <row r="849">
      <c r="A849" s="117"/>
      <c r="B849" s="117"/>
    </row>
    <row r="850">
      <c r="A850" s="117"/>
      <c r="B850" s="117"/>
    </row>
    <row r="851">
      <c r="A851" s="117"/>
      <c r="B851" s="117"/>
    </row>
    <row r="852">
      <c r="A852" s="117"/>
      <c r="B852" s="117"/>
    </row>
    <row r="853">
      <c r="A853" s="117"/>
      <c r="B853" s="117"/>
    </row>
    <row r="854">
      <c r="A854" s="117"/>
      <c r="B854" s="117"/>
    </row>
    <row r="855">
      <c r="A855" s="117"/>
      <c r="B855" s="117"/>
    </row>
    <row r="856">
      <c r="A856" s="117"/>
      <c r="B856" s="117"/>
    </row>
    <row r="857">
      <c r="A857" s="117"/>
      <c r="B857" s="117"/>
    </row>
    <row r="858">
      <c r="A858" s="117"/>
      <c r="B858" s="117"/>
    </row>
    <row r="859">
      <c r="A859" s="117"/>
      <c r="B859" s="117"/>
    </row>
    <row r="860">
      <c r="A860" s="117"/>
      <c r="B860" s="117"/>
    </row>
    <row r="861">
      <c r="A861" s="117"/>
      <c r="B861" s="117"/>
    </row>
    <row r="862">
      <c r="A862" s="117"/>
      <c r="B862" s="117"/>
    </row>
    <row r="863">
      <c r="A863" s="117"/>
      <c r="B863" s="117"/>
    </row>
    <row r="864">
      <c r="A864" s="117"/>
      <c r="B864" s="117"/>
    </row>
    <row r="865">
      <c r="A865" s="117"/>
      <c r="B865" s="117"/>
    </row>
    <row r="866">
      <c r="A866" s="117"/>
      <c r="B866" s="117"/>
    </row>
    <row r="867">
      <c r="A867" s="117"/>
      <c r="B867" s="117"/>
    </row>
    <row r="868">
      <c r="A868" s="117"/>
      <c r="B868" s="117"/>
    </row>
    <row r="869">
      <c r="A869" s="117"/>
      <c r="B869" s="117"/>
    </row>
    <row r="870">
      <c r="A870" s="117"/>
      <c r="B870" s="117"/>
    </row>
    <row r="871">
      <c r="A871" s="117"/>
      <c r="B871" s="117"/>
    </row>
    <row r="872">
      <c r="A872" s="117"/>
      <c r="B872" s="117"/>
    </row>
    <row r="873">
      <c r="A873" s="117"/>
      <c r="B873" s="117"/>
    </row>
    <row r="874">
      <c r="A874" s="117"/>
      <c r="B874" s="117"/>
    </row>
    <row r="875">
      <c r="A875" s="117"/>
      <c r="B875" s="117"/>
    </row>
    <row r="876">
      <c r="A876" s="117"/>
      <c r="B876" s="117"/>
    </row>
    <row r="877">
      <c r="A877" s="117"/>
      <c r="B877" s="117"/>
    </row>
    <row r="878">
      <c r="A878" s="117"/>
      <c r="B878" s="117"/>
    </row>
    <row r="879">
      <c r="A879" s="117"/>
      <c r="B879" s="117"/>
    </row>
    <row r="880">
      <c r="A880" s="117"/>
      <c r="B880" s="117"/>
    </row>
    <row r="881">
      <c r="A881" s="117"/>
      <c r="B881" s="117"/>
    </row>
    <row r="882">
      <c r="A882" s="117"/>
      <c r="B882" s="117"/>
    </row>
    <row r="883">
      <c r="A883" s="117"/>
      <c r="B883" s="117"/>
    </row>
    <row r="884">
      <c r="A884" s="117"/>
      <c r="B884" s="117"/>
    </row>
    <row r="885">
      <c r="A885" s="117"/>
      <c r="B885" s="117"/>
    </row>
    <row r="886">
      <c r="A886" s="117"/>
      <c r="B886" s="117"/>
    </row>
    <row r="887">
      <c r="A887" s="117"/>
      <c r="B887" s="117"/>
    </row>
    <row r="888">
      <c r="A888" s="117"/>
      <c r="B888" s="117"/>
    </row>
    <row r="889">
      <c r="A889" s="117"/>
      <c r="B889" s="117"/>
    </row>
    <row r="890">
      <c r="A890" s="117"/>
      <c r="B890" s="117"/>
    </row>
    <row r="891">
      <c r="A891" s="117"/>
      <c r="B891" s="117"/>
    </row>
    <row r="892">
      <c r="A892" s="117"/>
      <c r="B892" s="117"/>
    </row>
    <row r="893">
      <c r="A893" s="117"/>
      <c r="B893" s="117"/>
    </row>
    <row r="894">
      <c r="A894" s="117"/>
      <c r="B894" s="117"/>
    </row>
    <row r="895">
      <c r="A895" s="117"/>
      <c r="B895" s="117"/>
    </row>
    <row r="896">
      <c r="A896" s="117"/>
      <c r="B896" s="117"/>
    </row>
    <row r="897">
      <c r="A897" s="117"/>
      <c r="B897" s="117"/>
    </row>
    <row r="898">
      <c r="A898" s="117"/>
      <c r="B898" s="117"/>
    </row>
    <row r="899">
      <c r="A899" s="117"/>
      <c r="B899" s="117"/>
    </row>
    <row r="900">
      <c r="A900" s="117"/>
      <c r="B900" s="117"/>
    </row>
    <row r="901">
      <c r="A901" s="117"/>
      <c r="B901" s="117"/>
    </row>
    <row r="902">
      <c r="A902" s="117"/>
      <c r="B902" s="117"/>
    </row>
    <row r="903">
      <c r="A903" s="117"/>
      <c r="B903" s="117"/>
    </row>
    <row r="904">
      <c r="A904" s="117"/>
      <c r="B904" s="117"/>
    </row>
    <row r="905">
      <c r="A905" s="117"/>
      <c r="B905" s="117"/>
    </row>
    <row r="906">
      <c r="A906" s="117"/>
      <c r="B906" s="117"/>
    </row>
    <row r="907">
      <c r="A907" s="117"/>
      <c r="B907" s="117"/>
    </row>
    <row r="908">
      <c r="A908" s="117"/>
      <c r="B908" s="117"/>
    </row>
    <row r="909">
      <c r="A909" s="117"/>
      <c r="B909" s="117"/>
    </row>
    <row r="910">
      <c r="A910" s="117"/>
      <c r="B910" s="117"/>
    </row>
    <row r="911">
      <c r="A911" s="117"/>
      <c r="B911" s="117"/>
    </row>
    <row r="912">
      <c r="A912" s="117"/>
      <c r="B912" s="117"/>
    </row>
    <row r="913">
      <c r="A913" s="117"/>
      <c r="B913" s="117"/>
    </row>
    <row r="914">
      <c r="A914" s="117"/>
      <c r="B914" s="117"/>
    </row>
    <row r="915">
      <c r="A915" s="117"/>
      <c r="B915" s="117"/>
    </row>
    <row r="916">
      <c r="A916" s="117"/>
      <c r="B916" s="117"/>
    </row>
    <row r="917">
      <c r="A917" s="117"/>
      <c r="B917" s="117"/>
    </row>
    <row r="918">
      <c r="A918" s="117"/>
      <c r="B918" s="117"/>
    </row>
    <row r="919">
      <c r="A919" s="117"/>
      <c r="B919" s="117"/>
    </row>
    <row r="920">
      <c r="A920" s="117"/>
      <c r="B920" s="117"/>
    </row>
    <row r="921">
      <c r="A921" s="117"/>
      <c r="B921" s="117"/>
    </row>
    <row r="922">
      <c r="A922" s="117"/>
      <c r="B922" s="117"/>
    </row>
    <row r="923">
      <c r="A923" s="117"/>
      <c r="B923" s="117"/>
    </row>
    <row r="924">
      <c r="A924" s="117"/>
      <c r="B924" s="117"/>
    </row>
    <row r="925">
      <c r="A925" s="117"/>
      <c r="B925" s="117"/>
    </row>
    <row r="926">
      <c r="A926" s="117"/>
      <c r="B926" s="117"/>
    </row>
    <row r="927">
      <c r="A927" s="117"/>
      <c r="B927" s="117"/>
    </row>
    <row r="928">
      <c r="A928" s="117"/>
      <c r="B928" s="117"/>
    </row>
    <row r="929">
      <c r="A929" s="117"/>
      <c r="B929" s="117"/>
    </row>
    <row r="930">
      <c r="A930" s="117"/>
      <c r="B930" s="117"/>
    </row>
    <row r="931">
      <c r="A931" s="117"/>
      <c r="B931" s="117"/>
    </row>
    <row r="932">
      <c r="A932" s="117"/>
      <c r="B932" s="117"/>
    </row>
    <row r="933">
      <c r="A933" s="117"/>
      <c r="B933" s="117"/>
    </row>
    <row r="934">
      <c r="A934" s="117"/>
      <c r="B934" s="117"/>
    </row>
    <row r="935">
      <c r="A935" s="117"/>
      <c r="B935" s="117"/>
    </row>
    <row r="936">
      <c r="A936" s="117"/>
      <c r="B936" s="117"/>
    </row>
    <row r="937">
      <c r="A937" s="117"/>
      <c r="B937" s="117"/>
    </row>
    <row r="938">
      <c r="A938" s="117"/>
      <c r="B938" s="117"/>
    </row>
    <row r="939">
      <c r="A939" s="117"/>
      <c r="B939" s="117"/>
    </row>
    <row r="940">
      <c r="A940" s="117"/>
      <c r="B940" s="117"/>
    </row>
    <row r="941">
      <c r="A941" s="117"/>
      <c r="B941" s="117"/>
    </row>
    <row r="942">
      <c r="A942" s="117"/>
      <c r="B942" s="117"/>
    </row>
    <row r="943">
      <c r="A943" s="117"/>
      <c r="B943" s="117"/>
    </row>
    <row r="944">
      <c r="A944" s="117"/>
      <c r="B944" s="117"/>
    </row>
    <row r="945">
      <c r="A945" s="117"/>
      <c r="B945" s="117"/>
    </row>
    <row r="946">
      <c r="A946" s="117"/>
      <c r="B946" s="117"/>
    </row>
    <row r="947">
      <c r="A947" s="117"/>
      <c r="B947" s="117"/>
    </row>
    <row r="948">
      <c r="A948" s="117"/>
      <c r="B948" s="117"/>
    </row>
    <row r="949">
      <c r="A949" s="117"/>
      <c r="B949" s="117"/>
    </row>
    <row r="950">
      <c r="A950" s="117"/>
      <c r="B950" s="117"/>
    </row>
    <row r="951">
      <c r="A951" s="117"/>
      <c r="B951" s="117"/>
    </row>
    <row r="952">
      <c r="A952" s="117"/>
      <c r="B952" s="117"/>
    </row>
    <row r="953">
      <c r="A953" s="117"/>
      <c r="B953" s="117"/>
    </row>
    <row r="954">
      <c r="A954" s="117"/>
      <c r="B954" s="117"/>
    </row>
    <row r="955">
      <c r="A955" s="117"/>
      <c r="B955" s="117"/>
    </row>
    <row r="956">
      <c r="A956" s="117"/>
      <c r="B956" s="117"/>
    </row>
    <row r="957">
      <c r="A957" s="117"/>
      <c r="B957" s="117"/>
    </row>
    <row r="958">
      <c r="A958" s="117"/>
      <c r="B958" s="117"/>
    </row>
    <row r="959">
      <c r="A959" s="117"/>
      <c r="B959" s="117"/>
    </row>
    <row r="960">
      <c r="A960" s="117"/>
      <c r="B960" s="117"/>
    </row>
    <row r="961">
      <c r="A961" s="117"/>
      <c r="B961" s="117"/>
    </row>
    <row r="962">
      <c r="A962" s="117"/>
      <c r="B962" s="117"/>
    </row>
    <row r="963">
      <c r="A963" s="117"/>
      <c r="B963" s="117"/>
    </row>
    <row r="964">
      <c r="A964" s="117"/>
      <c r="B964" s="117"/>
    </row>
    <row r="965">
      <c r="A965" s="117"/>
      <c r="B965" s="117"/>
    </row>
    <row r="966">
      <c r="A966" s="117"/>
      <c r="B966" s="117"/>
    </row>
    <row r="967">
      <c r="A967" s="117"/>
      <c r="B967" s="117"/>
    </row>
    <row r="968">
      <c r="A968" s="117"/>
      <c r="B968" s="117"/>
    </row>
    <row r="969">
      <c r="A969" s="117"/>
      <c r="B969" s="117"/>
    </row>
    <row r="970">
      <c r="A970" s="117"/>
      <c r="B970" s="117"/>
    </row>
    <row r="971">
      <c r="A971" s="117"/>
      <c r="B971" s="117"/>
    </row>
    <row r="972">
      <c r="A972" s="117"/>
      <c r="B972" s="117"/>
    </row>
    <row r="973">
      <c r="A973" s="117"/>
      <c r="B973" s="117"/>
    </row>
    <row r="974">
      <c r="A974" s="117"/>
      <c r="B974" s="117"/>
    </row>
    <row r="975">
      <c r="A975" s="117"/>
      <c r="B975" s="117"/>
    </row>
    <row r="976">
      <c r="A976" s="117"/>
      <c r="B976" s="117"/>
    </row>
    <row r="977">
      <c r="A977" s="117"/>
      <c r="B977" s="117"/>
    </row>
    <row r="978">
      <c r="A978" s="117"/>
      <c r="B978" s="117"/>
    </row>
    <row r="979">
      <c r="A979" s="117"/>
      <c r="B979" s="117"/>
    </row>
    <row r="980">
      <c r="A980" s="117"/>
      <c r="B980" s="117"/>
    </row>
    <row r="981">
      <c r="A981" s="117"/>
      <c r="B981" s="117"/>
    </row>
    <row r="982">
      <c r="A982" s="117"/>
      <c r="B982" s="117"/>
    </row>
    <row r="983">
      <c r="A983" s="117"/>
      <c r="B983" s="117"/>
    </row>
    <row r="984">
      <c r="A984" s="117"/>
      <c r="B984" s="117"/>
    </row>
    <row r="985">
      <c r="A985" s="117"/>
      <c r="B985" s="117"/>
    </row>
    <row r="986">
      <c r="A986" s="117"/>
      <c r="B986" s="117"/>
    </row>
    <row r="987">
      <c r="A987" s="117"/>
      <c r="B987" s="117"/>
    </row>
    <row r="988">
      <c r="A988" s="117"/>
      <c r="B988" s="117"/>
    </row>
    <row r="989">
      <c r="A989" s="117"/>
      <c r="B989" s="117"/>
    </row>
    <row r="990">
      <c r="A990" s="117"/>
      <c r="B990" s="117"/>
    </row>
    <row r="991">
      <c r="A991" s="117"/>
      <c r="B991" s="117"/>
    </row>
    <row r="992">
      <c r="A992" s="117"/>
      <c r="B992" s="117"/>
    </row>
    <row r="993">
      <c r="A993" s="117"/>
      <c r="B993" s="117"/>
    </row>
    <row r="994">
      <c r="A994" s="117"/>
      <c r="B994" s="117"/>
    </row>
    <row r="995">
      <c r="A995" s="117"/>
      <c r="B995" s="117"/>
    </row>
    <row r="996">
      <c r="A996" s="117"/>
      <c r="B996" s="117"/>
    </row>
    <row r="997">
      <c r="A997" s="117"/>
      <c r="B997" s="117"/>
    </row>
    <row r="998">
      <c r="A998" s="117"/>
      <c r="B998" s="117"/>
    </row>
    <row r="999">
      <c r="A999" s="117"/>
      <c r="B999" s="117"/>
    </row>
    <row r="1000">
      <c r="A1000" s="117"/>
      <c r="B1000" s="117"/>
    </row>
    <row r="1001">
      <c r="A1001" s="117"/>
      <c r="B1001" s="117"/>
    </row>
    <row r="1002">
      <c r="A1002" s="117"/>
      <c r="B1002" s="117"/>
    </row>
    <row r="1003">
      <c r="A1003" s="117"/>
      <c r="B1003" s="117"/>
    </row>
    <row r="1004">
      <c r="A1004" s="117"/>
      <c r="B1004" s="117"/>
    </row>
    <row r="1005">
      <c r="A1005" s="117"/>
      <c r="B1005" s="117"/>
    </row>
    <row r="1006">
      <c r="A1006" s="117"/>
      <c r="B1006" s="117"/>
    </row>
    <row r="1007">
      <c r="A1007" s="117"/>
      <c r="B1007" s="117"/>
    </row>
    <row r="1008">
      <c r="A1008" s="117"/>
      <c r="B1008" s="117"/>
    </row>
    <row r="1009">
      <c r="A1009" s="117"/>
      <c r="B1009" s="117"/>
    </row>
    <row r="1010">
      <c r="A1010" s="117"/>
      <c r="B1010" s="117"/>
    </row>
    <row r="1011">
      <c r="A1011" s="117"/>
      <c r="B1011" s="117"/>
    </row>
    <row r="1012">
      <c r="A1012" s="117"/>
      <c r="B1012" s="117"/>
    </row>
    <row r="1013">
      <c r="A1013" s="117"/>
      <c r="B1013" s="117"/>
    </row>
    <row r="1014">
      <c r="A1014" s="117"/>
      <c r="B1014" s="117"/>
    </row>
    <row r="1015">
      <c r="A1015" s="117"/>
      <c r="B1015" s="117"/>
    </row>
    <row r="1016">
      <c r="A1016" s="117"/>
      <c r="B1016" s="117"/>
    </row>
    <row r="1017">
      <c r="A1017" s="117"/>
      <c r="B1017" s="117"/>
    </row>
    <row r="1018">
      <c r="A1018" s="117"/>
      <c r="B1018" s="117"/>
    </row>
    <row r="1019">
      <c r="A1019" s="117"/>
      <c r="B1019" s="117"/>
    </row>
    <row r="1020">
      <c r="A1020" s="117"/>
      <c r="B1020" s="117"/>
    </row>
    <row r="1021">
      <c r="A1021" s="117"/>
      <c r="B1021" s="117"/>
    </row>
    <row r="1022">
      <c r="A1022" s="117"/>
      <c r="B1022" s="117"/>
    </row>
    <row r="1023">
      <c r="A1023" s="117"/>
      <c r="B1023" s="117"/>
    </row>
    <row r="1024">
      <c r="A1024" s="117"/>
      <c r="B1024" s="117"/>
    </row>
    <row r="1025">
      <c r="A1025" s="117"/>
      <c r="B1025" s="117"/>
    </row>
    <row r="1026">
      <c r="A1026" s="117"/>
      <c r="B1026" s="117"/>
    </row>
    <row r="1027">
      <c r="A1027" s="117"/>
      <c r="B1027" s="117"/>
    </row>
    <row r="1028">
      <c r="A1028" s="117"/>
      <c r="B1028" s="117"/>
    </row>
    <row r="1029">
      <c r="A1029" s="117"/>
      <c r="B1029" s="117"/>
    </row>
    <row r="1030">
      <c r="A1030" s="117"/>
      <c r="B1030" s="117"/>
    </row>
    <row r="1031">
      <c r="A1031" s="117"/>
      <c r="B1031" s="117"/>
    </row>
    <row r="1032">
      <c r="A1032" s="117"/>
      <c r="B1032" s="117"/>
    </row>
    <row r="1033">
      <c r="A1033" s="117"/>
      <c r="B1033" s="117"/>
    </row>
    <row r="1034">
      <c r="A1034" s="117"/>
      <c r="B1034" s="117"/>
    </row>
    <row r="1035">
      <c r="A1035" s="117"/>
      <c r="B1035" s="117"/>
    </row>
    <row r="1036">
      <c r="A1036" s="117"/>
      <c r="B1036" s="117"/>
    </row>
    <row r="1037">
      <c r="A1037" s="117"/>
      <c r="B1037" s="117"/>
    </row>
    <row r="1038">
      <c r="A1038" s="117"/>
      <c r="B1038" s="117"/>
    </row>
    <row r="1039">
      <c r="A1039" s="117"/>
      <c r="B1039" s="117"/>
    </row>
    <row r="1040">
      <c r="A1040" s="117"/>
      <c r="B1040" s="117"/>
    </row>
    <row r="1041">
      <c r="A1041" s="117"/>
      <c r="B1041" s="117"/>
    </row>
    <row r="1042">
      <c r="A1042" s="117"/>
      <c r="B1042" s="117"/>
    </row>
    <row r="1043">
      <c r="A1043" s="117"/>
      <c r="B1043" s="117"/>
    </row>
    <row r="1044">
      <c r="A1044" s="117"/>
      <c r="B1044" s="117"/>
    </row>
    <row r="1045">
      <c r="A1045" s="117"/>
      <c r="B1045" s="117"/>
    </row>
    <row r="1046">
      <c r="A1046" s="117"/>
      <c r="B1046" s="117"/>
    </row>
    <row r="1047">
      <c r="A1047" s="117"/>
      <c r="B1047" s="117"/>
    </row>
    <row r="1048">
      <c r="A1048" s="117"/>
      <c r="B1048" s="117"/>
    </row>
    <row r="1049">
      <c r="A1049" s="117"/>
      <c r="B1049" s="117"/>
    </row>
    <row r="1050">
      <c r="A1050" s="117"/>
      <c r="B1050" s="117"/>
    </row>
    <row r="1051">
      <c r="A1051" s="117"/>
      <c r="B1051" s="117"/>
    </row>
    <row r="1052">
      <c r="A1052" s="117"/>
      <c r="B1052" s="117"/>
    </row>
    <row r="1053">
      <c r="A1053" s="117"/>
      <c r="B1053" s="117"/>
    </row>
    <row r="1054">
      <c r="A1054" s="117"/>
      <c r="B1054" s="117"/>
    </row>
    <row r="1055">
      <c r="A1055" s="117"/>
      <c r="B1055" s="117"/>
    </row>
    <row r="1056">
      <c r="A1056" s="117"/>
      <c r="B1056" s="117"/>
    </row>
    <row r="1057">
      <c r="A1057" s="117"/>
      <c r="B1057" s="117"/>
    </row>
    <row r="1058">
      <c r="A1058" s="117"/>
      <c r="B1058" s="117"/>
    </row>
    <row r="1059">
      <c r="A1059" s="117"/>
      <c r="B1059" s="117"/>
    </row>
    <row r="1060">
      <c r="A1060" s="117"/>
      <c r="B1060" s="117"/>
    </row>
    <row r="1061">
      <c r="A1061" s="117"/>
      <c r="B1061" s="117"/>
    </row>
    <row r="1062">
      <c r="A1062" s="117"/>
      <c r="B1062" s="117"/>
    </row>
    <row r="1063">
      <c r="A1063" s="117"/>
      <c r="B1063" s="117"/>
    </row>
    <row r="1064">
      <c r="A1064" s="117"/>
      <c r="B1064" s="117"/>
    </row>
    <row r="1065">
      <c r="A1065" s="117"/>
      <c r="B1065" s="117"/>
    </row>
    <row r="1066">
      <c r="A1066" s="117"/>
      <c r="B1066" s="117"/>
    </row>
    <row r="1067">
      <c r="A1067" s="117"/>
      <c r="B1067" s="117"/>
    </row>
    <row r="1068">
      <c r="A1068" s="117"/>
      <c r="B1068" s="117"/>
    </row>
    <row r="1069">
      <c r="A1069" s="117"/>
      <c r="B1069" s="117"/>
    </row>
    <row r="1070">
      <c r="A1070" s="117"/>
      <c r="B1070" s="117"/>
    </row>
    <row r="1071">
      <c r="A1071" s="117"/>
      <c r="B1071" s="117"/>
    </row>
    <row r="1072">
      <c r="A1072" s="117"/>
      <c r="B1072" s="117"/>
    </row>
    <row r="1073">
      <c r="A1073" s="117"/>
      <c r="B1073" s="117"/>
    </row>
    <row r="1074">
      <c r="A1074" s="117"/>
      <c r="B1074" s="117"/>
    </row>
    <row r="1075">
      <c r="A1075" s="117"/>
      <c r="B1075" s="117"/>
    </row>
    <row r="1076">
      <c r="A1076" s="117"/>
      <c r="B1076" s="117"/>
    </row>
    <row r="1077">
      <c r="A1077" s="117"/>
      <c r="B1077" s="117"/>
    </row>
    <row r="1078">
      <c r="A1078" s="117"/>
      <c r="B1078" s="117"/>
    </row>
    <row r="1079">
      <c r="A1079" s="117"/>
      <c r="B1079" s="117"/>
    </row>
    <row r="1080">
      <c r="A1080" s="117"/>
      <c r="B1080" s="117"/>
    </row>
    <row r="1081">
      <c r="A1081" s="117"/>
      <c r="B1081" s="117"/>
    </row>
    <row r="1082">
      <c r="A1082" s="117"/>
      <c r="B1082" s="117"/>
    </row>
    <row r="1083">
      <c r="A1083" s="117"/>
      <c r="B1083" s="117"/>
    </row>
    <row r="1084">
      <c r="A1084" s="117"/>
      <c r="B1084" s="11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08">
        <v>46022.0</v>
      </c>
      <c r="C1" s="109" t="s">
        <v>62</v>
      </c>
      <c r="D1" s="110" t="s">
        <v>63</v>
      </c>
      <c r="E1" s="110" t="s">
        <v>64</v>
      </c>
      <c r="F1" s="110" t="s">
        <v>65</v>
      </c>
      <c r="G1" s="110" t="s">
        <v>66</v>
      </c>
      <c r="H1" s="110" t="s">
        <v>67</v>
      </c>
      <c r="I1" s="110" t="s">
        <v>68</v>
      </c>
      <c r="J1" s="110" t="s">
        <v>69</v>
      </c>
      <c r="K1" s="110" t="s">
        <v>70</v>
      </c>
      <c r="L1" s="110" t="s">
        <v>71</v>
      </c>
      <c r="M1" s="110" t="s">
        <v>72</v>
      </c>
      <c r="N1" s="110" t="s">
        <v>73</v>
      </c>
      <c r="O1" s="110" t="s">
        <v>74</v>
      </c>
      <c r="P1" s="110" t="s">
        <v>75</v>
      </c>
      <c r="Q1" s="110" t="s">
        <v>76</v>
      </c>
      <c r="R1" s="110" t="s">
        <v>77</v>
      </c>
      <c r="S1" s="110" t="s">
        <v>78</v>
      </c>
      <c r="T1" s="110" t="s">
        <v>79</v>
      </c>
      <c r="U1" s="110" t="s">
        <v>80</v>
      </c>
      <c r="V1" s="110" t="s">
        <v>81</v>
      </c>
      <c r="W1" s="110" t="s">
        <v>82</v>
      </c>
      <c r="X1" s="110" t="s">
        <v>83</v>
      </c>
      <c r="Y1" s="110" t="s">
        <v>84</v>
      </c>
      <c r="Z1" s="110" t="s">
        <v>85</v>
      </c>
      <c r="AA1" s="110" t="s">
        <v>86</v>
      </c>
      <c r="AB1" s="110" t="s">
        <v>87</v>
      </c>
    </row>
    <row r="2" ht="22.5" customHeight="1">
      <c r="A2" s="1" t="s">
        <v>0</v>
      </c>
      <c r="B2" s="1" t="s">
        <v>1</v>
      </c>
      <c r="C2" s="4" t="s">
        <v>88</v>
      </c>
      <c r="D2" s="111" t="s">
        <v>89</v>
      </c>
      <c r="E2" s="111" t="s">
        <v>90</v>
      </c>
      <c r="F2" s="111" t="s">
        <v>91</v>
      </c>
      <c r="G2" s="111" t="s">
        <v>92</v>
      </c>
      <c r="H2" s="112" t="s">
        <v>93</v>
      </c>
      <c r="I2" s="112" t="s">
        <v>94</v>
      </c>
      <c r="J2" s="113" t="s">
        <v>95</v>
      </c>
      <c r="K2" s="112" t="s">
        <v>96</v>
      </c>
      <c r="L2" s="112" t="s">
        <v>97</v>
      </c>
      <c r="M2" s="112" t="s">
        <v>98</v>
      </c>
      <c r="N2" s="112" t="s">
        <v>99</v>
      </c>
      <c r="O2" s="112" t="s">
        <v>100</v>
      </c>
      <c r="P2" s="111" t="s">
        <v>101</v>
      </c>
      <c r="Q2" s="111" t="s">
        <v>102</v>
      </c>
      <c r="R2" s="111" t="s">
        <v>103</v>
      </c>
      <c r="S2" s="111" t="s">
        <v>104</v>
      </c>
      <c r="T2" s="111" t="s">
        <v>105</v>
      </c>
      <c r="U2" s="111"/>
      <c r="V2" s="111"/>
      <c r="W2" s="114" t="s">
        <v>106</v>
      </c>
      <c r="X2" s="4" t="s">
        <v>107</v>
      </c>
      <c r="Y2" s="4" t="s">
        <v>108</v>
      </c>
      <c r="Z2" s="115" t="s">
        <v>109</v>
      </c>
      <c r="AA2" s="116" t="s">
        <v>24</v>
      </c>
      <c r="AB2" s="116" t="s">
        <v>110</v>
      </c>
      <c r="AC2" s="1" t="s">
        <v>111</v>
      </c>
      <c r="AD2" s="117"/>
      <c r="AE2" s="117"/>
      <c r="AF2" s="117"/>
      <c r="AG2" s="117"/>
      <c r="AH2" s="117"/>
      <c r="AI2" s="117"/>
      <c r="AJ2" s="117"/>
    </row>
    <row r="3" ht="22.5" customHeight="1">
      <c r="A3" s="2">
        <v>608.0</v>
      </c>
      <c r="B3" s="118" t="s">
        <v>2</v>
      </c>
      <c r="C3" s="119"/>
      <c r="D3" s="120">
        <v>40000.0</v>
      </c>
      <c r="E3" s="120">
        <v>5000.0</v>
      </c>
      <c r="F3" s="120">
        <v>5000.0</v>
      </c>
      <c r="G3" s="120">
        <v>2000.0</v>
      </c>
      <c r="H3" s="120">
        <v>10000.0</v>
      </c>
      <c r="I3" s="120"/>
      <c r="J3" s="121"/>
      <c r="K3" s="122">
        <v>0.0</v>
      </c>
      <c r="L3" s="122">
        <v>0.0</v>
      </c>
      <c r="M3" s="120"/>
      <c r="N3" s="119"/>
      <c r="O3" s="119"/>
      <c r="P3" s="119"/>
      <c r="Q3" s="120">
        <v>31998.0</v>
      </c>
      <c r="R3" s="123"/>
      <c r="S3" s="123"/>
      <c r="T3" s="124"/>
      <c r="U3" s="123"/>
      <c r="V3" s="123"/>
      <c r="W3" s="125">
        <f t="shared" ref="W3:W110" si="1">SUM(D3:V3)</f>
        <v>93998</v>
      </c>
      <c r="X3" s="126">
        <v>23519.0</v>
      </c>
      <c r="Y3" s="126">
        <v>8000.0</v>
      </c>
      <c r="Z3" s="127">
        <f t="shared" ref="Z3:Z109" si="2">SUM(W3:Y3)</f>
        <v>125517</v>
      </c>
      <c r="AA3" s="128"/>
      <c r="AB3" s="129" t="s">
        <v>112</v>
      </c>
      <c r="AC3" s="130">
        <f t="shared" ref="AC3:AC4" si="3">C3-M3</f>
        <v>0</v>
      </c>
    </row>
    <row r="4" ht="22.5" customHeight="1">
      <c r="A4" s="2">
        <v>703.0</v>
      </c>
      <c r="B4" s="4" t="s">
        <v>3</v>
      </c>
      <c r="C4" s="131"/>
      <c r="D4" s="120">
        <v>40000.0</v>
      </c>
      <c r="E4" s="120">
        <v>5000.0</v>
      </c>
      <c r="F4" s="120">
        <v>5000.0</v>
      </c>
      <c r="G4" s="120">
        <v>2000.0</v>
      </c>
      <c r="H4" s="120">
        <v>10000.0</v>
      </c>
      <c r="I4" s="119">
        <v>32450.0</v>
      </c>
      <c r="J4" s="132">
        <v>-68872.0</v>
      </c>
      <c r="K4" s="119">
        <v>11253.0</v>
      </c>
      <c r="L4" s="119">
        <v>2263.0</v>
      </c>
      <c r="M4" s="119"/>
      <c r="N4" s="119"/>
      <c r="O4" s="119"/>
      <c r="P4" s="119"/>
      <c r="Q4" s="119">
        <v>11255.0</v>
      </c>
      <c r="R4" s="119"/>
      <c r="S4" s="119"/>
      <c r="T4" s="119"/>
      <c r="U4" s="119"/>
      <c r="V4" s="119"/>
      <c r="W4" s="125">
        <f t="shared" si="1"/>
        <v>50349</v>
      </c>
      <c r="X4" s="126">
        <v>39651.0</v>
      </c>
      <c r="Y4" s="126"/>
      <c r="Z4" s="127">
        <f t="shared" si="2"/>
        <v>90000</v>
      </c>
      <c r="AA4" s="128" t="s">
        <v>113</v>
      </c>
      <c r="AB4" s="129" t="s">
        <v>112</v>
      </c>
      <c r="AC4" s="133">
        <f t="shared" si="3"/>
        <v>0</v>
      </c>
    </row>
    <row r="5" ht="22.5" customHeight="1">
      <c r="A5" s="2">
        <v>801.0</v>
      </c>
      <c r="B5" s="118" t="s">
        <v>120</v>
      </c>
      <c r="C5" s="134"/>
      <c r="D5" s="120">
        <v>0.0</v>
      </c>
      <c r="E5" s="120">
        <v>0.0</v>
      </c>
      <c r="F5" s="120">
        <v>0.0</v>
      </c>
      <c r="G5" s="120">
        <v>0.0</v>
      </c>
      <c r="H5" s="120">
        <v>0.0</v>
      </c>
      <c r="I5" s="119"/>
      <c r="J5" s="121"/>
      <c r="K5" s="120"/>
      <c r="L5" s="120"/>
      <c r="M5" s="119"/>
      <c r="N5" s="119"/>
      <c r="O5" s="119"/>
      <c r="P5" s="119"/>
      <c r="Q5" s="119">
        <v>5114.0</v>
      </c>
      <c r="R5" s="119"/>
      <c r="S5" s="119"/>
      <c r="T5" s="119"/>
      <c r="U5" s="119"/>
      <c r="V5" s="119"/>
      <c r="W5" s="125">
        <f t="shared" si="1"/>
        <v>5114</v>
      </c>
      <c r="X5" s="126">
        <v>26202.0</v>
      </c>
      <c r="Y5" s="126"/>
      <c r="Z5" s="127">
        <f t="shared" si="2"/>
        <v>31316</v>
      </c>
      <c r="AA5" s="128"/>
      <c r="AB5" s="129" t="s">
        <v>112</v>
      </c>
      <c r="AC5" s="135">
        <v>0.0</v>
      </c>
    </row>
    <row r="6" ht="22.5" customHeight="1">
      <c r="A6" s="1">
        <v>813.0</v>
      </c>
      <c r="B6" s="4" t="s">
        <v>114</v>
      </c>
      <c r="C6" s="131"/>
      <c r="D6" s="120">
        <v>40000.0</v>
      </c>
      <c r="E6" s="120">
        <v>5000.0</v>
      </c>
      <c r="F6" s="120">
        <v>5000.0</v>
      </c>
      <c r="G6" s="120">
        <v>2000.0</v>
      </c>
      <c r="H6" s="120">
        <v>10000.0</v>
      </c>
      <c r="I6" s="119"/>
      <c r="J6" s="121">
        <v>-32000.0</v>
      </c>
      <c r="K6" s="136"/>
      <c r="L6" s="136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25">
        <f t="shared" si="1"/>
        <v>30000</v>
      </c>
      <c r="X6" s="126"/>
      <c r="Y6" s="126"/>
      <c r="Z6" s="127">
        <f t="shared" si="2"/>
        <v>30000</v>
      </c>
      <c r="AA6" s="128" t="s">
        <v>115</v>
      </c>
      <c r="AB6" s="129" t="s">
        <v>112</v>
      </c>
      <c r="AC6" s="133">
        <f t="shared" ref="AC6:AC109" si="4">C6-M6</f>
        <v>0</v>
      </c>
    </row>
    <row r="7" ht="22.5" customHeight="1">
      <c r="A7" s="1">
        <v>906.0</v>
      </c>
      <c r="B7" s="4" t="s">
        <v>5</v>
      </c>
      <c r="C7" s="131">
        <v>72000.0</v>
      </c>
      <c r="D7" s="120">
        <v>40000.0</v>
      </c>
      <c r="E7" s="120">
        <v>5000.0</v>
      </c>
      <c r="F7" s="120">
        <v>5000.0</v>
      </c>
      <c r="G7" s="120">
        <v>2000.0</v>
      </c>
      <c r="H7" s="120">
        <v>10000.0</v>
      </c>
      <c r="I7" s="119">
        <v>39930.0</v>
      </c>
      <c r="J7" s="121">
        <v>-29061.0</v>
      </c>
      <c r="K7" s="119"/>
      <c r="L7" s="119">
        <v>2263.0</v>
      </c>
      <c r="M7" s="119">
        <v>10000.0</v>
      </c>
      <c r="N7" s="119"/>
      <c r="O7" s="119"/>
      <c r="P7" s="119"/>
      <c r="Q7" s="119"/>
      <c r="R7" s="137"/>
      <c r="S7" s="137"/>
      <c r="T7" s="137"/>
      <c r="U7" s="137"/>
      <c r="V7" s="137"/>
      <c r="W7" s="125">
        <f t="shared" si="1"/>
        <v>85132</v>
      </c>
      <c r="X7" s="138">
        <v>19868.0</v>
      </c>
      <c r="Y7" s="138">
        <v>5000.0</v>
      </c>
      <c r="Z7" s="127">
        <f t="shared" si="2"/>
        <v>110000</v>
      </c>
      <c r="AA7" s="128" t="s">
        <v>116</v>
      </c>
      <c r="AB7" s="129" t="s">
        <v>112</v>
      </c>
      <c r="AC7" s="133">
        <f t="shared" si="4"/>
        <v>62000</v>
      </c>
    </row>
    <row r="8" ht="22.5" customHeight="1">
      <c r="A8" s="1">
        <v>913.0</v>
      </c>
      <c r="B8" s="4" t="s">
        <v>117</v>
      </c>
      <c r="C8" s="134">
        <v>47000.0</v>
      </c>
      <c r="D8" s="120">
        <v>40000.0</v>
      </c>
      <c r="E8" s="120">
        <v>5000.0</v>
      </c>
      <c r="F8" s="120">
        <v>5000.0</v>
      </c>
      <c r="G8" s="120">
        <v>2000.0</v>
      </c>
      <c r="H8" s="120">
        <v>10000.0</v>
      </c>
      <c r="I8" s="119">
        <v>39380.0</v>
      </c>
      <c r="J8" s="121">
        <v>-59513.0</v>
      </c>
      <c r="K8" s="119">
        <v>11253.0</v>
      </c>
      <c r="L8" s="119">
        <v>2263.0</v>
      </c>
      <c r="M8" s="119">
        <v>10000.0</v>
      </c>
      <c r="N8" s="119"/>
      <c r="O8" s="119">
        <v>18286.0</v>
      </c>
      <c r="P8" s="119"/>
      <c r="Q8" s="119">
        <v>3562.0</v>
      </c>
      <c r="R8" s="137"/>
      <c r="S8" s="137"/>
      <c r="T8" s="137"/>
      <c r="U8" s="137"/>
      <c r="V8" s="137"/>
      <c r="W8" s="125">
        <f t="shared" si="1"/>
        <v>87231</v>
      </c>
      <c r="X8" s="138">
        <v>22769.0</v>
      </c>
      <c r="Y8" s="138"/>
      <c r="Z8" s="127">
        <f t="shared" si="2"/>
        <v>110000</v>
      </c>
      <c r="AA8" s="128" t="s">
        <v>118</v>
      </c>
      <c r="AB8" s="129" t="s">
        <v>112</v>
      </c>
      <c r="AC8" s="133">
        <f t="shared" si="4"/>
        <v>37000</v>
      </c>
    </row>
    <row r="9" ht="22.5" customHeight="1">
      <c r="A9" s="1">
        <v>915.0</v>
      </c>
      <c r="B9" s="4" t="s">
        <v>7</v>
      </c>
      <c r="C9" s="134">
        <v>110000.0</v>
      </c>
      <c r="D9" s="120">
        <v>0.0</v>
      </c>
      <c r="E9" s="120">
        <v>0.0</v>
      </c>
      <c r="F9" s="120">
        <v>0.0</v>
      </c>
      <c r="G9" s="120">
        <v>0.0</v>
      </c>
      <c r="H9" s="120">
        <v>0.0</v>
      </c>
      <c r="I9" s="119">
        <v>4290.0</v>
      </c>
      <c r="J9" s="121"/>
      <c r="K9" s="119">
        <v>484.0</v>
      </c>
      <c r="L9" s="119">
        <v>292.0</v>
      </c>
      <c r="M9" s="119">
        <v>10000.0</v>
      </c>
      <c r="N9" s="119"/>
      <c r="O9" s="119"/>
      <c r="P9" s="119"/>
      <c r="Q9" s="119">
        <v>25702.0</v>
      </c>
      <c r="R9" s="119"/>
      <c r="S9" s="119"/>
      <c r="T9" s="119"/>
      <c r="U9" s="119"/>
      <c r="V9" s="119"/>
      <c r="W9" s="125">
        <f t="shared" si="1"/>
        <v>40768</v>
      </c>
      <c r="X9" s="126">
        <v>29823.0</v>
      </c>
      <c r="Y9" s="126"/>
      <c r="Z9" s="127">
        <f t="shared" si="2"/>
        <v>70591</v>
      </c>
      <c r="AA9" s="139">
        <v>13.0</v>
      </c>
      <c r="AB9" s="129" t="s">
        <v>112</v>
      </c>
      <c r="AC9" s="133">
        <f t="shared" si="4"/>
        <v>100000</v>
      </c>
    </row>
    <row r="10" ht="22.5" customHeight="1">
      <c r="A10" s="1">
        <v>1005.0</v>
      </c>
      <c r="B10" s="4"/>
      <c r="C10" s="134"/>
      <c r="D10" s="120"/>
      <c r="E10" s="120"/>
      <c r="F10" s="120"/>
      <c r="G10" s="120"/>
      <c r="H10" s="120"/>
      <c r="I10" s="119"/>
      <c r="J10" s="121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25">
        <f t="shared" si="1"/>
        <v>0</v>
      </c>
      <c r="X10" s="140"/>
      <c r="Y10" s="140"/>
      <c r="Z10" s="127">
        <f t="shared" si="2"/>
        <v>0</v>
      </c>
      <c r="AA10" s="128"/>
      <c r="AB10" s="129" t="s">
        <v>112</v>
      </c>
      <c r="AC10" s="133">
        <f t="shared" si="4"/>
        <v>0</v>
      </c>
    </row>
    <row r="11" ht="22.5" customHeight="1">
      <c r="A11" s="1">
        <v>1006.0</v>
      </c>
      <c r="B11" s="4" t="s">
        <v>8</v>
      </c>
      <c r="C11" s="134">
        <v>120000.0</v>
      </c>
      <c r="D11" s="120">
        <v>40000.0</v>
      </c>
      <c r="E11" s="120">
        <v>5000.0</v>
      </c>
      <c r="F11" s="120">
        <v>5000.0</v>
      </c>
      <c r="G11" s="120">
        <v>2000.0</v>
      </c>
      <c r="H11" s="120">
        <v>10000.0</v>
      </c>
      <c r="I11" s="119">
        <v>29700.0</v>
      </c>
      <c r="J11" s="121"/>
      <c r="K11" s="119">
        <v>0.0</v>
      </c>
      <c r="L11" s="119">
        <v>0.0</v>
      </c>
      <c r="M11" s="119">
        <v>10000.0</v>
      </c>
      <c r="N11" s="119"/>
      <c r="O11" s="119"/>
      <c r="P11" s="119"/>
      <c r="Q11" s="119">
        <v>20334.0</v>
      </c>
      <c r="R11" s="119"/>
      <c r="S11" s="119"/>
      <c r="T11" s="119"/>
      <c r="U11" s="119"/>
      <c r="V11" s="119"/>
      <c r="W11" s="125">
        <f t="shared" si="1"/>
        <v>122034</v>
      </c>
      <c r="X11" s="126"/>
      <c r="Y11" s="126"/>
      <c r="Z11" s="127">
        <f t="shared" si="2"/>
        <v>122034</v>
      </c>
      <c r="AA11" s="128" t="s">
        <v>119</v>
      </c>
      <c r="AB11" s="129" t="s">
        <v>112</v>
      </c>
      <c r="AC11" s="133">
        <f t="shared" si="4"/>
        <v>110000</v>
      </c>
    </row>
    <row r="12" ht="22.5" customHeight="1">
      <c r="A12" s="1">
        <v>1012.0</v>
      </c>
      <c r="B12" s="4"/>
      <c r="C12" s="134"/>
      <c r="D12" s="120"/>
      <c r="E12" s="120"/>
      <c r="F12" s="120"/>
      <c r="G12" s="120"/>
      <c r="H12" s="120"/>
      <c r="I12" s="119"/>
      <c r="J12" s="121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25">
        <f t="shared" si="1"/>
        <v>0</v>
      </c>
      <c r="X12" s="140"/>
      <c r="Y12" s="140"/>
      <c r="Z12" s="127">
        <f t="shared" si="2"/>
        <v>0</v>
      </c>
      <c r="AA12" s="128"/>
      <c r="AB12" s="129" t="s">
        <v>112</v>
      </c>
      <c r="AC12" s="133">
        <f t="shared" si="4"/>
        <v>0</v>
      </c>
    </row>
    <row r="13" ht="22.5" customHeight="1">
      <c r="A13" s="1"/>
      <c r="B13" s="4"/>
      <c r="C13" s="131"/>
      <c r="D13" s="120"/>
      <c r="E13" s="120"/>
      <c r="F13" s="120"/>
      <c r="G13" s="120"/>
      <c r="H13" s="120"/>
      <c r="I13" s="119"/>
      <c r="J13" s="121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25">
        <f t="shared" si="1"/>
        <v>0</v>
      </c>
      <c r="X13" s="140"/>
      <c r="Y13" s="140"/>
      <c r="Z13" s="127">
        <f t="shared" si="2"/>
        <v>0</v>
      </c>
      <c r="AA13" s="128"/>
      <c r="AB13" s="129" t="s">
        <v>112</v>
      </c>
      <c r="AC13" s="133">
        <f t="shared" si="4"/>
        <v>0</v>
      </c>
    </row>
    <row r="14" ht="22.5" customHeight="1">
      <c r="A14" s="1" t="str">
        <f>'入居者'!A13</f>
        <v/>
      </c>
      <c r="B14" s="4"/>
      <c r="C14" s="131"/>
      <c r="D14" s="119"/>
      <c r="E14" s="119"/>
      <c r="F14" s="119"/>
      <c r="G14" s="119"/>
      <c r="H14" s="119"/>
      <c r="I14" s="119"/>
      <c r="J14" s="121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25">
        <f t="shared" si="1"/>
        <v>0</v>
      </c>
      <c r="X14" s="119"/>
      <c r="Y14" s="119"/>
      <c r="Z14" s="127">
        <f t="shared" si="2"/>
        <v>0</v>
      </c>
      <c r="AA14" s="141"/>
      <c r="AB14" s="142"/>
      <c r="AC14" s="133">
        <f t="shared" si="4"/>
        <v>0</v>
      </c>
      <c r="AD14" s="142"/>
      <c r="AE14" s="142"/>
      <c r="AF14" s="142"/>
      <c r="AG14" s="142"/>
      <c r="AH14" s="142"/>
      <c r="AI14" s="142"/>
      <c r="AJ14" s="142"/>
    </row>
    <row r="15" ht="22.5" customHeight="1">
      <c r="A15" s="4"/>
      <c r="B15" s="4"/>
      <c r="C15" s="131"/>
      <c r="D15" s="119"/>
      <c r="E15" s="119"/>
      <c r="F15" s="119"/>
      <c r="G15" s="119"/>
      <c r="H15" s="119"/>
      <c r="I15" s="119"/>
      <c r="J15" s="121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25">
        <f t="shared" si="1"/>
        <v>0</v>
      </c>
      <c r="X15" s="119"/>
      <c r="Y15" s="119"/>
      <c r="Z15" s="127">
        <f t="shared" si="2"/>
        <v>0</v>
      </c>
      <c r="AA15" s="141"/>
      <c r="AB15" s="142"/>
      <c r="AC15" s="133">
        <f t="shared" si="4"/>
        <v>0</v>
      </c>
      <c r="AD15" s="142"/>
      <c r="AE15" s="142"/>
      <c r="AF15" s="142"/>
      <c r="AG15" s="142"/>
      <c r="AH15" s="142"/>
      <c r="AI15" s="142"/>
      <c r="AJ15" s="142"/>
    </row>
    <row r="16" ht="22.5" customHeight="1">
      <c r="A16" s="4"/>
      <c r="B16" s="4"/>
      <c r="C16" s="131"/>
      <c r="D16" s="119"/>
      <c r="E16" s="119"/>
      <c r="F16" s="119"/>
      <c r="G16" s="119"/>
      <c r="H16" s="119"/>
      <c r="I16" s="119"/>
      <c r="J16" s="121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25">
        <f t="shared" si="1"/>
        <v>0</v>
      </c>
      <c r="X16" s="119"/>
      <c r="Y16" s="119"/>
      <c r="Z16" s="127">
        <f t="shared" si="2"/>
        <v>0</v>
      </c>
      <c r="AA16" s="141"/>
      <c r="AB16" s="142"/>
      <c r="AC16" s="133">
        <f t="shared" si="4"/>
        <v>0</v>
      </c>
      <c r="AD16" s="142"/>
      <c r="AE16" s="142"/>
      <c r="AF16" s="142"/>
      <c r="AG16" s="142"/>
      <c r="AH16" s="142"/>
      <c r="AI16" s="142"/>
      <c r="AJ16" s="142"/>
    </row>
    <row r="17" ht="22.5" customHeight="1">
      <c r="A17" s="4"/>
      <c r="B17" s="4"/>
      <c r="C17" s="131"/>
      <c r="D17" s="119"/>
      <c r="E17" s="119"/>
      <c r="F17" s="119"/>
      <c r="G17" s="119"/>
      <c r="H17" s="119"/>
      <c r="I17" s="119"/>
      <c r="J17" s="121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25">
        <f t="shared" si="1"/>
        <v>0</v>
      </c>
      <c r="X17" s="119"/>
      <c r="Y17" s="119"/>
      <c r="Z17" s="127">
        <f t="shared" si="2"/>
        <v>0</v>
      </c>
      <c r="AA17" s="141"/>
      <c r="AB17" s="142"/>
      <c r="AC17" s="133">
        <f t="shared" si="4"/>
        <v>0</v>
      </c>
      <c r="AD17" s="142"/>
      <c r="AE17" s="142"/>
      <c r="AF17" s="142"/>
      <c r="AG17" s="142"/>
      <c r="AH17" s="142"/>
      <c r="AI17" s="142"/>
      <c r="AJ17" s="142"/>
    </row>
    <row r="18" ht="22.5" customHeight="1">
      <c r="A18" s="4"/>
      <c r="B18" s="4"/>
      <c r="C18" s="131"/>
      <c r="D18" s="119"/>
      <c r="E18" s="119"/>
      <c r="F18" s="119"/>
      <c r="G18" s="119"/>
      <c r="H18" s="119"/>
      <c r="I18" s="119"/>
      <c r="J18" s="121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25">
        <f t="shared" si="1"/>
        <v>0</v>
      </c>
      <c r="X18" s="119"/>
      <c r="Y18" s="119"/>
      <c r="Z18" s="127">
        <f t="shared" si="2"/>
        <v>0</v>
      </c>
      <c r="AA18" s="141"/>
      <c r="AB18" s="142"/>
      <c r="AC18" s="133">
        <f t="shared" si="4"/>
        <v>0</v>
      </c>
      <c r="AD18" s="142"/>
      <c r="AE18" s="142"/>
      <c r="AF18" s="142"/>
      <c r="AG18" s="142"/>
      <c r="AH18" s="142"/>
      <c r="AI18" s="142"/>
      <c r="AJ18" s="142"/>
    </row>
    <row r="19" ht="22.5" customHeight="1">
      <c r="A19" s="4"/>
      <c r="B19" s="4"/>
      <c r="C19" s="131"/>
      <c r="D19" s="119"/>
      <c r="E19" s="119"/>
      <c r="F19" s="119"/>
      <c r="G19" s="119"/>
      <c r="H19" s="119"/>
      <c r="I19" s="119"/>
      <c r="J19" s="121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25">
        <f t="shared" si="1"/>
        <v>0</v>
      </c>
      <c r="X19" s="119"/>
      <c r="Y19" s="119"/>
      <c r="Z19" s="127">
        <f t="shared" si="2"/>
        <v>0</v>
      </c>
      <c r="AA19" s="141"/>
      <c r="AB19" s="142"/>
      <c r="AC19" s="133">
        <f t="shared" si="4"/>
        <v>0</v>
      </c>
      <c r="AD19" s="142"/>
      <c r="AE19" s="142"/>
      <c r="AF19" s="142"/>
      <c r="AG19" s="142"/>
      <c r="AH19" s="142"/>
      <c r="AI19" s="142"/>
      <c r="AJ19" s="142"/>
    </row>
    <row r="20" ht="22.5" customHeight="1">
      <c r="A20" s="4"/>
      <c r="B20" s="4"/>
      <c r="C20" s="131"/>
      <c r="D20" s="119"/>
      <c r="E20" s="119"/>
      <c r="F20" s="119"/>
      <c r="G20" s="119"/>
      <c r="H20" s="119"/>
      <c r="I20" s="119"/>
      <c r="J20" s="121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25">
        <f t="shared" si="1"/>
        <v>0</v>
      </c>
      <c r="X20" s="119"/>
      <c r="Y20" s="119"/>
      <c r="Z20" s="127">
        <f t="shared" si="2"/>
        <v>0</v>
      </c>
      <c r="AA20" s="141"/>
      <c r="AB20" s="142"/>
      <c r="AC20" s="133">
        <f t="shared" si="4"/>
        <v>0</v>
      </c>
      <c r="AD20" s="142"/>
      <c r="AE20" s="142"/>
      <c r="AF20" s="142"/>
      <c r="AG20" s="142"/>
      <c r="AH20" s="142"/>
      <c r="AI20" s="142"/>
      <c r="AJ20" s="142"/>
    </row>
    <row r="21" ht="22.5" customHeight="1">
      <c r="A21" s="4"/>
      <c r="B21" s="4"/>
      <c r="C21" s="131"/>
      <c r="D21" s="119"/>
      <c r="E21" s="119"/>
      <c r="F21" s="119"/>
      <c r="G21" s="119"/>
      <c r="H21" s="119"/>
      <c r="I21" s="119"/>
      <c r="J21" s="121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25">
        <f t="shared" si="1"/>
        <v>0</v>
      </c>
      <c r="X21" s="119"/>
      <c r="Y21" s="119"/>
      <c r="Z21" s="127">
        <f t="shared" si="2"/>
        <v>0</v>
      </c>
      <c r="AA21" s="141"/>
      <c r="AB21" s="142"/>
      <c r="AC21" s="133">
        <f t="shared" si="4"/>
        <v>0</v>
      </c>
      <c r="AD21" s="142"/>
      <c r="AE21" s="142"/>
      <c r="AF21" s="142"/>
      <c r="AG21" s="142"/>
      <c r="AH21" s="142"/>
      <c r="AI21" s="142"/>
      <c r="AJ21" s="142"/>
    </row>
    <row r="22" ht="22.5" hidden="1" customHeight="1">
      <c r="A22" s="4"/>
      <c r="B22" s="4"/>
      <c r="C22" s="131"/>
      <c r="D22" s="119"/>
      <c r="E22" s="119"/>
      <c r="F22" s="119"/>
      <c r="G22" s="119"/>
      <c r="H22" s="119"/>
      <c r="I22" s="119"/>
      <c r="J22" s="121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25">
        <f t="shared" si="1"/>
        <v>0</v>
      </c>
      <c r="X22" s="119"/>
      <c r="Y22" s="119"/>
      <c r="Z22" s="127">
        <f t="shared" si="2"/>
        <v>0</v>
      </c>
      <c r="AA22" s="141"/>
      <c r="AB22" s="142"/>
      <c r="AC22" s="133">
        <f t="shared" si="4"/>
        <v>0</v>
      </c>
      <c r="AD22" s="142"/>
      <c r="AE22" s="142"/>
      <c r="AF22" s="142"/>
      <c r="AG22" s="142"/>
      <c r="AH22" s="142"/>
      <c r="AI22" s="142"/>
      <c r="AJ22" s="142"/>
    </row>
    <row r="23" ht="22.5" hidden="1" customHeight="1">
      <c r="A23" s="4"/>
      <c r="B23" s="4"/>
      <c r="C23" s="131"/>
      <c r="D23" s="119"/>
      <c r="E23" s="119"/>
      <c r="F23" s="119"/>
      <c r="G23" s="119"/>
      <c r="H23" s="119"/>
      <c r="I23" s="119"/>
      <c r="J23" s="121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25">
        <f t="shared" si="1"/>
        <v>0</v>
      </c>
      <c r="X23" s="119"/>
      <c r="Y23" s="119"/>
      <c r="Z23" s="127">
        <f t="shared" si="2"/>
        <v>0</v>
      </c>
      <c r="AA23" s="141"/>
      <c r="AB23" s="142"/>
      <c r="AC23" s="133">
        <f t="shared" si="4"/>
        <v>0</v>
      </c>
      <c r="AD23" s="142"/>
      <c r="AE23" s="142"/>
      <c r="AF23" s="142"/>
      <c r="AG23" s="142"/>
      <c r="AH23" s="142"/>
      <c r="AI23" s="142"/>
      <c r="AJ23" s="142"/>
    </row>
    <row r="24" ht="22.5" hidden="1" customHeight="1">
      <c r="A24" s="4"/>
      <c r="B24" s="4"/>
      <c r="C24" s="131"/>
      <c r="D24" s="119"/>
      <c r="E24" s="119"/>
      <c r="F24" s="119"/>
      <c r="G24" s="119"/>
      <c r="H24" s="119"/>
      <c r="I24" s="119"/>
      <c r="J24" s="121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25">
        <f t="shared" si="1"/>
        <v>0</v>
      </c>
      <c r="X24" s="119"/>
      <c r="Y24" s="119"/>
      <c r="Z24" s="127">
        <f t="shared" si="2"/>
        <v>0</v>
      </c>
      <c r="AA24" s="141"/>
      <c r="AB24" s="142"/>
      <c r="AC24" s="133">
        <f t="shared" si="4"/>
        <v>0</v>
      </c>
      <c r="AD24" s="142"/>
      <c r="AE24" s="142"/>
      <c r="AF24" s="142"/>
      <c r="AG24" s="142"/>
      <c r="AH24" s="142"/>
      <c r="AI24" s="142"/>
      <c r="AJ24" s="142"/>
    </row>
    <row r="25" ht="22.5" hidden="1" customHeight="1">
      <c r="A25" s="4"/>
      <c r="B25" s="4"/>
      <c r="C25" s="131"/>
      <c r="D25" s="119"/>
      <c r="E25" s="119"/>
      <c r="F25" s="119"/>
      <c r="G25" s="119"/>
      <c r="H25" s="119"/>
      <c r="I25" s="119"/>
      <c r="J25" s="121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25">
        <f t="shared" si="1"/>
        <v>0</v>
      </c>
      <c r="X25" s="119"/>
      <c r="Y25" s="119"/>
      <c r="Z25" s="127">
        <f t="shared" si="2"/>
        <v>0</v>
      </c>
      <c r="AA25" s="141"/>
      <c r="AB25" s="142"/>
      <c r="AC25" s="133">
        <f t="shared" si="4"/>
        <v>0</v>
      </c>
      <c r="AD25" s="142"/>
      <c r="AE25" s="142"/>
      <c r="AF25" s="142"/>
      <c r="AG25" s="142"/>
      <c r="AH25" s="142"/>
      <c r="AI25" s="142"/>
      <c r="AJ25" s="142"/>
    </row>
    <row r="26" ht="22.5" hidden="1" customHeight="1">
      <c r="A26" s="4"/>
      <c r="B26" s="4"/>
      <c r="C26" s="131"/>
      <c r="D26" s="119"/>
      <c r="E26" s="119"/>
      <c r="F26" s="119"/>
      <c r="G26" s="119"/>
      <c r="H26" s="119"/>
      <c r="I26" s="119"/>
      <c r="J26" s="121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25">
        <f t="shared" si="1"/>
        <v>0</v>
      </c>
      <c r="X26" s="119"/>
      <c r="Y26" s="119"/>
      <c r="Z26" s="127">
        <f t="shared" si="2"/>
        <v>0</v>
      </c>
      <c r="AA26" s="141"/>
      <c r="AB26" s="142"/>
      <c r="AC26" s="133">
        <f t="shared" si="4"/>
        <v>0</v>
      </c>
      <c r="AD26" s="142"/>
      <c r="AE26" s="142"/>
      <c r="AF26" s="142"/>
      <c r="AG26" s="142"/>
      <c r="AH26" s="142"/>
      <c r="AI26" s="142"/>
      <c r="AJ26" s="142"/>
    </row>
    <row r="27" ht="22.5" hidden="1" customHeight="1">
      <c r="A27" s="4"/>
      <c r="B27" s="4"/>
      <c r="C27" s="131"/>
      <c r="D27" s="119"/>
      <c r="E27" s="119"/>
      <c r="F27" s="119"/>
      <c r="G27" s="119"/>
      <c r="H27" s="119"/>
      <c r="I27" s="119"/>
      <c r="J27" s="121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25">
        <f t="shared" si="1"/>
        <v>0</v>
      </c>
      <c r="X27" s="119"/>
      <c r="Y27" s="119"/>
      <c r="Z27" s="127">
        <f t="shared" si="2"/>
        <v>0</v>
      </c>
      <c r="AA27" s="141"/>
      <c r="AB27" s="142"/>
      <c r="AC27" s="133">
        <f t="shared" si="4"/>
        <v>0</v>
      </c>
      <c r="AD27" s="142"/>
      <c r="AE27" s="142"/>
      <c r="AF27" s="142"/>
      <c r="AG27" s="142"/>
      <c r="AH27" s="142"/>
      <c r="AI27" s="142"/>
      <c r="AJ27" s="142"/>
    </row>
    <row r="28" ht="22.5" hidden="1" customHeight="1">
      <c r="A28" s="4"/>
      <c r="B28" s="4"/>
      <c r="C28" s="131"/>
      <c r="D28" s="119"/>
      <c r="E28" s="119"/>
      <c r="F28" s="119"/>
      <c r="G28" s="119"/>
      <c r="H28" s="119"/>
      <c r="I28" s="119"/>
      <c r="J28" s="121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25">
        <f t="shared" si="1"/>
        <v>0</v>
      </c>
      <c r="X28" s="119"/>
      <c r="Y28" s="119"/>
      <c r="Z28" s="127">
        <f t="shared" si="2"/>
        <v>0</v>
      </c>
      <c r="AA28" s="141"/>
      <c r="AB28" s="142"/>
      <c r="AC28" s="133">
        <f t="shared" si="4"/>
        <v>0</v>
      </c>
      <c r="AD28" s="142"/>
      <c r="AE28" s="142"/>
      <c r="AF28" s="142"/>
      <c r="AG28" s="142"/>
      <c r="AH28" s="142"/>
      <c r="AI28" s="142"/>
      <c r="AJ28" s="142"/>
    </row>
    <row r="29" ht="22.5" hidden="1" customHeight="1">
      <c r="A29" s="4"/>
      <c r="B29" s="4"/>
      <c r="C29" s="131"/>
      <c r="D29" s="119"/>
      <c r="E29" s="119"/>
      <c r="F29" s="119"/>
      <c r="G29" s="119"/>
      <c r="H29" s="119"/>
      <c r="I29" s="119"/>
      <c r="J29" s="121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25">
        <f t="shared" si="1"/>
        <v>0</v>
      </c>
      <c r="X29" s="119"/>
      <c r="Y29" s="119"/>
      <c r="Z29" s="127">
        <f t="shared" si="2"/>
        <v>0</v>
      </c>
      <c r="AA29" s="141"/>
      <c r="AB29" s="142"/>
      <c r="AC29" s="133">
        <f t="shared" si="4"/>
        <v>0</v>
      </c>
      <c r="AD29" s="142"/>
      <c r="AE29" s="142"/>
      <c r="AF29" s="142"/>
      <c r="AG29" s="142"/>
      <c r="AH29" s="142"/>
      <c r="AI29" s="142"/>
      <c r="AJ29" s="142"/>
    </row>
    <row r="30" ht="22.5" hidden="1" customHeight="1">
      <c r="A30" s="4"/>
      <c r="B30" s="4"/>
      <c r="C30" s="131"/>
      <c r="D30" s="119"/>
      <c r="E30" s="119"/>
      <c r="F30" s="119"/>
      <c r="G30" s="119"/>
      <c r="H30" s="119"/>
      <c r="I30" s="119"/>
      <c r="J30" s="121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25">
        <f t="shared" si="1"/>
        <v>0</v>
      </c>
      <c r="X30" s="119"/>
      <c r="Y30" s="119"/>
      <c r="Z30" s="127">
        <f t="shared" si="2"/>
        <v>0</v>
      </c>
      <c r="AA30" s="141"/>
      <c r="AB30" s="142"/>
      <c r="AC30" s="133">
        <f t="shared" si="4"/>
        <v>0</v>
      </c>
      <c r="AD30" s="142"/>
      <c r="AE30" s="142"/>
      <c r="AF30" s="142"/>
      <c r="AG30" s="142"/>
      <c r="AH30" s="142"/>
      <c r="AI30" s="142"/>
      <c r="AJ30" s="142"/>
    </row>
    <row r="31" ht="22.5" hidden="1" customHeight="1">
      <c r="A31" s="4"/>
      <c r="B31" s="4"/>
      <c r="C31" s="131"/>
      <c r="D31" s="119"/>
      <c r="E31" s="119"/>
      <c r="F31" s="119"/>
      <c r="G31" s="119"/>
      <c r="H31" s="119"/>
      <c r="I31" s="119"/>
      <c r="J31" s="121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25">
        <f t="shared" si="1"/>
        <v>0</v>
      </c>
      <c r="X31" s="119"/>
      <c r="Y31" s="119"/>
      <c r="Z31" s="127">
        <f t="shared" si="2"/>
        <v>0</v>
      </c>
      <c r="AA31" s="141"/>
      <c r="AB31" s="142"/>
      <c r="AC31" s="133">
        <f t="shared" si="4"/>
        <v>0</v>
      </c>
      <c r="AD31" s="142"/>
      <c r="AE31" s="142"/>
      <c r="AF31" s="142"/>
      <c r="AG31" s="142"/>
      <c r="AH31" s="142"/>
      <c r="AI31" s="142"/>
      <c r="AJ31" s="142"/>
    </row>
    <row r="32" ht="22.5" hidden="1" customHeight="1">
      <c r="A32" s="4"/>
      <c r="B32" s="4"/>
      <c r="C32" s="131"/>
      <c r="D32" s="119"/>
      <c r="E32" s="119"/>
      <c r="F32" s="119"/>
      <c r="G32" s="119"/>
      <c r="H32" s="119"/>
      <c r="I32" s="119"/>
      <c r="J32" s="121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25">
        <f t="shared" si="1"/>
        <v>0</v>
      </c>
      <c r="X32" s="119"/>
      <c r="Y32" s="119"/>
      <c r="Z32" s="127">
        <f t="shared" si="2"/>
        <v>0</v>
      </c>
      <c r="AA32" s="141"/>
      <c r="AB32" s="142"/>
      <c r="AC32" s="133">
        <f t="shared" si="4"/>
        <v>0</v>
      </c>
      <c r="AD32" s="142"/>
      <c r="AE32" s="142"/>
      <c r="AF32" s="142"/>
      <c r="AG32" s="142"/>
      <c r="AH32" s="142"/>
      <c r="AI32" s="142"/>
      <c r="AJ32" s="142"/>
    </row>
    <row r="33" ht="22.5" hidden="1" customHeight="1">
      <c r="A33" s="4"/>
      <c r="B33" s="4"/>
      <c r="C33" s="131"/>
      <c r="D33" s="119"/>
      <c r="E33" s="119"/>
      <c r="F33" s="119"/>
      <c r="G33" s="119"/>
      <c r="H33" s="119"/>
      <c r="I33" s="119"/>
      <c r="J33" s="121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25">
        <f t="shared" si="1"/>
        <v>0</v>
      </c>
      <c r="X33" s="119"/>
      <c r="Y33" s="119"/>
      <c r="Z33" s="127">
        <f t="shared" si="2"/>
        <v>0</v>
      </c>
      <c r="AA33" s="141"/>
      <c r="AB33" s="142"/>
      <c r="AC33" s="133">
        <f t="shared" si="4"/>
        <v>0</v>
      </c>
      <c r="AD33" s="142"/>
      <c r="AE33" s="142"/>
      <c r="AF33" s="142"/>
      <c r="AG33" s="142"/>
      <c r="AH33" s="142"/>
      <c r="AI33" s="142"/>
      <c r="AJ33" s="142"/>
    </row>
    <row r="34" ht="22.5" hidden="1" customHeight="1">
      <c r="A34" s="4"/>
      <c r="B34" s="4"/>
      <c r="C34" s="131"/>
      <c r="D34" s="119"/>
      <c r="E34" s="119"/>
      <c r="F34" s="119"/>
      <c r="G34" s="119"/>
      <c r="H34" s="119"/>
      <c r="I34" s="119"/>
      <c r="J34" s="121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25">
        <f t="shared" si="1"/>
        <v>0</v>
      </c>
      <c r="X34" s="119"/>
      <c r="Y34" s="119"/>
      <c r="Z34" s="127">
        <f t="shared" si="2"/>
        <v>0</v>
      </c>
      <c r="AA34" s="141"/>
      <c r="AB34" s="142"/>
      <c r="AC34" s="133">
        <f t="shared" si="4"/>
        <v>0</v>
      </c>
      <c r="AD34" s="142"/>
      <c r="AE34" s="142"/>
      <c r="AF34" s="142"/>
      <c r="AG34" s="142"/>
      <c r="AH34" s="142"/>
      <c r="AI34" s="142"/>
      <c r="AJ34" s="142"/>
    </row>
    <row r="35" ht="22.5" hidden="1" customHeight="1">
      <c r="A35" s="4"/>
      <c r="B35" s="4"/>
      <c r="C35" s="131"/>
      <c r="D35" s="119"/>
      <c r="E35" s="119"/>
      <c r="F35" s="119"/>
      <c r="G35" s="119"/>
      <c r="H35" s="119"/>
      <c r="I35" s="119"/>
      <c r="J35" s="121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25">
        <f t="shared" si="1"/>
        <v>0</v>
      </c>
      <c r="X35" s="119"/>
      <c r="Y35" s="119"/>
      <c r="Z35" s="127">
        <f t="shared" si="2"/>
        <v>0</v>
      </c>
      <c r="AA35" s="141"/>
      <c r="AB35" s="142"/>
      <c r="AC35" s="133">
        <f t="shared" si="4"/>
        <v>0</v>
      </c>
      <c r="AD35" s="142"/>
      <c r="AE35" s="142"/>
      <c r="AF35" s="142"/>
      <c r="AG35" s="142"/>
      <c r="AH35" s="142"/>
      <c r="AI35" s="142"/>
      <c r="AJ35" s="142"/>
    </row>
    <row r="36" ht="22.5" hidden="1" customHeight="1">
      <c r="A36" s="4"/>
      <c r="B36" s="4"/>
      <c r="C36" s="131"/>
      <c r="D36" s="119"/>
      <c r="E36" s="119"/>
      <c r="F36" s="119"/>
      <c r="G36" s="119"/>
      <c r="H36" s="119"/>
      <c r="I36" s="119"/>
      <c r="J36" s="121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25">
        <f t="shared" si="1"/>
        <v>0</v>
      </c>
      <c r="X36" s="119"/>
      <c r="Y36" s="119"/>
      <c r="Z36" s="127">
        <f t="shared" si="2"/>
        <v>0</v>
      </c>
      <c r="AA36" s="141"/>
      <c r="AB36" s="142"/>
      <c r="AC36" s="133">
        <f t="shared" si="4"/>
        <v>0</v>
      </c>
      <c r="AD36" s="142"/>
      <c r="AE36" s="142"/>
      <c r="AF36" s="142"/>
      <c r="AG36" s="142"/>
      <c r="AH36" s="142"/>
      <c r="AI36" s="142"/>
      <c r="AJ36" s="142"/>
    </row>
    <row r="37" ht="22.5" hidden="1" customHeight="1">
      <c r="A37" s="4"/>
      <c r="B37" s="4"/>
      <c r="C37" s="131"/>
      <c r="D37" s="119"/>
      <c r="E37" s="119"/>
      <c r="F37" s="119"/>
      <c r="G37" s="119"/>
      <c r="H37" s="119"/>
      <c r="I37" s="119"/>
      <c r="J37" s="121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25">
        <f t="shared" si="1"/>
        <v>0</v>
      </c>
      <c r="X37" s="119"/>
      <c r="Y37" s="119"/>
      <c r="Z37" s="127">
        <f t="shared" si="2"/>
        <v>0</v>
      </c>
      <c r="AA37" s="141"/>
      <c r="AB37" s="142"/>
      <c r="AC37" s="133">
        <f t="shared" si="4"/>
        <v>0</v>
      </c>
      <c r="AD37" s="142"/>
      <c r="AE37" s="142"/>
      <c r="AF37" s="142"/>
      <c r="AG37" s="142"/>
      <c r="AH37" s="142"/>
      <c r="AI37" s="142"/>
      <c r="AJ37" s="142"/>
    </row>
    <row r="38" ht="22.5" hidden="1" customHeight="1">
      <c r="A38" s="4"/>
      <c r="B38" s="4"/>
      <c r="C38" s="131"/>
      <c r="D38" s="119"/>
      <c r="E38" s="119"/>
      <c r="F38" s="119"/>
      <c r="G38" s="119"/>
      <c r="H38" s="119"/>
      <c r="I38" s="119"/>
      <c r="J38" s="121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25">
        <f t="shared" si="1"/>
        <v>0</v>
      </c>
      <c r="X38" s="119"/>
      <c r="Y38" s="119"/>
      <c r="Z38" s="127">
        <f t="shared" si="2"/>
        <v>0</v>
      </c>
      <c r="AA38" s="141"/>
      <c r="AB38" s="142"/>
      <c r="AC38" s="133">
        <f t="shared" si="4"/>
        <v>0</v>
      </c>
      <c r="AD38" s="142"/>
      <c r="AE38" s="142"/>
      <c r="AF38" s="142"/>
      <c r="AG38" s="142"/>
      <c r="AH38" s="142"/>
      <c r="AI38" s="142"/>
      <c r="AJ38" s="142"/>
    </row>
    <row r="39" ht="22.5" hidden="1" customHeight="1">
      <c r="A39" s="4"/>
      <c r="B39" s="4"/>
      <c r="C39" s="131"/>
      <c r="D39" s="119"/>
      <c r="E39" s="119"/>
      <c r="F39" s="119"/>
      <c r="G39" s="119"/>
      <c r="H39" s="119"/>
      <c r="I39" s="119"/>
      <c r="J39" s="121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25">
        <f t="shared" si="1"/>
        <v>0</v>
      </c>
      <c r="X39" s="119"/>
      <c r="Y39" s="119"/>
      <c r="Z39" s="127">
        <f t="shared" si="2"/>
        <v>0</v>
      </c>
      <c r="AA39" s="141"/>
      <c r="AB39" s="142"/>
      <c r="AC39" s="133">
        <f t="shared" si="4"/>
        <v>0</v>
      </c>
      <c r="AD39" s="142"/>
      <c r="AE39" s="142"/>
      <c r="AF39" s="142"/>
      <c r="AG39" s="142"/>
      <c r="AH39" s="142"/>
      <c r="AI39" s="142"/>
      <c r="AJ39" s="142"/>
    </row>
    <row r="40" ht="22.5" hidden="1" customHeight="1">
      <c r="A40" s="4"/>
      <c r="B40" s="4"/>
      <c r="C40" s="131"/>
      <c r="D40" s="119"/>
      <c r="E40" s="119"/>
      <c r="F40" s="119"/>
      <c r="G40" s="119"/>
      <c r="H40" s="119"/>
      <c r="I40" s="119"/>
      <c r="J40" s="121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25">
        <f t="shared" si="1"/>
        <v>0</v>
      </c>
      <c r="X40" s="119"/>
      <c r="Y40" s="119"/>
      <c r="Z40" s="127">
        <f t="shared" si="2"/>
        <v>0</v>
      </c>
      <c r="AA40" s="141"/>
      <c r="AB40" s="142"/>
      <c r="AC40" s="133">
        <f t="shared" si="4"/>
        <v>0</v>
      </c>
      <c r="AD40" s="142"/>
      <c r="AE40" s="142"/>
      <c r="AF40" s="142"/>
      <c r="AG40" s="142"/>
      <c r="AH40" s="142"/>
      <c r="AI40" s="142"/>
      <c r="AJ40" s="142"/>
    </row>
    <row r="41" ht="22.5" hidden="1" customHeight="1">
      <c r="A41" s="4"/>
      <c r="B41" s="4"/>
      <c r="C41" s="131"/>
      <c r="D41" s="119"/>
      <c r="E41" s="119"/>
      <c r="F41" s="119"/>
      <c r="G41" s="119"/>
      <c r="H41" s="119"/>
      <c r="I41" s="119"/>
      <c r="J41" s="121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25">
        <f t="shared" si="1"/>
        <v>0</v>
      </c>
      <c r="X41" s="119"/>
      <c r="Y41" s="119"/>
      <c r="Z41" s="127">
        <f t="shared" si="2"/>
        <v>0</v>
      </c>
      <c r="AA41" s="141"/>
      <c r="AB41" s="142"/>
      <c r="AC41" s="133">
        <f t="shared" si="4"/>
        <v>0</v>
      </c>
      <c r="AD41" s="142"/>
      <c r="AE41" s="142"/>
      <c r="AF41" s="142"/>
      <c r="AG41" s="142"/>
      <c r="AH41" s="142"/>
      <c r="AI41" s="142"/>
      <c r="AJ41" s="142"/>
    </row>
    <row r="42" ht="22.5" hidden="1" customHeight="1">
      <c r="A42" s="4"/>
      <c r="B42" s="4"/>
      <c r="C42" s="131"/>
      <c r="D42" s="119"/>
      <c r="E42" s="119"/>
      <c r="F42" s="119"/>
      <c r="G42" s="119"/>
      <c r="H42" s="119"/>
      <c r="I42" s="119"/>
      <c r="J42" s="121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25">
        <f t="shared" si="1"/>
        <v>0</v>
      </c>
      <c r="X42" s="119"/>
      <c r="Y42" s="119"/>
      <c r="Z42" s="127">
        <f t="shared" si="2"/>
        <v>0</v>
      </c>
      <c r="AA42" s="141"/>
      <c r="AB42" s="142"/>
      <c r="AC42" s="133">
        <f t="shared" si="4"/>
        <v>0</v>
      </c>
      <c r="AD42" s="142"/>
      <c r="AE42" s="142"/>
      <c r="AF42" s="142"/>
      <c r="AG42" s="142"/>
      <c r="AH42" s="142"/>
      <c r="AI42" s="142"/>
      <c r="AJ42" s="142"/>
    </row>
    <row r="43" ht="22.5" hidden="1" customHeight="1">
      <c r="A43" s="4"/>
      <c r="B43" s="4"/>
      <c r="C43" s="131"/>
      <c r="D43" s="119"/>
      <c r="E43" s="119"/>
      <c r="F43" s="119"/>
      <c r="G43" s="119"/>
      <c r="H43" s="119"/>
      <c r="I43" s="119"/>
      <c r="J43" s="121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25">
        <f t="shared" si="1"/>
        <v>0</v>
      </c>
      <c r="X43" s="119"/>
      <c r="Y43" s="119"/>
      <c r="Z43" s="127">
        <f t="shared" si="2"/>
        <v>0</v>
      </c>
      <c r="AA43" s="141"/>
      <c r="AB43" s="142"/>
      <c r="AC43" s="133">
        <f t="shared" si="4"/>
        <v>0</v>
      </c>
      <c r="AD43" s="142"/>
      <c r="AE43" s="142"/>
      <c r="AF43" s="142"/>
      <c r="AG43" s="142"/>
      <c r="AH43" s="142"/>
      <c r="AI43" s="142"/>
      <c r="AJ43" s="142"/>
    </row>
    <row r="44" ht="22.5" hidden="1" customHeight="1">
      <c r="A44" s="4"/>
      <c r="B44" s="4"/>
      <c r="C44" s="131"/>
      <c r="D44" s="119"/>
      <c r="E44" s="119"/>
      <c r="F44" s="119"/>
      <c r="G44" s="119"/>
      <c r="H44" s="119"/>
      <c r="I44" s="119"/>
      <c r="J44" s="121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25">
        <f t="shared" si="1"/>
        <v>0</v>
      </c>
      <c r="X44" s="119"/>
      <c r="Y44" s="119"/>
      <c r="Z44" s="127">
        <f t="shared" si="2"/>
        <v>0</v>
      </c>
      <c r="AA44" s="141"/>
      <c r="AB44" s="142"/>
      <c r="AC44" s="133">
        <f t="shared" si="4"/>
        <v>0</v>
      </c>
      <c r="AD44" s="142"/>
      <c r="AE44" s="142"/>
      <c r="AF44" s="142"/>
      <c r="AG44" s="142"/>
      <c r="AH44" s="142"/>
      <c r="AI44" s="142"/>
      <c r="AJ44" s="142"/>
    </row>
    <row r="45" ht="22.5" hidden="1" customHeight="1">
      <c r="A45" s="4"/>
      <c r="B45" s="4"/>
      <c r="C45" s="131"/>
      <c r="D45" s="119"/>
      <c r="E45" s="119"/>
      <c r="F45" s="119"/>
      <c r="G45" s="119"/>
      <c r="H45" s="119"/>
      <c r="I45" s="119"/>
      <c r="J45" s="121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25">
        <f t="shared" si="1"/>
        <v>0</v>
      </c>
      <c r="X45" s="119"/>
      <c r="Y45" s="119"/>
      <c r="Z45" s="127">
        <f t="shared" si="2"/>
        <v>0</v>
      </c>
      <c r="AA45" s="141"/>
      <c r="AB45" s="142"/>
      <c r="AC45" s="133">
        <f t="shared" si="4"/>
        <v>0</v>
      </c>
      <c r="AD45" s="142"/>
      <c r="AE45" s="142"/>
      <c r="AF45" s="142"/>
      <c r="AG45" s="142"/>
      <c r="AH45" s="142"/>
      <c r="AI45" s="142"/>
      <c r="AJ45" s="142"/>
    </row>
    <row r="46" ht="22.5" hidden="1" customHeight="1">
      <c r="A46" s="4"/>
      <c r="B46" s="4"/>
      <c r="C46" s="131"/>
      <c r="D46" s="119"/>
      <c r="E46" s="119"/>
      <c r="F46" s="119"/>
      <c r="G46" s="119"/>
      <c r="H46" s="119"/>
      <c r="I46" s="119"/>
      <c r="J46" s="121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25">
        <f t="shared" si="1"/>
        <v>0</v>
      </c>
      <c r="X46" s="119"/>
      <c r="Y46" s="119"/>
      <c r="Z46" s="127">
        <f t="shared" si="2"/>
        <v>0</v>
      </c>
      <c r="AA46" s="141"/>
      <c r="AB46" s="142"/>
      <c r="AC46" s="133">
        <f t="shared" si="4"/>
        <v>0</v>
      </c>
      <c r="AD46" s="142"/>
      <c r="AE46" s="142"/>
      <c r="AF46" s="142"/>
      <c r="AG46" s="142"/>
      <c r="AH46" s="142"/>
      <c r="AI46" s="142"/>
      <c r="AJ46" s="142"/>
    </row>
    <row r="47" ht="22.5" hidden="1" customHeight="1">
      <c r="A47" s="4"/>
      <c r="B47" s="4"/>
      <c r="C47" s="131"/>
      <c r="D47" s="119"/>
      <c r="E47" s="119"/>
      <c r="F47" s="119"/>
      <c r="G47" s="119"/>
      <c r="H47" s="119"/>
      <c r="I47" s="119"/>
      <c r="J47" s="121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25">
        <f t="shared" si="1"/>
        <v>0</v>
      </c>
      <c r="X47" s="119"/>
      <c r="Y47" s="119"/>
      <c r="Z47" s="127">
        <f t="shared" si="2"/>
        <v>0</v>
      </c>
      <c r="AA47" s="141"/>
      <c r="AB47" s="142"/>
      <c r="AC47" s="133">
        <f t="shared" si="4"/>
        <v>0</v>
      </c>
      <c r="AD47" s="142"/>
      <c r="AE47" s="142"/>
      <c r="AF47" s="142"/>
      <c r="AG47" s="142"/>
      <c r="AH47" s="142"/>
      <c r="AI47" s="142"/>
      <c r="AJ47" s="142"/>
    </row>
    <row r="48" ht="22.5" hidden="1" customHeight="1">
      <c r="A48" s="4"/>
      <c r="B48" s="4"/>
      <c r="C48" s="131"/>
      <c r="D48" s="119"/>
      <c r="E48" s="119"/>
      <c r="F48" s="119"/>
      <c r="G48" s="119"/>
      <c r="H48" s="119"/>
      <c r="I48" s="119"/>
      <c r="J48" s="121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25">
        <f t="shared" si="1"/>
        <v>0</v>
      </c>
      <c r="X48" s="119"/>
      <c r="Y48" s="119"/>
      <c r="Z48" s="127">
        <f t="shared" si="2"/>
        <v>0</v>
      </c>
      <c r="AA48" s="141"/>
      <c r="AB48" s="142"/>
      <c r="AC48" s="133">
        <f t="shared" si="4"/>
        <v>0</v>
      </c>
      <c r="AD48" s="142"/>
      <c r="AE48" s="142"/>
      <c r="AF48" s="142"/>
      <c r="AG48" s="142"/>
      <c r="AH48" s="142"/>
      <c r="AI48" s="142"/>
      <c r="AJ48" s="142"/>
    </row>
    <row r="49" ht="22.5" hidden="1" customHeight="1">
      <c r="A49" s="4"/>
      <c r="B49" s="4"/>
      <c r="C49" s="131"/>
      <c r="D49" s="119"/>
      <c r="E49" s="119"/>
      <c r="F49" s="119"/>
      <c r="G49" s="119"/>
      <c r="H49" s="119"/>
      <c r="I49" s="119"/>
      <c r="J49" s="121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25">
        <f t="shared" si="1"/>
        <v>0</v>
      </c>
      <c r="X49" s="119"/>
      <c r="Y49" s="119"/>
      <c r="Z49" s="127">
        <f t="shared" si="2"/>
        <v>0</v>
      </c>
      <c r="AA49" s="141"/>
      <c r="AB49" s="142"/>
      <c r="AC49" s="133">
        <f t="shared" si="4"/>
        <v>0</v>
      </c>
      <c r="AD49" s="142"/>
      <c r="AE49" s="142"/>
      <c r="AF49" s="142"/>
      <c r="AG49" s="142"/>
      <c r="AH49" s="142"/>
      <c r="AI49" s="142"/>
      <c r="AJ49" s="142"/>
    </row>
    <row r="50" ht="22.5" hidden="1" customHeight="1">
      <c r="A50" s="4"/>
      <c r="B50" s="4"/>
      <c r="C50" s="131"/>
      <c r="D50" s="119"/>
      <c r="E50" s="119"/>
      <c r="F50" s="119"/>
      <c r="G50" s="119"/>
      <c r="H50" s="119"/>
      <c r="I50" s="119"/>
      <c r="J50" s="121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25">
        <f t="shared" si="1"/>
        <v>0</v>
      </c>
      <c r="X50" s="119"/>
      <c r="Y50" s="119"/>
      <c r="Z50" s="127">
        <f t="shared" si="2"/>
        <v>0</v>
      </c>
      <c r="AA50" s="141"/>
      <c r="AB50" s="142"/>
      <c r="AC50" s="133">
        <f t="shared" si="4"/>
        <v>0</v>
      </c>
      <c r="AD50" s="142"/>
      <c r="AE50" s="142"/>
      <c r="AF50" s="142"/>
      <c r="AG50" s="142"/>
      <c r="AH50" s="142"/>
      <c r="AI50" s="142"/>
      <c r="AJ50" s="142"/>
    </row>
    <row r="51" ht="22.5" hidden="1" customHeight="1">
      <c r="A51" s="4"/>
      <c r="B51" s="4"/>
      <c r="C51" s="131"/>
      <c r="D51" s="119"/>
      <c r="E51" s="119"/>
      <c r="F51" s="119"/>
      <c r="G51" s="119"/>
      <c r="H51" s="119"/>
      <c r="I51" s="119"/>
      <c r="J51" s="121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25">
        <f t="shared" si="1"/>
        <v>0</v>
      </c>
      <c r="X51" s="119"/>
      <c r="Y51" s="119"/>
      <c r="Z51" s="127">
        <f t="shared" si="2"/>
        <v>0</v>
      </c>
      <c r="AA51" s="141"/>
      <c r="AB51" s="142"/>
      <c r="AC51" s="133">
        <f t="shared" si="4"/>
        <v>0</v>
      </c>
      <c r="AD51" s="142"/>
      <c r="AE51" s="142"/>
      <c r="AF51" s="142"/>
      <c r="AG51" s="142"/>
      <c r="AH51" s="142"/>
      <c r="AI51" s="142"/>
      <c r="AJ51" s="142"/>
    </row>
    <row r="52" ht="22.5" hidden="1" customHeight="1">
      <c r="A52" s="4"/>
      <c r="B52" s="4"/>
      <c r="C52" s="131"/>
      <c r="D52" s="119"/>
      <c r="E52" s="119"/>
      <c r="F52" s="119"/>
      <c r="G52" s="119"/>
      <c r="H52" s="119"/>
      <c r="I52" s="119"/>
      <c r="J52" s="121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25">
        <f t="shared" si="1"/>
        <v>0</v>
      </c>
      <c r="X52" s="119"/>
      <c r="Y52" s="119"/>
      <c r="Z52" s="127">
        <f t="shared" si="2"/>
        <v>0</v>
      </c>
      <c r="AA52" s="141"/>
      <c r="AB52" s="142"/>
      <c r="AC52" s="133">
        <f t="shared" si="4"/>
        <v>0</v>
      </c>
      <c r="AD52" s="142"/>
      <c r="AE52" s="142"/>
      <c r="AF52" s="142"/>
      <c r="AG52" s="142"/>
      <c r="AH52" s="142"/>
      <c r="AI52" s="142"/>
      <c r="AJ52" s="142"/>
    </row>
    <row r="53" ht="22.5" hidden="1" customHeight="1">
      <c r="A53" s="4"/>
      <c r="B53" s="4"/>
      <c r="C53" s="131"/>
      <c r="D53" s="119"/>
      <c r="E53" s="119"/>
      <c r="F53" s="119"/>
      <c r="G53" s="119"/>
      <c r="H53" s="119"/>
      <c r="I53" s="119"/>
      <c r="J53" s="121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25">
        <f t="shared" si="1"/>
        <v>0</v>
      </c>
      <c r="X53" s="119"/>
      <c r="Y53" s="119"/>
      <c r="Z53" s="127">
        <f t="shared" si="2"/>
        <v>0</v>
      </c>
      <c r="AA53" s="141"/>
      <c r="AB53" s="142"/>
      <c r="AC53" s="133">
        <f t="shared" si="4"/>
        <v>0</v>
      </c>
      <c r="AD53" s="142"/>
      <c r="AE53" s="142"/>
      <c r="AF53" s="142"/>
      <c r="AG53" s="142"/>
      <c r="AH53" s="142"/>
      <c r="AI53" s="142"/>
      <c r="AJ53" s="142"/>
    </row>
    <row r="54" ht="22.5" hidden="1" customHeight="1">
      <c r="A54" s="4"/>
      <c r="B54" s="4"/>
      <c r="C54" s="131"/>
      <c r="D54" s="119"/>
      <c r="E54" s="119"/>
      <c r="F54" s="119"/>
      <c r="G54" s="119"/>
      <c r="H54" s="119"/>
      <c r="I54" s="119"/>
      <c r="J54" s="121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25">
        <f t="shared" si="1"/>
        <v>0</v>
      </c>
      <c r="X54" s="119"/>
      <c r="Y54" s="119"/>
      <c r="Z54" s="127">
        <f t="shared" si="2"/>
        <v>0</v>
      </c>
      <c r="AA54" s="141"/>
      <c r="AB54" s="142"/>
      <c r="AC54" s="133">
        <f t="shared" si="4"/>
        <v>0</v>
      </c>
      <c r="AD54" s="142"/>
      <c r="AE54" s="142"/>
      <c r="AF54" s="142"/>
      <c r="AG54" s="142"/>
      <c r="AH54" s="142"/>
      <c r="AI54" s="142"/>
      <c r="AJ54" s="142"/>
    </row>
    <row r="55" ht="22.5" hidden="1" customHeight="1">
      <c r="A55" s="4"/>
      <c r="B55" s="4"/>
      <c r="C55" s="131"/>
      <c r="D55" s="119"/>
      <c r="E55" s="119"/>
      <c r="F55" s="119"/>
      <c r="G55" s="119"/>
      <c r="H55" s="119"/>
      <c r="I55" s="119"/>
      <c r="J55" s="121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25">
        <f t="shared" si="1"/>
        <v>0</v>
      </c>
      <c r="X55" s="119"/>
      <c r="Y55" s="119"/>
      <c r="Z55" s="127">
        <f t="shared" si="2"/>
        <v>0</v>
      </c>
      <c r="AA55" s="141"/>
      <c r="AB55" s="142"/>
      <c r="AC55" s="133">
        <f t="shared" si="4"/>
        <v>0</v>
      </c>
      <c r="AD55" s="142"/>
      <c r="AE55" s="142"/>
      <c r="AF55" s="142"/>
      <c r="AG55" s="142"/>
      <c r="AH55" s="142"/>
      <c r="AI55" s="142"/>
      <c r="AJ55" s="142"/>
    </row>
    <row r="56" ht="22.5" hidden="1" customHeight="1">
      <c r="A56" s="4"/>
      <c r="B56" s="4"/>
      <c r="C56" s="131"/>
      <c r="D56" s="119"/>
      <c r="E56" s="119"/>
      <c r="F56" s="119"/>
      <c r="G56" s="119"/>
      <c r="H56" s="119"/>
      <c r="I56" s="119"/>
      <c r="J56" s="121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25">
        <f t="shared" si="1"/>
        <v>0</v>
      </c>
      <c r="X56" s="119"/>
      <c r="Y56" s="119"/>
      <c r="Z56" s="127">
        <f t="shared" si="2"/>
        <v>0</v>
      </c>
      <c r="AA56" s="141"/>
      <c r="AB56" s="142"/>
      <c r="AC56" s="133">
        <f t="shared" si="4"/>
        <v>0</v>
      </c>
      <c r="AD56" s="142"/>
      <c r="AE56" s="142"/>
      <c r="AF56" s="142"/>
      <c r="AG56" s="142"/>
      <c r="AH56" s="142"/>
      <c r="AI56" s="142"/>
      <c r="AJ56" s="142"/>
    </row>
    <row r="57" ht="22.5" hidden="1" customHeight="1">
      <c r="A57" s="4"/>
      <c r="B57" s="4"/>
      <c r="C57" s="131"/>
      <c r="D57" s="119"/>
      <c r="E57" s="119"/>
      <c r="F57" s="119"/>
      <c r="G57" s="119"/>
      <c r="H57" s="119"/>
      <c r="I57" s="119"/>
      <c r="J57" s="121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25">
        <f t="shared" si="1"/>
        <v>0</v>
      </c>
      <c r="X57" s="119"/>
      <c r="Y57" s="119"/>
      <c r="Z57" s="127">
        <f t="shared" si="2"/>
        <v>0</v>
      </c>
      <c r="AA57" s="141"/>
      <c r="AB57" s="142"/>
      <c r="AC57" s="133">
        <f t="shared" si="4"/>
        <v>0</v>
      </c>
      <c r="AD57" s="142"/>
      <c r="AE57" s="142"/>
      <c r="AF57" s="142"/>
      <c r="AG57" s="142"/>
      <c r="AH57" s="142"/>
      <c r="AI57" s="142"/>
      <c r="AJ57" s="142"/>
    </row>
    <row r="58" ht="22.5" hidden="1" customHeight="1">
      <c r="A58" s="4"/>
      <c r="B58" s="4"/>
      <c r="C58" s="131"/>
      <c r="D58" s="119"/>
      <c r="E58" s="119"/>
      <c r="F58" s="119"/>
      <c r="G58" s="119"/>
      <c r="H58" s="119"/>
      <c r="I58" s="119"/>
      <c r="J58" s="121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25">
        <f t="shared" si="1"/>
        <v>0</v>
      </c>
      <c r="X58" s="119"/>
      <c r="Y58" s="119"/>
      <c r="Z58" s="127">
        <f t="shared" si="2"/>
        <v>0</v>
      </c>
      <c r="AA58" s="141"/>
      <c r="AB58" s="142"/>
      <c r="AC58" s="133">
        <f t="shared" si="4"/>
        <v>0</v>
      </c>
      <c r="AD58" s="142"/>
      <c r="AE58" s="142"/>
      <c r="AF58" s="142"/>
      <c r="AG58" s="142"/>
      <c r="AH58" s="142"/>
      <c r="AI58" s="142"/>
      <c r="AJ58" s="142"/>
    </row>
    <row r="59" ht="22.5" hidden="1" customHeight="1">
      <c r="A59" s="4"/>
      <c r="B59" s="4"/>
      <c r="C59" s="131"/>
      <c r="D59" s="119"/>
      <c r="E59" s="119"/>
      <c r="F59" s="119"/>
      <c r="G59" s="119"/>
      <c r="H59" s="119"/>
      <c r="I59" s="119"/>
      <c r="J59" s="121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25">
        <f t="shared" si="1"/>
        <v>0</v>
      </c>
      <c r="X59" s="119"/>
      <c r="Y59" s="119"/>
      <c r="Z59" s="127">
        <f t="shared" si="2"/>
        <v>0</v>
      </c>
      <c r="AA59" s="141"/>
      <c r="AB59" s="142"/>
      <c r="AC59" s="133">
        <f t="shared" si="4"/>
        <v>0</v>
      </c>
      <c r="AD59" s="142"/>
      <c r="AE59" s="142"/>
      <c r="AF59" s="142"/>
      <c r="AG59" s="142"/>
      <c r="AH59" s="142"/>
      <c r="AI59" s="142"/>
      <c r="AJ59" s="142"/>
    </row>
    <row r="60" ht="22.5" hidden="1" customHeight="1">
      <c r="A60" s="4"/>
      <c r="B60" s="4"/>
      <c r="C60" s="131"/>
      <c r="D60" s="119"/>
      <c r="E60" s="119"/>
      <c r="F60" s="119"/>
      <c r="G60" s="119"/>
      <c r="H60" s="119"/>
      <c r="I60" s="119"/>
      <c r="J60" s="121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25">
        <f t="shared" si="1"/>
        <v>0</v>
      </c>
      <c r="X60" s="119"/>
      <c r="Y60" s="119"/>
      <c r="Z60" s="127">
        <f t="shared" si="2"/>
        <v>0</v>
      </c>
      <c r="AA60" s="141"/>
      <c r="AB60" s="142"/>
      <c r="AC60" s="133">
        <f t="shared" si="4"/>
        <v>0</v>
      </c>
      <c r="AD60" s="142"/>
      <c r="AE60" s="142"/>
      <c r="AF60" s="142"/>
      <c r="AG60" s="142"/>
      <c r="AH60" s="142"/>
      <c r="AI60" s="142"/>
      <c r="AJ60" s="142"/>
    </row>
    <row r="61" ht="22.5" hidden="1" customHeight="1">
      <c r="A61" s="4"/>
      <c r="B61" s="4"/>
      <c r="C61" s="131"/>
      <c r="D61" s="119"/>
      <c r="E61" s="119"/>
      <c r="F61" s="119"/>
      <c r="G61" s="119"/>
      <c r="H61" s="119"/>
      <c r="I61" s="119"/>
      <c r="J61" s="121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25">
        <f t="shared" si="1"/>
        <v>0</v>
      </c>
      <c r="X61" s="119"/>
      <c r="Y61" s="119"/>
      <c r="Z61" s="127">
        <f t="shared" si="2"/>
        <v>0</v>
      </c>
      <c r="AA61" s="141"/>
      <c r="AB61" s="142"/>
      <c r="AC61" s="133">
        <f t="shared" si="4"/>
        <v>0</v>
      </c>
      <c r="AD61" s="142"/>
      <c r="AE61" s="142"/>
      <c r="AF61" s="142"/>
      <c r="AG61" s="142"/>
      <c r="AH61" s="142"/>
      <c r="AI61" s="142"/>
      <c r="AJ61" s="142"/>
    </row>
    <row r="62" ht="22.5" hidden="1" customHeight="1">
      <c r="A62" s="4"/>
      <c r="B62" s="4"/>
      <c r="C62" s="131"/>
      <c r="D62" s="119"/>
      <c r="E62" s="119"/>
      <c r="F62" s="119"/>
      <c r="G62" s="119"/>
      <c r="H62" s="119"/>
      <c r="I62" s="119"/>
      <c r="J62" s="121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25">
        <f t="shared" si="1"/>
        <v>0</v>
      </c>
      <c r="X62" s="119"/>
      <c r="Y62" s="119"/>
      <c r="Z62" s="127">
        <f t="shared" si="2"/>
        <v>0</v>
      </c>
      <c r="AA62" s="141"/>
      <c r="AB62" s="142"/>
      <c r="AC62" s="133">
        <f t="shared" si="4"/>
        <v>0</v>
      </c>
      <c r="AD62" s="142"/>
      <c r="AE62" s="142"/>
      <c r="AF62" s="142"/>
      <c r="AG62" s="142"/>
      <c r="AH62" s="142"/>
      <c r="AI62" s="142"/>
      <c r="AJ62" s="142"/>
    </row>
    <row r="63" ht="22.5" hidden="1" customHeight="1">
      <c r="A63" s="4"/>
      <c r="B63" s="4"/>
      <c r="C63" s="131"/>
      <c r="D63" s="119"/>
      <c r="E63" s="119"/>
      <c r="F63" s="119"/>
      <c r="G63" s="119"/>
      <c r="H63" s="119"/>
      <c r="I63" s="119"/>
      <c r="J63" s="121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25">
        <f t="shared" si="1"/>
        <v>0</v>
      </c>
      <c r="X63" s="119"/>
      <c r="Y63" s="119"/>
      <c r="Z63" s="127">
        <f t="shared" si="2"/>
        <v>0</v>
      </c>
      <c r="AA63" s="141"/>
      <c r="AB63" s="142"/>
      <c r="AC63" s="133">
        <f t="shared" si="4"/>
        <v>0</v>
      </c>
      <c r="AD63" s="142"/>
      <c r="AE63" s="142"/>
      <c r="AF63" s="142"/>
      <c r="AG63" s="142"/>
      <c r="AH63" s="142"/>
      <c r="AI63" s="142"/>
      <c r="AJ63" s="142"/>
    </row>
    <row r="64" ht="22.5" hidden="1" customHeight="1">
      <c r="A64" s="4"/>
      <c r="B64" s="4"/>
      <c r="C64" s="131"/>
      <c r="D64" s="119"/>
      <c r="E64" s="119"/>
      <c r="F64" s="119"/>
      <c r="G64" s="119"/>
      <c r="H64" s="119"/>
      <c r="I64" s="119"/>
      <c r="J64" s="121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25">
        <f t="shared" si="1"/>
        <v>0</v>
      </c>
      <c r="X64" s="119"/>
      <c r="Y64" s="119"/>
      <c r="Z64" s="127">
        <f t="shared" si="2"/>
        <v>0</v>
      </c>
      <c r="AA64" s="141"/>
      <c r="AB64" s="142"/>
      <c r="AC64" s="133">
        <f t="shared" si="4"/>
        <v>0</v>
      </c>
      <c r="AD64" s="142"/>
      <c r="AE64" s="142"/>
      <c r="AF64" s="142"/>
      <c r="AG64" s="142"/>
      <c r="AH64" s="142"/>
      <c r="AI64" s="142"/>
      <c r="AJ64" s="142"/>
    </row>
    <row r="65" ht="22.5" hidden="1" customHeight="1">
      <c r="A65" s="4"/>
      <c r="B65" s="4"/>
      <c r="C65" s="131"/>
      <c r="D65" s="119"/>
      <c r="E65" s="119"/>
      <c r="F65" s="119"/>
      <c r="G65" s="119"/>
      <c r="H65" s="119"/>
      <c r="I65" s="119"/>
      <c r="J65" s="121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25">
        <f t="shared" si="1"/>
        <v>0</v>
      </c>
      <c r="X65" s="119"/>
      <c r="Y65" s="119"/>
      <c r="Z65" s="127">
        <f t="shared" si="2"/>
        <v>0</v>
      </c>
      <c r="AA65" s="141"/>
      <c r="AB65" s="142"/>
      <c r="AC65" s="133">
        <f t="shared" si="4"/>
        <v>0</v>
      </c>
      <c r="AD65" s="142"/>
      <c r="AE65" s="142"/>
      <c r="AF65" s="142"/>
      <c r="AG65" s="142"/>
      <c r="AH65" s="142"/>
      <c r="AI65" s="142"/>
      <c r="AJ65" s="142"/>
    </row>
    <row r="66" ht="22.5" hidden="1" customHeight="1">
      <c r="A66" s="4"/>
      <c r="B66" s="4"/>
      <c r="C66" s="131"/>
      <c r="D66" s="119"/>
      <c r="E66" s="119"/>
      <c r="F66" s="119"/>
      <c r="G66" s="119"/>
      <c r="H66" s="119"/>
      <c r="I66" s="119"/>
      <c r="J66" s="121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25">
        <f t="shared" si="1"/>
        <v>0</v>
      </c>
      <c r="X66" s="119"/>
      <c r="Y66" s="119"/>
      <c r="Z66" s="127">
        <f t="shared" si="2"/>
        <v>0</v>
      </c>
      <c r="AA66" s="141"/>
      <c r="AB66" s="142"/>
      <c r="AC66" s="133">
        <f t="shared" si="4"/>
        <v>0</v>
      </c>
      <c r="AD66" s="142"/>
      <c r="AE66" s="142"/>
      <c r="AF66" s="142"/>
      <c r="AG66" s="142"/>
      <c r="AH66" s="142"/>
      <c r="AI66" s="142"/>
      <c r="AJ66" s="142"/>
    </row>
    <row r="67" ht="22.5" hidden="1" customHeight="1">
      <c r="A67" s="4"/>
      <c r="B67" s="4"/>
      <c r="C67" s="131"/>
      <c r="D67" s="119"/>
      <c r="E67" s="119"/>
      <c r="F67" s="119"/>
      <c r="G67" s="119"/>
      <c r="H67" s="119"/>
      <c r="I67" s="119"/>
      <c r="J67" s="121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25">
        <f t="shared" si="1"/>
        <v>0</v>
      </c>
      <c r="X67" s="119"/>
      <c r="Y67" s="119"/>
      <c r="Z67" s="127">
        <f t="shared" si="2"/>
        <v>0</v>
      </c>
      <c r="AA67" s="141"/>
      <c r="AB67" s="142"/>
      <c r="AC67" s="133">
        <f t="shared" si="4"/>
        <v>0</v>
      </c>
      <c r="AD67" s="142"/>
      <c r="AE67" s="142"/>
      <c r="AF67" s="142"/>
      <c r="AG67" s="142"/>
      <c r="AH67" s="142"/>
      <c r="AI67" s="142"/>
      <c r="AJ67" s="142"/>
    </row>
    <row r="68" ht="22.5" hidden="1" customHeight="1">
      <c r="A68" s="4"/>
      <c r="B68" s="4"/>
      <c r="C68" s="131"/>
      <c r="D68" s="119"/>
      <c r="E68" s="119"/>
      <c r="F68" s="119"/>
      <c r="G68" s="119"/>
      <c r="H68" s="119"/>
      <c r="I68" s="119"/>
      <c r="J68" s="121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25">
        <f t="shared" si="1"/>
        <v>0</v>
      </c>
      <c r="X68" s="119"/>
      <c r="Y68" s="119"/>
      <c r="Z68" s="127">
        <f t="shared" si="2"/>
        <v>0</v>
      </c>
      <c r="AA68" s="141"/>
      <c r="AB68" s="142"/>
      <c r="AC68" s="133">
        <f t="shared" si="4"/>
        <v>0</v>
      </c>
      <c r="AD68" s="142"/>
      <c r="AE68" s="142"/>
      <c r="AF68" s="142"/>
      <c r="AG68" s="142"/>
      <c r="AH68" s="142"/>
      <c r="AI68" s="142"/>
      <c r="AJ68" s="142"/>
    </row>
    <row r="69" ht="22.5" hidden="1" customHeight="1">
      <c r="A69" s="4"/>
      <c r="B69" s="4"/>
      <c r="C69" s="131"/>
      <c r="D69" s="119"/>
      <c r="E69" s="119"/>
      <c r="F69" s="119"/>
      <c r="G69" s="119"/>
      <c r="H69" s="119"/>
      <c r="I69" s="119"/>
      <c r="J69" s="121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25">
        <f t="shared" si="1"/>
        <v>0</v>
      </c>
      <c r="X69" s="119"/>
      <c r="Y69" s="119"/>
      <c r="Z69" s="127">
        <f t="shared" si="2"/>
        <v>0</v>
      </c>
      <c r="AA69" s="141"/>
      <c r="AB69" s="142"/>
      <c r="AC69" s="133">
        <f t="shared" si="4"/>
        <v>0</v>
      </c>
      <c r="AD69" s="142"/>
      <c r="AE69" s="142"/>
      <c r="AF69" s="142"/>
      <c r="AG69" s="142"/>
      <c r="AH69" s="142"/>
      <c r="AI69" s="142"/>
      <c r="AJ69" s="142"/>
    </row>
    <row r="70" ht="22.5" hidden="1" customHeight="1">
      <c r="A70" s="4"/>
      <c r="B70" s="4"/>
      <c r="C70" s="131"/>
      <c r="D70" s="119"/>
      <c r="E70" s="119"/>
      <c r="F70" s="119"/>
      <c r="G70" s="119"/>
      <c r="H70" s="119"/>
      <c r="I70" s="119"/>
      <c r="J70" s="121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25">
        <f t="shared" si="1"/>
        <v>0</v>
      </c>
      <c r="X70" s="119"/>
      <c r="Y70" s="119"/>
      <c r="Z70" s="127">
        <f t="shared" si="2"/>
        <v>0</v>
      </c>
      <c r="AA70" s="141"/>
      <c r="AB70" s="142"/>
      <c r="AC70" s="133">
        <f t="shared" si="4"/>
        <v>0</v>
      </c>
      <c r="AD70" s="142"/>
      <c r="AE70" s="142"/>
      <c r="AF70" s="142"/>
      <c r="AG70" s="142"/>
      <c r="AH70" s="142"/>
      <c r="AI70" s="142"/>
      <c r="AJ70" s="142"/>
    </row>
    <row r="71" ht="22.5" hidden="1" customHeight="1">
      <c r="A71" s="4"/>
      <c r="B71" s="4"/>
      <c r="C71" s="131"/>
      <c r="D71" s="119"/>
      <c r="E71" s="119"/>
      <c r="F71" s="119"/>
      <c r="G71" s="119"/>
      <c r="H71" s="119"/>
      <c r="I71" s="119"/>
      <c r="J71" s="121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25">
        <f t="shared" si="1"/>
        <v>0</v>
      </c>
      <c r="X71" s="119"/>
      <c r="Y71" s="119"/>
      <c r="Z71" s="127">
        <f t="shared" si="2"/>
        <v>0</v>
      </c>
      <c r="AA71" s="141"/>
      <c r="AB71" s="142"/>
      <c r="AC71" s="133">
        <f t="shared" si="4"/>
        <v>0</v>
      </c>
      <c r="AD71" s="142"/>
      <c r="AE71" s="142"/>
      <c r="AF71" s="142"/>
      <c r="AG71" s="142"/>
      <c r="AH71" s="142"/>
      <c r="AI71" s="142"/>
      <c r="AJ71" s="142"/>
    </row>
    <row r="72" ht="22.5" hidden="1" customHeight="1">
      <c r="A72" s="4"/>
      <c r="B72" s="4"/>
      <c r="C72" s="131"/>
      <c r="D72" s="119"/>
      <c r="E72" s="119"/>
      <c r="F72" s="119"/>
      <c r="G72" s="119"/>
      <c r="H72" s="119"/>
      <c r="I72" s="119"/>
      <c r="J72" s="121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25">
        <f t="shared" si="1"/>
        <v>0</v>
      </c>
      <c r="X72" s="119"/>
      <c r="Y72" s="119"/>
      <c r="Z72" s="127">
        <f t="shared" si="2"/>
        <v>0</v>
      </c>
      <c r="AA72" s="141"/>
      <c r="AB72" s="142"/>
      <c r="AC72" s="133">
        <f t="shared" si="4"/>
        <v>0</v>
      </c>
      <c r="AD72" s="142"/>
      <c r="AE72" s="142"/>
      <c r="AF72" s="142"/>
      <c r="AG72" s="142"/>
      <c r="AH72" s="142"/>
      <c r="AI72" s="142"/>
      <c r="AJ72" s="142"/>
    </row>
    <row r="73" ht="22.5" hidden="1" customHeight="1">
      <c r="A73" s="4"/>
      <c r="B73" s="4"/>
      <c r="C73" s="131"/>
      <c r="D73" s="119"/>
      <c r="E73" s="119"/>
      <c r="F73" s="119"/>
      <c r="G73" s="119"/>
      <c r="H73" s="119"/>
      <c r="I73" s="119"/>
      <c r="J73" s="121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25">
        <f t="shared" si="1"/>
        <v>0</v>
      </c>
      <c r="X73" s="119"/>
      <c r="Y73" s="119"/>
      <c r="Z73" s="127">
        <f t="shared" si="2"/>
        <v>0</v>
      </c>
      <c r="AA73" s="141"/>
      <c r="AB73" s="142"/>
      <c r="AC73" s="133">
        <f t="shared" si="4"/>
        <v>0</v>
      </c>
      <c r="AD73" s="142"/>
      <c r="AE73" s="142"/>
      <c r="AF73" s="142"/>
      <c r="AG73" s="142"/>
      <c r="AH73" s="142"/>
      <c r="AI73" s="142"/>
      <c r="AJ73" s="142"/>
    </row>
    <row r="74" ht="22.5" hidden="1" customHeight="1">
      <c r="A74" s="4"/>
      <c r="B74" s="4"/>
      <c r="C74" s="131"/>
      <c r="D74" s="119"/>
      <c r="E74" s="119"/>
      <c r="F74" s="119"/>
      <c r="G74" s="119"/>
      <c r="H74" s="119"/>
      <c r="I74" s="119"/>
      <c r="J74" s="121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25">
        <f t="shared" si="1"/>
        <v>0</v>
      </c>
      <c r="X74" s="119"/>
      <c r="Y74" s="119"/>
      <c r="Z74" s="127">
        <f t="shared" si="2"/>
        <v>0</v>
      </c>
      <c r="AA74" s="141"/>
      <c r="AB74" s="142"/>
      <c r="AC74" s="133">
        <f t="shared" si="4"/>
        <v>0</v>
      </c>
      <c r="AD74" s="142"/>
      <c r="AE74" s="142"/>
      <c r="AF74" s="142"/>
      <c r="AG74" s="142"/>
      <c r="AH74" s="142"/>
      <c r="AI74" s="142"/>
      <c r="AJ74" s="142"/>
    </row>
    <row r="75" ht="22.5" hidden="1" customHeight="1">
      <c r="A75" s="4"/>
      <c r="B75" s="4"/>
      <c r="C75" s="131"/>
      <c r="D75" s="119"/>
      <c r="E75" s="119"/>
      <c r="F75" s="119"/>
      <c r="G75" s="119"/>
      <c r="H75" s="119"/>
      <c r="I75" s="119"/>
      <c r="J75" s="121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25">
        <f t="shared" si="1"/>
        <v>0</v>
      </c>
      <c r="X75" s="119"/>
      <c r="Y75" s="119"/>
      <c r="Z75" s="127">
        <f t="shared" si="2"/>
        <v>0</v>
      </c>
      <c r="AA75" s="141"/>
      <c r="AB75" s="142"/>
      <c r="AC75" s="133">
        <f t="shared" si="4"/>
        <v>0</v>
      </c>
      <c r="AD75" s="142"/>
      <c r="AE75" s="142"/>
      <c r="AF75" s="142"/>
      <c r="AG75" s="142"/>
      <c r="AH75" s="142"/>
      <c r="AI75" s="142"/>
      <c r="AJ75" s="142"/>
    </row>
    <row r="76" ht="22.5" hidden="1" customHeight="1">
      <c r="A76" s="4"/>
      <c r="B76" s="4"/>
      <c r="C76" s="131"/>
      <c r="D76" s="119"/>
      <c r="E76" s="119"/>
      <c r="F76" s="119"/>
      <c r="G76" s="119"/>
      <c r="H76" s="119"/>
      <c r="I76" s="119"/>
      <c r="J76" s="121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25">
        <f t="shared" si="1"/>
        <v>0</v>
      </c>
      <c r="X76" s="119"/>
      <c r="Y76" s="119"/>
      <c r="Z76" s="127">
        <f t="shared" si="2"/>
        <v>0</v>
      </c>
      <c r="AA76" s="141"/>
      <c r="AB76" s="142"/>
      <c r="AC76" s="133">
        <f t="shared" si="4"/>
        <v>0</v>
      </c>
      <c r="AD76" s="142"/>
      <c r="AE76" s="142"/>
      <c r="AF76" s="142"/>
      <c r="AG76" s="142"/>
      <c r="AH76" s="142"/>
      <c r="AI76" s="142"/>
      <c r="AJ76" s="142"/>
    </row>
    <row r="77" ht="22.5" hidden="1" customHeight="1">
      <c r="A77" s="4"/>
      <c r="B77" s="4"/>
      <c r="C77" s="131"/>
      <c r="D77" s="119"/>
      <c r="E77" s="119"/>
      <c r="F77" s="119"/>
      <c r="G77" s="119"/>
      <c r="H77" s="119"/>
      <c r="I77" s="119"/>
      <c r="J77" s="121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25">
        <f t="shared" si="1"/>
        <v>0</v>
      </c>
      <c r="X77" s="119"/>
      <c r="Y77" s="119"/>
      <c r="Z77" s="127">
        <f t="shared" si="2"/>
        <v>0</v>
      </c>
      <c r="AA77" s="141"/>
      <c r="AB77" s="142"/>
      <c r="AC77" s="133">
        <f t="shared" si="4"/>
        <v>0</v>
      </c>
      <c r="AD77" s="142"/>
      <c r="AE77" s="142"/>
      <c r="AF77" s="142"/>
      <c r="AG77" s="142"/>
      <c r="AH77" s="142"/>
      <c r="AI77" s="142"/>
      <c r="AJ77" s="142"/>
    </row>
    <row r="78" ht="22.5" hidden="1" customHeight="1">
      <c r="A78" s="4"/>
      <c r="B78" s="4"/>
      <c r="C78" s="131"/>
      <c r="D78" s="119"/>
      <c r="E78" s="119"/>
      <c r="F78" s="119"/>
      <c r="G78" s="119"/>
      <c r="H78" s="119"/>
      <c r="I78" s="119"/>
      <c r="J78" s="121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25">
        <f t="shared" si="1"/>
        <v>0</v>
      </c>
      <c r="X78" s="119"/>
      <c r="Y78" s="119"/>
      <c r="Z78" s="127">
        <f t="shared" si="2"/>
        <v>0</v>
      </c>
      <c r="AA78" s="141"/>
      <c r="AB78" s="142"/>
      <c r="AC78" s="133">
        <f t="shared" si="4"/>
        <v>0</v>
      </c>
      <c r="AD78" s="142"/>
      <c r="AE78" s="142"/>
      <c r="AF78" s="142"/>
      <c r="AG78" s="142"/>
      <c r="AH78" s="142"/>
      <c r="AI78" s="142"/>
      <c r="AJ78" s="142"/>
    </row>
    <row r="79" ht="22.5" hidden="1" customHeight="1">
      <c r="A79" s="4"/>
      <c r="B79" s="4"/>
      <c r="C79" s="131"/>
      <c r="D79" s="119"/>
      <c r="E79" s="119"/>
      <c r="F79" s="119"/>
      <c r="G79" s="119"/>
      <c r="H79" s="119"/>
      <c r="I79" s="119"/>
      <c r="J79" s="121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25">
        <f t="shared" si="1"/>
        <v>0</v>
      </c>
      <c r="X79" s="119"/>
      <c r="Y79" s="119"/>
      <c r="Z79" s="127">
        <f t="shared" si="2"/>
        <v>0</v>
      </c>
      <c r="AA79" s="141"/>
      <c r="AB79" s="142"/>
      <c r="AC79" s="133">
        <f t="shared" si="4"/>
        <v>0</v>
      </c>
      <c r="AD79" s="142"/>
      <c r="AE79" s="142"/>
      <c r="AF79" s="142"/>
      <c r="AG79" s="142"/>
      <c r="AH79" s="142"/>
      <c r="AI79" s="142"/>
      <c r="AJ79" s="142"/>
    </row>
    <row r="80" ht="22.5" hidden="1" customHeight="1">
      <c r="A80" s="4"/>
      <c r="B80" s="4"/>
      <c r="C80" s="131"/>
      <c r="D80" s="119"/>
      <c r="E80" s="119"/>
      <c r="F80" s="119"/>
      <c r="G80" s="119"/>
      <c r="H80" s="119"/>
      <c r="I80" s="119"/>
      <c r="J80" s="121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25">
        <f t="shared" si="1"/>
        <v>0</v>
      </c>
      <c r="X80" s="119"/>
      <c r="Y80" s="119"/>
      <c r="Z80" s="127">
        <f t="shared" si="2"/>
        <v>0</v>
      </c>
      <c r="AA80" s="141"/>
      <c r="AB80" s="142"/>
      <c r="AC80" s="133">
        <f t="shared" si="4"/>
        <v>0</v>
      </c>
      <c r="AD80" s="142"/>
      <c r="AE80" s="142"/>
      <c r="AF80" s="142"/>
      <c r="AG80" s="142"/>
      <c r="AH80" s="142"/>
      <c r="AI80" s="142"/>
      <c r="AJ80" s="142"/>
    </row>
    <row r="81" ht="22.5" hidden="1" customHeight="1">
      <c r="A81" s="4"/>
      <c r="B81" s="4"/>
      <c r="C81" s="131"/>
      <c r="D81" s="119"/>
      <c r="E81" s="119"/>
      <c r="F81" s="119"/>
      <c r="G81" s="119"/>
      <c r="H81" s="119"/>
      <c r="I81" s="119"/>
      <c r="J81" s="121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25">
        <f t="shared" si="1"/>
        <v>0</v>
      </c>
      <c r="X81" s="119"/>
      <c r="Y81" s="119"/>
      <c r="Z81" s="127">
        <f t="shared" si="2"/>
        <v>0</v>
      </c>
      <c r="AA81" s="141"/>
      <c r="AB81" s="142"/>
      <c r="AC81" s="133">
        <f t="shared" si="4"/>
        <v>0</v>
      </c>
      <c r="AD81" s="142"/>
      <c r="AE81" s="142"/>
      <c r="AF81" s="142"/>
      <c r="AG81" s="142"/>
      <c r="AH81" s="142"/>
      <c r="AI81" s="142"/>
      <c r="AJ81" s="142"/>
    </row>
    <row r="82" ht="22.5" hidden="1" customHeight="1">
      <c r="A82" s="4"/>
      <c r="B82" s="4"/>
      <c r="C82" s="131"/>
      <c r="D82" s="119"/>
      <c r="E82" s="119"/>
      <c r="F82" s="119"/>
      <c r="G82" s="119"/>
      <c r="H82" s="119"/>
      <c r="I82" s="119"/>
      <c r="J82" s="121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25">
        <f t="shared" si="1"/>
        <v>0</v>
      </c>
      <c r="X82" s="119"/>
      <c r="Y82" s="119"/>
      <c r="Z82" s="127">
        <f t="shared" si="2"/>
        <v>0</v>
      </c>
      <c r="AA82" s="141"/>
      <c r="AB82" s="142"/>
      <c r="AC82" s="133">
        <f t="shared" si="4"/>
        <v>0</v>
      </c>
      <c r="AD82" s="142"/>
      <c r="AE82" s="142"/>
      <c r="AF82" s="142"/>
      <c r="AG82" s="142"/>
      <c r="AH82" s="142"/>
      <c r="AI82" s="142"/>
      <c r="AJ82" s="142"/>
    </row>
    <row r="83" ht="22.5" hidden="1" customHeight="1">
      <c r="A83" s="4"/>
      <c r="B83" s="4"/>
      <c r="C83" s="131"/>
      <c r="D83" s="119"/>
      <c r="E83" s="119"/>
      <c r="F83" s="119"/>
      <c r="G83" s="119"/>
      <c r="H83" s="119"/>
      <c r="I83" s="119"/>
      <c r="J83" s="121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25">
        <f t="shared" si="1"/>
        <v>0</v>
      </c>
      <c r="X83" s="119"/>
      <c r="Y83" s="119"/>
      <c r="Z83" s="127">
        <f t="shared" si="2"/>
        <v>0</v>
      </c>
      <c r="AA83" s="141"/>
      <c r="AB83" s="142"/>
      <c r="AC83" s="133">
        <f t="shared" si="4"/>
        <v>0</v>
      </c>
      <c r="AD83" s="142"/>
      <c r="AE83" s="142"/>
      <c r="AF83" s="142"/>
      <c r="AG83" s="142"/>
      <c r="AH83" s="142"/>
      <c r="AI83" s="142"/>
      <c r="AJ83" s="142"/>
    </row>
    <row r="84" ht="22.5" hidden="1" customHeight="1">
      <c r="A84" s="4"/>
      <c r="B84" s="4"/>
      <c r="C84" s="131"/>
      <c r="D84" s="119"/>
      <c r="E84" s="119"/>
      <c r="F84" s="119"/>
      <c r="G84" s="119"/>
      <c r="H84" s="119"/>
      <c r="I84" s="119"/>
      <c r="J84" s="121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25">
        <f t="shared" si="1"/>
        <v>0</v>
      </c>
      <c r="X84" s="119"/>
      <c r="Y84" s="119"/>
      <c r="Z84" s="127">
        <f t="shared" si="2"/>
        <v>0</v>
      </c>
      <c r="AA84" s="141"/>
      <c r="AB84" s="142"/>
      <c r="AC84" s="133">
        <f t="shared" si="4"/>
        <v>0</v>
      </c>
      <c r="AD84" s="142"/>
      <c r="AE84" s="142"/>
      <c r="AF84" s="142"/>
      <c r="AG84" s="142"/>
      <c r="AH84" s="142"/>
      <c r="AI84" s="142"/>
      <c r="AJ84" s="142"/>
    </row>
    <row r="85" ht="22.5" hidden="1" customHeight="1">
      <c r="A85" s="4"/>
      <c r="B85" s="4"/>
      <c r="C85" s="131"/>
      <c r="D85" s="119"/>
      <c r="E85" s="119"/>
      <c r="F85" s="119"/>
      <c r="G85" s="119"/>
      <c r="H85" s="119"/>
      <c r="I85" s="119"/>
      <c r="J85" s="121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25">
        <f t="shared" si="1"/>
        <v>0</v>
      </c>
      <c r="X85" s="119"/>
      <c r="Y85" s="119"/>
      <c r="Z85" s="127">
        <f t="shared" si="2"/>
        <v>0</v>
      </c>
      <c r="AA85" s="141"/>
      <c r="AB85" s="142"/>
      <c r="AC85" s="133">
        <f t="shared" si="4"/>
        <v>0</v>
      </c>
      <c r="AD85" s="142"/>
      <c r="AE85" s="142"/>
      <c r="AF85" s="142"/>
      <c r="AG85" s="142"/>
      <c r="AH85" s="142"/>
      <c r="AI85" s="142"/>
      <c r="AJ85" s="142"/>
    </row>
    <row r="86" ht="22.5" hidden="1" customHeight="1">
      <c r="A86" s="4"/>
      <c r="B86" s="4"/>
      <c r="C86" s="131"/>
      <c r="D86" s="119"/>
      <c r="E86" s="119"/>
      <c r="F86" s="119"/>
      <c r="G86" s="119"/>
      <c r="H86" s="119"/>
      <c r="I86" s="119"/>
      <c r="J86" s="121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25">
        <f t="shared" si="1"/>
        <v>0</v>
      </c>
      <c r="X86" s="119"/>
      <c r="Y86" s="119"/>
      <c r="Z86" s="127">
        <f t="shared" si="2"/>
        <v>0</v>
      </c>
      <c r="AA86" s="141"/>
      <c r="AB86" s="142"/>
      <c r="AC86" s="133">
        <f t="shared" si="4"/>
        <v>0</v>
      </c>
      <c r="AD86" s="142"/>
      <c r="AE86" s="142"/>
      <c r="AF86" s="142"/>
      <c r="AG86" s="142"/>
      <c r="AH86" s="142"/>
      <c r="AI86" s="142"/>
      <c r="AJ86" s="142"/>
    </row>
    <row r="87" ht="22.5" hidden="1" customHeight="1">
      <c r="A87" s="4"/>
      <c r="B87" s="4"/>
      <c r="C87" s="131"/>
      <c r="D87" s="119"/>
      <c r="E87" s="119"/>
      <c r="F87" s="119"/>
      <c r="G87" s="119"/>
      <c r="H87" s="119"/>
      <c r="I87" s="119"/>
      <c r="J87" s="121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25">
        <f t="shared" si="1"/>
        <v>0</v>
      </c>
      <c r="X87" s="119"/>
      <c r="Y87" s="119"/>
      <c r="Z87" s="127">
        <f t="shared" si="2"/>
        <v>0</v>
      </c>
      <c r="AA87" s="141"/>
      <c r="AB87" s="142"/>
      <c r="AC87" s="133">
        <f t="shared" si="4"/>
        <v>0</v>
      </c>
      <c r="AD87" s="142"/>
      <c r="AE87" s="142"/>
      <c r="AF87" s="142"/>
      <c r="AG87" s="142"/>
      <c r="AH87" s="142"/>
      <c r="AI87" s="142"/>
      <c r="AJ87" s="142"/>
    </row>
    <row r="88" ht="22.5" hidden="1" customHeight="1">
      <c r="A88" s="4"/>
      <c r="B88" s="4"/>
      <c r="C88" s="131"/>
      <c r="D88" s="119"/>
      <c r="E88" s="119"/>
      <c r="F88" s="119"/>
      <c r="G88" s="119"/>
      <c r="H88" s="119"/>
      <c r="I88" s="119"/>
      <c r="J88" s="121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25">
        <f t="shared" si="1"/>
        <v>0</v>
      </c>
      <c r="X88" s="119"/>
      <c r="Y88" s="119"/>
      <c r="Z88" s="127">
        <f t="shared" si="2"/>
        <v>0</v>
      </c>
      <c r="AA88" s="141"/>
      <c r="AB88" s="142"/>
      <c r="AC88" s="133">
        <f t="shared" si="4"/>
        <v>0</v>
      </c>
      <c r="AD88" s="142"/>
      <c r="AE88" s="142"/>
      <c r="AF88" s="142"/>
      <c r="AG88" s="142"/>
      <c r="AH88" s="142"/>
      <c r="AI88" s="142"/>
      <c r="AJ88" s="142"/>
    </row>
    <row r="89" ht="22.5" hidden="1" customHeight="1">
      <c r="A89" s="4"/>
      <c r="B89" s="4"/>
      <c r="C89" s="131"/>
      <c r="D89" s="119"/>
      <c r="E89" s="119"/>
      <c r="F89" s="119"/>
      <c r="G89" s="119"/>
      <c r="H89" s="119"/>
      <c r="I89" s="119"/>
      <c r="J89" s="121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25">
        <f t="shared" si="1"/>
        <v>0</v>
      </c>
      <c r="X89" s="119"/>
      <c r="Y89" s="119"/>
      <c r="Z89" s="127">
        <f t="shared" si="2"/>
        <v>0</v>
      </c>
      <c r="AA89" s="141"/>
      <c r="AB89" s="142"/>
      <c r="AC89" s="133">
        <f t="shared" si="4"/>
        <v>0</v>
      </c>
      <c r="AD89" s="142"/>
      <c r="AE89" s="142"/>
      <c r="AF89" s="142"/>
      <c r="AG89" s="142"/>
      <c r="AH89" s="142"/>
      <c r="AI89" s="142"/>
      <c r="AJ89" s="142"/>
    </row>
    <row r="90" ht="22.5" hidden="1" customHeight="1">
      <c r="A90" s="4"/>
      <c r="B90" s="4"/>
      <c r="C90" s="131"/>
      <c r="D90" s="119"/>
      <c r="E90" s="119"/>
      <c r="F90" s="119"/>
      <c r="G90" s="119"/>
      <c r="H90" s="119"/>
      <c r="I90" s="119"/>
      <c r="J90" s="121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25">
        <f t="shared" si="1"/>
        <v>0</v>
      </c>
      <c r="X90" s="119"/>
      <c r="Y90" s="119"/>
      <c r="Z90" s="127">
        <f t="shared" si="2"/>
        <v>0</v>
      </c>
      <c r="AA90" s="141"/>
      <c r="AB90" s="142"/>
      <c r="AC90" s="133">
        <f t="shared" si="4"/>
        <v>0</v>
      </c>
      <c r="AD90" s="142"/>
      <c r="AE90" s="142"/>
      <c r="AF90" s="142"/>
      <c r="AG90" s="142"/>
      <c r="AH90" s="142"/>
      <c r="AI90" s="142"/>
      <c r="AJ90" s="142"/>
    </row>
    <row r="91" ht="22.5" hidden="1" customHeight="1">
      <c r="A91" s="4"/>
      <c r="B91" s="4"/>
      <c r="C91" s="131"/>
      <c r="D91" s="119"/>
      <c r="E91" s="119"/>
      <c r="F91" s="119"/>
      <c r="G91" s="119"/>
      <c r="H91" s="119"/>
      <c r="I91" s="119"/>
      <c r="J91" s="121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25">
        <f t="shared" si="1"/>
        <v>0</v>
      </c>
      <c r="X91" s="119"/>
      <c r="Y91" s="119"/>
      <c r="Z91" s="127">
        <f t="shared" si="2"/>
        <v>0</v>
      </c>
      <c r="AA91" s="141"/>
      <c r="AB91" s="142"/>
      <c r="AC91" s="133">
        <f t="shared" si="4"/>
        <v>0</v>
      </c>
      <c r="AD91" s="142"/>
      <c r="AE91" s="142"/>
      <c r="AF91" s="142"/>
      <c r="AG91" s="142"/>
      <c r="AH91" s="142"/>
      <c r="AI91" s="142"/>
      <c r="AJ91" s="142"/>
    </row>
    <row r="92" ht="22.5" hidden="1" customHeight="1">
      <c r="A92" s="4"/>
      <c r="B92" s="4"/>
      <c r="C92" s="131"/>
      <c r="D92" s="119"/>
      <c r="E92" s="119"/>
      <c r="F92" s="119"/>
      <c r="G92" s="119"/>
      <c r="H92" s="119"/>
      <c r="I92" s="119"/>
      <c r="J92" s="121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25">
        <f t="shared" si="1"/>
        <v>0</v>
      </c>
      <c r="X92" s="119"/>
      <c r="Y92" s="119"/>
      <c r="Z92" s="127">
        <f t="shared" si="2"/>
        <v>0</v>
      </c>
      <c r="AA92" s="141"/>
      <c r="AB92" s="142"/>
      <c r="AC92" s="133">
        <f t="shared" si="4"/>
        <v>0</v>
      </c>
      <c r="AD92" s="142"/>
      <c r="AE92" s="142"/>
      <c r="AF92" s="142"/>
      <c r="AG92" s="142"/>
      <c r="AH92" s="142"/>
      <c r="AI92" s="142"/>
      <c r="AJ92" s="142"/>
    </row>
    <row r="93" ht="22.5" hidden="1" customHeight="1">
      <c r="A93" s="4"/>
      <c r="B93" s="4"/>
      <c r="C93" s="131"/>
      <c r="D93" s="119"/>
      <c r="E93" s="119"/>
      <c r="F93" s="119"/>
      <c r="G93" s="119"/>
      <c r="H93" s="119"/>
      <c r="I93" s="119"/>
      <c r="J93" s="121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25">
        <f t="shared" si="1"/>
        <v>0</v>
      </c>
      <c r="X93" s="119"/>
      <c r="Y93" s="119"/>
      <c r="Z93" s="127">
        <f t="shared" si="2"/>
        <v>0</v>
      </c>
      <c r="AA93" s="141"/>
      <c r="AB93" s="142"/>
      <c r="AC93" s="133">
        <f t="shared" si="4"/>
        <v>0</v>
      </c>
      <c r="AD93" s="142"/>
      <c r="AE93" s="142"/>
      <c r="AF93" s="142"/>
      <c r="AG93" s="142"/>
      <c r="AH93" s="142"/>
      <c r="AI93" s="142"/>
      <c r="AJ93" s="142"/>
    </row>
    <row r="94" ht="22.5" hidden="1" customHeight="1">
      <c r="A94" s="4"/>
      <c r="B94" s="4"/>
      <c r="C94" s="131"/>
      <c r="D94" s="119"/>
      <c r="E94" s="119"/>
      <c r="F94" s="119"/>
      <c r="G94" s="119"/>
      <c r="H94" s="119"/>
      <c r="I94" s="119"/>
      <c r="J94" s="121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25">
        <f t="shared" si="1"/>
        <v>0</v>
      </c>
      <c r="X94" s="119"/>
      <c r="Y94" s="119"/>
      <c r="Z94" s="127">
        <f t="shared" si="2"/>
        <v>0</v>
      </c>
      <c r="AA94" s="141"/>
      <c r="AB94" s="142"/>
      <c r="AC94" s="133">
        <f t="shared" si="4"/>
        <v>0</v>
      </c>
      <c r="AD94" s="142"/>
      <c r="AE94" s="142"/>
      <c r="AF94" s="142"/>
      <c r="AG94" s="142"/>
      <c r="AH94" s="142"/>
      <c r="AI94" s="142"/>
      <c r="AJ94" s="142"/>
    </row>
    <row r="95" ht="22.5" hidden="1" customHeight="1">
      <c r="A95" s="4"/>
      <c r="B95" s="4"/>
      <c r="C95" s="131"/>
      <c r="D95" s="119"/>
      <c r="E95" s="119"/>
      <c r="F95" s="119"/>
      <c r="G95" s="119"/>
      <c r="H95" s="119"/>
      <c r="I95" s="119"/>
      <c r="J95" s="121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25">
        <f t="shared" si="1"/>
        <v>0</v>
      </c>
      <c r="X95" s="119"/>
      <c r="Y95" s="119"/>
      <c r="Z95" s="127">
        <f t="shared" si="2"/>
        <v>0</v>
      </c>
      <c r="AA95" s="141"/>
      <c r="AB95" s="142"/>
      <c r="AC95" s="133">
        <f t="shared" si="4"/>
        <v>0</v>
      </c>
      <c r="AD95" s="142"/>
      <c r="AE95" s="142"/>
      <c r="AF95" s="142"/>
      <c r="AG95" s="142"/>
      <c r="AH95" s="142"/>
      <c r="AI95" s="142"/>
      <c r="AJ95" s="142"/>
    </row>
    <row r="96" ht="22.5" hidden="1" customHeight="1">
      <c r="A96" s="4"/>
      <c r="B96" s="4"/>
      <c r="C96" s="131"/>
      <c r="D96" s="119"/>
      <c r="E96" s="119"/>
      <c r="F96" s="119"/>
      <c r="G96" s="119"/>
      <c r="H96" s="119"/>
      <c r="I96" s="119"/>
      <c r="J96" s="121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25">
        <f t="shared" si="1"/>
        <v>0</v>
      </c>
      <c r="X96" s="119"/>
      <c r="Y96" s="119"/>
      <c r="Z96" s="127">
        <f t="shared" si="2"/>
        <v>0</v>
      </c>
      <c r="AA96" s="141"/>
      <c r="AB96" s="142"/>
      <c r="AC96" s="133">
        <f t="shared" si="4"/>
        <v>0</v>
      </c>
      <c r="AD96" s="142"/>
      <c r="AE96" s="142"/>
      <c r="AF96" s="142"/>
      <c r="AG96" s="142"/>
      <c r="AH96" s="142"/>
      <c r="AI96" s="142"/>
      <c r="AJ96" s="142"/>
    </row>
    <row r="97" ht="22.5" hidden="1" customHeight="1">
      <c r="A97" s="4"/>
      <c r="B97" s="4"/>
      <c r="C97" s="131"/>
      <c r="D97" s="119"/>
      <c r="E97" s="119"/>
      <c r="F97" s="119"/>
      <c r="G97" s="119"/>
      <c r="H97" s="119"/>
      <c r="I97" s="119"/>
      <c r="J97" s="121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25">
        <f t="shared" si="1"/>
        <v>0</v>
      </c>
      <c r="X97" s="119"/>
      <c r="Y97" s="119"/>
      <c r="Z97" s="127">
        <f t="shared" si="2"/>
        <v>0</v>
      </c>
      <c r="AA97" s="141"/>
      <c r="AB97" s="142"/>
      <c r="AC97" s="133">
        <f t="shared" si="4"/>
        <v>0</v>
      </c>
      <c r="AD97" s="142"/>
      <c r="AE97" s="142"/>
      <c r="AF97" s="142"/>
      <c r="AG97" s="142"/>
      <c r="AH97" s="142"/>
      <c r="AI97" s="142"/>
      <c r="AJ97" s="142"/>
    </row>
    <row r="98" ht="22.5" hidden="1" customHeight="1">
      <c r="A98" s="4"/>
      <c r="B98" s="4"/>
      <c r="C98" s="131"/>
      <c r="D98" s="119"/>
      <c r="E98" s="119"/>
      <c r="F98" s="119"/>
      <c r="G98" s="119"/>
      <c r="H98" s="119"/>
      <c r="I98" s="119"/>
      <c r="J98" s="121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25">
        <f t="shared" si="1"/>
        <v>0</v>
      </c>
      <c r="X98" s="119"/>
      <c r="Y98" s="119"/>
      <c r="Z98" s="127">
        <f t="shared" si="2"/>
        <v>0</v>
      </c>
      <c r="AA98" s="141"/>
      <c r="AB98" s="142"/>
      <c r="AC98" s="133">
        <f t="shared" si="4"/>
        <v>0</v>
      </c>
      <c r="AD98" s="142"/>
      <c r="AE98" s="142"/>
      <c r="AF98" s="142"/>
      <c r="AG98" s="142"/>
      <c r="AH98" s="142"/>
      <c r="AI98" s="142"/>
      <c r="AJ98" s="142"/>
    </row>
    <row r="99" ht="22.5" hidden="1" customHeight="1">
      <c r="A99" s="4"/>
      <c r="B99" s="4"/>
      <c r="C99" s="131"/>
      <c r="D99" s="119"/>
      <c r="E99" s="119"/>
      <c r="F99" s="119"/>
      <c r="G99" s="119"/>
      <c r="H99" s="119"/>
      <c r="I99" s="119"/>
      <c r="J99" s="121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25">
        <f t="shared" si="1"/>
        <v>0</v>
      </c>
      <c r="X99" s="119"/>
      <c r="Y99" s="119"/>
      <c r="Z99" s="127">
        <f t="shared" si="2"/>
        <v>0</v>
      </c>
      <c r="AA99" s="141"/>
      <c r="AB99" s="142"/>
      <c r="AC99" s="133">
        <f t="shared" si="4"/>
        <v>0</v>
      </c>
      <c r="AD99" s="142"/>
      <c r="AE99" s="142"/>
      <c r="AF99" s="142"/>
      <c r="AG99" s="142"/>
      <c r="AH99" s="142"/>
      <c r="AI99" s="142"/>
      <c r="AJ99" s="142"/>
    </row>
    <row r="100" ht="22.5" hidden="1" customHeight="1">
      <c r="A100" s="4"/>
      <c r="B100" s="4"/>
      <c r="C100" s="131"/>
      <c r="D100" s="119"/>
      <c r="E100" s="119"/>
      <c r="F100" s="119"/>
      <c r="G100" s="119"/>
      <c r="H100" s="119"/>
      <c r="I100" s="119"/>
      <c r="J100" s="121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25">
        <f t="shared" si="1"/>
        <v>0</v>
      </c>
      <c r="X100" s="119"/>
      <c r="Y100" s="119"/>
      <c r="Z100" s="127">
        <f t="shared" si="2"/>
        <v>0</v>
      </c>
      <c r="AA100" s="141"/>
      <c r="AB100" s="142"/>
      <c r="AC100" s="133">
        <f t="shared" si="4"/>
        <v>0</v>
      </c>
      <c r="AD100" s="142"/>
      <c r="AE100" s="142"/>
      <c r="AF100" s="142"/>
      <c r="AG100" s="142"/>
      <c r="AH100" s="142"/>
      <c r="AI100" s="142"/>
      <c r="AJ100" s="142"/>
    </row>
    <row r="101" ht="22.5" hidden="1" customHeight="1">
      <c r="A101" s="4"/>
      <c r="B101" s="4"/>
      <c r="C101" s="131"/>
      <c r="D101" s="119"/>
      <c r="E101" s="119"/>
      <c r="F101" s="119"/>
      <c r="G101" s="119"/>
      <c r="H101" s="119"/>
      <c r="I101" s="119"/>
      <c r="J101" s="121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25">
        <f t="shared" si="1"/>
        <v>0</v>
      </c>
      <c r="X101" s="119"/>
      <c r="Y101" s="119"/>
      <c r="Z101" s="127">
        <f t="shared" si="2"/>
        <v>0</v>
      </c>
      <c r="AA101" s="141"/>
      <c r="AB101" s="142"/>
      <c r="AC101" s="133">
        <f t="shared" si="4"/>
        <v>0</v>
      </c>
      <c r="AD101" s="142"/>
      <c r="AE101" s="142"/>
      <c r="AF101" s="142"/>
      <c r="AG101" s="142"/>
      <c r="AH101" s="142"/>
      <c r="AI101" s="142"/>
      <c r="AJ101" s="142"/>
    </row>
    <row r="102" ht="22.5" hidden="1" customHeight="1">
      <c r="A102" s="4"/>
      <c r="B102" s="4"/>
      <c r="C102" s="131"/>
      <c r="D102" s="119"/>
      <c r="E102" s="119"/>
      <c r="F102" s="119"/>
      <c r="G102" s="119"/>
      <c r="H102" s="119"/>
      <c r="I102" s="119"/>
      <c r="J102" s="121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25">
        <f t="shared" si="1"/>
        <v>0</v>
      </c>
      <c r="X102" s="119"/>
      <c r="Y102" s="119"/>
      <c r="Z102" s="127">
        <f t="shared" si="2"/>
        <v>0</v>
      </c>
      <c r="AA102" s="141"/>
      <c r="AB102" s="142"/>
      <c r="AC102" s="133">
        <f t="shared" si="4"/>
        <v>0</v>
      </c>
      <c r="AD102" s="142"/>
      <c r="AE102" s="142"/>
      <c r="AF102" s="142"/>
      <c r="AG102" s="142"/>
      <c r="AH102" s="142"/>
      <c r="AI102" s="142"/>
      <c r="AJ102" s="142"/>
    </row>
    <row r="103" ht="22.5" hidden="1" customHeight="1">
      <c r="A103" s="4"/>
      <c r="B103" s="4"/>
      <c r="C103" s="131"/>
      <c r="D103" s="119"/>
      <c r="E103" s="119"/>
      <c r="F103" s="119"/>
      <c r="G103" s="119"/>
      <c r="H103" s="119"/>
      <c r="I103" s="119"/>
      <c r="J103" s="121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25">
        <f t="shared" si="1"/>
        <v>0</v>
      </c>
      <c r="X103" s="119"/>
      <c r="Y103" s="119"/>
      <c r="Z103" s="127">
        <f t="shared" si="2"/>
        <v>0</v>
      </c>
      <c r="AA103" s="141"/>
      <c r="AB103" s="142"/>
      <c r="AC103" s="133">
        <f t="shared" si="4"/>
        <v>0</v>
      </c>
      <c r="AD103" s="142"/>
      <c r="AE103" s="142"/>
      <c r="AF103" s="142"/>
      <c r="AG103" s="142"/>
      <c r="AH103" s="142"/>
      <c r="AI103" s="142"/>
      <c r="AJ103" s="142"/>
    </row>
    <row r="104" ht="22.5" hidden="1" customHeight="1">
      <c r="A104" s="4"/>
      <c r="B104" s="4"/>
      <c r="C104" s="131"/>
      <c r="D104" s="119"/>
      <c r="E104" s="119"/>
      <c r="F104" s="119"/>
      <c r="G104" s="119"/>
      <c r="H104" s="119"/>
      <c r="I104" s="119"/>
      <c r="J104" s="121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25">
        <f t="shared" si="1"/>
        <v>0</v>
      </c>
      <c r="X104" s="119"/>
      <c r="Y104" s="119"/>
      <c r="Z104" s="127">
        <f t="shared" si="2"/>
        <v>0</v>
      </c>
      <c r="AA104" s="141"/>
      <c r="AB104" s="142"/>
      <c r="AC104" s="133">
        <f t="shared" si="4"/>
        <v>0</v>
      </c>
      <c r="AD104" s="142"/>
      <c r="AE104" s="142"/>
      <c r="AF104" s="142"/>
      <c r="AG104" s="142"/>
      <c r="AH104" s="142"/>
      <c r="AI104" s="142"/>
      <c r="AJ104" s="142"/>
    </row>
    <row r="105" ht="22.5" hidden="1" customHeight="1">
      <c r="A105" s="4"/>
      <c r="B105" s="4"/>
      <c r="C105" s="131"/>
      <c r="D105" s="119"/>
      <c r="E105" s="119"/>
      <c r="F105" s="119"/>
      <c r="G105" s="119"/>
      <c r="H105" s="119"/>
      <c r="I105" s="119"/>
      <c r="J105" s="121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25">
        <f t="shared" si="1"/>
        <v>0</v>
      </c>
      <c r="X105" s="119"/>
      <c r="Y105" s="119"/>
      <c r="Z105" s="127">
        <f t="shared" si="2"/>
        <v>0</v>
      </c>
      <c r="AA105" s="141"/>
      <c r="AB105" s="142"/>
      <c r="AC105" s="133">
        <f t="shared" si="4"/>
        <v>0</v>
      </c>
      <c r="AD105" s="142"/>
      <c r="AE105" s="142"/>
      <c r="AF105" s="142"/>
      <c r="AG105" s="142"/>
      <c r="AH105" s="142"/>
      <c r="AI105" s="142"/>
      <c r="AJ105" s="142"/>
    </row>
    <row r="106" ht="22.5" hidden="1" customHeight="1">
      <c r="A106" s="4"/>
      <c r="B106" s="4"/>
      <c r="C106" s="131"/>
      <c r="D106" s="119"/>
      <c r="E106" s="119"/>
      <c r="F106" s="119"/>
      <c r="G106" s="119"/>
      <c r="H106" s="119"/>
      <c r="I106" s="119"/>
      <c r="J106" s="121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25">
        <f t="shared" si="1"/>
        <v>0</v>
      </c>
      <c r="X106" s="119"/>
      <c r="Y106" s="119"/>
      <c r="Z106" s="127">
        <f t="shared" si="2"/>
        <v>0</v>
      </c>
      <c r="AA106" s="141"/>
      <c r="AB106" s="142"/>
      <c r="AC106" s="133">
        <f t="shared" si="4"/>
        <v>0</v>
      </c>
      <c r="AD106" s="142"/>
      <c r="AE106" s="142"/>
      <c r="AF106" s="142"/>
      <c r="AG106" s="142"/>
      <c r="AH106" s="142"/>
      <c r="AI106" s="142"/>
      <c r="AJ106" s="142"/>
    </row>
    <row r="107" ht="22.5" hidden="1" customHeight="1">
      <c r="A107" s="4"/>
      <c r="B107" s="4"/>
      <c r="C107" s="131"/>
      <c r="D107" s="119"/>
      <c r="E107" s="119"/>
      <c r="F107" s="119"/>
      <c r="G107" s="119"/>
      <c r="H107" s="119"/>
      <c r="I107" s="119"/>
      <c r="J107" s="121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25">
        <f t="shared" si="1"/>
        <v>0</v>
      </c>
      <c r="X107" s="119"/>
      <c r="Y107" s="119"/>
      <c r="Z107" s="127">
        <f t="shared" si="2"/>
        <v>0</v>
      </c>
      <c r="AA107" s="141"/>
      <c r="AB107" s="142"/>
      <c r="AC107" s="133">
        <f t="shared" si="4"/>
        <v>0</v>
      </c>
      <c r="AD107" s="142"/>
      <c r="AE107" s="142"/>
      <c r="AF107" s="142"/>
      <c r="AG107" s="142"/>
      <c r="AH107" s="142"/>
      <c r="AI107" s="142"/>
      <c r="AJ107" s="142"/>
    </row>
    <row r="108" ht="22.5" hidden="1" customHeight="1">
      <c r="A108" s="4"/>
      <c r="B108" s="4"/>
      <c r="C108" s="131"/>
      <c r="D108" s="119"/>
      <c r="E108" s="119"/>
      <c r="F108" s="119"/>
      <c r="G108" s="119"/>
      <c r="H108" s="119"/>
      <c r="I108" s="119"/>
      <c r="J108" s="121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25">
        <f t="shared" si="1"/>
        <v>0</v>
      </c>
      <c r="X108" s="119"/>
      <c r="Y108" s="119"/>
      <c r="Z108" s="127">
        <f t="shared" si="2"/>
        <v>0</v>
      </c>
      <c r="AA108" s="141"/>
      <c r="AB108" s="142"/>
      <c r="AC108" s="133">
        <f t="shared" si="4"/>
        <v>0</v>
      </c>
      <c r="AD108" s="142"/>
      <c r="AE108" s="142"/>
      <c r="AF108" s="142"/>
      <c r="AG108" s="142"/>
      <c r="AH108" s="142"/>
      <c r="AI108" s="142"/>
      <c r="AJ108" s="142"/>
    </row>
    <row r="109" ht="22.5" customHeight="1">
      <c r="A109" s="4"/>
      <c r="B109" s="4"/>
      <c r="C109" s="131"/>
      <c r="D109" s="119"/>
      <c r="E109" s="119"/>
      <c r="F109" s="119"/>
      <c r="G109" s="119"/>
      <c r="H109" s="119"/>
      <c r="I109" s="119"/>
      <c r="J109" s="121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25">
        <f t="shared" si="1"/>
        <v>0</v>
      </c>
      <c r="X109" s="119"/>
      <c r="Y109" s="119"/>
      <c r="Z109" s="127">
        <f t="shared" si="2"/>
        <v>0</v>
      </c>
      <c r="AA109" s="141"/>
      <c r="AB109" s="142"/>
      <c r="AC109" s="133">
        <f t="shared" si="4"/>
        <v>0</v>
      </c>
      <c r="AD109" s="142"/>
      <c r="AE109" s="142"/>
      <c r="AF109" s="142"/>
      <c r="AG109" s="142"/>
      <c r="AH109" s="142"/>
      <c r="AI109" s="142"/>
      <c r="AJ109" s="142"/>
    </row>
    <row r="110" ht="22.5" customHeight="1">
      <c r="A110" s="115" t="s">
        <v>109</v>
      </c>
      <c r="B110" s="143"/>
      <c r="C110" s="136"/>
      <c r="D110" s="136">
        <f t="shared" ref="D110:V110" si="5">SUM(D3:D109)</f>
        <v>240000</v>
      </c>
      <c r="E110" s="136">
        <f t="shared" si="5"/>
        <v>30000</v>
      </c>
      <c r="F110" s="136">
        <f t="shared" si="5"/>
        <v>30000</v>
      </c>
      <c r="G110" s="136">
        <f t="shared" si="5"/>
        <v>12000</v>
      </c>
      <c r="H110" s="136">
        <f t="shared" si="5"/>
        <v>60000</v>
      </c>
      <c r="I110" s="136">
        <f t="shared" si="5"/>
        <v>145750</v>
      </c>
      <c r="J110" s="144">
        <f t="shared" si="5"/>
        <v>-189446</v>
      </c>
      <c r="K110" s="136">
        <f t="shared" si="5"/>
        <v>22990</v>
      </c>
      <c r="L110" s="136">
        <f t="shared" si="5"/>
        <v>7081</v>
      </c>
      <c r="M110" s="136">
        <f t="shared" si="5"/>
        <v>40000</v>
      </c>
      <c r="N110" s="136">
        <f t="shared" si="5"/>
        <v>0</v>
      </c>
      <c r="O110" s="136">
        <f t="shared" si="5"/>
        <v>18286</v>
      </c>
      <c r="P110" s="136">
        <f t="shared" si="5"/>
        <v>0</v>
      </c>
      <c r="Q110" s="136">
        <f t="shared" si="5"/>
        <v>97965</v>
      </c>
      <c r="R110" s="136">
        <f t="shared" si="5"/>
        <v>0</v>
      </c>
      <c r="S110" s="136">
        <f t="shared" si="5"/>
        <v>0</v>
      </c>
      <c r="T110" s="136">
        <f t="shared" si="5"/>
        <v>0</v>
      </c>
      <c r="U110" s="136">
        <f t="shared" si="5"/>
        <v>0</v>
      </c>
      <c r="V110" s="136">
        <f t="shared" si="5"/>
        <v>0</v>
      </c>
      <c r="W110" s="125">
        <f t="shared" si="1"/>
        <v>514626</v>
      </c>
      <c r="X110" s="136">
        <f t="shared" ref="X110:Z110" si="6">SUM(X3:X109)</f>
        <v>161832</v>
      </c>
      <c r="Y110" s="136">
        <f t="shared" si="6"/>
        <v>13000</v>
      </c>
      <c r="Z110" s="136">
        <f t="shared" si="6"/>
        <v>689458</v>
      </c>
      <c r="AA110" s="145"/>
      <c r="AC110" s="146"/>
    </row>
    <row r="111">
      <c r="A111" s="117"/>
      <c r="B111" s="11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</row>
    <row r="112">
      <c r="A112" s="117"/>
      <c r="B112" s="117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</row>
    <row r="113">
      <c r="A113" s="117"/>
      <c r="B113" s="11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</row>
    <row r="114">
      <c r="A114" s="117"/>
      <c r="B114" s="11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</row>
    <row r="115">
      <c r="A115" s="117"/>
      <c r="B115" s="11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</row>
    <row r="116">
      <c r="A116" s="117"/>
      <c r="B116" s="11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</row>
    <row r="117">
      <c r="A117" s="117"/>
      <c r="B117" s="11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</row>
    <row r="118">
      <c r="A118" s="117"/>
      <c r="B118" s="11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</row>
    <row r="119">
      <c r="A119" s="117"/>
      <c r="B119" s="11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</row>
    <row r="120">
      <c r="A120" s="117"/>
      <c r="B120" s="11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</row>
    <row r="121">
      <c r="A121" s="117"/>
      <c r="B121" s="11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</row>
    <row r="122">
      <c r="A122" s="117"/>
      <c r="B122" s="11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</row>
    <row r="123">
      <c r="A123" s="117"/>
      <c r="B123" s="11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</row>
    <row r="124">
      <c r="A124" s="117"/>
      <c r="B124" s="11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</row>
    <row r="125">
      <c r="A125" s="117"/>
      <c r="B125" s="11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</row>
    <row r="126">
      <c r="A126" s="117"/>
      <c r="B126" s="11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</row>
    <row r="127">
      <c r="A127" s="117"/>
      <c r="B127" s="117"/>
    </row>
    <row r="128">
      <c r="A128" s="117"/>
      <c r="B128" s="117"/>
    </row>
    <row r="129">
      <c r="A129" s="117"/>
      <c r="B129" s="117"/>
    </row>
    <row r="130">
      <c r="A130" s="117"/>
      <c r="B130" s="117"/>
    </row>
    <row r="131">
      <c r="A131" s="117"/>
      <c r="B131" s="117"/>
    </row>
    <row r="132">
      <c r="A132" s="117"/>
      <c r="B132" s="117"/>
    </row>
    <row r="133">
      <c r="A133" s="117"/>
      <c r="B133" s="117"/>
    </row>
    <row r="134">
      <c r="A134" s="117"/>
      <c r="B134" s="117"/>
    </row>
    <row r="135">
      <c r="A135" s="117"/>
      <c r="B135" s="117"/>
    </row>
    <row r="136">
      <c r="A136" s="117"/>
      <c r="B136" s="117"/>
    </row>
    <row r="137">
      <c r="A137" s="117"/>
      <c r="B137" s="117"/>
    </row>
    <row r="138">
      <c r="A138" s="117"/>
      <c r="B138" s="117"/>
    </row>
    <row r="139">
      <c r="A139" s="117"/>
      <c r="B139" s="117"/>
    </row>
    <row r="140">
      <c r="A140" s="117"/>
      <c r="B140" s="117"/>
    </row>
    <row r="141">
      <c r="A141" s="117"/>
      <c r="B141" s="117"/>
    </row>
    <row r="142">
      <c r="A142" s="117"/>
      <c r="B142" s="117"/>
    </row>
    <row r="143">
      <c r="A143" s="117"/>
      <c r="B143" s="117"/>
    </row>
    <row r="144">
      <c r="A144" s="117"/>
      <c r="B144" s="117"/>
    </row>
    <row r="145">
      <c r="A145" s="117"/>
      <c r="B145" s="117"/>
    </row>
    <row r="146">
      <c r="A146" s="117"/>
      <c r="B146" s="117"/>
    </row>
    <row r="147">
      <c r="A147" s="117"/>
      <c r="B147" s="117"/>
    </row>
    <row r="148">
      <c r="A148" s="117"/>
      <c r="B148" s="117"/>
    </row>
    <row r="149">
      <c r="A149" s="117"/>
      <c r="B149" s="117"/>
    </row>
    <row r="150">
      <c r="A150" s="117"/>
      <c r="B150" s="117"/>
    </row>
    <row r="151">
      <c r="A151" s="117"/>
      <c r="B151" s="117"/>
    </row>
    <row r="152">
      <c r="A152" s="117"/>
      <c r="B152" s="117"/>
    </row>
    <row r="153">
      <c r="A153" s="117"/>
      <c r="B153" s="117"/>
    </row>
    <row r="154">
      <c r="A154" s="117"/>
      <c r="B154" s="117"/>
    </row>
    <row r="155">
      <c r="A155" s="117"/>
      <c r="B155" s="117"/>
    </row>
    <row r="156">
      <c r="A156" s="117"/>
      <c r="B156" s="117"/>
    </row>
    <row r="157">
      <c r="A157" s="117"/>
      <c r="B157" s="117"/>
    </row>
    <row r="158">
      <c r="A158" s="117"/>
      <c r="B158" s="117"/>
    </row>
    <row r="159">
      <c r="A159" s="117"/>
      <c r="B159" s="117"/>
    </row>
    <row r="160">
      <c r="A160" s="117"/>
      <c r="B160" s="117"/>
    </row>
    <row r="161">
      <c r="A161" s="117"/>
      <c r="B161" s="117"/>
    </row>
    <row r="162">
      <c r="A162" s="117"/>
      <c r="B162" s="117"/>
    </row>
    <row r="163">
      <c r="A163" s="117"/>
      <c r="B163" s="117"/>
    </row>
    <row r="164">
      <c r="A164" s="117"/>
      <c r="B164" s="117"/>
    </row>
    <row r="165">
      <c r="A165" s="117"/>
      <c r="B165" s="117"/>
    </row>
    <row r="166">
      <c r="A166" s="117"/>
      <c r="B166" s="117"/>
    </row>
    <row r="167">
      <c r="A167" s="117"/>
      <c r="B167" s="117"/>
    </row>
    <row r="168">
      <c r="A168" s="117"/>
      <c r="B168" s="117"/>
    </row>
    <row r="169">
      <c r="A169" s="117"/>
      <c r="B169" s="117"/>
    </row>
    <row r="170">
      <c r="A170" s="117"/>
      <c r="B170" s="117"/>
    </row>
    <row r="171">
      <c r="A171" s="117"/>
      <c r="B171" s="117"/>
    </row>
    <row r="172">
      <c r="A172" s="117"/>
      <c r="B172" s="117"/>
    </row>
    <row r="173">
      <c r="A173" s="117"/>
      <c r="B173" s="117"/>
    </row>
    <row r="174">
      <c r="A174" s="117"/>
      <c r="B174" s="117"/>
    </row>
    <row r="175">
      <c r="A175" s="117"/>
      <c r="B175" s="117"/>
    </row>
    <row r="176">
      <c r="A176" s="117"/>
      <c r="B176" s="117"/>
    </row>
    <row r="177">
      <c r="A177" s="117"/>
      <c r="B177" s="117"/>
    </row>
    <row r="178">
      <c r="A178" s="117"/>
      <c r="B178" s="117"/>
    </row>
    <row r="179">
      <c r="A179" s="117"/>
      <c r="B179" s="117"/>
    </row>
    <row r="180">
      <c r="A180" s="117"/>
      <c r="B180" s="117"/>
    </row>
    <row r="181">
      <c r="A181" s="117"/>
      <c r="B181" s="117"/>
    </row>
    <row r="182">
      <c r="A182" s="117"/>
      <c r="B182" s="117"/>
    </row>
    <row r="183">
      <c r="A183" s="117"/>
      <c r="B183" s="117"/>
    </row>
    <row r="184">
      <c r="A184" s="117"/>
      <c r="B184" s="117"/>
    </row>
    <row r="185">
      <c r="A185" s="117"/>
      <c r="B185" s="117"/>
    </row>
    <row r="186">
      <c r="A186" s="117"/>
      <c r="B186" s="117"/>
    </row>
    <row r="187">
      <c r="A187" s="117"/>
      <c r="B187" s="117"/>
    </row>
    <row r="188">
      <c r="A188" s="117"/>
      <c r="B188" s="117"/>
    </row>
    <row r="189">
      <c r="A189" s="117"/>
      <c r="B189" s="117"/>
    </row>
    <row r="190">
      <c r="A190" s="117"/>
      <c r="B190" s="117"/>
    </row>
    <row r="191">
      <c r="A191" s="117"/>
      <c r="B191" s="117"/>
    </row>
    <row r="192">
      <c r="A192" s="117"/>
      <c r="B192" s="117"/>
    </row>
    <row r="193">
      <c r="A193" s="117"/>
      <c r="B193" s="117"/>
    </row>
    <row r="194">
      <c r="A194" s="117"/>
      <c r="B194" s="117"/>
    </row>
    <row r="195">
      <c r="A195" s="117"/>
      <c r="B195" s="117"/>
    </row>
    <row r="196">
      <c r="A196" s="117"/>
      <c r="B196" s="117"/>
    </row>
    <row r="197">
      <c r="A197" s="117"/>
      <c r="B197" s="117"/>
    </row>
    <row r="198">
      <c r="A198" s="117"/>
      <c r="B198" s="117"/>
    </row>
    <row r="199">
      <c r="A199" s="117"/>
      <c r="B199" s="117"/>
    </row>
    <row r="200">
      <c r="A200" s="117"/>
      <c r="B200" s="117"/>
    </row>
    <row r="201">
      <c r="A201" s="117"/>
      <c r="B201" s="117"/>
    </row>
    <row r="202">
      <c r="A202" s="117"/>
      <c r="B202" s="117"/>
    </row>
    <row r="203">
      <c r="A203" s="117"/>
      <c r="B203" s="117"/>
    </row>
    <row r="204">
      <c r="A204" s="117"/>
      <c r="B204" s="117"/>
    </row>
    <row r="205">
      <c r="A205" s="117"/>
      <c r="B205" s="117"/>
    </row>
    <row r="206">
      <c r="A206" s="117"/>
      <c r="B206" s="117"/>
    </row>
    <row r="207">
      <c r="A207" s="117"/>
      <c r="B207" s="117"/>
    </row>
    <row r="208">
      <c r="A208" s="117"/>
      <c r="B208" s="117"/>
    </row>
    <row r="209">
      <c r="A209" s="117"/>
      <c r="B209" s="117"/>
    </row>
    <row r="210">
      <c r="A210" s="117"/>
      <c r="B210" s="117"/>
    </row>
    <row r="211">
      <c r="A211" s="117"/>
      <c r="B211" s="117"/>
    </row>
    <row r="212">
      <c r="A212" s="117"/>
      <c r="B212" s="117"/>
    </row>
    <row r="213">
      <c r="A213" s="117"/>
      <c r="B213" s="117"/>
    </row>
    <row r="214">
      <c r="A214" s="117"/>
      <c r="B214" s="117"/>
    </row>
    <row r="215">
      <c r="A215" s="117"/>
      <c r="B215" s="117"/>
    </row>
    <row r="216">
      <c r="A216" s="117"/>
      <c r="B216" s="117"/>
    </row>
    <row r="217">
      <c r="A217" s="117"/>
      <c r="B217" s="117"/>
    </row>
    <row r="218">
      <c r="A218" s="117"/>
      <c r="B218" s="117"/>
    </row>
    <row r="219">
      <c r="A219" s="117"/>
      <c r="B219" s="117"/>
    </row>
    <row r="220">
      <c r="A220" s="117"/>
      <c r="B220" s="117"/>
    </row>
    <row r="221">
      <c r="A221" s="117"/>
      <c r="B221" s="117"/>
    </row>
    <row r="222">
      <c r="A222" s="117"/>
      <c r="B222" s="117"/>
    </row>
    <row r="223">
      <c r="A223" s="117"/>
      <c r="B223" s="117"/>
    </row>
    <row r="224">
      <c r="A224" s="117"/>
      <c r="B224" s="117"/>
    </row>
    <row r="225">
      <c r="A225" s="117"/>
      <c r="B225" s="117"/>
    </row>
    <row r="226">
      <c r="A226" s="117"/>
      <c r="B226" s="117"/>
    </row>
    <row r="227">
      <c r="A227" s="117"/>
      <c r="B227" s="117"/>
    </row>
    <row r="228">
      <c r="A228" s="117"/>
      <c r="B228" s="117"/>
    </row>
    <row r="229">
      <c r="A229" s="117"/>
      <c r="B229" s="117"/>
    </row>
    <row r="230">
      <c r="A230" s="117"/>
      <c r="B230" s="117"/>
    </row>
    <row r="231">
      <c r="A231" s="117"/>
      <c r="B231" s="117"/>
    </row>
    <row r="232">
      <c r="A232" s="117"/>
      <c r="B232" s="117"/>
    </row>
    <row r="233">
      <c r="A233" s="117"/>
      <c r="B233" s="117"/>
    </row>
    <row r="234">
      <c r="A234" s="117"/>
      <c r="B234" s="117"/>
    </row>
    <row r="235">
      <c r="A235" s="117"/>
      <c r="B235" s="117"/>
    </row>
    <row r="236">
      <c r="A236" s="117"/>
      <c r="B236" s="117"/>
    </row>
    <row r="237">
      <c r="A237" s="117"/>
      <c r="B237" s="117"/>
    </row>
    <row r="238">
      <c r="A238" s="117"/>
      <c r="B238" s="117"/>
    </row>
    <row r="239">
      <c r="A239" s="117"/>
      <c r="B239" s="117"/>
    </row>
    <row r="240">
      <c r="A240" s="117"/>
      <c r="B240" s="117"/>
    </row>
    <row r="241">
      <c r="A241" s="117"/>
      <c r="B241" s="117"/>
    </row>
    <row r="242">
      <c r="A242" s="117"/>
      <c r="B242" s="117"/>
    </row>
    <row r="243">
      <c r="A243" s="117"/>
      <c r="B243" s="117"/>
    </row>
    <row r="244">
      <c r="A244" s="117"/>
      <c r="B244" s="117"/>
    </row>
    <row r="245">
      <c r="A245" s="117"/>
      <c r="B245" s="117"/>
    </row>
    <row r="246">
      <c r="A246" s="117"/>
      <c r="B246" s="117"/>
    </row>
    <row r="247">
      <c r="A247" s="117"/>
      <c r="B247" s="117"/>
    </row>
    <row r="248">
      <c r="A248" s="117"/>
      <c r="B248" s="117"/>
    </row>
    <row r="249">
      <c r="A249" s="117"/>
      <c r="B249" s="117"/>
    </row>
    <row r="250">
      <c r="A250" s="117"/>
      <c r="B250" s="117"/>
    </row>
    <row r="251">
      <c r="A251" s="117"/>
      <c r="B251" s="117"/>
    </row>
    <row r="252">
      <c r="A252" s="117"/>
      <c r="B252" s="117"/>
    </row>
    <row r="253">
      <c r="A253" s="117"/>
      <c r="B253" s="117"/>
    </row>
    <row r="254">
      <c r="A254" s="117"/>
      <c r="B254" s="117"/>
    </row>
    <row r="255">
      <c r="A255" s="117"/>
      <c r="B255" s="117"/>
    </row>
    <row r="256">
      <c r="A256" s="117"/>
      <c r="B256" s="117"/>
    </row>
    <row r="257">
      <c r="A257" s="117"/>
      <c r="B257" s="117"/>
    </row>
    <row r="258">
      <c r="A258" s="117"/>
      <c r="B258" s="117"/>
    </row>
    <row r="259">
      <c r="A259" s="117"/>
      <c r="B259" s="117"/>
    </row>
    <row r="260">
      <c r="A260" s="117"/>
      <c r="B260" s="117"/>
    </row>
    <row r="261">
      <c r="A261" s="117"/>
      <c r="B261" s="117"/>
    </row>
    <row r="262">
      <c r="A262" s="117"/>
      <c r="B262" s="117"/>
    </row>
    <row r="263">
      <c r="A263" s="117"/>
      <c r="B263" s="117"/>
    </row>
    <row r="264">
      <c r="A264" s="117"/>
      <c r="B264" s="117"/>
    </row>
    <row r="265">
      <c r="A265" s="117"/>
      <c r="B265" s="117"/>
    </row>
    <row r="266">
      <c r="A266" s="117"/>
      <c r="B266" s="117"/>
    </row>
    <row r="267">
      <c r="A267" s="117"/>
      <c r="B267" s="117"/>
    </row>
    <row r="268">
      <c r="A268" s="117"/>
      <c r="B268" s="117"/>
    </row>
    <row r="269">
      <c r="A269" s="117"/>
      <c r="B269" s="117"/>
    </row>
    <row r="270">
      <c r="A270" s="117"/>
      <c r="B270" s="117"/>
    </row>
    <row r="271">
      <c r="A271" s="117"/>
      <c r="B271" s="117"/>
    </row>
    <row r="272">
      <c r="A272" s="117"/>
      <c r="B272" s="117"/>
    </row>
    <row r="273">
      <c r="A273" s="117"/>
      <c r="B273" s="117"/>
    </row>
    <row r="274">
      <c r="A274" s="117"/>
      <c r="B274" s="117"/>
    </row>
    <row r="275">
      <c r="A275" s="117"/>
      <c r="B275" s="117"/>
    </row>
    <row r="276">
      <c r="A276" s="117"/>
      <c r="B276" s="117"/>
    </row>
    <row r="277">
      <c r="A277" s="117"/>
      <c r="B277" s="117"/>
    </row>
    <row r="278">
      <c r="A278" s="117"/>
      <c r="B278" s="117"/>
    </row>
    <row r="279">
      <c r="A279" s="117"/>
      <c r="B279" s="117"/>
    </row>
    <row r="280">
      <c r="A280" s="117"/>
      <c r="B280" s="117"/>
    </row>
    <row r="281">
      <c r="A281" s="117"/>
      <c r="B281" s="117"/>
    </row>
    <row r="282">
      <c r="A282" s="117"/>
      <c r="B282" s="117"/>
    </row>
    <row r="283">
      <c r="A283" s="117"/>
      <c r="B283" s="117"/>
    </row>
    <row r="284">
      <c r="A284" s="117"/>
      <c r="B284" s="117"/>
    </row>
    <row r="285">
      <c r="A285" s="117"/>
      <c r="B285" s="117"/>
    </row>
    <row r="286">
      <c r="A286" s="117"/>
      <c r="B286" s="117"/>
    </row>
    <row r="287">
      <c r="A287" s="117"/>
      <c r="B287" s="117"/>
    </row>
    <row r="288">
      <c r="A288" s="117"/>
      <c r="B288" s="117"/>
    </row>
    <row r="289">
      <c r="A289" s="117"/>
      <c r="B289" s="117"/>
    </row>
    <row r="290">
      <c r="A290" s="117"/>
      <c r="B290" s="117"/>
    </row>
    <row r="291">
      <c r="A291" s="117"/>
      <c r="B291" s="117"/>
    </row>
    <row r="292">
      <c r="A292" s="117"/>
      <c r="B292" s="117"/>
    </row>
    <row r="293">
      <c r="A293" s="117"/>
      <c r="B293" s="117"/>
    </row>
    <row r="294">
      <c r="A294" s="117"/>
      <c r="B294" s="117"/>
    </row>
    <row r="295">
      <c r="A295" s="117"/>
      <c r="B295" s="117"/>
    </row>
    <row r="296">
      <c r="A296" s="117"/>
      <c r="B296" s="117"/>
    </row>
    <row r="297">
      <c r="A297" s="117"/>
      <c r="B297" s="117"/>
    </row>
    <row r="298">
      <c r="A298" s="117"/>
      <c r="B298" s="117"/>
    </row>
    <row r="299">
      <c r="A299" s="117"/>
      <c r="B299" s="117"/>
    </row>
    <row r="300">
      <c r="A300" s="117"/>
      <c r="B300" s="117"/>
    </row>
    <row r="301">
      <c r="A301" s="117"/>
      <c r="B301" s="117"/>
    </row>
    <row r="302">
      <c r="A302" s="117"/>
      <c r="B302" s="117"/>
    </row>
    <row r="303">
      <c r="A303" s="117"/>
      <c r="B303" s="117"/>
    </row>
    <row r="304">
      <c r="A304" s="117"/>
      <c r="B304" s="117"/>
    </row>
    <row r="305">
      <c r="A305" s="117"/>
      <c r="B305" s="117"/>
    </row>
    <row r="306">
      <c r="A306" s="117"/>
      <c r="B306" s="117"/>
    </row>
    <row r="307">
      <c r="A307" s="117"/>
      <c r="B307" s="117"/>
    </row>
    <row r="308">
      <c r="A308" s="117"/>
      <c r="B308" s="117"/>
    </row>
    <row r="309">
      <c r="A309" s="117"/>
      <c r="B309" s="117"/>
    </row>
    <row r="310">
      <c r="A310" s="117"/>
      <c r="B310" s="117"/>
    </row>
    <row r="311">
      <c r="A311" s="117"/>
      <c r="B311" s="117"/>
    </row>
    <row r="312">
      <c r="A312" s="117"/>
      <c r="B312" s="117"/>
    </row>
    <row r="313">
      <c r="A313" s="117"/>
      <c r="B313" s="117"/>
    </row>
    <row r="314">
      <c r="A314" s="117"/>
      <c r="B314" s="117"/>
    </row>
    <row r="315">
      <c r="A315" s="117"/>
      <c r="B315" s="117"/>
    </row>
    <row r="316">
      <c r="A316" s="117"/>
      <c r="B316" s="117"/>
    </row>
    <row r="317">
      <c r="A317" s="117"/>
      <c r="B317" s="117"/>
    </row>
    <row r="318">
      <c r="A318" s="117"/>
      <c r="B318" s="117"/>
    </row>
    <row r="319">
      <c r="A319" s="117"/>
      <c r="B319" s="117"/>
    </row>
    <row r="320">
      <c r="A320" s="117"/>
      <c r="B320" s="117"/>
    </row>
    <row r="321">
      <c r="A321" s="117"/>
      <c r="B321" s="117"/>
    </row>
    <row r="322">
      <c r="A322" s="117"/>
      <c r="B322" s="117"/>
    </row>
    <row r="323">
      <c r="A323" s="117"/>
      <c r="B323" s="117"/>
    </row>
    <row r="324">
      <c r="A324" s="117"/>
      <c r="B324" s="117"/>
    </row>
    <row r="325">
      <c r="A325" s="117"/>
      <c r="B325" s="117"/>
    </row>
    <row r="326">
      <c r="A326" s="117"/>
      <c r="B326" s="117"/>
    </row>
    <row r="327">
      <c r="A327" s="117"/>
      <c r="B327" s="117"/>
    </row>
    <row r="328">
      <c r="A328" s="117"/>
      <c r="B328" s="117"/>
    </row>
    <row r="329">
      <c r="A329" s="117"/>
      <c r="B329" s="117"/>
    </row>
    <row r="330">
      <c r="A330" s="117"/>
      <c r="B330" s="117"/>
    </row>
    <row r="331">
      <c r="A331" s="117"/>
      <c r="B331" s="117"/>
    </row>
    <row r="332">
      <c r="A332" s="117"/>
      <c r="B332" s="117"/>
    </row>
    <row r="333">
      <c r="A333" s="117"/>
      <c r="B333" s="117"/>
    </row>
    <row r="334">
      <c r="A334" s="117"/>
      <c r="B334" s="117"/>
    </row>
    <row r="335">
      <c r="A335" s="117"/>
      <c r="B335" s="117"/>
    </row>
    <row r="336">
      <c r="A336" s="117"/>
      <c r="B336" s="117"/>
    </row>
    <row r="337">
      <c r="A337" s="117"/>
      <c r="B337" s="117"/>
    </row>
    <row r="338">
      <c r="A338" s="117"/>
      <c r="B338" s="117"/>
    </row>
    <row r="339">
      <c r="A339" s="117"/>
      <c r="B339" s="117"/>
    </row>
    <row r="340">
      <c r="A340" s="117"/>
      <c r="B340" s="117"/>
    </row>
    <row r="341">
      <c r="A341" s="117"/>
      <c r="B341" s="117"/>
    </row>
    <row r="342">
      <c r="A342" s="117"/>
      <c r="B342" s="117"/>
    </row>
    <row r="343">
      <c r="A343" s="117"/>
      <c r="B343" s="117"/>
    </row>
    <row r="344">
      <c r="A344" s="117"/>
      <c r="B344" s="117"/>
    </row>
    <row r="345">
      <c r="A345" s="117"/>
      <c r="B345" s="117"/>
    </row>
    <row r="346">
      <c r="A346" s="117"/>
      <c r="B346" s="117"/>
    </row>
    <row r="347">
      <c r="A347" s="117"/>
      <c r="B347" s="117"/>
    </row>
    <row r="348">
      <c r="A348" s="117"/>
      <c r="B348" s="117"/>
    </row>
    <row r="349">
      <c r="A349" s="117"/>
      <c r="B349" s="117"/>
    </row>
    <row r="350">
      <c r="A350" s="117"/>
      <c r="B350" s="117"/>
    </row>
    <row r="351">
      <c r="A351" s="117"/>
      <c r="B351" s="117"/>
    </row>
    <row r="352">
      <c r="A352" s="117"/>
      <c r="B352" s="117"/>
    </row>
    <row r="353">
      <c r="A353" s="117"/>
      <c r="B353" s="117"/>
    </row>
    <row r="354">
      <c r="A354" s="117"/>
      <c r="B354" s="117"/>
    </row>
    <row r="355">
      <c r="A355" s="117"/>
      <c r="B355" s="117"/>
    </row>
    <row r="356">
      <c r="A356" s="117"/>
      <c r="B356" s="117"/>
    </row>
    <row r="357">
      <c r="A357" s="117"/>
      <c r="B357" s="117"/>
    </row>
    <row r="358">
      <c r="A358" s="117"/>
      <c r="B358" s="117"/>
    </row>
    <row r="359">
      <c r="A359" s="117"/>
      <c r="B359" s="117"/>
    </row>
    <row r="360">
      <c r="A360" s="117"/>
      <c r="B360" s="117"/>
    </row>
    <row r="361">
      <c r="A361" s="117"/>
      <c r="B361" s="117"/>
    </row>
    <row r="362">
      <c r="A362" s="117"/>
      <c r="B362" s="117"/>
    </row>
    <row r="363">
      <c r="A363" s="117"/>
      <c r="B363" s="117"/>
    </row>
    <row r="364">
      <c r="A364" s="117"/>
      <c r="B364" s="117"/>
    </row>
    <row r="365">
      <c r="A365" s="117"/>
      <c r="B365" s="117"/>
    </row>
    <row r="366">
      <c r="A366" s="117"/>
      <c r="B366" s="117"/>
    </row>
    <row r="367">
      <c r="A367" s="117"/>
      <c r="B367" s="117"/>
    </row>
    <row r="368">
      <c r="A368" s="117"/>
      <c r="B368" s="117"/>
    </row>
    <row r="369">
      <c r="A369" s="117"/>
      <c r="B369" s="117"/>
    </row>
    <row r="370">
      <c r="A370" s="117"/>
      <c r="B370" s="117"/>
    </row>
    <row r="371">
      <c r="A371" s="117"/>
      <c r="B371" s="117"/>
    </row>
    <row r="372">
      <c r="A372" s="117"/>
      <c r="B372" s="117"/>
    </row>
    <row r="373">
      <c r="A373" s="117"/>
      <c r="B373" s="117"/>
    </row>
    <row r="374">
      <c r="A374" s="117"/>
      <c r="B374" s="117"/>
    </row>
    <row r="375">
      <c r="A375" s="117"/>
      <c r="B375" s="117"/>
    </row>
    <row r="376">
      <c r="A376" s="117"/>
      <c r="B376" s="117"/>
    </row>
    <row r="377">
      <c r="A377" s="117"/>
      <c r="B377" s="117"/>
    </row>
    <row r="378">
      <c r="A378" s="117"/>
      <c r="B378" s="117"/>
    </row>
    <row r="379">
      <c r="A379" s="117"/>
      <c r="B379" s="117"/>
    </row>
    <row r="380">
      <c r="A380" s="117"/>
      <c r="B380" s="117"/>
    </row>
    <row r="381">
      <c r="A381" s="117"/>
      <c r="B381" s="117"/>
    </row>
    <row r="382">
      <c r="A382" s="117"/>
      <c r="B382" s="117"/>
    </row>
    <row r="383">
      <c r="A383" s="117"/>
      <c r="B383" s="117"/>
    </row>
    <row r="384">
      <c r="A384" s="117"/>
      <c r="B384" s="117"/>
    </row>
    <row r="385">
      <c r="A385" s="117"/>
      <c r="B385" s="117"/>
    </row>
    <row r="386">
      <c r="A386" s="117"/>
      <c r="B386" s="117"/>
    </row>
    <row r="387">
      <c r="A387" s="117"/>
      <c r="B387" s="117"/>
    </row>
    <row r="388">
      <c r="A388" s="117"/>
      <c r="B388" s="117"/>
    </row>
    <row r="389">
      <c r="A389" s="117"/>
      <c r="B389" s="117"/>
    </row>
    <row r="390">
      <c r="A390" s="117"/>
      <c r="B390" s="117"/>
    </row>
    <row r="391">
      <c r="A391" s="117"/>
      <c r="B391" s="117"/>
    </row>
    <row r="392">
      <c r="A392" s="117"/>
      <c r="B392" s="117"/>
    </row>
    <row r="393">
      <c r="A393" s="117"/>
      <c r="B393" s="117"/>
    </row>
    <row r="394">
      <c r="A394" s="117"/>
      <c r="B394" s="117"/>
    </row>
    <row r="395">
      <c r="A395" s="117"/>
      <c r="B395" s="117"/>
    </row>
    <row r="396">
      <c r="A396" s="117"/>
      <c r="B396" s="117"/>
    </row>
    <row r="397">
      <c r="A397" s="117"/>
      <c r="B397" s="117"/>
    </row>
    <row r="398">
      <c r="A398" s="117"/>
      <c r="B398" s="117"/>
    </row>
    <row r="399">
      <c r="A399" s="117"/>
      <c r="B399" s="117"/>
    </row>
    <row r="400">
      <c r="A400" s="117"/>
      <c r="B400" s="117"/>
    </row>
    <row r="401">
      <c r="A401" s="117"/>
      <c r="B401" s="117"/>
    </row>
    <row r="402">
      <c r="A402" s="117"/>
      <c r="B402" s="117"/>
    </row>
    <row r="403">
      <c r="A403" s="117"/>
      <c r="B403" s="117"/>
    </row>
    <row r="404">
      <c r="A404" s="117"/>
      <c r="B404" s="117"/>
    </row>
    <row r="405">
      <c r="A405" s="117"/>
      <c r="B405" s="117"/>
    </row>
    <row r="406">
      <c r="A406" s="117"/>
      <c r="B406" s="117"/>
    </row>
    <row r="407">
      <c r="A407" s="117"/>
      <c r="B407" s="117"/>
    </row>
    <row r="408">
      <c r="A408" s="117"/>
      <c r="B408" s="117"/>
    </row>
    <row r="409">
      <c r="A409" s="117"/>
      <c r="B409" s="117"/>
    </row>
    <row r="410">
      <c r="A410" s="117"/>
      <c r="B410" s="117"/>
    </row>
    <row r="411">
      <c r="A411" s="117"/>
      <c r="B411" s="117"/>
    </row>
    <row r="412">
      <c r="A412" s="117"/>
      <c r="B412" s="117"/>
    </row>
    <row r="413">
      <c r="A413" s="117"/>
      <c r="B413" s="117"/>
    </row>
    <row r="414">
      <c r="A414" s="117"/>
      <c r="B414" s="117"/>
    </row>
    <row r="415">
      <c r="A415" s="117"/>
      <c r="B415" s="117"/>
    </row>
    <row r="416">
      <c r="A416" s="117"/>
      <c r="B416" s="117"/>
    </row>
    <row r="417">
      <c r="A417" s="117"/>
      <c r="B417" s="117"/>
    </row>
    <row r="418">
      <c r="A418" s="117"/>
      <c r="B418" s="117"/>
    </row>
    <row r="419">
      <c r="A419" s="117"/>
      <c r="B419" s="117"/>
    </row>
    <row r="420">
      <c r="A420" s="117"/>
      <c r="B420" s="117"/>
    </row>
    <row r="421">
      <c r="A421" s="117"/>
      <c r="B421" s="117"/>
    </row>
    <row r="422">
      <c r="A422" s="117"/>
      <c r="B422" s="117"/>
    </row>
    <row r="423">
      <c r="A423" s="117"/>
      <c r="B423" s="117"/>
    </row>
    <row r="424">
      <c r="A424" s="117"/>
      <c r="B424" s="117"/>
    </row>
    <row r="425">
      <c r="A425" s="117"/>
      <c r="B425" s="117"/>
    </row>
    <row r="426">
      <c r="A426" s="117"/>
      <c r="B426" s="117"/>
    </row>
    <row r="427">
      <c r="A427" s="117"/>
      <c r="B427" s="117"/>
    </row>
    <row r="428">
      <c r="A428" s="117"/>
      <c r="B428" s="117"/>
    </row>
    <row r="429">
      <c r="A429" s="117"/>
      <c r="B429" s="117"/>
    </row>
    <row r="430">
      <c r="A430" s="117"/>
      <c r="B430" s="117"/>
    </row>
    <row r="431">
      <c r="A431" s="117"/>
      <c r="B431" s="117"/>
    </row>
    <row r="432">
      <c r="A432" s="117"/>
      <c r="B432" s="117"/>
    </row>
    <row r="433">
      <c r="A433" s="117"/>
      <c r="B433" s="117"/>
    </row>
    <row r="434">
      <c r="A434" s="117"/>
      <c r="B434" s="117"/>
    </row>
    <row r="435">
      <c r="A435" s="117"/>
      <c r="B435" s="117"/>
    </row>
    <row r="436">
      <c r="A436" s="117"/>
      <c r="B436" s="117"/>
    </row>
    <row r="437">
      <c r="A437" s="117"/>
      <c r="B437" s="117"/>
    </row>
    <row r="438">
      <c r="A438" s="117"/>
      <c r="B438" s="117"/>
    </row>
    <row r="439">
      <c r="A439" s="117"/>
      <c r="B439" s="117"/>
    </row>
    <row r="440">
      <c r="A440" s="117"/>
      <c r="B440" s="117"/>
    </row>
    <row r="441">
      <c r="A441" s="117"/>
      <c r="B441" s="117"/>
    </row>
    <row r="442">
      <c r="A442" s="117"/>
      <c r="B442" s="117"/>
    </row>
    <row r="443">
      <c r="A443" s="117"/>
      <c r="B443" s="117"/>
    </row>
    <row r="444">
      <c r="A444" s="117"/>
      <c r="B444" s="117"/>
    </row>
    <row r="445">
      <c r="A445" s="117"/>
      <c r="B445" s="117"/>
    </row>
    <row r="446">
      <c r="A446" s="117"/>
      <c r="B446" s="117"/>
    </row>
    <row r="447">
      <c r="A447" s="117"/>
      <c r="B447" s="117"/>
    </row>
    <row r="448">
      <c r="A448" s="117"/>
      <c r="B448" s="117"/>
    </row>
    <row r="449">
      <c r="A449" s="117"/>
      <c r="B449" s="117"/>
    </row>
    <row r="450">
      <c r="A450" s="117"/>
      <c r="B450" s="117"/>
    </row>
    <row r="451">
      <c r="A451" s="117"/>
      <c r="B451" s="117"/>
    </row>
    <row r="452">
      <c r="A452" s="117"/>
      <c r="B452" s="117"/>
    </row>
    <row r="453">
      <c r="A453" s="117"/>
      <c r="B453" s="117"/>
    </row>
    <row r="454">
      <c r="A454" s="117"/>
      <c r="B454" s="117"/>
    </row>
    <row r="455">
      <c r="A455" s="117"/>
      <c r="B455" s="117"/>
    </row>
    <row r="456">
      <c r="A456" s="117"/>
      <c r="B456" s="117"/>
    </row>
    <row r="457">
      <c r="A457" s="117"/>
      <c r="B457" s="117"/>
    </row>
    <row r="458">
      <c r="A458" s="117"/>
      <c r="B458" s="117"/>
    </row>
    <row r="459">
      <c r="A459" s="117"/>
      <c r="B459" s="117"/>
    </row>
    <row r="460">
      <c r="A460" s="117"/>
      <c r="B460" s="117"/>
    </row>
    <row r="461">
      <c r="A461" s="117"/>
      <c r="B461" s="117"/>
    </row>
    <row r="462">
      <c r="A462" s="117"/>
      <c r="B462" s="117"/>
    </row>
    <row r="463">
      <c r="A463" s="117"/>
      <c r="B463" s="117"/>
    </row>
    <row r="464">
      <c r="A464" s="117"/>
      <c r="B464" s="117"/>
    </row>
    <row r="465">
      <c r="A465" s="117"/>
      <c r="B465" s="117"/>
    </row>
    <row r="466">
      <c r="A466" s="117"/>
      <c r="B466" s="117"/>
    </row>
    <row r="467">
      <c r="A467" s="117"/>
      <c r="B467" s="117"/>
    </row>
    <row r="468">
      <c r="A468" s="117"/>
      <c r="B468" s="117"/>
    </row>
    <row r="469">
      <c r="A469" s="117"/>
      <c r="B469" s="117"/>
    </row>
    <row r="470">
      <c r="A470" s="117"/>
      <c r="B470" s="117"/>
    </row>
    <row r="471">
      <c r="A471" s="117"/>
      <c r="B471" s="117"/>
    </row>
    <row r="472">
      <c r="A472" s="117"/>
      <c r="B472" s="117"/>
    </row>
    <row r="473">
      <c r="A473" s="117"/>
      <c r="B473" s="117"/>
    </row>
    <row r="474">
      <c r="A474" s="117"/>
      <c r="B474" s="117"/>
    </row>
    <row r="475">
      <c r="A475" s="117"/>
      <c r="B475" s="117"/>
    </row>
    <row r="476">
      <c r="A476" s="117"/>
      <c r="B476" s="117"/>
    </row>
    <row r="477">
      <c r="A477" s="117"/>
      <c r="B477" s="117"/>
    </row>
    <row r="478">
      <c r="A478" s="117"/>
      <c r="B478" s="117"/>
    </row>
    <row r="479">
      <c r="A479" s="117"/>
      <c r="B479" s="117"/>
    </row>
    <row r="480">
      <c r="A480" s="117"/>
      <c r="B480" s="117"/>
    </row>
    <row r="481">
      <c r="A481" s="117"/>
      <c r="B481" s="117"/>
    </row>
    <row r="482">
      <c r="A482" s="117"/>
      <c r="B482" s="117"/>
    </row>
    <row r="483">
      <c r="A483" s="117"/>
      <c r="B483" s="117"/>
    </row>
    <row r="484">
      <c r="A484" s="117"/>
      <c r="B484" s="117"/>
    </row>
    <row r="485">
      <c r="A485" s="117"/>
      <c r="B485" s="117"/>
    </row>
    <row r="486">
      <c r="A486" s="117"/>
      <c r="B486" s="117"/>
    </row>
    <row r="487">
      <c r="A487" s="117"/>
      <c r="B487" s="117"/>
    </row>
    <row r="488">
      <c r="A488" s="117"/>
      <c r="B488" s="117"/>
    </row>
    <row r="489">
      <c r="A489" s="117"/>
      <c r="B489" s="117"/>
    </row>
    <row r="490">
      <c r="A490" s="117"/>
      <c r="B490" s="117"/>
    </row>
    <row r="491">
      <c r="A491" s="117"/>
      <c r="B491" s="117"/>
    </row>
    <row r="492">
      <c r="A492" s="117"/>
      <c r="B492" s="117"/>
    </row>
    <row r="493">
      <c r="A493" s="117"/>
      <c r="B493" s="117"/>
    </row>
    <row r="494">
      <c r="A494" s="117"/>
      <c r="B494" s="117"/>
    </row>
    <row r="495">
      <c r="A495" s="117"/>
      <c r="B495" s="117"/>
    </row>
    <row r="496">
      <c r="A496" s="117"/>
      <c r="B496" s="117"/>
    </row>
    <row r="497">
      <c r="A497" s="117"/>
      <c r="B497" s="117"/>
    </row>
    <row r="498">
      <c r="A498" s="117"/>
      <c r="B498" s="117"/>
    </row>
    <row r="499">
      <c r="A499" s="117"/>
      <c r="B499" s="117"/>
    </row>
    <row r="500">
      <c r="A500" s="117"/>
      <c r="B500" s="117"/>
    </row>
    <row r="501">
      <c r="A501" s="117"/>
      <c r="B501" s="117"/>
    </row>
    <row r="502">
      <c r="A502" s="117"/>
      <c r="B502" s="117"/>
    </row>
    <row r="503">
      <c r="A503" s="117"/>
      <c r="B503" s="117"/>
    </row>
    <row r="504">
      <c r="A504" s="117"/>
      <c r="B504" s="117"/>
    </row>
    <row r="505">
      <c r="A505" s="117"/>
      <c r="B505" s="117"/>
    </row>
    <row r="506">
      <c r="A506" s="117"/>
      <c r="B506" s="117"/>
    </row>
    <row r="507">
      <c r="A507" s="117"/>
      <c r="B507" s="117"/>
    </row>
    <row r="508">
      <c r="A508" s="117"/>
      <c r="B508" s="117"/>
    </row>
    <row r="509">
      <c r="A509" s="117"/>
      <c r="B509" s="117"/>
    </row>
    <row r="510">
      <c r="A510" s="117"/>
      <c r="B510" s="117"/>
    </row>
    <row r="511">
      <c r="A511" s="117"/>
      <c r="B511" s="117"/>
    </row>
    <row r="512">
      <c r="A512" s="117"/>
      <c r="B512" s="117"/>
    </row>
    <row r="513">
      <c r="A513" s="117"/>
      <c r="B513" s="117"/>
    </row>
    <row r="514">
      <c r="A514" s="117"/>
      <c r="B514" s="117"/>
    </row>
    <row r="515">
      <c r="A515" s="117"/>
      <c r="B515" s="117"/>
    </row>
    <row r="516">
      <c r="A516" s="117"/>
      <c r="B516" s="117"/>
    </row>
    <row r="517">
      <c r="A517" s="117"/>
      <c r="B517" s="117"/>
    </row>
    <row r="518">
      <c r="A518" s="117"/>
      <c r="B518" s="117"/>
    </row>
    <row r="519">
      <c r="A519" s="117"/>
      <c r="B519" s="117"/>
    </row>
    <row r="520">
      <c r="A520" s="117"/>
      <c r="B520" s="117"/>
    </row>
    <row r="521">
      <c r="A521" s="117"/>
      <c r="B521" s="117"/>
    </row>
    <row r="522">
      <c r="A522" s="117"/>
      <c r="B522" s="117"/>
    </row>
    <row r="523">
      <c r="A523" s="117"/>
      <c r="B523" s="117"/>
    </row>
    <row r="524">
      <c r="A524" s="117"/>
      <c r="B524" s="117"/>
    </row>
    <row r="525">
      <c r="A525" s="117"/>
      <c r="B525" s="117"/>
    </row>
    <row r="526">
      <c r="A526" s="117"/>
      <c r="B526" s="117"/>
    </row>
    <row r="527">
      <c r="A527" s="117"/>
      <c r="B527" s="117"/>
    </row>
    <row r="528">
      <c r="A528" s="117"/>
      <c r="B528" s="117"/>
    </row>
    <row r="529">
      <c r="A529" s="117"/>
      <c r="B529" s="117"/>
    </row>
    <row r="530">
      <c r="A530" s="117"/>
      <c r="B530" s="117"/>
    </row>
    <row r="531">
      <c r="A531" s="117"/>
      <c r="B531" s="117"/>
    </row>
    <row r="532">
      <c r="A532" s="117"/>
      <c r="B532" s="117"/>
    </row>
    <row r="533">
      <c r="A533" s="117"/>
      <c r="B533" s="117"/>
    </row>
    <row r="534">
      <c r="A534" s="117"/>
      <c r="B534" s="117"/>
    </row>
    <row r="535">
      <c r="A535" s="117"/>
      <c r="B535" s="117"/>
    </row>
    <row r="536">
      <c r="A536" s="117"/>
      <c r="B536" s="117"/>
    </row>
    <row r="537">
      <c r="A537" s="117"/>
      <c r="B537" s="117"/>
    </row>
    <row r="538">
      <c r="A538" s="117"/>
      <c r="B538" s="117"/>
    </row>
    <row r="539">
      <c r="A539" s="117"/>
      <c r="B539" s="117"/>
    </row>
    <row r="540">
      <c r="A540" s="117"/>
      <c r="B540" s="117"/>
    </row>
    <row r="541">
      <c r="A541" s="117"/>
      <c r="B541" s="117"/>
    </row>
    <row r="542">
      <c r="A542" s="117"/>
      <c r="B542" s="117"/>
    </row>
    <row r="543">
      <c r="A543" s="117"/>
      <c r="B543" s="117"/>
    </row>
    <row r="544">
      <c r="A544" s="117"/>
      <c r="B544" s="117"/>
    </row>
    <row r="545">
      <c r="A545" s="117"/>
      <c r="B545" s="117"/>
    </row>
    <row r="546">
      <c r="A546" s="117"/>
      <c r="B546" s="117"/>
    </row>
    <row r="547">
      <c r="A547" s="117"/>
      <c r="B547" s="117"/>
    </row>
    <row r="548">
      <c r="A548" s="117"/>
      <c r="B548" s="117"/>
    </row>
    <row r="549">
      <c r="A549" s="117"/>
      <c r="B549" s="117"/>
    </row>
    <row r="550">
      <c r="A550" s="117"/>
      <c r="B550" s="117"/>
    </row>
    <row r="551">
      <c r="A551" s="117"/>
      <c r="B551" s="117"/>
    </row>
    <row r="552">
      <c r="A552" s="117"/>
      <c r="B552" s="117"/>
    </row>
    <row r="553">
      <c r="A553" s="117"/>
      <c r="B553" s="117"/>
    </row>
    <row r="554">
      <c r="A554" s="117"/>
      <c r="B554" s="117"/>
    </row>
    <row r="555">
      <c r="A555" s="117"/>
      <c r="B555" s="117"/>
    </row>
    <row r="556">
      <c r="A556" s="117"/>
      <c r="B556" s="117"/>
    </row>
    <row r="557">
      <c r="A557" s="117"/>
      <c r="B557" s="117"/>
    </row>
    <row r="558">
      <c r="A558" s="117"/>
      <c r="B558" s="117"/>
    </row>
    <row r="559">
      <c r="A559" s="117"/>
      <c r="B559" s="117"/>
    </row>
    <row r="560">
      <c r="A560" s="117"/>
      <c r="B560" s="117"/>
    </row>
    <row r="561">
      <c r="A561" s="117"/>
      <c r="B561" s="117"/>
    </row>
    <row r="562">
      <c r="A562" s="117"/>
      <c r="B562" s="117"/>
    </row>
    <row r="563">
      <c r="A563" s="117"/>
      <c r="B563" s="117"/>
    </row>
    <row r="564">
      <c r="A564" s="117"/>
      <c r="B564" s="117"/>
    </row>
    <row r="565">
      <c r="A565" s="117"/>
      <c r="B565" s="117"/>
    </row>
    <row r="566">
      <c r="A566" s="117"/>
      <c r="B566" s="117"/>
    </row>
    <row r="567">
      <c r="A567" s="117"/>
      <c r="B567" s="117"/>
    </row>
    <row r="568">
      <c r="A568" s="117"/>
      <c r="B568" s="117"/>
    </row>
    <row r="569">
      <c r="A569" s="117"/>
      <c r="B569" s="117"/>
    </row>
    <row r="570">
      <c r="A570" s="117"/>
      <c r="B570" s="117"/>
    </row>
    <row r="571">
      <c r="A571" s="117"/>
      <c r="B571" s="117"/>
    </row>
    <row r="572">
      <c r="A572" s="117"/>
      <c r="B572" s="117"/>
    </row>
    <row r="573">
      <c r="A573" s="117"/>
      <c r="B573" s="117"/>
    </row>
    <row r="574">
      <c r="A574" s="117"/>
      <c r="B574" s="117"/>
    </row>
    <row r="575">
      <c r="A575" s="117"/>
      <c r="B575" s="117"/>
    </row>
    <row r="576">
      <c r="A576" s="117"/>
      <c r="B576" s="117"/>
    </row>
    <row r="577">
      <c r="A577" s="117"/>
      <c r="B577" s="117"/>
    </row>
    <row r="578">
      <c r="A578" s="117"/>
      <c r="B578" s="117"/>
    </row>
    <row r="579">
      <c r="A579" s="117"/>
      <c r="B579" s="117"/>
    </row>
    <row r="580">
      <c r="A580" s="117"/>
      <c r="B580" s="117"/>
    </row>
    <row r="581">
      <c r="A581" s="117"/>
      <c r="B581" s="117"/>
    </row>
    <row r="582">
      <c r="A582" s="117"/>
      <c r="B582" s="117"/>
    </row>
    <row r="583">
      <c r="A583" s="117"/>
      <c r="B583" s="117"/>
    </row>
    <row r="584">
      <c r="A584" s="117"/>
      <c r="B584" s="117"/>
    </row>
    <row r="585">
      <c r="A585" s="117"/>
      <c r="B585" s="117"/>
    </row>
    <row r="586">
      <c r="A586" s="117"/>
      <c r="B586" s="117"/>
    </row>
    <row r="587">
      <c r="A587" s="117"/>
      <c r="B587" s="117"/>
    </row>
    <row r="588">
      <c r="A588" s="117"/>
      <c r="B588" s="117"/>
    </row>
    <row r="589">
      <c r="A589" s="117"/>
      <c r="B589" s="117"/>
    </row>
    <row r="590">
      <c r="A590" s="117"/>
      <c r="B590" s="117"/>
    </row>
    <row r="591">
      <c r="A591" s="117"/>
      <c r="B591" s="117"/>
    </row>
    <row r="592">
      <c r="A592" s="117"/>
      <c r="B592" s="117"/>
    </row>
    <row r="593">
      <c r="A593" s="117"/>
      <c r="B593" s="117"/>
    </row>
    <row r="594">
      <c r="A594" s="117"/>
      <c r="B594" s="117"/>
    </row>
    <row r="595">
      <c r="A595" s="117"/>
      <c r="B595" s="117"/>
    </row>
    <row r="596">
      <c r="A596" s="117"/>
      <c r="B596" s="117"/>
    </row>
    <row r="597">
      <c r="A597" s="117"/>
      <c r="B597" s="117"/>
    </row>
    <row r="598">
      <c r="A598" s="117"/>
      <c r="B598" s="117"/>
    </row>
    <row r="599">
      <c r="A599" s="117"/>
      <c r="B599" s="117"/>
    </row>
    <row r="600">
      <c r="A600" s="117"/>
      <c r="B600" s="117"/>
    </row>
    <row r="601">
      <c r="A601" s="117"/>
      <c r="B601" s="117"/>
    </row>
    <row r="602">
      <c r="A602" s="117"/>
      <c r="B602" s="117"/>
    </row>
    <row r="603">
      <c r="A603" s="117"/>
      <c r="B603" s="117"/>
    </row>
    <row r="604">
      <c r="A604" s="117"/>
      <c r="B604" s="117"/>
    </row>
    <row r="605">
      <c r="A605" s="117"/>
      <c r="B605" s="117"/>
    </row>
    <row r="606">
      <c r="A606" s="117"/>
      <c r="B606" s="117"/>
    </row>
    <row r="607">
      <c r="A607" s="117"/>
      <c r="B607" s="117"/>
    </row>
    <row r="608">
      <c r="A608" s="117"/>
      <c r="B608" s="117"/>
    </row>
    <row r="609">
      <c r="A609" s="117"/>
      <c r="B609" s="117"/>
    </row>
    <row r="610">
      <c r="A610" s="117"/>
      <c r="B610" s="117"/>
    </row>
    <row r="611">
      <c r="A611" s="117"/>
      <c r="B611" s="117"/>
    </row>
    <row r="612">
      <c r="A612" s="117"/>
      <c r="B612" s="117"/>
    </row>
    <row r="613">
      <c r="A613" s="117"/>
      <c r="B613" s="117"/>
    </row>
    <row r="614">
      <c r="A614" s="117"/>
      <c r="B614" s="117"/>
    </row>
    <row r="615">
      <c r="A615" s="117"/>
      <c r="B615" s="117"/>
    </row>
    <row r="616">
      <c r="A616" s="117"/>
      <c r="B616" s="117"/>
    </row>
    <row r="617">
      <c r="A617" s="117"/>
      <c r="B617" s="117"/>
    </row>
    <row r="618">
      <c r="A618" s="117"/>
      <c r="B618" s="117"/>
    </row>
    <row r="619">
      <c r="A619" s="117"/>
      <c r="B619" s="117"/>
    </row>
    <row r="620">
      <c r="A620" s="117"/>
      <c r="B620" s="117"/>
    </row>
    <row r="621">
      <c r="A621" s="117"/>
      <c r="B621" s="117"/>
    </row>
    <row r="622">
      <c r="A622" s="117"/>
      <c r="B622" s="117"/>
    </row>
    <row r="623">
      <c r="A623" s="117"/>
      <c r="B623" s="117"/>
    </row>
    <row r="624">
      <c r="A624" s="117"/>
      <c r="B624" s="117"/>
    </row>
    <row r="625">
      <c r="A625" s="117"/>
      <c r="B625" s="117"/>
    </row>
    <row r="626">
      <c r="A626" s="117"/>
      <c r="B626" s="117"/>
    </row>
    <row r="627">
      <c r="A627" s="117"/>
      <c r="B627" s="117"/>
    </row>
    <row r="628">
      <c r="A628" s="117"/>
      <c r="B628" s="117"/>
    </row>
    <row r="629">
      <c r="A629" s="117"/>
      <c r="B629" s="117"/>
    </row>
    <row r="630">
      <c r="A630" s="117"/>
      <c r="B630" s="117"/>
    </row>
    <row r="631">
      <c r="A631" s="117"/>
      <c r="B631" s="117"/>
    </row>
    <row r="632">
      <c r="A632" s="117"/>
      <c r="B632" s="117"/>
    </row>
    <row r="633">
      <c r="A633" s="117"/>
      <c r="B633" s="117"/>
    </row>
    <row r="634">
      <c r="A634" s="117"/>
      <c r="B634" s="117"/>
    </row>
    <row r="635">
      <c r="A635" s="117"/>
      <c r="B635" s="117"/>
    </row>
    <row r="636">
      <c r="A636" s="117"/>
      <c r="B636" s="117"/>
    </row>
    <row r="637">
      <c r="A637" s="117"/>
      <c r="B637" s="117"/>
    </row>
    <row r="638">
      <c r="A638" s="117"/>
      <c r="B638" s="117"/>
    </row>
    <row r="639">
      <c r="A639" s="117"/>
      <c r="B639" s="117"/>
    </row>
    <row r="640">
      <c r="A640" s="117"/>
      <c r="B640" s="117"/>
    </row>
    <row r="641">
      <c r="A641" s="117"/>
      <c r="B641" s="117"/>
    </row>
    <row r="642">
      <c r="A642" s="117"/>
      <c r="B642" s="117"/>
    </row>
    <row r="643">
      <c r="A643" s="117"/>
      <c r="B643" s="117"/>
    </row>
    <row r="644">
      <c r="A644" s="117"/>
      <c r="B644" s="117"/>
    </row>
    <row r="645">
      <c r="A645" s="117"/>
      <c r="B645" s="117"/>
    </row>
    <row r="646">
      <c r="A646" s="117"/>
      <c r="B646" s="117"/>
    </row>
    <row r="647">
      <c r="A647" s="117"/>
      <c r="B647" s="117"/>
    </row>
    <row r="648">
      <c r="A648" s="117"/>
      <c r="B648" s="117"/>
    </row>
    <row r="649">
      <c r="A649" s="117"/>
      <c r="B649" s="117"/>
    </row>
    <row r="650">
      <c r="A650" s="117"/>
      <c r="B650" s="117"/>
    </row>
    <row r="651">
      <c r="A651" s="117"/>
      <c r="B651" s="117"/>
    </row>
    <row r="652">
      <c r="A652" s="117"/>
      <c r="B652" s="117"/>
    </row>
    <row r="653">
      <c r="A653" s="117"/>
      <c r="B653" s="117"/>
    </row>
    <row r="654">
      <c r="A654" s="117"/>
      <c r="B654" s="117"/>
    </row>
    <row r="655">
      <c r="A655" s="117"/>
      <c r="B655" s="117"/>
    </row>
    <row r="656">
      <c r="A656" s="117"/>
      <c r="B656" s="117"/>
    </row>
    <row r="657">
      <c r="A657" s="117"/>
      <c r="B657" s="117"/>
    </row>
    <row r="658">
      <c r="A658" s="117"/>
      <c r="B658" s="117"/>
    </row>
    <row r="659">
      <c r="A659" s="117"/>
      <c r="B659" s="117"/>
    </row>
    <row r="660">
      <c r="A660" s="117"/>
      <c r="B660" s="117"/>
    </row>
    <row r="661">
      <c r="A661" s="117"/>
      <c r="B661" s="117"/>
    </row>
    <row r="662">
      <c r="A662" s="117"/>
      <c r="B662" s="117"/>
    </row>
    <row r="663">
      <c r="A663" s="117"/>
      <c r="B663" s="117"/>
    </row>
    <row r="664">
      <c r="A664" s="117"/>
      <c r="B664" s="117"/>
    </row>
    <row r="665">
      <c r="A665" s="117"/>
      <c r="B665" s="117"/>
    </row>
    <row r="666">
      <c r="A666" s="117"/>
      <c r="B666" s="117"/>
    </row>
    <row r="667">
      <c r="A667" s="117"/>
      <c r="B667" s="117"/>
    </row>
    <row r="668">
      <c r="A668" s="117"/>
      <c r="B668" s="117"/>
    </row>
    <row r="669">
      <c r="A669" s="117"/>
      <c r="B669" s="117"/>
    </row>
    <row r="670">
      <c r="A670" s="117"/>
      <c r="B670" s="117"/>
    </row>
    <row r="671">
      <c r="A671" s="117"/>
      <c r="B671" s="117"/>
    </row>
    <row r="672">
      <c r="A672" s="117"/>
      <c r="B672" s="117"/>
    </row>
    <row r="673">
      <c r="A673" s="117"/>
      <c r="B673" s="117"/>
    </row>
    <row r="674">
      <c r="A674" s="117"/>
      <c r="B674" s="117"/>
    </row>
    <row r="675">
      <c r="A675" s="117"/>
      <c r="B675" s="117"/>
    </row>
    <row r="676">
      <c r="A676" s="117"/>
      <c r="B676" s="117"/>
    </row>
    <row r="677">
      <c r="A677" s="117"/>
      <c r="B677" s="117"/>
    </row>
    <row r="678">
      <c r="A678" s="117"/>
      <c r="B678" s="117"/>
    </row>
    <row r="679">
      <c r="A679" s="117"/>
      <c r="B679" s="117"/>
    </row>
    <row r="680">
      <c r="A680" s="117"/>
      <c r="B680" s="117"/>
    </row>
    <row r="681">
      <c r="A681" s="117"/>
      <c r="B681" s="117"/>
    </row>
    <row r="682">
      <c r="A682" s="117"/>
      <c r="B682" s="117"/>
    </row>
    <row r="683">
      <c r="A683" s="117"/>
      <c r="B683" s="117"/>
    </row>
    <row r="684">
      <c r="A684" s="117"/>
      <c r="B684" s="117"/>
    </row>
    <row r="685">
      <c r="A685" s="117"/>
      <c r="B685" s="117"/>
    </row>
    <row r="686">
      <c r="A686" s="117"/>
      <c r="B686" s="117"/>
    </row>
    <row r="687">
      <c r="A687" s="117"/>
      <c r="B687" s="117"/>
    </row>
    <row r="688">
      <c r="A688" s="117"/>
      <c r="B688" s="117"/>
    </row>
    <row r="689">
      <c r="A689" s="117"/>
      <c r="B689" s="117"/>
    </row>
    <row r="690">
      <c r="A690" s="117"/>
      <c r="B690" s="117"/>
    </row>
    <row r="691">
      <c r="A691" s="117"/>
      <c r="B691" s="117"/>
    </row>
    <row r="692">
      <c r="A692" s="117"/>
      <c r="B692" s="117"/>
    </row>
    <row r="693">
      <c r="A693" s="117"/>
      <c r="B693" s="117"/>
    </row>
    <row r="694">
      <c r="A694" s="117"/>
      <c r="B694" s="117"/>
    </row>
    <row r="695">
      <c r="A695" s="117"/>
      <c r="B695" s="117"/>
    </row>
    <row r="696">
      <c r="A696" s="117"/>
      <c r="B696" s="117"/>
    </row>
    <row r="697">
      <c r="A697" s="117"/>
      <c r="B697" s="117"/>
    </row>
    <row r="698">
      <c r="A698" s="117"/>
      <c r="B698" s="117"/>
    </row>
    <row r="699">
      <c r="A699" s="117"/>
      <c r="B699" s="117"/>
    </row>
    <row r="700">
      <c r="A700" s="117"/>
      <c r="B700" s="117"/>
    </row>
    <row r="701">
      <c r="A701" s="117"/>
      <c r="B701" s="117"/>
    </row>
    <row r="702">
      <c r="A702" s="117"/>
      <c r="B702" s="117"/>
    </row>
    <row r="703">
      <c r="A703" s="117"/>
      <c r="B703" s="117"/>
    </row>
    <row r="704">
      <c r="A704" s="117"/>
      <c r="B704" s="117"/>
    </row>
    <row r="705">
      <c r="A705" s="117"/>
      <c r="B705" s="117"/>
    </row>
    <row r="706">
      <c r="A706" s="117"/>
      <c r="B706" s="117"/>
    </row>
    <row r="707">
      <c r="A707" s="117"/>
      <c r="B707" s="117"/>
    </row>
    <row r="708">
      <c r="A708" s="117"/>
      <c r="B708" s="117"/>
    </row>
    <row r="709">
      <c r="A709" s="117"/>
      <c r="B709" s="117"/>
    </row>
    <row r="710">
      <c r="A710" s="117"/>
      <c r="B710" s="117"/>
    </row>
    <row r="711">
      <c r="A711" s="117"/>
      <c r="B711" s="117"/>
    </row>
    <row r="712">
      <c r="A712" s="117"/>
      <c r="B712" s="117"/>
    </row>
    <row r="713">
      <c r="A713" s="117"/>
      <c r="B713" s="117"/>
    </row>
    <row r="714">
      <c r="A714" s="117"/>
      <c r="B714" s="117"/>
    </row>
    <row r="715">
      <c r="A715" s="117"/>
      <c r="B715" s="117"/>
    </row>
    <row r="716">
      <c r="A716" s="117"/>
      <c r="B716" s="117"/>
    </row>
    <row r="717">
      <c r="A717" s="117"/>
      <c r="B717" s="117"/>
    </row>
    <row r="718">
      <c r="A718" s="117"/>
      <c r="B718" s="117"/>
    </row>
    <row r="719">
      <c r="A719" s="117"/>
      <c r="B719" s="117"/>
    </row>
    <row r="720">
      <c r="A720" s="117"/>
      <c r="B720" s="117"/>
    </row>
    <row r="721">
      <c r="A721" s="117"/>
      <c r="B721" s="117"/>
    </row>
    <row r="722">
      <c r="A722" s="117"/>
      <c r="B722" s="117"/>
    </row>
    <row r="723">
      <c r="A723" s="117"/>
      <c r="B723" s="117"/>
    </row>
    <row r="724">
      <c r="A724" s="117"/>
      <c r="B724" s="117"/>
    </row>
    <row r="725">
      <c r="A725" s="117"/>
      <c r="B725" s="117"/>
    </row>
    <row r="726">
      <c r="A726" s="117"/>
      <c r="B726" s="117"/>
    </row>
    <row r="727">
      <c r="A727" s="117"/>
      <c r="B727" s="117"/>
    </row>
    <row r="728">
      <c r="A728" s="117"/>
      <c r="B728" s="117"/>
    </row>
    <row r="729">
      <c r="A729" s="117"/>
      <c r="B729" s="117"/>
    </row>
    <row r="730">
      <c r="A730" s="117"/>
      <c r="B730" s="117"/>
    </row>
    <row r="731">
      <c r="A731" s="117"/>
      <c r="B731" s="117"/>
    </row>
    <row r="732">
      <c r="A732" s="117"/>
      <c r="B732" s="117"/>
    </row>
    <row r="733">
      <c r="A733" s="117"/>
      <c r="B733" s="117"/>
    </row>
    <row r="734">
      <c r="A734" s="117"/>
      <c r="B734" s="117"/>
    </row>
    <row r="735">
      <c r="A735" s="117"/>
      <c r="B735" s="117"/>
    </row>
    <row r="736">
      <c r="A736" s="117"/>
      <c r="B736" s="117"/>
    </row>
    <row r="737">
      <c r="A737" s="117"/>
      <c r="B737" s="117"/>
    </row>
    <row r="738">
      <c r="A738" s="117"/>
      <c r="B738" s="117"/>
    </row>
    <row r="739">
      <c r="A739" s="117"/>
      <c r="B739" s="117"/>
    </row>
    <row r="740">
      <c r="A740" s="117"/>
      <c r="B740" s="117"/>
    </row>
    <row r="741">
      <c r="A741" s="117"/>
      <c r="B741" s="117"/>
    </row>
    <row r="742">
      <c r="A742" s="117"/>
      <c r="B742" s="117"/>
    </row>
    <row r="743">
      <c r="A743" s="117"/>
      <c r="B743" s="117"/>
    </row>
    <row r="744">
      <c r="A744" s="117"/>
      <c r="B744" s="117"/>
    </row>
    <row r="745">
      <c r="A745" s="117"/>
      <c r="B745" s="117"/>
    </row>
    <row r="746">
      <c r="A746" s="117"/>
      <c r="B746" s="117"/>
    </row>
    <row r="747">
      <c r="A747" s="117"/>
      <c r="B747" s="117"/>
    </row>
    <row r="748">
      <c r="A748" s="117"/>
      <c r="B748" s="117"/>
    </row>
    <row r="749">
      <c r="A749" s="117"/>
      <c r="B749" s="117"/>
    </row>
    <row r="750">
      <c r="A750" s="117"/>
      <c r="B750" s="117"/>
    </row>
    <row r="751">
      <c r="A751" s="117"/>
      <c r="B751" s="117"/>
    </row>
    <row r="752">
      <c r="A752" s="117"/>
      <c r="B752" s="117"/>
    </row>
    <row r="753">
      <c r="A753" s="117"/>
      <c r="B753" s="117"/>
    </row>
    <row r="754">
      <c r="A754" s="117"/>
      <c r="B754" s="117"/>
    </row>
    <row r="755">
      <c r="A755" s="117"/>
      <c r="B755" s="117"/>
    </row>
    <row r="756">
      <c r="A756" s="117"/>
      <c r="B756" s="117"/>
    </row>
    <row r="757">
      <c r="A757" s="117"/>
      <c r="B757" s="117"/>
    </row>
    <row r="758">
      <c r="A758" s="117"/>
      <c r="B758" s="117"/>
    </row>
    <row r="759">
      <c r="A759" s="117"/>
      <c r="B759" s="117"/>
    </row>
    <row r="760">
      <c r="A760" s="117"/>
      <c r="B760" s="117"/>
    </row>
    <row r="761">
      <c r="A761" s="117"/>
      <c r="B761" s="117"/>
    </row>
    <row r="762">
      <c r="A762" s="117"/>
      <c r="B762" s="117"/>
    </row>
    <row r="763">
      <c r="A763" s="117"/>
      <c r="B763" s="117"/>
    </row>
    <row r="764">
      <c r="A764" s="117"/>
      <c r="B764" s="117"/>
    </row>
    <row r="765">
      <c r="A765" s="117"/>
      <c r="B765" s="117"/>
    </row>
    <row r="766">
      <c r="A766" s="117"/>
      <c r="B766" s="117"/>
    </row>
    <row r="767">
      <c r="A767" s="117"/>
      <c r="B767" s="117"/>
    </row>
    <row r="768">
      <c r="A768" s="117"/>
      <c r="B768" s="117"/>
    </row>
    <row r="769">
      <c r="A769" s="117"/>
      <c r="B769" s="117"/>
    </row>
    <row r="770">
      <c r="A770" s="117"/>
      <c r="B770" s="117"/>
    </row>
    <row r="771">
      <c r="A771" s="117"/>
      <c r="B771" s="117"/>
    </row>
    <row r="772">
      <c r="A772" s="117"/>
      <c r="B772" s="117"/>
    </row>
    <row r="773">
      <c r="A773" s="117"/>
      <c r="B773" s="117"/>
    </row>
    <row r="774">
      <c r="A774" s="117"/>
      <c r="B774" s="117"/>
    </row>
    <row r="775">
      <c r="A775" s="117"/>
      <c r="B775" s="117"/>
    </row>
    <row r="776">
      <c r="A776" s="117"/>
      <c r="B776" s="117"/>
    </row>
    <row r="777">
      <c r="A777" s="117"/>
      <c r="B777" s="117"/>
    </row>
    <row r="778">
      <c r="A778" s="117"/>
      <c r="B778" s="117"/>
    </row>
    <row r="779">
      <c r="A779" s="117"/>
      <c r="B779" s="117"/>
    </row>
    <row r="780">
      <c r="A780" s="117"/>
      <c r="B780" s="117"/>
    </row>
    <row r="781">
      <c r="A781" s="117"/>
      <c r="B781" s="117"/>
    </row>
    <row r="782">
      <c r="A782" s="117"/>
      <c r="B782" s="117"/>
    </row>
    <row r="783">
      <c r="A783" s="117"/>
      <c r="B783" s="117"/>
    </row>
    <row r="784">
      <c r="A784" s="117"/>
      <c r="B784" s="117"/>
    </row>
    <row r="785">
      <c r="A785" s="117"/>
      <c r="B785" s="117"/>
    </row>
    <row r="786">
      <c r="A786" s="117"/>
      <c r="B786" s="117"/>
    </row>
    <row r="787">
      <c r="A787" s="117"/>
      <c r="B787" s="117"/>
    </row>
    <row r="788">
      <c r="A788" s="117"/>
      <c r="B788" s="117"/>
    </row>
    <row r="789">
      <c r="A789" s="117"/>
      <c r="B789" s="117"/>
    </row>
    <row r="790">
      <c r="A790" s="117"/>
      <c r="B790" s="117"/>
    </row>
    <row r="791">
      <c r="A791" s="117"/>
      <c r="B791" s="117"/>
    </row>
    <row r="792">
      <c r="A792" s="117"/>
      <c r="B792" s="117"/>
    </row>
    <row r="793">
      <c r="A793" s="117"/>
      <c r="B793" s="117"/>
    </row>
    <row r="794">
      <c r="A794" s="117"/>
      <c r="B794" s="117"/>
    </row>
    <row r="795">
      <c r="A795" s="117"/>
      <c r="B795" s="117"/>
    </row>
    <row r="796">
      <c r="A796" s="117"/>
      <c r="B796" s="117"/>
    </row>
    <row r="797">
      <c r="A797" s="117"/>
      <c r="B797" s="117"/>
    </row>
    <row r="798">
      <c r="A798" s="117"/>
      <c r="B798" s="117"/>
    </row>
    <row r="799">
      <c r="A799" s="117"/>
      <c r="B799" s="117"/>
    </row>
    <row r="800">
      <c r="A800" s="117"/>
      <c r="B800" s="117"/>
    </row>
    <row r="801">
      <c r="A801" s="117"/>
      <c r="B801" s="117"/>
    </row>
    <row r="802">
      <c r="A802" s="117"/>
      <c r="B802" s="117"/>
    </row>
    <row r="803">
      <c r="A803" s="117"/>
      <c r="B803" s="117"/>
    </row>
    <row r="804">
      <c r="A804" s="117"/>
      <c r="B804" s="117"/>
    </row>
    <row r="805">
      <c r="A805" s="117"/>
      <c r="B805" s="117"/>
    </row>
    <row r="806">
      <c r="A806" s="117"/>
      <c r="B806" s="117"/>
    </row>
    <row r="807">
      <c r="A807" s="117"/>
      <c r="B807" s="117"/>
    </row>
    <row r="808">
      <c r="A808" s="117"/>
      <c r="B808" s="117"/>
    </row>
    <row r="809">
      <c r="A809" s="117"/>
      <c r="B809" s="117"/>
    </row>
    <row r="810">
      <c r="A810" s="117"/>
      <c r="B810" s="117"/>
    </row>
    <row r="811">
      <c r="A811" s="117"/>
      <c r="B811" s="117"/>
    </row>
    <row r="812">
      <c r="A812" s="117"/>
      <c r="B812" s="117"/>
    </row>
    <row r="813">
      <c r="A813" s="117"/>
      <c r="B813" s="117"/>
    </row>
    <row r="814">
      <c r="A814" s="117"/>
      <c r="B814" s="117"/>
    </row>
    <row r="815">
      <c r="A815" s="117"/>
      <c r="B815" s="117"/>
    </row>
    <row r="816">
      <c r="A816" s="117"/>
      <c r="B816" s="117"/>
    </row>
    <row r="817">
      <c r="A817" s="117"/>
      <c r="B817" s="117"/>
    </row>
    <row r="818">
      <c r="A818" s="117"/>
      <c r="B818" s="117"/>
    </row>
    <row r="819">
      <c r="A819" s="117"/>
      <c r="B819" s="117"/>
    </row>
    <row r="820">
      <c r="A820" s="117"/>
      <c r="B820" s="117"/>
    </row>
    <row r="821">
      <c r="A821" s="117"/>
      <c r="B821" s="117"/>
    </row>
    <row r="822">
      <c r="A822" s="117"/>
      <c r="B822" s="117"/>
    </row>
    <row r="823">
      <c r="A823" s="117"/>
      <c r="B823" s="117"/>
    </row>
    <row r="824">
      <c r="A824" s="117"/>
      <c r="B824" s="117"/>
    </row>
    <row r="825">
      <c r="A825" s="117"/>
      <c r="B825" s="117"/>
    </row>
    <row r="826">
      <c r="A826" s="117"/>
      <c r="B826" s="117"/>
    </row>
    <row r="827">
      <c r="A827" s="117"/>
      <c r="B827" s="117"/>
    </row>
    <row r="828">
      <c r="A828" s="117"/>
      <c r="B828" s="117"/>
    </row>
    <row r="829">
      <c r="A829" s="117"/>
      <c r="B829" s="117"/>
    </row>
    <row r="830">
      <c r="A830" s="117"/>
      <c r="B830" s="117"/>
    </row>
    <row r="831">
      <c r="A831" s="117"/>
      <c r="B831" s="117"/>
    </row>
    <row r="832">
      <c r="A832" s="117"/>
      <c r="B832" s="117"/>
    </row>
    <row r="833">
      <c r="A833" s="117"/>
      <c r="B833" s="117"/>
    </row>
    <row r="834">
      <c r="A834" s="117"/>
      <c r="B834" s="117"/>
    </row>
    <row r="835">
      <c r="A835" s="117"/>
      <c r="B835" s="117"/>
    </row>
    <row r="836">
      <c r="A836" s="117"/>
      <c r="B836" s="117"/>
    </row>
    <row r="837">
      <c r="A837" s="117"/>
      <c r="B837" s="117"/>
    </row>
    <row r="838">
      <c r="A838" s="117"/>
      <c r="B838" s="117"/>
    </row>
    <row r="839">
      <c r="A839" s="117"/>
      <c r="B839" s="117"/>
    </row>
    <row r="840">
      <c r="A840" s="117"/>
      <c r="B840" s="117"/>
    </row>
    <row r="841">
      <c r="A841" s="117"/>
      <c r="B841" s="117"/>
    </row>
    <row r="842">
      <c r="A842" s="117"/>
      <c r="B842" s="117"/>
    </row>
    <row r="843">
      <c r="A843" s="117"/>
      <c r="B843" s="117"/>
    </row>
    <row r="844">
      <c r="A844" s="117"/>
      <c r="B844" s="117"/>
    </row>
    <row r="845">
      <c r="A845" s="117"/>
      <c r="B845" s="117"/>
    </row>
    <row r="846">
      <c r="A846" s="117"/>
      <c r="B846" s="117"/>
    </row>
    <row r="847">
      <c r="A847" s="117"/>
      <c r="B847" s="117"/>
    </row>
    <row r="848">
      <c r="A848" s="117"/>
      <c r="B848" s="117"/>
    </row>
    <row r="849">
      <c r="A849" s="117"/>
      <c r="B849" s="117"/>
    </row>
    <row r="850">
      <c r="A850" s="117"/>
      <c r="B850" s="117"/>
    </row>
    <row r="851">
      <c r="A851" s="117"/>
      <c r="B851" s="117"/>
    </row>
    <row r="852">
      <c r="A852" s="117"/>
      <c r="B852" s="117"/>
    </row>
    <row r="853">
      <c r="A853" s="117"/>
      <c r="B853" s="117"/>
    </row>
    <row r="854">
      <c r="A854" s="117"/>
      <c r="B854" s="117"/>
    </row>
    <row r="855">
      <c r="A855" s="117"/>
      <c r="B855" s="117"/>
    </row>
    <row r="856">
      <c r="A856" s="117"/>
      <c r="B856" s="117"/>
    </row>
    <row r="857">
      <c r="A857" s="117"/>
      <c r="B857" s="117"/>
    </row>
    <row r="858">
      <c r="A858" s="117"/>
      <c r="B858" s="117"/>
    </row>
    <row r="859">
      <c r="A859" s="117"/>
      <c r="B859" s="117"/>
    </row>
    <row r="860">
      <c r="A860" s="117"/>
      <c r="B860" s="117"/>
    </row>
    <row r="861">
      <c r="A861" s="117"/>
      <c r="B861" s="117"/>
    </row>
    <row r="862">
      <c r="A862" s="117"/>
      <c r="B862" s="117"/>
    </row>
    <row r="863">
      <c r="A863" s="117"/>
      <c r="B863" s="117"/>
    </row>
    <row r="864">
      <c r="A864" s="117"/>
      <c r="B864" s="117"/>
    </row>
    <row r="865">
      <c r="A865" s="117"/>
      <c r="B865" s="117"/>
    </row>
    <row r="866">
      <c r="A866" s="117"/>
      <c r="B866" s="117"/>
    </row>
    <row r="867">
      <c r="A867" s="117"/>
      <c r="B867" s="117"/>
    </row>
    <row r="868">
      <c r="A868" s="117"/>
      <c r="B868" s="117"/>
    </row>
    <row r="869">
      <c r="A869" s="117"/>
      <c r="B869" s="117"/>
    </row>
    <row r="870">
      <c r="A870" s="117"/>
      <c r="B870" s="117"/>
    </row>
    <row r="871">
      <c r="A871" s="117"/>
      <c r="B871" s="117"/>
    </row>
    <row r="872">
      <c r="A872" s="117"/>
      <c r="B872" s="117"/>
    </row>
    <row r="873">
      <c r="A873" s="117"/>
      <c r="B873" s="117"/>
    </row>
    <row r="874">
      <c r="A874" s="117"/>
      <c r="B874" s="117"/>
    </row>
    <row r="875">
      <c r="A875" s="117"/>
      <c r="B875" s="117"/>
    </row>
    <row r="876">
      <c r="A876" s="117"/>
      <c r="B876" s="117"/>
    </row>
    <row r="877">
      <c r="A877" s="117"/>
      <c r="B877" s="117"/>
    </row>
    <row r="878">
      <c r="A878" s="117"/>
      <c r="B878" s="117"/>
    </row>
    <row r="879">
      <c r="A879" s="117"/>
      <c r="B879" s="117"/>
    </row>
    <row r="880">
      <c r="A880" s="117"/>
      <c r="B880" s="117"/>
    </row>
    <row r="881">
      <c r="A881" s="117"/>
      <c r="B881" s="117"/>
    </row>
    <row r="882">
      <c r="A882" s="117"/>
      <c r="B882" s="117"/>
    </row>
    <row r="883">
      <c r="A883" s="117"/>
      <c r="B883" s="117"/>
    </row>
    <row r="884">
      <c r="A884" s="117"/>
      <c r="B884" s="117"/>
    </row>
    <row r="885">
      <c r="A885" s="117"/>
      <c r="B885" s="117"/>
    </row>
    <row r="886">
      <c r="A886" s="117"/>
      <c r="B886" s="117"/>
    </row>
    <row r="887">
      <c r="A887" s="117"/>
      <c r="B887" s="117"/>
    </row>
    <row r="888">
      <c r="A888" s="117"/>
      <c r="B888" s="117"/>
    </row>
    <row r="889">
      <c r="A889" s="117"/>
      <c r="B889" s="117"/>
    </row>
    <row r="890">
      <c r="A890" s="117"/>
      <c r="B890" s="117"/>
    </row>
    <row r="891">
      <c r="A891" s="117"/>
      <c r="B891" s="117"/>
    </row>
    <row r="892">
      <c r="A892" s="117"/>
      <c r="B892" s="117"/>
    </row>
    <row r="893">
      <c r="A893" s="117"/>
      <c r="B893" s="117"/>
    </row>
    <row r="894">
      <c r="A894" s="117"/>
      <c r="B894" s="117"/>
    </row>
    <row r="895">
      <c r="A895" s="117"/>
      <c r="B895" s="117"/>
    </row>
    <row r="896">
      <c r="A896" s="117"/>
      <c r="B896" s="117"/>
    </row>
    <row r="897">
      <c r="A897" s="117"/>
      <c r="B897" s="117"/>
    </row>
    <row r="898">
      <c r="A898" s="117"/>
      <c r="B898" s="117"/>
    </row>
    <row r="899">
      <c r="A899" s="117"/>
      <c r="B899" s="117"/>
    </row>
    <row r="900">
      <c r="A900" s="117"/>
      <c r="B900" s="117"/>
    </row>
    <row r="901">
      <c r="A901" s="117"/>
      <c r="B901" s="117"/>
    </row>
    <row r="902">
      <c r="A902" s="117"/>
      <c r="B902" s="117"/>
    </row>
    <row r="903">
      <c r="A903" s="117"/>
      <c r="B903" s="117"/>
    </row>
    <row r="904">
      <c r="A904" s="117"/>
      <c r="B904" s="117"/>
    </row>
    <row r="905">
      <c r="A905" s="117"/>
      <c r="B905" s="117"/>
    </row>
    <row r="906">
      <c r="A906" s="117"/>
      <c r="B906" s="117"/>
    </row>
    <row r="907">
      <c r="A907" s="117"/>
      <c r="B907" s="117"/>
    </row>
    <row r="908">
      <c r="A908" s="117"/>
      <c r="B908" s="117"/>
    </row>
    <row r="909">
      <c r="A909" s="117"/>
      <c r="B909" s="117"/>
    </row>
    <row r="910">
      <c r="A910" s="117"/>
      <c r="B910" s="117"/>
    </row>
    <row r="911">
      <c r="A911" s="117"/>
      <c r="B911" s="117"/>
    </row>
    <row r="912">
      <c r="A912" s="117"/>
      <c r="B912" s="117"/>
    </row>
    <row r="913">
      <c r="A913" s="117"/>
      <c r="B913" s="117"/>
    </row>
    <row r="914">
      <c r="A914" s="117"/>
      <c r="B914" s="117"/>
    </row>
    <row r="915">
      <c r="A915" s="117"/>
      <c r="B915" s="117"/>
    </row>
    <row r="916">
      <c r="A916" s="117"/>
      <c r="B916" s="117"/>
    </row>
    <row r="917">
      <c r="A917" s="117"/>
      <c r="B917" s="117"/>
    </row>
    <row r="918">
      <c r="A918" s="117"/>
      <c r="B918" s="117"/>
    </row>
    <row r="919">
      <c r="A919" s="117"/>
      <c r="B919" s="117"/>
    </row>
    <row r="920">
      <c r="A920" s="117"/>
      <c r="B920" s="117"/>
    </row>
    <row r="921">
      <c r="A921" s="117"/>
      <c r="B921" s="117"/>
    </row>
    <row r="922">
      <c r="A922" s="117"/>
      <c r="B922" s="117"/>
    </row>
    <row r="923">
      <c r="A923" s="117"/>
      <c r="B923" s="117"/>
    </row>
    <row r="924">
      <c r="A924" s="117"/>
      <c r="B924" s="117"/>
    </row>
    <row r="925">
      <c r="A925" s="117"/>
      <c r="B925" s="117"/>
    </row>
    <row r="926">
      <c r="A926" s="117"/>
      <c r="B926" s="117"/>
    </row>
    <row r="927">
      <c r="A927" s="117"/>
      <c r="B927" s="117"/>
    </row>
    <row r="928">
      <c r="A928" s="117"/>
      <c r="B928" s="117"/>
    </row>
    <row r="929">
      <c r="A929" s="117"/>
      <c r="B929" s="117"/>
    </row>
    <row r="930">
      <c r="A930" s="117"/>
      <c r="B930" s="117"/>
    </row>
    <row r="931">
      <c r="A931" s="117"/>
      <c r="B931" s="117"/>
    </row>
    <row r="932">
      <c r="A932" s="117"/>
      <c r="B932" s="117"/>
    </row>
    <row r="933">
      <c r="A933" s="117"/>
      <c r="B933" s="117"/>
    </row>
    <row r="934">
      <c r="A934" s="117"/>
      <c r="B934" s="117"/>
    </row>
    <row r="935">
      <c r="A935" s="117"/>
      <c r="B935" s="117"/>
    </row>
    <row r="936">
      <c r="A936" s="117"/>
      <c r="B936" s="117"/>
    </row>
    <row r="937">
      <c r="A937" s="117"/>
      <c r="B937" s="117"/>
    </row>
    <row r="938">
      <c r="A938" s="117"/>
      <c r="B938" s="117"/>
    </row>
    <row r="939">
      <c r="A939" s="117"/>
      <c r="B939" s="117"/>
    </row>
    <row r="940">
      <c r="A940" s="117"/>
      <c r="B940" s="117"/>
    </row>
    <row r="941">
      <c r="A941" s="117"/>
      <c r="B941" s="117"/>
    </row>
    <row r="942">
      <c r="A942" s="117"/>
      <c r="B942" s="117"/>
    </row>
    <row r="943">
      <c r="A943" s="117"/>
      <c r="B943" s="117"/>
    </row>
    <row r="944">
      <c r="A944" s="117"/>
      <c r="B944" s="117"/>
    </row>
    <row r="945">
      <c r="A945" s="117"/>
      <c r="B945" s="117"/>
    </row>
    <row r="946">
      <c r="A946" s="117"/>
      <c r="B946" s="117"/>
    </row>
    <row r="947">
      <c r="A947" s="117"/>
      <c r="B947" s="117"/>
    </row>
    <row r="948">
      <c r="A948" s="117"/>
      <c r="B948" s="117"/>
    </row>
    <row r="949">
      <c r="A949" s="117"/>
      <c r="B949" s="117"/>
    </row>
    <row r="950">
      <c r="A950" s="117"/>
      <c r="B950" s="117"/>
    </row>
    <row r="951">
      <c r="A951" s="117"/>
      <c r="B951" s="117"/>
    </row>
    <row r="952">
      <c r="A952" s="117"/>
      <c r="B952" s="117"/>
    </row>
    <row r="953">
      <c r="A953" s="117"/>
      <c r="B953" s="117"/>
    </row>
    <row r="954">
      <c r="A954" s="117"/>
      <c r="B954" s="117"/>
    </row>
    <row r="955">
      <c r="A955" s="117"/>
      <c r="B955" s="117"/>
    </row>
    <row r="956">
      <c r="A956" s="117"/>
      <c r="B956" s="117"/>
    </row>
    <row r="957">
      <c r="A957" s="117"/>
      <c r="B957" s="117"/>
    </row>
    <row r="958">
      <c r="A958" s="117"/>
      <c r="B958" s="117"/>
    </row>
    <row r="959">
      <c r="A959" s="117"/>
      <c r="B959" s="117"/>
    </row>
    <row r="960">
      <c r="A960" s="117"/>
      <c r="B960" s="117"/>
    </row>
    <row r="961">
      <c r="A961" s="117"/>
      <c r="B961" s="117"/>
    </row>
    <row r="962">
      <c r="A962" s="117"/>
      <c r="B962" s="117"/>
    </row>
    <row r="963">
      <c r="A963" s="117"/>
      <c r="B963" s="117"/>
    </row>
    <row r="964">
      <c r="A964" s="117"/>
      <c r="B964" s="117"/>
    </row>
    <row r="965">
      <c r="A965" s="117"/>
      <c r="B965" s="117"/>
    </row>
    <row r="966">
      <c r="A966" s="117"/>
      <c r="B966" s="117"/>
    </row>
    <row r="967">
      <c r="A967" s="117"/>
      <c r="B967" s="117"/>
    </row>
    <row r="968">
      <c r="A968" s="117"/>
      <c r="B968" s="117"/>
    </row>
    <row r="969">
      <c r="A969" s="117"/>
      <c r="B969" s="117"/>
    </row>
    <row r="970">
      <c r="A970" s="117"/>
      <c r="B970" s="117"/>
    </row>
    <row r="971">
      <c r="A971" s="117"/>
      <c r="B971" s="117"/>
    </row>
    <row r="972">
      <c r="A972" s="117"/>
      <c r="B972" s="117"/>
    </row>
    <row r="973">
      <c r="A973" s="117"/>
      <c r="B973" s="117"/>
    </row>
    <row r="974">
      <c r="A974" s="117"/>
      <c r="B974" s="117"/>
    </row>
    <row r="975">
      <c r="A975" s="117"/>
      <c r="B975" s="117"/>
    </row>
    <row r="976">
      <c r="A976" s="117"/>
      <c r="B976" s="117"/>
    </row>
    <row r="977">
      <c r="A977" s="117"/>
      <c r="B977" s="117"/>
    </row>
    <row r="978">
      <c r="A978" s="117"/>
      <c r="B978" s="117"/>
    </row>
    <row r="979">
      <c r="A979" s="117"/>
      <c r="B979" s="117"/>
    </row>
    <row r="980">
      <c r="A980" s="117"/>
      <c r="B980" s="117"/>
    </row>
    <row r="981">
      <c r="A981" s="117"/>
      <c r="B981" s="117"/>
    </row>
    <row r="982">
      <c r="A982" s="117"/>
      <c r="B982" s="117"/>
    </row>
    <row r="983">
      <c r="A983" s="117"/>
      <c r="B983" s="117"/>
    </row>
    <row r="984">
      <c r="A984" s="117"/>
      <c r="B984" s="117"/>
    </row>
    <row r="985">
      <c r="A985" s="117"/>
      <c r="B985" s="117"/>
    </row>
    <row r="986">
      <c r="A986" s="117"/>
      <c r="B986" s="117"/>
    </row>
    <row r="987">
      <c r="A987" s="117"/>
      <c r="B987" s="117"/>
    </row>
    <row r="988">
      <c r="A988" s="117"/>
      <c r="B988" s="117"/>
    </row>
    <row r="989">
      <c r="A989" s="117"/>
      <c r="B989" s="117"/>
    </row>
    <row r="990">
      <c r="A990" s="117"/>
      <c r="B990" s="117"/>
    </row>
    <row r="991">
      <c r="A991" s="117"/>
      <c r="B991" s="117"/>
    </row>
    <row r="992">
      <c r="A992" s="117"/>
      <c r="B992" s="117"/>
    </row>
    <row r="993">
      <c r="A993" s="117"/>
      <c r="B993" s="117"/>
    </row>
    <row r="994">
      <c r="A994" s="117"/>
      <c r="B994" s="117"/>
    </row>
    <row r="995">
      <c r="A995" s="117"/>
      <c r="B995" s="117"/>
    </row>
    <row r="996">
      <c r="A996" s="117"/>
      <c r="B996" s="117"/>
    </row>
    <row r="997">
      <c r="A997" s="117"/>
      <c r="B997" s="117"/>
    </row>
    <row r="998">
      <c r="A998" s="117"/>
      <c r="B998" s="117"/>
    </row>
    <row r="999">
      <c r="A999" s="117"/>
      <c r="B999" s="117"/>
    </row>
    <row r="1000">
      <c r="A1000" s="117"/>
      <c r="B1000" s="117"/>
    </row>
    <row r="1001">
      <c r="A1001" s="117"/>
      <c r="B1001" s="117"/>
    </row>
    <row r="1002">
      <c r="A1002" s="117"/>
      <c r="B1002" s="117"/>
    </row>
    <row r="1003">
      <c r="A1003" s="117"/>
      <c r="B1003" s="117"/>
    </row>
    <row r="1004">
      <c r="A1004" s="117"/>
      <c r="B1004" s="117"/>
    </row>
    <row r="1005">
      <c r="A1005" s="117"/>
      <c r="B1005" s="117"/>
    </row>
    <row r="1006">
      <c r="A1006" s="117"/>
      <c r="B1006" s="117"/>
    </row>
    <row r="1007">
      <c r="A1007" s="117"/>
      <c r="B1007" s="117"/>
    </row>
    <row r="1008">
      <c r="A1008" s="117"/>
      <c r="B1008" s="117"/>
    </row>
    <row r="1009">
      <c r="A1009" s="117"/>
      <c r="B1009" s="117"/>
    </row>
    <row r="1010">
      <c r="A1010" s="117"/>
      <c r="B1010" s="117"/>
    </row>
    <row r="1011">
      <c r="A1011" s="117"/>
      <c r="B1011" s="117"/>
    </row>
    <row r="1012">
      <c r="A1012" s="117"/>
      <c r="B1012" s="117"/>
    </row>
    <row r="1013">
      <c r="A1013" s="117"/>
      <c r="B1013" s="117"/>
    </row>
    <row r="1014">
      <c r="A1014" s="117"/>
      <c r="B1014" s="117"/>
    </row>
    <row r="1015">
      <c r="A1015" s="117"/>
      <c r="B1015" s="117"/>
    </row>
    <row r="1016">
      <c r="A1016" s="117"/>
      <c r="B1016" s="117"/>
    </row>
    <row r="1017">
      <c r="A1017" s="117"/>
      <c r="B1017" s="117"/>
    </row>
    <row r="1018">
      <c r="A1018" s="117"/>
      <c r="B1018" s="117"/>
    </row>
    <row r="1019">
      <c r="A1019" s="117"/>
      <c r="B1019" s="117"/>
    </row>
    <row r="1020">
      <c r="A1020" s="117"/>
      <c r="B1020" s="117"/>
    </row>
    <row r="1021">
      <c r="A1021" s="117"/>
      <c r="B1021" s="117"/>
    </row>
    <row r="1022">
      <c r="A1022" s="117"/>
      <c r="B1022" s="117"/>
    </row>
    <row r="1023">
      <c r="A1023" s="117"/>
      <c r="B1023" s="117"/>
    </row>
    <row r="1024">
      <c r="A1024" s="117"/>
      <c r="B1024" s="117"/>
    </row>
    <row r="1025">
      <c r="A1025" s="117"/>
      <c r="B1025" s="117"/>
    </row>
    <row r="1026">
      <c r="A1026" s="117"/>
      <c r="B1026" s="117"/>
    </row>
    <row r="1027">
      <c r="A1027" s="117"/>
      <c r="B1027" s="117"/>
    </row>
    <row r="1028">
      <c r="A1028" s="117"/>
      <c r="B1028" s="117"/>
    </row>
    <row r="1029">
      <c r="A1029" s="117"/>
      <c r="B1029" s="117"/>
    </row>
    <row r="1030">
      <c r="A1030" s="117"/>
      <c r="B1030" s="117"/>
    </row>
    <row r="1031">
      <c r="A1031" s="117"/>
      <c r="B1031" s="117"/>
    </row>
    <row r="1032">
      <c r="A1032" s="117"/>
      <c r="B1032" s="117"/>
    </row>
    <row r="1033">
      <c r="A1033" s="117"/>
      <c r="B1033" s="117"/>
    </row>
    <row r="1034">
      <c r="A1034" s="117"/>
      <c r="B1034" s="117"/>
    </row>
    <row r="1035">
      <c r="A1035" s="117"/>
      <c r="B1035" s="117"/>
    </row>
    <row r="1036">
      <c r="A1036" s="117"/>
      <c r="B1036" s="117"/>
    </row>
    <row r="1037">
      <c r="A1037" s="117"/>
      <c r="B1037" s="117"/>
    </row>
    <row r="1038">
      <c r="A1038" s="117"/>
      <c r="B1038" s="117"/>
    </row>
    <row r="1039">
      <c r="A1039" s="117"/>
      <c r="B1039" s="117"/>
    </row>
    <row r="1040">
      <c r="A1040" s="117"/>
      <c r="B1040" s="117"/>
    </row>
    <row r="1041">
      <c r="A1041" s="117"/>
      <c r="B1041" s="117"/>
    </row>
    <row r="1042">
      <c r="A1042" s="117"/>
      <c r="B1042" s="117"/>
    </row>
    <row r="1043">
      <c r="A1043" s="117"/>
      <c r="B1043" s="117"/>
    </row>
    <row r="1044">
      <c r="A1044" s="117"/>
      <c r="B1044" s="117"/>
    </row>
    <row r="1045">
      <c r="A1045" s="117"/>
      <c r="B1045" s="117"/>
    </row>
    <row r="1046">
      <c r="A1046" s="117"/>
      <c r="B1046" s="117"/>
    </row>
    <row r="1047">
      <c r="A1047" s="117"/>
      <c r="B1047" s="117"/>
    </row>
    <row r="1048">
      <c r="A1048" s="117"/>
      <c r="B1048" s="117"/>
    </row>
    <row r="1049">
      <c r="A1049" s="117"/>
      <c r="B1049" s="117"/>
    </row>
    <row r="1050">
      <c r="A1050" s="117"/>
      <c r="B1050" s="117"/>
    </row>
    <row r="1051">
      <c r="A1051" s="117"/>
      <c r="B1051" s="117"/>
    </row>
    <row r="1052">
      <c r="A1052" s="117"/>
      <c r="B1052" s="117"/>
    </row>
    <row r="1053">
      <c r="A1053" s="117"/>
      <c r="B1053" s="117"/>
    </row>
    <row r="1054">
      <c r="A1054" s="117"/>
      <c r="B1054" s="117"/>
    </row>
    <row r="1055">
      <c r="A1055" s="117"/>
      <c r="B1055" s="117"/>
    </row>
    <row r="1056">
      <c r="A1056" s="117"/>
      <c r="B1056" s="117"/>
    </row>
    <row r="1057">
      <c r="A1057" s="117"/>
      <c r="B1057" s="117"/>
    </row>
    <row r="1058">
      <c r="A1058" s="117"/>
      <c r="B1058" s="117"/>
    </row>
    <row r="1059">
      <c r="A1059" s="117"/>
      <c r="B1059" s="117"/>
    </row>
    <row r="1060">
      <c r="A1060" s="117"/>
      <c r="B1060" s="117"/>
    </row>
    <row r="1061">
      <c r="A1061" s="117"/>
      <c r="B1061" s="117"/>
    </row>
    <row r="1062">
      <c r="A1062" s="117"/>
      <c r="B1062" s="117"/>
    </row>
    <row r="1063">
      <c r="A1063" s="117"/>
      <c r="B1063" s="117"/>
    </row>
    <row r="1064">
      <c r="A1064" s="117"/>
      <c r="B1064" s="117"/>
    </row>
    <row r="1065">
      <c r="A1065" s="117"/>
      <c r="B1065" s="117"/>
    </row>
    <row r="1066">
      <c r="A1066" s="117"/>
      <c r="B1066" s="117"/>
    </row>
    <row r="1067">
      <c r="A1067" s="117"/>
      <c r="B1067" s="117"/>
    </row>
    <row r="1068">
      <c r="A1068" s="117"/>
      <c r="B1068" s="117"/>
    </row>
    <row r="1069">
      <c r="A1069" s="117"/>
      <c r="B1069" s="117"/>
    </row>
    <row r="1070">
      <c r="A1070" s="117"/>
      <c r="B1070" s="117"/>
    </row>
    <row r="1071">
      <c r="A1071" s="117"/>
      <c r="B1071" s="117"/>
    </row>
    <row r="1072">
      <c r="A1072" s="117"/>
      <c r="B1072" s="117"/>
    </row>
    <row r="1073">
      <c r="A1073" s="117"/>
      <c r="B1073" s="117"/>
    </row>
    <row r="1074">
      <c r="A1074" s="117"/>
      <c r="B1074" s="117"/>
    </row>
    <row r="1075">
      <c r="A1075" s="117"/>
      <c r="B1075" s="117"/>
    </row>
    <row r="1076">
      <c r="A1076" s="117"/>
      <c r="B1076" s="117"/>
    </row>
    <row r="1077">
      <c r="A1077" s="117"/>
      <c r="B1077" s="117"/>
    </row>
    <row r="1078">
      <c r="A1078" s="117"/>
      <c r="B1078" s="117"/>
    </row>
    <row r="1079">
      <c r="A1079" s="117"/>
      <c r="B1079" s="117"/>
    </row>
    <row r="1080">
      <c r="A1080" s="117"/>
      <c r="B1080" s="117"/>
    </row>
    <row r="1081">
      <c r="A1081" s="117"/>
      <c r="B1081" s="117"/>
    </row>
    <row r="1082">
      <c r="A1082" s="117"/>
      <c r="B1082" s="117"/>
    </row>
    <row r="1083">
      <c r="A1083" s="117"/>
      <c r="B1083" s="117"/>
    </row>
    <row r="1084">
      <c r="A1084" s="117"/>
      <c r="B1084" s="11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08">
        <v>45991.0</v>
      </c>
      <c r="C1" s="109" t="s">
        <v>62</v>
      </c>
      <c r="D1" s="110" t="s">
        <v>63</v>
      </c>
      <c r="E1" s="110" t="s">
        <v>64</v>
      </c>
      <c r="F1" s="110" t="s">
        <v>65</v>
      </c>
      <c r="G1" s="110" t="s">
        <v>66</v>
      </c>
      <c r="H1" s="110" t="s">
        <v>67</v>
      </c>
      <c r="I1" s="110" t="s">
        <v>68</v>
      </c>
      <c r="J1" s="110" t="s">
        <v>69</v>
      </c>
      <c r="K1" s="110" t="s">
        <v>70</v>
      </c>
      <c r="L1" s="110" t="s">
        <v>71</v>
      </c>
      <c r="M1" s="110" t="s">
        <v>72</v>
      </c>
      <c r="N1" s="110" t="s">
        <v>73</v>
      </c>
      <c r="O1" s="110" t="s">
        <v>74</v>
      </c>
      <c r="P1" s="110" t="s">
        <v>75</v>
      </c>
      <c r="Q1" s="110" t="s">
        <v>76</v>
      </c>
      <c r="R1" s="110" t="s">
        <v>77</v>
      </c>
      <c r="S1" s="110" t="s">
        <v>78</v>
      </c>
      <c r="T1" s="110" t="s">
        <v>79</v>
      </c>
      <c r="U1" s="110" t="s">
        <v>80</v>
      </c>
      <c r="V1" s="110" t="s">
        <v>81</v>
      </c>
      <c r="W1" s="110" t="s">
        <v>82</v>
      </c>
      <c r="X1" s="110" t="s">
        <v>83</v>
      </c>
      <c r="Y1" s="110" t="s">
        <v>84</v>
      </c>
      <c r="Z1" s="110" t="s">
        <v>85</v>
      </c>
      <c r="AA1" s="110" t="s">
        <v>86</v>
      </c>
      <c r="AB1" s="110" t="s">
        <v>87</v>
      </c>
    </row>
    <row r="2" ht="22.5" customHeight="1">
      <c r="A2" s="1" t="s">
        <v>0</v>
      </c>
      <c r="B2" s="1" t="s">
        <v>1</v>
      </c>
      <c r="C2" s="4" t="s">
        <v>88</v>
      </c>
      <c r="D2" s="111" t="s">
        <v>89</v>
      </c>
      <c r="E2" s="111" t="s">
        <v>90</v>
      </c>
      <c r="F2" s="111" t="s">
        <v>91</v>
      </c>
      <c r="G2" s="111" t="s">
        <v>92</v>
      </c>
      <c r="H2" s="112" t="s">
        <v>93</v>
      </c>
      <c r="I2" s="112" t="s">
        <v>94</v>
      </c>
      <c r="J2" s="113" t="s">
        <v>95</v>
      </c>
      <c r="K2" s="112" t="s">
        <v>96</v>
      </c>
      <c r="L2" s="112" t="s">
        <v>97</v>
      </c>
      <c r="M2" s="112" t="s">
        <v>98</v>
      </c>
      <c r="N2" s="112" t="s">
        <v>99</v>
      </c>
      <c r="O2" s="112" t="s">
        <v>100</v>
      </c>
      <c r="P2" s="111" t="s">
        <v>101</v>
      </c>
      <c r="Q2" s="111" t="s">
        <v>102</v>
      </c>
      <c r="R2" s="111" t="s">
        <v>103</v>
      </c>
      <c r="S2" s="111" t="s">
        <v>104</v>
      </c>
      <c r="T2" s="111" t="s">
        <v>105</v>
      </c>
      <c r="U2" s="111"/>
      <c r="V2" s="111"/>
      <c r="W2" s="114" t="s">
        <v>106</v>
      </c>
      <c r="X2" s="4" t="s">
        <v>107</v>
      </c>
      <c r="Y2" s="4" t="s">
        <v>108</v>
      </c>
      <c r="Z2" s="115" t="s">
        <v>109</v>
      </c>
      <c r="AA2" s="116" t="s">
        <v>24</v>
      </c>
      <c r="AB2" s="116" t="s">
        <v>110</v>
      </c>
      <c r="AC2" s="1" t="s">
        <v>111</v>
      </c>
      <c r="AD2" s="117"/>
      <c r="AE2" s="117"/>
      <c r="AF2" s="117"/>
      <c r="AG2" s="117"/>
      <c r="AH2" s="117"/>
      <c r="AI2" s="117"/>
      <c r="AJ2" s="117"/>
    </row>
    <row r="3" ht="22.5" customHeight="1">
      <c r="A3" s="2">
        <v>608.0</v>
      </c>
      <c r="B3" s="118" t="s">
        <v>2</v>
      </c>
      <c r="C3" s="119"/>
      <c r="D3" s="120">
        <v>40000.0</v>
      </c>
      <c r="E3" s="120">
        <v>5000.0</v>
      </c>
      <c r="F3" s="120">
        <v>5000.0</v>
      </c>
      <c r="G3" s="120">
        <v>2000.0</v>
      </c>
      <c r="H3" s="120">
        <v>10000.0</v>
      </c>
      <c r="I3" s="120"/>
      <c r="J3" s="121"/>
      <c r="K3" s="122">
        <v>0.0</v>
      </c>
      <c r="L3" s="122">
        <v>0.0</v>
      </c>
      <c r="M3" s="120"/>
      <c r="N3" s="119"/>
      <c r="O3" s="119"/>
      <c r="P3" s="119"/>
      <c r="Q3" s="120"/>
      <c r="R3" s="123"/>
      <c r="S3" s="123"/>
      <c r="T3" s="124"/>
      <c r="U3" s="123"/>
      <c r="V3" s="123"/>
      <c r="W3" s="125">
        <f t="shared" ref="W3:W110" si="1">SUM(D3:V3)</f>
        <v>62000</v>
      </c>
      <c r="X3" s="126">
        <v>23993.0</v>
      </c>
      <c r="Y3" s="126">
        <v>8000.0</v>
      </c>
      <c r="Z3" s="127">
        <f t="shared" ref="Z3:Z109" si="2">SUM(W3:Y3)</f>
        <v>93993</v>
      </c>
      <c r="AA3" s="128"/>
      <c r="AB3" s="129" t="s">
        <v>112</v>
      </c>
      <c r="AC3" s="130">
        <f t="shared" ref="AC3:AC4" si="3">C3-M3</f>
        <v>0</v>
      </c>
    </row>
    <row r="4" ht="22.5" customHeight="1">
      <c r="A4" s="2">
        <v>703.0</v>
      </c>
      <c r="B4" s="4" t="s">
        <v>3</v>
      </c>
      <c r="C4" s="131"/>
      <c r="D4" s="120">
        <v>40000.0</v>
      </c>
      <c r="E4" s="120">
        <v>5000.0</v>
      </c>
      <c r="F4" s="120">
        <v>5000.0</v>
      </c>
      <c r="G4" s="120">
        <v>2000.0</v>
      </c>
      <c r="H4" s="120">
        <v>10000.0</v>
      </c>
      <c r="I4" s="119">
        <v>1650.0</v>
      </c>
      <c r="J4" s="132">
        <v>-21330.0</v>
      </c>
      <c r="K4" s="136"/>
      <c r="L4" s="136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25">
        <f t="shared" si="1"/>
        <v>42320</v>
      </c>
      <c r="X4" s="126">
        <v>39680.0</v>
      </c>
      <c r="Y4" s="126">
        <v>8000.0</v>
      </c>
      <c r="Z4" s="127">
        <f t="shared" si="2"/>
        <v>90000</v>
      </c>
      <c r="AA4" s="128" t="s">
        <v>113</v>
      </c>
      <c r="AB4" s="129" t="s">
        <v>112</v>
      </c>
      <c r="AC4" s="133">
        <f t="shared" si="3"/>
        <v>0</v>
      </c>
    </row>
    <row r="5" ht="22.5" customHeight="1">
      <c r="A5" s="2">
        <v>801.0</v>
      </c>
      <c r="B5" s="118" t="s">
        <v>120</v>
      </c>
      <c r="C5" s="134"/>
      <c r="D5" s="120">
        <v>0.0</v>
      </c>
      <c r="E5" s="120">
        <v>0.0</v>
      </c>
      <c r="F5" s="120">
        <v>0.0</v>
      </c>
      <c r="G5" s="120">
        <v>0.0</v>
      </c>
      <c r="H5" s="120">
        <v>10000.0</v>
      </c>
      <c r="I5" s="119">
        <v>31460.0</v>
      </c>
      <c r="J5" s="121"/>
      <c r="K5" s="120">
        <v>8395.0</v>
      </c>
      <c r="L5" s="120">
        <v>2190.0</v>
      </c>
      <c r="M5" s="119"/>
      <c r="N5" s="119"/>
      <c r="O5" s="119"/>
      <c r="P5" s="119"/>
      <c r="Q5" s="119">
        <v>6432.0</v>
      </c>
      <c r="R5" s="119"/>
      <c r="S5" s="119"/>
      <c r="T5" s="119"/>
      <c r="U5" s="119"/>
      <c r="V5" s="119"/>
      <c r="W5" s="125">
        <f t="shared" si="1"/>
        <v>58477</v>
      </c>
      <c r="X5" s="126">
        <v>36518.0</v>
      </c>
      <c r="Y5" s="126"/>
      <c r="Z5" s="127">
        <f t="shared" si="2"/>
        <v>94995</v>
      </c>
      <c r="AA5" s="128"/>
      <c r="AB5" s="129" t="s">
        <v>112</v>
      </c>
      <c r="AC5" s="135">
        <v>0.0</v>
      </c>
    </row>
    <row r="6" ht="22.5" customHeight="1">
      <c r="A6" s="1">
        <v>813.0</v>
      </c>
      <c r="B6" s="4" t="s">
        <v>114</v>
      </c>
      <c r="C6" s="131"/>
      <c r="D6" s="120">
        <v>40000.0</v>
      </c>
      <c r="E6" s="120">
        <v>5000.0</v>
      </c>
      <c r="F6" s="120">
        <v>5000.0</v>
      </c>
      <c r="G6" s="120">
        <v>2000.0</v>
      </c>
      <c r="H6" s="120">
        <v>10000.0</v>
      </c>
      <c r="I6" s="119"/>
      <c r="J6" s="121"/>
      <c r="K6" s="136"/>
      <c r="L6" s="136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25">
        <f t="shared" si="1"/>
        <v>62000</v>
      </c>
      <c r="X6" s="126"/>
      <c r="Y6" s="126"/>
      <c r="Z6" s="127">
        <f t="shared" si="2"/>
        <v>62000</v>
      </c>
      <c r="AA6" s="128" t="s">
        <v>115</v>
      </c>
      <c r="AB6" s="129" t="s">
        <v>112</v>
      </c>
      <c r="AC6" s="133">
        <f t="shared" ref="AC6:AC109" si="4">C6-M6</f>
        <v>0</v>
      </c>
    </row>
    <row r="7" ht="22.5" customHeight="1">
      <c r="A7" s="1">
        <v>906.0</v>
      </c>
      <c r="B7" s="4"/>
      <c r="C7" s="131"/>
      <c r="D7" s="119"/>
      <c r="E7" s="119"/>
      <c r="F7" s="119"/>
      <c r="G7" s="119"/>
      <c r="H7" s="119"/>
      <c r="I7" s="119"/>
      <c r="J7" s="121"/>
      <c r="K7" s="119"/>
      <c r="L7" s="119"/>
      <c r="M7" s="119"/>
      <c r="N7" s="119"/>
      <c r="O7" s="119"/>
      <c r="P7" s="119"/>
      <c r="Q7" s="119"/>
      <c r="R7" s="137"/>
      <c r="S7" s="137"/>
      <c r="T7" s="137"/>
      <c r="U7" s="137"/>
      <c r="V7" s="137"/>
      <c r="W7" s="125">
        <f t="shared" si="1"/>
        <v>0</v>
      </c>
      <c r="X7" s="138"/>
      <c r="Y7" s="138"/>
      <c r="Z7" s="127">
        <f t="shared" si="2"/>
        <v>0</v>
      </c>
      <c r="AA7" s="128"/>
      <c r="AB7" s="129" t="s">
        <v>112</v>
      </c>
      <c r="AC7" s="133">
        <f t="shared" si="4"/>
        <v>0</v>
      </c>
    </row>
    <row r="8" ht="22.5" customHeight="1">
      <c r="A8" s="1">
        <v>913.0</v>
      </c>
      <c r="B8" s="4" t="s">
        <v>117</v>
      </c>
      <c r="C8" s="134">
        <v>57000.0</v>
      </c>
      <c r="D8" s="120">
        <v>40000.0</v>
      </c>
      <c r="E8" s="120">
        <v>5000.0</v>
      </c>
      <c r="F8" s="120">
        <v>5000.0</v>
      </c>
      <c r="G8" s="120">
        <v>2000.0</v>
      </c>
      <c r="H8" s="120">
        <v>10000.0</v>
      </c>
      <c r="I8" s="119">
        <v>38500.0</v>
      </c>
      <c r="J8" s="121">
        <v>-50697.0</v>
      </c>
      <c r="K8" s="119">
        <v>10890.0</v>
      </c>
      <c r="L8" s="119">
        <v>2190.0</v>
      </c>
      <c r="M8" s="119">
        <v>10000.0</v>
      </c>
      <c r="N8" s="119"/>
      <c r="O8" s="119">
        <v>7281.0</v>
      </c>
      <c r="P8" s="119"/>
      <c r="Q8" s="119">
        <v>4722.0</v>
      </c>
      <c r="R8" s="137"/>
      <c r="S8" s="137"/>
      <c r="T8" s="137"/>
      <c r="U8" s="137"/>
      <c r="V8" s="137"/>
      <c r="W8" s="125">
        <f t="shared" si="1"/>
        <v>84886</v>
      </c>
      <c r="X8" s="138">
        <v>25114.0</v>
      </c>
      <c r="Y8" s="138"/>
      <c r="Z8" s="127">
        <f t="shared" si="2"/>
        <v>110000</v>
      </c>
      <c r="AA8" s="128" t="s">
        <v>118</v>
      </c>
      <c r="AB8" s="129" t="s">
        <v>112</v>
      </c>
      <c r="AC8" s="133">
        <f t="shared" si="4"/>
        <v>47000</v>
      </c>
    </row>
    <row r="9" ht="22.5" customHeight="1">
      <c r="A9" s="1">
        <v>915.0</v>
      </c>
      <c r="B9" s="4" t="s">
        <v>7</v>
      </c>
      <c r="C9" s="134">
        <v>120000.0</v>
      </c>
      <c r="D9" s="120">
        <v>40000.0</v>
      </c>
      <c r="E9" s="120">
        <v>5000.0</v>
      </c>
      <c r="F9" s="120">
        <v>5000.0</v>
      </c>
      <c r="G9" s="120">
        <v>2000.0</v>
      </c>
      <c r="H9" s="120">
        <v>10000.0</v>
      </c>
      <c r="I9" s="119">
        <v>38280.0</v>
      </c>
      <c r="J9" s="121">
        <v>4565.0</v>
      </c>
      <c r="K9" s="119">
        <v>3630.0</v>
      </c>
      <c r="L9" s="119">
        <v>2190.0</v>
      </c>
      <c r="M9" s="119">
        <v>10000.0</v>
      </c>
      <c r="N9" s="119"/>
      <c r="O9" s="119"/>
      <c r="P9" s="119"/>
      <c r="Q9" s="119"/>
      <c r="R9" s="119"/>
      <c r="S9" s="119"/>
      <c r="T9" s="119"/>
      <c r="U9" s="119"/>
      <c r="V9" s="119"/>
      <c r="W9" s="125">
        <f t="shared" si="1"/>
        <v>120665</v>
      </c>
      <c r="X9" s="126">
        <v>9335.0</v>
      </c>
      <c r="Y9" s="126"/>
      <c r="Z9" s="127">
        <f t="shared" si="2"/>
        <v>130000</v>
      </c>
      <c r="AA9" s="139">
        <v>13.0</v>
      </c>
      <c r="AB9" s="129" t="s">
        <v>112</v>
      </c>
      <c r="AC9" s="133">
        <f t="shared" si="4"/>
        <v>110000</v>
      </c>
    </row>
    <row r="10" ht="22.5" customHeight="1">
      <c r="A10" s="1">
        <v>1005.0</v>
      </c>
      <c r="B10" s="4"/>
      <c r="C10" s="134"/>
      <c r="D10" s="120"/>
      <c r="E10" s="120"/>
      <c r="F10" s="120"/>
      <c r="G10" s="120"/>
      <c r="H10" s="120"/>
      <c r="I10" s="119"/>
      <c r="J10" s="121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25">
        <f t="shared" si="1"/>
        <v>0</v>
      </c>
      <c r="X10" s="140"/>
      <c r="Y10" s="140"/>
      <c r="Z10" s="127">
        <f t="shared" si="2"/>
        <v>0</v>
      </c>
      <c r="AA10" s="128"/>
      <c r="AB10" s="129" t="s">
        <v>112</v>
      </c>
      <c r="AC10" s="133">
        <f t="shared" si="4"/>
        <v>0</v>
      </c>
    </row>
    <row r="11" ht="22.5" customHeight="1">
      <c r="A11" s="1">
        <v>1006.0</v>
      </c>
      <c r="B11" s="4" t="s">
        <v>8</v>
      </c>
      <c r="C11" s="134">
        <v>130000.0</v>
      </c>
      <c r="D11" s="120">
        <v>40000.0</v>
      </c>
      <c r="E11" s="120">
        <v>5000.0</v>
      </c>
      <c r="F11" s="120">
        <v>5000.0</v>
      </c>
      <c r="G11" s="120">
        <v>2000.0</v>
      </c>
      <c r="H11" s="120">
        <v>10000.0</v>
      </c>
      <c r="I11" s="119">
        <v>31900.0</v>
      </c>
      <c r="J11" s="121"/>
      <c r="K11" s="119">
        <v>0.0</v>
      </c>
      <c r="L11" s="119">
        <v>0.0</v>
      </c>
      <c r="M11" s="119">
        <v>10000.0</v>
      </c>
      <c r="N11" s="119"/>
      <c r="O11" s="119"/>
      <c r="P11" s="119"/>
      <c r="Q11" s="119"/>
      <c r="R11" s="119"/>
      <c r="S11" s="119"/>
      <c r="T11" s="119"/>
      <c r="U11" s="119"/>
      <c r="V11" s="119"/>
      <c r="W11" s="125">
        <f t="shared" si="1"/>
        <v>103900</v>
      </c>
      <c r="X11" s="126"/>
      <c r="Y11" s="126"/>
      <c r="Z11" s="127">
        <f t="shared" si="2"/>
        <v>103900</v>
      </c>
      <c r="AA11" s="128" t="s">
        <v>119</v>
      </c>
      <c r="AB11" s="129" t="s">
        <v>112</v>
      </c>
      <c r="AC11" s="133">
        <f t="shared" si="4"/>
        <v>120000</v>
      </c>
    </row>
    <row r="12" ht="22.5" customHeight="1">
      <c r="A12" s="1">
        <v>1012.0</v>
      </c>
      <c r="B12" s="4"/>
      <c r="C12" s="134"/>
      <c r="D12" s="120"/>
      <c r="E12" s="120"/>
      <c r="F12" s="120"/>
      <c r="G12" s="120"/>
      <c r="H12" s="120"/>
      <c r="I12" s="119"/>
      <c r="J12" s="121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25">
        <f t="shared" si="1"/>
        <v>0</v>
      </c>
      <c r="X12" s="140"/>
      <c r="Y12" s="140"/>
      <c r="Z12" s="127">
        <f t="shared" si="2"/>
        <v>0</v>
      </c>
      <c r="AA12" s="128"/>
      <c r="AB12" s="129" t="s">
        <v>112</v>
      </c>
      <c r="AC12" s="133">
        <f t="shared" si="4"/>
        <v>0</v>
      </c>
    </row>
    <row r="13" ht="22.5" customHeight="1">
      <c r="A13" s="1"/>
      <c r="B13" s="4"/>
      <c r="C13" s="131"/>
      <c r="D13" s="120"/>
      <c r="E13" s="120"/>
      <c r="F13" s="120"/>
      <c r="G13" s="120"/>
      <c r="H13" s="120"/>
      <c r="I13" s="119"/>
      <c r="J13" s="121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25">
        <f t="shared" si="1"/>
        <v>0</v>
      </c>
      <c r="X13" s="140"/>
      <c r="Y13" s="140"/>
      <c r="Z13" s="127">
        <f t="shared" si="2"/>
        <v>0</v>
      </c>
      <c r="AA13" s="128"/>
      <c r="AB13" s="129" t="s">
        <v>112</v>
      </c>
      <c r="AC13" s="133">
        <f t="shared" si="4"/>
        <v>0</v>
      </c>
    </row>
    <row r="14" ht="22.5" customHeight="1">
      <c r="A14" s="1" t="str">
        <f>'入居者'!A13</f>
        <v/>
      </c>
      <c r="B14" s="4"/>
      <c r="C14" s="131"/>
      <c r="D14" s="119"/>
      <c r="E14" s="119"/>
      <c r="F14" s="119"/>
      <c r="G14" s="119"/>
      <c r="H14" s="119"/>
      <c r="I14" s="119"/>
      <c r="J14" s="121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25">
        <f t="shared" si="1"/>
        <v>0</v>
      </c>
      <c r="X14" s="119"/>
      <c r="Y14" s="119"/>
      <c r="Z14" s="127">
        <f t="shared" si="2"/>
        <v>0</v>
      </c>
      <c r="AA14" s="141"/>
      <c r="AB14" s="142"/>
      <c r="AC14" s="133">
        <f t="shared" si="4"/>
        <v>0</v>
      </c>
      <c r="AD14" s="142"/>
      <c r="AE14" s="142"/>
      <c r="AF14" s="142"/>
      <c r="AG14" s="142"/>
      <c r="AH14" s="142"/>
      <c r="AI14" s="142"/>
      <c r="AJ14" s="142"/>
    </row>
    <row r="15" ht="22.5" customHeight="1">
      <c r="A15" s="4"/>
      <c r="B15" s="4"/>
      <c r="C15" s="131"/>
      <c r="D15" s="119"/>
      <c r="E15" s="119"/>
      <c r="F15" s="119"/>
      <c r="G15" s="119"/>
      <c r="H15" s="119"/>
      <c r="I15" s="119"/>
      <c r="J15" s="121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25">
        <f t="shared" si="1"/>
        <v>0</v>
      </c>
      <c r="X15" s="119"/>
      <c r="Y15" s="119"/>
      <c r="Z15" s="127">
        <f t="shared" si="2"/>
        <v>0</v>
      </c>
      <c r="AA15" s="141"/>
      <c r="AB15" s="142"/>
      <c r="AC15" s="133">
        <f t="shared" si="4"/>
        <v>0</v>
      </c>
      <c r="AD15" s="142"/>
      <c r="AE15" s="142"/>
      <c r="AF15" s="142"/>
      <c r="AG15" s="142"/>
      <c r="AH15" s="142"/>
      <c r="AI15" s="142"/>
      <c r="AJ15" s="142"/>
    </row>
    <row r="16" ht="22.5" customHeight="1">
      <c r="A16" s="4"/>
      <c r="B16" s="4"/>
      <c r="C16" s="131"/>
      <c r="D16" s="119"/>
      <c r="E16" s="119"/>
      <c r="F16" s="119"/>
      <c r="G16" s="119"/>
      <c r="H16" s="119"/>
      <c r="I16" s="119"/>
      <c r="J16" s="121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25">
        <f t="shared" si="1"/>
        <v>0</v>
      </c>
      <c r="X16" s="119"/>
      <c r="Y16" s="119"/>
      <c r="Z16" s="127">
        <f t="shared" si="2"/>
        <v>0</v>
      </c>
      <c r="AA16" s="141"/>
      <c r="AB16" s="142"/>
      <c r="AC16" s="133">
        <f t="shared" si="4"/>
        <v>0</v>
      </c>
      <c r="AD16" s="142"/>
      <c r="AE16" s="142"/>
      <c r="AF16" s="142"/>
      <c r="AG16" s="142"/>
      <c r="AH16" s="142"/>
      <c r="AI16" s="142"/>
      <c r="AJ16" s="142"/>
    </row>
    <row r="17" ht="22.5" customHeight="1">
      <c r="A17" s="4"/>
      <c r="B17" s="4"/>
      <c r="C17" s="131"/>
      <c r="D17" s="119"/>
      <c r="E17" s="119"/>
      <c r="F17" s="119"/>
      <c r="G17" s="119"/>
      <c r="H17" s="119"/>
      <c r="I17" s="119"/>
      <c r="J17" s="121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25">
        <f t="shared" si="1"/>
        <v>0</v>
      </c>
      <c r="X17" s="119"/>
      <c r="Y17" s="119"/>
      <c r="Z17" s="127">
        <f t="shared" si="2"/>
        <v>0</v>
      </c>
      <c r="AA17" s="141"/>
      <c r="AB17" s="142"/>
      <c r="AC17" s="133">
        <f t="shared" si="4"/>
        <v>0</v>
      </c>
      <c r="AD17" s="142"/>
      <c r="AE17" s="142"/>
      <c r="AF17" s="142"/>
      <c r="AG17" s="142"/>
      <c r="AH17" s="142"/>
      <c r="AI17" s="142"/>
      <c r="AJ17" s="142"/>
    </row>
    <row r="18" ht="22.5" customHeight="1">
      <c r="A18" s="4"/>
      <c r="B18" s="4"/>
      <c r="C18" s="131"/>
      <c r="D18" s="119"/>
      <c r="E18" s="119"/>
      <c r="F18" s="119"/>
      <c r="G18" s="119"/>
      <c r="H18" s="119"/>
      <c r="I18" s="119"/>
      <c r="J18" s="121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25">
        <f t="shared" si="1"/>
        <v>0</v>
      </c>
      <c r="X18" s="119"/>
      <c r="Y18" s="119"/>
      <c r="Z18" s="127">
        <f t="shared" si="2"/>
        <v>0</v>
      </c>
      <c r="AA18" s="141"/>
      <c r="AB18" s="142"/>
      <c r="AC18" s="133">
        <f t="shared" si="4"/>
        <v>0</v>
      </c>
      <c r="AD18" s="142"/>
      <c r="AE18" s="142"/>
      <c r="AF18" s="142"/>
      <c r="AG18" s="142"/>
      <c r="AH18" s="142"/>
      <c r="AI18" s="142"/>
      <c r="AJ18" s="142"/>
    </row>
    <row r="19" ht="22.5" customHeight="1">
      <c r="A19" s="4"/>
      <c r="B19" s="4"/>
      <c r="C19" s="131"/>
      <c r="D19" s="119"/>
      <c r="E19" s="119"/>
      <c r="F19" s="119"/>
      <c r="G19" s="119"/>
      <c r="H19" s="119"/>
      <c r="I19" s="119"/>
      <c r="J19" s="121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25">
        <f t="shared" si="1"/>
        <v>0</v>
      </c>
      <c r="X19" s="119"/>
      <c r="Y19" s="119"/>
      <c r="Z19" s="127">
        <f t="shared" si="2"/>
        <v>0</v>
      </c>
      <c r="AA19" s="141"/>
      <c r="AB19" s="142"/>
      <c r="AC19" s="133">
        <f t="shared" si="4"/>
        <v>0</v>
      </c>
      <c r="AD19" s="142"/>
      <c r="AE19" s="142"/>
      <c r="AF19" s="142"/>
      <c r="AG19" s="142"/>
      <c r="AH19" s="142"/>
      <c r="AI19" s="142"/>
      <c r="AJ19" s="142"/>
    </row>
    <row r="20" ht="22.5" customHeight="1">
      <c r="A20" s="4"/>
      <c r="B20" s="4"/>
      <c r="C20" s="131"/>
      <c r="D20" s="119"/>
      <c r="E20" s="119"/>
      <c r="F20" s="119"/>
      <c r="G20" s="119"/>
      <c r="H20" s="119"/>
      <c r="I20" s="119"/>
      <c r="J20" s="121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25">
        <f t="shared" si="1"/>
        <v>0</v>
      </c>
      <c r="X20" s="119"/>
      <c r="Y20" s="119"/>
      <c r="Z20" s="127">
        <f t="shared" si="2"/>
        <v>0</v>
      </c>
      <c r="AA20" s="141"/>
      <c r="AB20" s="142"/>
      <c r="AC20" s="133">
        <f t="shared" si="4"/>
        <v>0</v>
      </c>
      <c r="AD20" s="142"/>
      <c r="AE20" s="142"/>
      <c r="AF20" s="142"/>
      <c r="AG20" s="142"/>
      <c r="AH20" s="142"/>
      <c r="AI20" s="142"/>
      <c r="AJ20" s="142"/>
    </row>
    <row r="21" ht="22.5" customHeight="1">
      <c r="A21" s="4"/>
      <c r="B21" s="4"/>
      <c r="C21" s="131"/>
      <c r="D21" s="119"/>
      <c r="E21" s="119"/>
      <c r="F21" s="119"/>
      <c r="G21" s="119"/>
      <c r="H21" s="119"/>
      <c r="I21" s="119"/>
      <c r="J21" s="121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25">
        <f t="shared" si="1"/>
        <v>0</v>
      </c>
      <c r="X21" s="119"/>
      <c r="Y21" s="119"/>
      <c r="Z21" s="127">
        <f t="shared" si="2"/>
        <v>0</v>
      </c>
      <c r="AA21" s="141"/>
      <c r="AB21" s="142"/>
      <c r="AC21" s="133">
        <f t="shared" si="4"/>
        <v>0</v>
      </c>
      <c r="AD21" s="142"/>
      <c r="AE21" s="142"/>
      <c r="AF21" s="142"/>
      <c r="AG21" s="142"/>
      <c r="AH21" s="142"/>
      <c r="AI21" s="142"/>
      <c r="AJ21" s="142"/>
    </row>
    <row r="22" ht="22.5" hidden="1" customHeight="1">
      <c r="A22" s="4"/>
      <c r="B22" s="4"/>
      <c r="C22" s="131"/>
      <c r="D22" s="119"/>
      <c r="E22" s="119"/>
      <c r="F22" s="119"/>
      <c r="G22" s="119"/>
      <c r="H22" s="119"/>
      <c r="I22" s="119"/>
      <c r="J22" s="121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25">
        <f t="shared" si="1"/>
        <v>0</v>
      </c>
      <c r="X22" s="119"/>
      <c r="Y22" s="119"/>
      <c r="Z22" s="127">
        <f t="shared" si="2"/>
        <v>0</v>
      </c>
      <c r="AA22" s="141"/>
      <c r="AB22" s="142"/>
      <c r="AC22" s="133">
        <f t="shared" si="4"/>
        <v>0</v>
      </c>
      <c r="AD22" s="142"/>
      <c r="AE22" s="142"/>
      <c r="AF22" s="142"/>
      <c r="AG22" s="142"/>
      <c r="AH22" s="142"/>
      <c r="AI22" s="142"/>
      <c r="AJ22" s="142"/>
    </row>
    <row r="23" ht="22.5" hidden="1" customHeight="1">
      <c r="A23" s="4"/>
      <c r="B23" s="4"/>
      <c r="C23" s="131"/>
      <c r="D23" s="119"/>
      <c r="E23" s="119"/>
      <c r="F23" s="119"/>
      <c r="G23" s="119"/>
      <c r="H23" s="119"/>
      <c r="I23" s="119"/>
      <c r="J23" s="121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25">
        <f t="shared" si="1"/>
        <v>0</v>
      </c>
      <c r="X23" s="119"/>
      <c r="Y23" s="119"/>
      <c r="Z23" s="127">
        <f t="shared" si="2"/>
        <v>0</v>
      </c>
      <c r="AA23" s="141"/>
      <c r="AB23" s="142"/>
      <c r="AC23" s="133">
        <f t="shared" si="4"/>
        <v>0</v>
      </c>
      <c r="AD23" s="142"/>
      <c r="AE23" s="142"/>
      <c r="AF23" s="142"/>
      <c r="AG23" s="142"/>
      <c r="AH23" s="142"/>
      <c r="AI23" s="142"/>
      <c r="AJ23" s="142"/>
    </row>
    <row r="24" ht="22.5" hidden="1" customHeight="1">
      <c r="A24" s="4"/>
      <c r="B24" s="4"/>
      <c r="C24" s="131"/>
      <c r="D24" s="119"/>
      <c r="E24" s="119"/>
      <c r="F24" s="119"/>
      <c r="G24" s="119"/>
      <c r="H24" s="119"/>
      <c r="I24" s="119"/>
      <c r="J24" s="121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25">
        <f t="shared" si="1"/>
        <v>0</v>
      </c>
      <c r="X24" s="119"/>
      <c r="Y24" s="119"/>
      <c r="Z24" s="127">
        <f t="shared" si="2"/>
        <v>0</v>
      </c>
      <c r="AA24" s="141"/>
      <c r="AB24" s="142"/>
      <c r="AC24" s="133">
        <f t="shared" si="4"/>
        <v>0</v>
      </c>
      <c r="AD24" s="142"/>
      <c r="AE24" s="142"/>
      <c r="AF24" s="142"/>
      <c r="AG24" s="142"/>
      <c r="AH24" s="142"/>
      <c r="AI24" s="142"/>
      <c r="AJ24" s="142"/>
    </row>
    <row r="25" ht="22.5" hidden="1" customHeight="1">
      <c r="A25" s="4"/>
      <c r="B25" s="4"/>
      <c r="C25" s="131"/>
      <c r="D25" s="119"/>
      <c r="E25" s="119"/>
      <c r="F25" s="119"/>
      <c r="G25" s="119"/>
      <c r="H25" s="119"/>
      <c r="I25" s="119"/>
      <c r="J25" s="121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25">
        <f t="shared" si="1"/>
        <v>0</v>
      </c>
      <c r="X25" s="119"/>
      <c r="Y25" s="119"/>
      <c r="Z25" s="127">
        <f t="shared" si="2"/>
        <v>0</v>
      </c>
      <c r="AA25" s="141"/>
      <c r="AB25" s="142"/>
      <c r="AC25" s="133">
        <f t="shared" si="4"/>
        <v>0</v>
      </c>
      <c r="AD25" s="142"/>
      <c r="AE25" s="142"/>
      <c r="AF25" s="142"/>
      <c r="AG25" s="142"/>
      <c r="AH25" s="142"/>
      <c r="AI25" s="142"/>
      <c r="AJ25" s="142"/>
    </row>
    <row r="26" ht="22.5" hidden="1" customHeight="1">
      <c r="A26" s="4"/>
      <c r="B26" s="4"/>
      <c r="C26" s="131"/>
      <c r="D26" s="119"/>
      <c r="E26" s="119"/>
      <c r="F26" s="119"/>
      <c r="G26" s="119"/>
      <c r="H26" s="119"/>
      <c r="I26" s="119"/>
      <c r="J26" s="121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25">
        <f t="shared" si="1"/>
        <v>0</v>
      </c>
      <c r="X26" s="119"/>
      <c r="Y26" s="119"/>
      <c r="Z26" s="127">
        <f t="shared" si="2"/>
        <v>0</v>
      </c>
      <c r="AA26" s="141"/>
      <c r="AB26" s="142"/>
      <c r="AC26" s="133">
        <f t="shared" si="4"/>
        <v>0</v>
      </c>
      <c r="AD26" s="142"/>
      <c r="AE26" s="142"/>
      <c r="AF26" s="142"/>
      <c r="AG26" s="142"/>
      <c r="AH26" s="142"/>
      <c r="AI26" s="142"/>
      <c r="AJ26" s="142"/>
    </row>
    <row r="27" ht="22.5" hidden="1" customHeight="1">
      <c r="A27" s="4"/>
      <c r="B27" s="4"/>
      <c r="C27" s="131"/>
      <c r="D27" s="119"/>
      <c r="E27" s="119"/>
      <c r="F27" s="119"/>
      <c r="G27" s="119"/>
      <c r="H27" s="119"/>
      <c r="I27" s="119"/>
      <c r="J27" s="121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25">
        <f t="shared" si="1"/>
        <v>0</v>
      </c>
      <c r="X27" s="119"/>
      <c r="Y27" s="119"/>
      <c r="Z27" s="127">
        <f t="shared" si="2"/>
        <v>0</v>
      </c>
      <c r="AA27" s="141"/>
      <c r="AB27" s="142"/>
      <c r="AC27" s="133">
        <f t="shared" si="4"/>
        <v>0</v>
      </c>
      <c r="AD27" s="142"/>
      <c r="AE27" s="142"/>
      <c r="AF27" s="142"/>
      <c r="AG27" s="142"/>
      <c r="AH27" s="142"/>
      <c r="AI27" s="142"/>
      <c r="AJ27" s="142"/>
    </row>
    <row r="28" ht="22.5" hidden="1" customHeight="1">
      <c r="A28" s="4"/>
      <c r="B28" s="4"/>
      <c r="C28" s="131"/>
      <c r="D28" s="119"/>
      <c r="E28" s="119"/>
      <c r="F28" s="119"/>
      <c r="G28" s="119"/>
      <c r="H28" s="119"/>
      <c r="I28" s="119"/>
      <c r="J28" s="121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25">
        <f t="shared" si="1"/>
        <v>0</v>
      </c>
      <c r="X28" s="119"/>
      <c r="Y28" s="119"/>
      <c r="Z28" s="127">
        <f t="shared" si="2"/>
        <v>0</v>
      </c>
      <c r="AA28" s="141"/>
      <c r="AB28" s="142"/>
      <c r="AC28" s="133">
        <f t="shared" si="4"/>
        <v>0</v>
      </c>
      <c r="AD28" s="142"/>
      <c r="AE28" s="142"/>
      <c r="AF28" s="142"/>
      <c r="AG28" s="142"/>
      <c r="AH28" s="142"/>
      <c r="AI28" s="142"/>
      <c r="AJ28" s="142"/>
    </row>
    <row r="29" ht="22.5" hidden="1" customHeight="1">
      <c r="A29" s="4"/>
      <c r="B29" s="4"/>
      <c r="C29" s="131"/>
      <c r="D29" s="119"/>
      <c r="E29" s="119"/>
      <c r="F29" s="119"/>
      <c r="G29" s="119"/>
      <c r="H29" s="119"/>
      <c r="I29" s="119"/>
      <c r="J29" s="121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25">
        <f t="shared" si="1"/>
        <v>0</v>
      </c>
      <c r="X29" s="119"/>
      <c r="Y29" s="119"/>
      <c r="Z29" s="127">
        <f t="shared" si="2"/>
        <v>0</v>
      </c>
      <c r="AA29" s="141"/>
      <c r="AB29" s="142"/>
      <c r="AC29" s="133">
        <f t="shared" si="4"/>
        <v>0</v>
      </c>
      <c r="AD29" s="142"/>
      <c r="AE29" s="142"/>
      <c r="AF29" s="142"/>
      <c r="AG29" s="142"/>
      <c r="AH29" s="142"/>
      <c r="AI29" s="142"/>
      <c r="AJ29" s="142"/>
    </row>
    <row r="30" ht="22.5" hidden="1" customHeight="1">
      <c r="A30" s="4"/>
      <c r="B30" s="4"/>
      <c r="C30" s="131"/>
      <c r="D30" s="119"/>
      <c r="E30" s="119"/>
      <c r="F30" s="119"/>
      <c r="G30" s="119"/>
      <c r="H30" s="119"/>
      <c r="I30" s="119"/>
      <c r="J30" s="121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25">
        <f t="shared" si="1"/>
        <v>0</v>
      </c>
      <c r="X30" s="119"/>
      <c r="Y30" s="119"/>
      <c r="Z30" s="127">
        <f t="shared" si="2"/>
        <v>0</v>
      </c>
      <c r="AA30" s="141"/>
      <c r="AB30" s="142"/>
      <c r="AC30" s="133">
        <f t="shared" si="4"/>
        <v>0</v>
      </c>
      <c r="AD30" s="142"/>
      <c r="AE30" s="142"/>
      <c r="AF30" s="142"/>
      <c r="AG30" s="142"/>
      <c r="AH30" s="142"/>
      <c r="AI30" s="142"/>
      <c r="AJ30" s="142"/>
    </row>
    <row r="31" ht="22.5" hidden="1" customHeight="1">
      <c r="A31" s="4"/>
      <c r="B31" s="4"/>
      <c r="C31" s="131"/>
      <c r="D31" s="119"/>
      <c r="E31" s="119"/>
      <c r="F31" s="119"/>
      <c r="G31" s="119"/>
      <c r="H31" s="119"/>
      <c r="I31" s="119"/>
      <c r="J31" s="121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25">
        <f t="shared" si="1"/>
        <v>0</v>
      </c>
      <c r="X31" s="119"/>
      <c r="Y31" s="119"/>
      <c r="Z31" s="127">
        <f t="shared" si="2"/>
        <v>0</v>
      </c>
      <c r="AA31" s="141"/>
      <c r="AB31" s="142"/>
      <c r="AC31" s="133">
        <f t="shared" si="4"/>
        <v>0</v>
      </c>
      <c r="AD31" s="142"/>
      <c r="AE31" s="142"/>
      <c r="AF31" s="142"/>
      <c r="AG31" s="142"/>
      <c r="AH31" s="142"/>
      <c r="AI31" s="142"/>
      <c r="AJ31" s="142"/>
    </row>
    <row r="32" ht="22.5" hidden="1" customHeight="1">
      <c r="A32" s="4"/>
      <c r="B32" s="4"/>
      <c r="C32" s="131"/>
      <c r="D32" s="119"/>
      <c r="E32" s="119"/>
      <c r="F32" s="119"/>
      <c r="G32" s="119"/>
      <c r="H32" s="119"/>
      <c r="I32" s="119"/>
      <c r="J32" s="121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25">
        <f t="shared" si="1"/>
        <v>0</v>
      </c>
      <c r="X32" s="119"/>
      <c r="Y32" s="119"/>
      <c r="Z32" s="127">
        <f t="shared" si="2"/>
        <v>0</v>
      </c>
      <c r="AA32" s="141"/>
      <c r="AB32" s="142"/>
      <c r="AC32" s="133">
        <f t="shared" si="4"/>
        <v>0</v>
      </c>
      <c r="AD32" s="142"/>
      <c r="AE32" s="142"/>
      <c r="AF32" s="142"/>
      <c r="AG32" s="142"/>
      <c r="AH32" s="142"/>
      <c r="AI32" s="142"/>
      <c r="AJ32" s="142"/>
    </row>
    <row r="33" ht="22.5" hidden="1" customHeight="1">
      <c r="A33" s="4"/>
      <c r="B33" s="4"/>
      <c r="C33" s="131"/>
      <c r="D33" s="119"/>
      <c r="E33" s="119"/>
      <c r="F33" s="119"/>
      <c r="G33" s="119"/>
      <c r="H33" s="119"/>
      <c r="I33" s="119"/>
      <c r="J33" s="121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25">
        <f t="shared" si="1"/>
        <v>0</v>
      </c>
      <c r="X33" s="119"/>
      <c r="Y33" s="119"/>
      <c r="Z33" s="127">
        <f t="shared" si="2"/>
        <v>0</v>
      </c>
      <c r="AA33" s="141"/>
      <c r="AB33" s="142"/>
      <c r="AC33" s="133">
        <f t="shared" si="4"/>
        <v>0</v>
      </c>
      <c r="AD33" s="142"/>
      <c r="AE33" s="142"/>
      <c r="AF33" s="142"/>
      <c r="AG33" s="142"/>
      <c r="AH33" s="142"/>
      <c r="AI33" s="142"/>
      <c r="AJ33" s="142"/>
    </row>
    <row r="34" ht="22.5" hidden="1" customHeight="1">
      <c r="A34" s="4"/>
      <c r="B34" s="4"/>
      <c r="C34" s="131"/>
      <c r="D34" s="119"/>
      <c r="E34" s="119"/>
      <c r="F34" s="119"/>
      <c r="G34" s="119"/>
      <c r="H34" s="119"/>
      <c r="I34" s="119"/>
      <c r="J34" s="121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25">
        <f t="shared" si="1"/>
        <v>0</v>
      </c>
      <c r="X34" s="119"/>
      <c r="Y34" s="119"/>
      <c r="Z34" s="127">
        <f t="shared" si="2"/>
        <v>0</v>
      </c>
      <c r="AA34" s="141"/>
      <c r="AB34" s="142"/>
      <c r="AC34" s="133">
        <f t="shared" si="4"/>
        <v>0</v>
      </c>
      <c r="AD34" s="142"/>
      <c r="AE34" s="142"/>
      <c r="AF34" s="142"/>
      <c r="AG34" s="142"/>
      <c r="AH34" s="142"/>
      <c r="AI34" s="142"/>
      <c r="AJ34" s="142"/>
    </row>
    <row r="35" ht="22.5" hidden="1" customHeight="1">
      <c r="A35" s="4"/>
      <c r="B35" s="4"/>
      <c r="C35" s="131"/>
      <c r="D35" s="119"/>
      <c r="E35" s="119"/>
      <c r="F35" s="119"/>
      <c r="G35" s="119"/>
      <c r="H35" s="119"/>
      <c r="I35" s="119"/>
      <c r="J35" s="121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25">
        <f t="shared" si="1"/>
        <v>0</v>
      </c>
      <c r="X35" s="119"/>
      <c r="Y35" s="119"/>
      <c r="Z35" s="127">
        <f t="shared" si="2"/>
        <v>0</v>
      </c>
      <c r="AA35" s="141"/>
      <c r="AB35" s="142"/>
      <c r="AC35" s="133">
        <f t="shared" si="4"/>
        <v>0</v>
      </c>
      <c r="AD35" s="142"/>
      <c r="AE35" s="142"/>
      <c r="AF35" s="142"/>
      <c r="AG35" s="142"/>
      <c r="AH35" s="142"/>
      <c r="AI35" s="142"/>
      <c r="AJ35" s="142"/>
    </row>
    <row r="36" ht="22.5" hidden="1" customHeight="1">
      <c r="A36" s="4"/>
      <c r="B36" s="4"/>
      <c r="C36" s="131"/>
      <c r="D36" s="119"/>
      <c r="E36" s="119"/>
      <c r="F36" s="119"/>
      <c r="G36" s="119"/>
      <c r="H36" s="119"/>
      <c r="I36" s="119"/>
      <c r="J36" s="121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25">
        <f t="shared" si="1"/>
        <v>0</v>
      </c>
      <c r="X36" s="119"/>
      <c r="Y36" s="119"/>
      <c r="Z36" s="127">
        <f t="shared" si="2"/>
        <v>0</v>
      </c>
      <c r="AA36" s="141"/>
      <c r="AB36" s="142"/>
      <c r="AC36" s="133">
        <f t="shared" si="4"/>
        <v>0</v>
      </c>
      <c r="AD36" s="142"/>
      <c r="AE36" s="142"/>
      <c r="AF36" s="142"/>
      <c r="AG36" s="142"/>
      <c r="AH36" s="142"/>
      <c r="AI36" s="142"/>
      <c r="AJ36" s="142"/>
    </row>
    <row r="37" ht="22.5" hidden="1" customHeight="1">
      <c r="A37" s="4"/>
      <c r="B37" s="4"/>
      <c r="C37" s="131"/>
      <c r="D37" s="119"/>
      <c r="E37" s="119"/>
      <c r="F37" s="119"/>
      <c r="G37" s="119"/>
      <c r="H37" s="119"/>
      <c r="I37" s="119"/>
      <c r="J37" s="121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25">
        <f t="shared" si="1"/>
        <v>0</v>
      </c>
      <c r="X37" s="119"/>
      <c r="Y37" s="119"/>
      <c r="Z37" s="127">
        <f t="shared" si="2"/>
        <v>0</v>
      </c>
      <c r="AA37" s="141"/>
      <c r="AB37" s="142"/>
      <c r="AC37" s="133">
        <f t="shared" si="4"/>
        <v>0</v>
      </c>
      <c r="AD37" s="142"/>
      <c r="AE37" s="142"/>
      <c r="AF37" s="142"/>
      <c r="AG37" s="142"/>
      <c r="AH37" s="142"/>
      <c r="AI37" s="142"/>
      <c r="AJ37" s="142"/>
    </row>
    <row r="38" ht="22.5" hidden="1" customHeight="1">
      <c r="A38" s="4"/>
      <c r="B38" s="4"/>
      <c r="C38" s="131"/>
      <c r="D38" s="119"/>
      <c r="E38" s="119"/>
      <c r="F38" s="119"/>
      <c r="G38" s="119"/>
      <c r="H38" s="119"/>
      <c r="I38" s="119"/>
      <c r="J38" s="121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25">
        <f t="shared" si="1"/>
        <v>0</v>
      </c>
      <c r="X38" s="119"/>
      <c r="Y38" s="119"/>
      <c r="Z38" s="127">
        <f t="shared" si="2"/>
        <v>0</v>
      </c>
      <c r="AA38" s="141"/>
      <c r="AB38" s="142"/>
      <c r="AC38" s="133">
        <f t="shared" si="4"/>
        <v>0</v>
      </c>
      <c r="AD38" s="142"/>
      <c r="AE38" s="142"/>
      <c r="AF38" s="142"/>
      <c r="AG38" s="142"/>
      <c r="AH38" s="142"/>
      <c r="AI38" s="142"/>
      <c r="AJ38" s="142"/>
    </row>
    <row r="39" ht="22.5" hidden="1" customHeight="1">
      <c r="A39" s="4"/>
      <c r="B39" s="4"/>
      <c r="C39" s="131"/>
      <c r="D39" s="119"/>
      <c r="E39" s="119"/>
      <c r="F39" s="119"/>
      <c r="G39" s="119"/>
      <c r="H39" s="119"/>
      <c r="I39" s="119"/>
      <c r="J39" s="121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25">
        <f t="shared" si="1"/>
        <v>0</v>
      </c>
      <c r="X39" s="119"/>
      <c r="Y39" s="119"/>
      <c r="Z39" s="127">
        <f t="shared" si="2"/>
        <v>0</v>
      </c>
      <c r="AA39" s="141"/>
      <c r="AB39" s="142"/>
      <c r="AC39" s="133">
        <f t="shared" si="4"/>
        <v>0</v>
      </c>
      <c r="AD39" s="142"/>
      <c r="AE39" s="142"/>
      <c r="AF39" s="142"/>
      <c r="AG39" s="142"/>
      <c r="AH39" s="142"/>
      <c r="AI39" s="142"/>
      <c r="AJ39" s="142"/>
    </row>
    <row r="40" ht="22.5" hidden="1" customHeight="1">
      <c r="A40" s="4"/>
      <c r="B40" s="4"/>
      <c r="C40" s="131"/>
      <c r="D40" s="119"/>
      <c r="E40" s="119"/>
      <c r="F40" s="119"/>
      <c r="G40" s="119"/>
      <c r="H40" s="119"/>
      <c r="I40" s="119"/>
      <c r="J40" s="121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25">
        <f t="shared" si="1"/>
        <v>0</v>
      </c>
      <c r="X40" s="119"/>
      <c r="Y40" s="119"/>
      <c r="Z40" s="127">
        <f t="shared" si="2"/>
        <v>0</v>
      </c>
      <c r="AA40" s="141"/>
      <c r="AB40" s="142"/>
      <c r="AC40" s="133">
        <f t="shared" si="4"/>
        <v>0</v>
      </c>
      <c r="AD40" s="142"/>
      <c r="AE40" s="142"/>
      <c r="AF40" s="142"/>
      <c r="AG40" s="142"/>
      <c r="AH40" s="142"/>
      <c r="AI40" s="142"/>
      <c r="AJ40" s="142"/>
    </row>
    <row r="41" ht="22.5" hidden="1" customHeight="1">
      <c r="A41" s="4"/>
      <c r="B41" s="4"/>
      <c r="C41" s="131"/>
      <c r="D41" s="119"/>
      <c r="E41" s="119"/>
      <c r="F41" s="119"/>
      <c r="G41" s="119"/>
      <c r="H41" s="119"/>
      <c r="I41" s="119"/>
      <c r="J41" s="121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25">
        <f t="shared" si="1"/>
        <v>0</v>
      </c>
      <c r="X41" s="119"/>
      <c r="Y41" s="119"/>
      <c r="Z41" s="127">
        <f t="shared" si="2"/>
        <v>0</v>
      </c>
      <c r="AA41" s="141"/>
      <c r="AB41" s="142"/>
      <c r="AC41" s="133">
        <f t="shared" si="4"/>
        <v>0</v>
      </c>
      <c r="AD41" s="142"/>
      <c r="AE41" s="142"/>
      <c r="AF41" s="142"/>
      <c r="AG41" s="142"/>
      <c r="AH41" s="142"/>
      <c r="AI41" s="142"/>
      <c r="AJ41" s="142"/>
    </row>
    <row r="42" ht="22.5" hidden="1" customHeight="1">
      <c r="A42" s="4"/>
      <c r="B42" s="4"/>
      <c r="C42" s="131"/>
      <c r="D42" s="119"/>
      <c r="E42" s="119"/>
      <c r="F42" s="119"/>
      <c r="G42" s="119"/>
      <c r="H42" s="119"/>
      <c r="I42" s="119"/>
      <c r="J42" s="121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25">
        <f t="shared" si="1"/>
        <v>0</v>
      </c>
      <c r="X42" s="119"/>
      <c r="Y42" s="119"/>
      <c r="Z42" s="127">
        <f t="shared" si="2"/>
        <v>0</v>
      </c>
      <c r="AA42" s="141"/>
      <c r="AB42" s="142"/>
      <c r="AC42" s="133">
        <f t="shared" si="4"/>
        <v>0</v>
      </c>
      <c r="AD42" s="142"/>
      <c r="AE42" s="142"/>
      <c r="AF42" s="142"/>
      <c r="AG42" s="142"/>
      <c r="AH42" s="142"/>
      <c r="AI42" s="142"/>
      <c r="AJ42" s="142"/>
    </row>
    <row r="43" ht="22.5" hidden="1" customHeight="1">
      <c r="A43" s="4"/>
      <c r="B43" s="4"/>
      <c r="C43" s="131"/>
      <c r="D43" s="119"/>
      <c r="E43" s="119"/>
      <c r="F43" s="119"/>
      <c r="G43" s="119"/>
      <c r="H43" s="119"/>
      <c r="I43" s="119"/>
      <c r="J43" s="121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25">
        <f t="shared" si="1"/>
        <v>0</v>
      </c>
      <c r="X43" s="119"/>
      <c r="Y43" s="119"/>
      <c r="Z43" s="127">
        <f t="shared" si="2"/>
        <v>0</v>
      </c>
      <c r="AA43" s="141"/>
      <c r="AB43" s="142"/>
      <c r="AC43" s="133">
        <f t="shared" si="4"/>
        <v>0</v>
      </c>
      <c r="AD43" s="142"/>
      <c r="AE43" s="142"/>
      <c r="AF43" s="142"/>
      <c r="AG43" s="142"/>
      <c r="AH43" s="142"/>
      <c r="AI43" s="142"/>
      <c r="AJ43" s="142"/>
    </row>
    <row r="44" ht="22.5" hidden="1" customHeight="1">
      <c r="A44" s="4"/>
      <c r="B44" s="4"/>
      <c r="C44" s="131"/>
      <c r="D44" s="119"/>
      <c r="E44" s="119"/>
      <c r="F44" s="119"/>
      <c r="G44" s="119"/>
      <c r="H44" s="119"/>
      <c r="I44" s="119"/>
      <c r="J44" s="121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25">
        <f t="shared" si="1"/>
        <v>0</v>
      </c>
      <c r="X44" s="119"/>
      <c r="Y44" s="119"/>
      <c r="Z44" s="127">
        <f t="shared" si="2"/>
        <v>0</v>
      </c>
      <c r="AA44" s="141"/>
      <c r="AB44" s="142"/>
      <c r="AC44" s="133">
        <f t="shared" si="4"/>
        <v>0</v>
      </c>
      <c r="AD44" s="142"/>
      <c r="AE44" s="142"/>
      <c r="AF44" s="142"/>
      <c r="AG44" s="142"/>
      <c r="AH44" s="142"/>
      <c r="AI44" s="142"/>
      <c r="AJ44" s="142"/>
    </row>
    <row r="45" ht="22.5" hidden="1" customHeight="1">
      <c r="A45" s="4"/>
      <c r="B45" s="4"/>
      <c r="C45" s="131"/>
      <c r="D45" s="119"/>
      <c r="E45" s="119"/>
      <c r="F45" s="119"/>
      <c r="G45" s="119"/>
      <c r="H45" s="119"/>
      <c r="I45" s="119"/>
      <c r="J45" s="121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25">
        <f t="shared" si="1"/>
        <v>0</v>
      </c>
      <c r="X45" s="119"/>
      <c r="Y45" s="119"/>
      <c r="Z45" s="127">
        <f t="shared" si="2"/>
        <v>0</v>
      </c>
      <c r="AA45" s="141"/>
      <c r="AB45" s="142"/>
      <c r="AC45" s="133">
        <f t="shared" si="4"/>
        <v>0</v>
      </c>
      <c r="AD45" s="142"/>
      <c r="AE45" s="142"/>
      <c r="AF45" s="142"/>
      <c r="AG45" s="142"/>
      <c r="AH45" s="142"/>
      <c r="AI45" s="142"/>
      <c r="AJ45" s="142"/>
    </row>
    <row r="46" ht="22.5" hidden="1" customHeight="1">
      <c r="A46" s="4"/>
      <c r="B46" s="4"/>
      <c r="C46" s="131"/>
      <c r="D46" s="119"/>
      <c r="E46" s="119"/>
      <c r="F46" s="119"/>
      <c r="G46" s="119"/>
      <c r="H46" s="119"/>
      <c r="I46" s="119"/>
      <c r="J46" s="121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25">
        <f t="shared" si="1"/>
        <v>0</v>
      </c>
      <c r="X46" s="119"/>
      <c r="Y46" s="119"/>
      <c r="Z46" s="127">
        <f t="shared" si="2"/>
        <v>0</v>
      </c>
      <c r="AA46" s="141"/>
      <c r="AB46" s="142"/>
      <c r="AC46" s="133">
        <f t="shared" si="4"/>
        <v>0</v>
      </c>
      <c r="AD46" s="142"/>
      <c r="AE46" s="142"/>
      <c r="AF46" s="142"/>
      <c r="AG46" s="142"/>
      <c r="AH46" s="142"/>
      <c r="AI46" s="142"/>
      <c r="AJ46" s="142"/>
    </row>
    <row r="47" ht="22.5" hidden="1" customHeight="1">
      <c r="A47" s="4"/>
      <c r="B47" s="4"/>
      <c r="C47" s="131"/>
      <c r="D47" s="119"/>
      <c r="E47" s="119"/>
      <c r="F47" s="119"/>
      <c r="G47" s="119"/>
      <c r="H47" s="119"/>
      <c r="I47" s="119"/>
      <c r="J47" s="121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25">
        <f t="shared" si="1"/>
        <v>0</v>
      </c>
      <c r="X47" s="119"/>
      <c r="Y47" s="119"/>
      <c r="Z47" s="127">
        <f t="shared" si="2"/>
        <v>0</v>
      </c>
      <c r="AA47" s="141"/>
      <c r="AB47" s="142"/>
      <c r="AC47" s="133">
        <f t="shared" si="4"/>
        <v>0</v>
      </c>
      <c r="AD47" s="142"/>
      <c r="AE47" s="142"/>
      <c r="AF47" s="142"/>
      <c r="AG47" s="142"/>
      <c r="AH47" s="142"/>
      <c r="AI47" s="142"/>
      <c r="AJ47" s="142"/>
    </row>
    <row r="48" ht="22.5" hidden="1" customHeight="1">
      <c r="A48" s="4"/>
      <c r="B48" s="4"/>
      <c r="C48" s="131"/>
      <c r="D48" s="119"/>
      <c r="E48" s="119"/>
      <c r="F48" s="119"/>
      <c r="G48" s="119"/>
      <c r="H48" s="119"/>
      <c r="I48" s="119"/>
      <c r="J48" s="121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25">
        <f t="shared" si="1"/>
        <v>0</v>
      </c>
      <c r="X48" s="119"/>
      <c r="Y48" s="119"/>
      <c r="Z48" s="127">
        <f t="shared" si="2"/>
        <v>0</v>
      </c>
      <c r="AA48" s="141"/>
      <c r="AB48" s="142"/>
      <c r="AC48" s="133">
        <f t="shared" si="4"/>
        <v>0</v>
      </c>
      <c r="AD48" s="142"/>
      <c r="AE48" s="142"/>
      <c r="AF48" s="142"/>
      <c r="AG48" s="142"/>
      <c r="AH48" s="142"/>
      <c r="AI48" s="142"/>
      <c r="AJ48" s="142"/>
    </row>
    <row r="49" ht="22.5" hidden="1" customHeight="1">
      <c r="A49" s="4"/>
      <c r="B49" s="4"/>
      <c r="C49" s="131"/>
      <c r="D49" s="119"/>
      <c r="E49" s="119"/>
      <c r="F49" s="119"/>
      <c r="G49" s="119"/>
      <c r="H49" s="119"/>
      <c r="I49" s="119"/>
      <c r="J49" s="121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25">
        <f t="shared" si="1"/>
        <v>0</v>
      </c>
      <c r="X49" s="119"/>
      <c r="Y49" s="119"/>
      <c r="Z49" s="127">
        <f t="shared" si="2"/>
        <v>0</v>
      </c>
      <c r="AA49" s="141"/>
      <c r="AB49" s="142"/>
      <c r="AC49" s="133">
        <f t="shared" si="4"/>
        <v>0</v>
      </c>
      <c r="AD49" s="142"/>
      <c r="AE49" s="142"/>
      <c r="AF49" s="142"/>
      <c r="AG49" s="142"/>
      <c r="AH49" s="142"/>
      <c r="AI49" s="142"/>
      <c r="AJ49" s="142"/>
    </row>
    <row r="50" ht="22.5" hidden="1" customHeight="1">
      <c r="A50" s="4"/>
      <c r="B50" s="4"/>
      <c r="C50" s="131"/>
      <c r="D50" s="119"/>
      <c r="E50" s="119"/>
      <c r="F50" s="119"/>
      <c r="G50" s="119"/>
      <c r="H50" s="119"/>
      <c r="I50" s="119"/>
      <c r="J50" s="121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25">
        <f t="shared" si="1"/>
        <v>0</v>
      </c>
      <c r="X50" s="119"/>
      <c r="Y50" s="119"/>
      <c r="Z50" s="127">
        <f t="shared" si="2"/>
        <v>0</v>
      </c>
      <c r="AA50" s="141"/>
      <c r="AB50" s="142"/>
      <c r="AC50" s="133">
        <f t="shared" si="4"/>
        <v>0</v>
      </c>
      <c r="AD50" s="142"/>
      <c r="AE50" s="142"/>
      <c r="AF50" s="142"/>
      <c r="AG50" s="142"/>
      <c r="AH50" s="142"/>
      <c r="AI50" s="142"/>
      <c r="AJ50" s="142"/>
    </row>
    <row r="51" ht="22.5" hidden="1" customHeight="1">
      <c r="A51" s="4"/>
      <c r="B51" s="4"/>
      <c r="C51" s="131"/>
      <c r="D51" s="119"/>
      <c r="E51" s="119"/>
      <c r="F51" s="119"/>
      <c r="G51" s="119"/>
      <c r="H51" s="119"/>
      <c r="I51" s="119"/>
      <c r="J51" s="121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25">
        <f t="shared" si="1"/>
        <v>0</v>
      </c>
      <c r="X51" s="119"/>
      <c r="Y51" s="119"/>
      <c r="Z51" s="127">
        <f t="shared" si="2"/>
        <v>0</v>
      </c>
      <c r="AA51" s="141"/>
      <c r="AB51" s="142"/>
      <c r="AC51" s="133">
        <f t="shared" si="4"/>
        <v>0</v>
      </c>
      <c r="AD51" s="142"/>
      <c r="AE51" s="142"/>
      <c r="AF51" s="142"/>
      <c r="AG51" s="142"/>
      <c r="AH51" s="142"/>
      <c r="AI51" s="142"/>
      <c r="AJ51" s="142"/>
    </row>
    <row r="52" ht="22.5" hidden="1" customHeight="1">
      <c r="A52" s="4"/>
      <c r="B52" s="4"/>
      <c r="C52" s="131"/>
      <c r="D52" s="119"/>
      <c r="E52" s="119"/>
      <c r="F52" s="119"/>
      <c r="G52" s="119"/>
      <c r="H52" s="119"/>
      <c r="I52" s="119"/>
      <c r="J52" s="121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25">
        <f t="shared" si="1"/>
        <v>0</v>
      </c>
      <c r="X52" s="119"/>
      <c r="Y52" s="119"/>
      <c r="Z52" s="127">
        <f t="shared" si="2"/>
        <v>0</v>
      </c>
      <c r="AA52" s="141"/>
      <c r="AB52" s="142"/>
      <c r="AC52" s="133">
        <f t="shared" si="4"/>
        <v>0</v>
      </c>
      <c r="AD52" s="142"/>
      <c r="AE52" s="142"/>
      <c r="AF52" s="142"/>
      <c r="AG52" s="142"/>
      <c r="AH52" s="142"/>
      <c r="AI52" s="142"/>
      <c r="AJ52" s="142"/>
    </row>
    <row r="53" ht="22.5" hidden="1" customHeight="1">
      <c r="A53" s="4"/>
      <c r="B53" s="4"/>
      <c r="C53" s="131"/>
      <c r="D53" s="119"/>
      <c r="E53" s="119"/>
      <c r="F53" s="119"/>
      <c r="G53" s="119"/>
      <c r="H53" s="119"/>
      <c r="I53" s="119"/>
      <c r="J53" s="121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25">
        <f t="shared" si="1"/>
        <v>0</v>
      </c>
      <c r="X53" s="119"/>
      <c r="Y53" s="119"/>
      <c r="Z53" s="127">
        <f t="shared" si="2"/>
        <v>0</v>
      </c>
      <c r="AA53" s="141"/>
      <c r="AB53" s="142"/>
      <c r="AC53" s="133">
        <f t="shared" si="4"/>
        <v>0</v>
      </c>
      <c r="AD53" s="142"/>
      <c r="AE53" s="142"/>
      <c r="AF53" s="142"/>
      <c r="AG53" s="142"/>
      <c r="AH53" s="142"/>
      <c r="AI53" s="142"/>
      <c r="AJ53" s="142"/>
    </row>
    <row r="54" ht="22.5" hidden="1" customHeight="1">
      <c r="A54" s="4"/>
      <c r="B54" s="4"/>
      <c r="C54" s="131"/>
      <c r="D54" s="119"/>
      <c r="E54" s="119"/>
      <c r="F54" s="119"/>
      <c r="G54" s="119"/>
      <c r="H54" s="119"/>
      <c r="I54" s="119"/>
      <c r="J54" s="121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25">
        <f t="shared" si="1"/>
        <v>0</v>
      </c>
      <c r="X54" s="119"/>
      <c r="Y54" s="119"/>
      <c r="Z54" s="127">
        <f t="shared" si="2"/>
        <v>0</v>
      </c>
      <c r="AA54" s="141"/>
      <c r="AB54" s="142"/>
      <c r="AC54" s="133">
        <f t="shared" si="4"/>
        <v>0</v>
      </c>
      <c r="AD54" s="142"/>
      <c r="AE54" s="142"/>
      <c r="AF54" s="142"/>
      <c r="AG54" s="142"/>
      <c r="AH54" s="142"/>
      <c r="AI54" s="142"/>
      <c r="AJ54" s="142"/>
    </row>
    <row r="55" ht="22.5" hidden="1" customHeight="1">
      <c r="A55" s="4"/>
      <c r="B55" s="4"/>
      <c r="C55" s="131"/>
      <c r="D55" s="119"/>
      <c r="E55" s="119"/>
      <c r="F55" s="119"/>
      <c r="G55" s="119"/>
      <c r="H55" s="119"/>
      <c r="I55" s="119"/>
      <c r="J55" s="121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25">
        <f t="shared" si="1"/>
        <v>0</v>
      </c>
      <c r="X55" s="119"/>
      <c r="Y55" s="119"/>
      <c r="Z55" s="127">
        <f t="shared" si="2"/>
        <v>0</v>
      </c>
      <c r="AA55" s="141"/>
      <c r="AB55" s="142"/>
      <c r="AC55" s="133">
        <f t="shared" si="4"/>
        <v>0</v>
      </c>
      <c r="AD55" s="142"/>
      <c r="AE55" s="142"/>
      <c r="AF55" s="142"/>
      <c r="AG55" s="142"/>
      <c r="AH55" s="142"/>
      <c r="AI55" s="142"/>
      <c r="AJ55" s="142"/>
    </row>
    <row r="56" ht="22.5" hidden="1" customHeight="1">
      <c r="A56" s="4"/>
      <c r="B56" s="4"/>
      <c r="C56" s="131"/>
      <c r="D56" s="119"/>
      <c r="E56" s="119"/>
      <c r="F56" s="119"/>
      <c r="G56" s="119"/>
      <c r="H56" s="119"/>
      <c r="I56" s="119"/>
      <c r="J56" s="121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25">
        <f t="shared" si="1"/>
        <v>0</v>
      </c>
      <c r="X56" s="119"/>
      <c r="Y56" s="119"/>
      <c r="Z56" s="127">
        <f t="shared" si="2"/>
        <v>0</v>
      </c>
      <c r="AA56" s="141"/>
      <c r="AB56" s="142"/>
      <c r="AC56" s="133">
        <f t="shared" si="4"/>
        <v>0</v>
      </c>
      <c r="AD56" s="142"/>
      <c r="AE56" s="142"/>
      <c r="AF56" s="142"/>
      <c r="AG56" s="142"/>
      <c r="AH56" s="142"/>
      <c r="AI56" s="142"/>
      <c r="AJ56" s="142"/>
    </row>
    <row r="57" ht="22.5" hidden="1" customHeight="1">
      <c r="A57" s="4"/>
      <c r="B57" s="4"/>
      <c r="C57" s="131"/>
      <c r="D57" s="119"/>
      <c r="E57" s="119"/>
      <c r="F57" s="119"/>
      <c r="G57" s="119"/>
      <c r="H57" s="119"/>
      <c r="I57" s="119"/>
      <c r="J57" s="121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25">
        <f t="shared" si="1"/>
        <v>0</v>
      </c>
      <c r="X57" s="119"/>
      <c r="Y57" s="119"/>
      <c r="Z57" s="127">
        <f t="shared" si="2"/>
        <v>0</v>
      </c>
      <c r="AA57" s="141"/>
      <c r="AB57" s="142"/>
      <c r="AC57" s="133">
        <f t="shared" si="4"/>
        <v>0</v>
      </c>
      <c r="AD57" s="142"/>
      <c r="AE57" s="142"/>
      <c r="AF57" s="142"/>
      <c r="AG57" s="142"/>
      <c r="AH57" s="142"/>
      <c r="AI57" s="142"/>
      <c r="AJ57" s="142"/>
    </row>
    <row r="58" ht="22.5" hidden="1" customHeight="1">
      <c r="A58" s="4"/>
      <c r="B58" s="4"/>
      <c r="C58" s="131"/>
      <c r="D58" s="119"/>
      <c r="E58" s="119"/>
      <c r="F58" s="119"/>
      <c r="G58" s="119"/>
      <c r="H58" s="119"/>
      <c r="I58" s="119"/>
      <c r="J58" s="121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25">
        <f t="shared" si="1"/>
        <v>0</v>
      </c>
      <c r="X58" s="119"/>
      <c r="Y58" s="119"/>
      <c r="Z58" s="127">
        <f t="shared" si="2"/>
        <v>0</v>
      </c>
      <c r="AA58" s="141"/>
      <c r="AB58" s="142"/>
      <c r="AC58" s="133">
        <f t="shared" si="4"/>
        <v>0</v>
      </c>
      <c r="AD58" s="142"/>
      <c r="AE58" s="142"/>
      <c r="AF58" s="142"/>
      <c r="AG58" s="142"/>
      <c r="AH58" s="142"/>
      <c r="AI58" s="142"/>
      <c r="AJ58" s="142"/>
    </row>
    <row r="59" ht="22.5" hidden="1" customHeight="1">
      <c r="A59" s="4"/>
      <c r="B59" s="4"/>
      <c r="C59" s="131"/>
      <c r="D59" s="119"/>
      <c r="E59" s="119"/>
      <c r="F59" s="119"/>
      <c r="G59" s="119"/>
      <c r="H59" s="119"/>
      <c r="I59" s="119"/>
      <c r="J59" s="121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25">
        <f t="shared" si="1"/>
        <v>0</v>
      </c>
      <c r="X59" s="119"/>
      <c r="Y59" s="119"/>
      <c r="Z59" s="127">
        <f t="shared" si="2"/>
        <v>0</v>
      </c>
      <c r="AA59" s="141"/>
      <c r="AB59" s="142"/>
      <c r="AC59" s="133">
        <f t="shared" si="4"/>
        <v>0</v>
      </c>
      <c r="AD59" s="142"/>
      <c r="AE59" s="142"/>
      <c r="AF59" s="142"/>
      <c r="AG59" s="142"/>
      <c r="AH59" s="142"/>
      <c r="AI59" s="142"/>
      <c r="AJ59" s="142"/>
    </row>
    <row r="60" ht="22.5" hidden="1" customHeight="1">
      <c r="A60" s="4"/>
      <c r="B60" s="4"/>
      <c r="C60" s="131"/>
      <c r="D60" s="119"/>
      <c r="E60" s="119"/>
      <c r="F60" s="119"/>
      <c r="G60" s="119"/>
      <c r="H60" s="119"/>
      <c r="I60" s="119"/>
      <c r="J60" s="121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25">
        <f t="shared" si="1"/>
        <v>0</v>
      </c>
      <c r="X60" s="119"/>
      <c r="Y60" s="119"/>
      <c r="Z60" s="127">
        <f t="shared" si="2"/>
        <v>0</v>
      </c>
      <c r="AA60" s="141"/>
      <c r="AB60" s="142"/>
      <c r="AC60" s="133">
        <f t="shared" si="4"/>
        <v>0</v>
      </c>
      <c r="AD60" s="142"/>
      <c r="AE60" s="142"/>
      <c r="AF60" s="142"/>
      <c r="AG60" s="142"/>
      <c r="AH60" s="142"/>
      <c r="AI60" s="142"/>
      <c r="AJ60" s="142"/>
    </row>
    <row r="61" ht="22.5" hidden="1" customHeight="1">
      <c r="A61" s="4"/>
      <c r="B61" s="4"/>
      <c r="C61" s="131"/>
      <c r="D61" s="119"/>
      <c r="E61" s="119"/>
      <c r="F61" s="119"/>
      <c r="G61" s="119"/>
      <c r="H61" s="119"/>
      <c r="I61" s="119"/>
      <c r="J61" s="121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25">
        <f t="shared" si="1"/>
        <v>0</v>
      </c>
      <c r="X61" s="119"/>
      <c r="Y61" s="119"/>
      <c r="Z61" s="127">
        <f t="shared" si="2"/>
        <v>0</v>
      </c>
      <c r="AA61" s="141"/>
      <c r="AB61" s="142"/>
      <c r="AC61" s="133">
        <f t="shared" si="4"/>
        <v>0</v>
      </c>
      <c r="AD61" s="142"/>
      <c r="AE61" s="142"/>
      <c r="AF61" s="142"/>
      <c r="AG61" s="142"/>
      <c r="AH61" s="142"/>
      <c r="AI61" s="142"/>
      <c r="AJ61" s="142"/>
    </row>
    <row r="62" ht="22.5" hidden="1" customHeight="1">
      <c r="A62" s="4"/>
      <c r="B62" s="4"/>
      <c r="C62" s="131"/>
      <c r="D62" s="119"/>
      <c r="E62" s="119"/>
      <c r="F62" s="119"/>
      <c r="G62" s="119"/>
      <c r="H62" s="119"/>
      <c r="I62" s="119"/>
      <c r="J62" s="121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25">
        <f t="shared" si="1"/>
        <v>0</v>
      </c>
      <c r="X62" s="119"/>
      <c r="Y62" s="119"/>
      <c r="Z62" s="127">
        <f t="shared" si="2"/>
        <v>0</v>
      </c>
      <c r="AA62" s="141"/>
      <c r="AB62" s="142"/>
      <c r="AC62" s="133">
        <f t="shared" si="4"/>
        <v>0</v>
      </c>
      <c r="AD62" s="142"/>
      <c r="AE62" s="142"/>
      <c r="AF62" s="142"/>
      <c r="AG62" s="142"/>
      <c r="AH62" s="142"/>
      <c r="AI62" s="142"/>
      <c r="AJ62" s="142"/>
    </row>
    <row r="63" ht="22.5" hidden="1" customHeight="1">
      <c r="A63" s="4"/>
      <c r="B63" s="4"/>
      <c r="C63" s="131"/>
      <c r="D63" s="119"/>
      <c r="E63" s="119"/>
      <c r="F63" s="119"/>
      <c r="G63" s="119"/>
      <c r="H63" s="119"/>
      <c r="I63" s="119"/>
      <c r="J63" s="121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25">
        <f t="shared" si="1"/>
        <v>0</v>
      </c>
      <c r="X63" s="119"/>
      <c r="Y63" s="119"/>
      <c r="Z63" s="127">
        <f t="shared" si="2"/>
        <v>0</v>
      </c>
      <c r="AA63" s="141"/>
      <c r="AB63" s="142"/>
      <c r="AC63" s="133">
        <f t="shared" si="4"/>
        <v>0</v>
      </c>
      <c r="AD63" s="142"/>
      <c r="AE63" s="142"/>
      <c r="AF63" s="142"/>
      <c r="AG63" s="142"/>
      <c r="AH63" s="142"/>
      <c r="AI63" s="142"/>
      <c r="AJ63" s="142"/>
    </row>
    <row r="64" ht="22.5" hidden="1" customHeight="1">
      <c r="A64" s="4"/>
      <c r="B64" s="4"/>
      <c r="C64" s="131"/>
      <c r="D64" s="119"/>
      <c r="E64" s="119"/>
      <c r="F64" s="119"/>
      <c r="G64" s="119"/>
      <c r="H64" s="119"/>
      <c r="I64" s="119"/>
      <c r="J64" s="121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25">
        <f t="shared" si="1"/>
        <v>0</v>
      </c>
      <c r="X64" s="119"/>
      <c r="Y64" s="119"/>
      <c r="Z64" s="127">
        <f t="shared" si="2"/>
        <v>0</v>
      </c>
      <c r="AA64" s="141"/>
      <c r="AB64" s="142"/>
      <c r="AC64" s="133">
        <f t="shared" si="4"/>
        <v>0</v>
      </c>
      <c r="AD64" s="142"/>
      <c r="AE64" s="142"/>
      <c r="AF64" s="142"/>
      <c r="AG64" s="142"/>
      <c r="AH64" s="142"/>
      <c r="AI64" s="142"/>
      <c r="AJ64" s="142"/>
    </row>
    <row r="65" ht="22.5" hidden="1" customHeight="1">
      <c r="A65" s="4"/>
      <c r="B65" s="4"/>
      <c r="C65" s="131"/>
      <c r="D65" s="119"/>
      <c r="E65" s="119"/>
      <c r="F65" s="119"/>
      <c r="G65" s="119"/>
      <c r="H65" s="119"/>
      <c r="I65" s="119"/>
      <c r="J65" s="121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25">
        <f t="shared" si="1"/>
        <v>0</v>
      </c>
      <c r="X65" s="119"/>
      <c r="Y65" s="119"/>
      <c r="Z65" s="127">
        <f t="shared" si="2"/>
        <v>0</v>
      </c>
      <c r="AA65" s="141"/>
      <c r="AB65" s="142"/>
      <c r="AC65" s="133">
        <f t="shared" si="4"/>
        <v>0</v>
      </c>
      <c r="AD65" s="142"/>
      <c r="AE65" s="142"/>
      <c r="AF65" s="142"/>
      <c r="AG65" s="142"/>
      <c r="AH65" s="142"/>
      <c r="AI65" s="142"/>
      <c r="AJ65" s="142"/>
    </row>
    <row r="66" ht="22.5" hidden="1" customHeight="1">
      <c r="A66" s="4"/>
      <c r="B66" s="4"/>
      <c r="C66" s="131"/>
      <c r="D66" s="119"/>
      <c r="E66" s="119"/>
      <c r="F66" s="119"/>
      <c r="G66" s="119"/>
      <c r="H66" s="119"/>
      <c r="I66" s="119"/>
      <c r="J66" s="121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25">
        <f t="shared" si="1"/>
        <v>0</v>
      </c>
      <c r="X66" s="119"/>
      <c r="Y66" s="119"/>
      <c r="Z66" s="127">
        <f t="shared" si="2"/>
        <v>0</v>
      </c>
      <c r="AA66" s="141"/>
      <c r="AB66" s="142"/>
      <c r="AC66" s="133">
        <f t="shared" si="4"/>
        <v>0</v>
      </c>
      <c r="AD66" s="142"/>
      <c r="AE66" s="142"/>
      <c r="AF66" s="142"/>
      <c r="AG66" s="142"/>
      <c r="AH66" s="142"/>
      <c r="AI66" s="142"/>
      <c r="AJ66" s="142"/>
    </row>
    <row r="67" ht="22.5" hidden="1" customHeight="1">
      <c r="A67" s="4"/>
      <c r="B67" s="4"/>
      <c r="C67" s="131"/>
      <c r="D67" s="119"/>
      <c r="E67" s="119"/>
      <c r="F67" s="119"/>
      <c r="G67" s="119"/>
      <c r="H67" s="119"/>
      <c r="I67" s="119"/>
      <c r="J67" s="121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25">
        <f t="shared" si="1"/>
        <v>0</v>
      </c>
      <c r="X67" s="119"/>
      <c r="Y67" s="119"/>
      <c r="Z67" s="127">
        <f t="shared" si="2"/>
        <v>0</v>
      </c>
      <c r="AA67" s="141"/>
      <c r="AB67" s="142"/>
      <c r="AC67" s="133">
        <f t="shared" si="4"/>
        <v>0</v>
      </c>
      <c r="AD67" s="142"/>
      <c r="AE67" s="142"/>
      <c r="AF67" s="142"/>
      <c r="AG67" s="142"/>
      <c r="AH67" s="142"/>
      <c r="AI67" s="142"/>
      <c r="AJ67" s="142"/>
    </row>
    <row r="68" ht="22.5" hidden="1" customHeight="1">
      <c r="A68" s="4"/>
      <c r="B68" s="4"/>
      <c r="C68" s="131"/>
      <c r="D68" s="119"/>
      <c r="E68" s="119"/>
      <c r="F68" s="119"/>
      <c r="G68" s="119"/>
      <c r="H68" s="119"/>
      <c r="I68" s="119"/>
      <c r="J68" s="121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25">
        <f t="shared" si="1"/>
        <v>0</v>
      </c>
      <c r="X68" s="119"/>
      <c r="Y68" s="119"/>
      <c r="Z68" s="127">
        <f t="shared" si="2"/>
        <v>0</v>
      </c>
      <c r="AA68" s="141"/>
      <c r="AB68" s="142"/>
      <c r="AC68" s="133">
        <f t="shared" si="4"/>
        <v>0</v>
      </c>
      <c r="AD68" s="142"/>
      <c r="AE68" s="142"/>
      <c r="AF68" s="142"/>
      <c r="AG68" s="142"/>
      <c r="AH68" s="142"/>
      <c r="AI68" s="142"/>
      <c r="AJ68" s="142"/>
    </row>
    <row r="69" ht="22.5" hidden="1" customHeight="1">
      <c r="A69" s="4"/>
      <c r="B69" s="4"/>
      <c r="C69" s="131"/>
      <c r="D69" s="119"/>
      <c r="E69" s="119"/>
      <c r="F69" s="119"/>
      <c r="G69" s="119"/>
      <c r="H69" s="119"/>
      <c r="I69" s="119"/>
      <c r="J69" s="121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25">
        <f t="shared" si="1"/>
        <v>0</v>
      </c>
      <c r="X69" s="119"/>
      <c r="Y69" s="119"/>
      <c r="Z69" s="127">
        <f t="shared" si="2"/>
        <v>0</v>
      </c>
      <c r="AA69" s="141"/>
      <c r="AB69" s="142"/>
      <c r="AC69" s="133">
        <f t="shared" si="4"/>
        <v>0</v>
      </c>
      <c r="AD69" s="142"/>
      <c r="AE69" s="142"/>
      <c r="AF69" s="142"/>
      <c r="AG69" s="142"/>
      <c r="AH69" s="142"/>
      <c r="AI69" s="142"/>
      <c r="AJ69" s="142"/>
    </row>
    <row r="70" ht="22.5" hidden="1" customHeight="1">
      <c r="A70" s="4"/>
      <c r="B70" s="4"/>
      <c r="C70" s="131"/>
      <c r="D70" s="119"/>
      <c r="E70" s="119"/>
      <c r="F70" s="119"/>
      <c r="G70" s="119"/>
      <c r="H70" s="119"/>
      <c r="I70" s="119"/>
      <c r="J70" s="121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25">
        <f t="shared" si="1"/>
        <v>0</v>
      </c>
      <c r="X70" s="119"/>
      <c r="Y70" s="119"/>
      <c r="Z70" s="127">
        <f t="shared" si="2"/>
        <v>0</v>
      </c>
      <c r="AA70" s="141"/>
      <c r="AB70" s="142"/>
      <c r="AC70" s="133">
        <f t="shared" si="4"/>
        <v>0</v>
      </c>
      <c r="AD70" s="142"/>
      <c r="AE70" s="142"/>
      <c r="AF70" s="142"/>
      <c r="AG70" s="142"/>
      <c r="AH70" s="142"/>
      <c r="AI70" s="142"/>
      <c r="AJ70" s="142"/>
    </row>
    <row r="71" ht="22.5" hidden="1" customHeight="1">
      <c r="A71" s="4"/>
      <c r="B71" s="4"/>
      <c r="C71" s="131"/>
      <c r="D71" s="119"/>
      <c r="E71" s="119"/>
      <c r="F71" s="119"/>
      <c r="G71" s="119"/>
      <c r="H71" s="119"/>
      <c r="I71" s="119"/>
      <c r="J71" s="121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25">
        <f t="shared" si="1"/>
        <v>0</v>
      </c>
      <c r="X71" s="119"/>
      <c r="Y71" s="119"/>
      <c r="Z71" s="127">
        <f t="shared" si="2"/>
        <v>0</v>
      </c>
      <c r="AA71" s="141"/>
      <c r="AB71" s="142"/>
      <c r="AC71" s="133">
        <f t="shared" si="4"/>
        <v>0</v>
      </c>
      <c r="AD71" s="142"/>
      <c r="AE71" s="142"/>
      <c r="AF71" s="142"/>
      <c r="AG71" s="142"/>
      <c r="AH71" s="142"/>
      <c r="AI71" s="142"/>
      <c r="AJ71" s="142"/>
    </row>
    <row r="72" ht="22.5" hidden="1" customHeight="1">
      <c r="A72" s="4"/>
      <c r="B72" s="4"/>
      <c r="C72" s="131"/>
      <c r="D72" s="119"/>
      <c r="E72" s="119"/>
      <c r="F72" s="119"/>
      <c r="G72" s="119"/>
      <c r="H72" s="119"/>
      <c r="I72" s="119"/>
      <c r="J72" s="121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25">
        <f t="shared" si="1"/>
        <v>0</v>
      </c>
      <c r="X72" s="119"/>
      <c r="Y72" s="119"/>
      <c r="Z72" s="127">
        <f t="shared" si="2"/>
        <v>0</v>
      </c>
      <c r="AA72" s="141"/>
      <c r="AB72" s="142"/>
      <c r="AC72" s="133">
        <f t="shared" si="4"/>
        <v>0</v>
      </c>
      <c r="AD72" s="142"/>
      <c r="AE72" s="142"/>
      <c r="AF72" s="142"/>
      <c r="AG72" s="142"/>
      <c r="AH72" s="142"/>
      <c r="AI72" s="142"/>
      <c r="AJ72" s="142"/>
    </row>
    <row r="73" ht="22.5" hidden="1" customHeight="1">
      <c r="A73" s="4"/>
      <c r="B73" s="4"/>
      <c r="C73" s="131"/>
      <c r="D73" s="119"/>
      <c r="E73" s="119"/>
      <c r="F73" s="119"/>
      <c r="G73" s="119"/>
      <c r="H73" s="119"/>
      <c r="I73" s="119"/>
      <c r="J73" s="121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25">
        <f t="shared" si="1"/>
        <v>0</v>
      </c>
      <c r="X73" s="119"/>
      <c r="Y73" s="119"/>
      <c r="Z73" s="127">
        <f t="shared" si="2"/>
        <v>0</v>
      </c>
      <c r="AA73" s="141"/>
      <c r="AB73" s="142"/>
      <c r="AC73" s="133">
        <f t="shared" si="4"/>
        <v>0</v>
      </c>
      <c r="AD73" s="142"/>
      <c r="AE73" s="142"/>
      <c r="AF73" s="142"/>
      <c r="AG73" s="142"/>
      <c r="AH73" s="142"/>
      <c r="AI73" s="142"/>
      <c r="AJ73" s="142"/>
    </row>
    <row r="74" ht="22.5" hidden="1" customHeight="1">
      <c r="A74" s="4"/>
      <c r="B74" s="4"/>
      <c r="C74" s="131"/>
      <c r="D74" s="119"/>
      <c r="E74" s="119"/>
      <c r="F74" s="119"/>
      <c r="G74" s="119"/>
      <c r="H74" s="119"/>
      <c r="I74" s="119"/>
      <c r="J74" s="121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25">
        <f t="shared" si="1"/>
        <v>0</v>
      </c>
      <c r="X74" s="119"/>
      <c r="Y74" s="119"/>
      <c r="Z74" s="127">
        <f t="shared" si="2"/>
        <v>0</v>
      </c>
      <c r="AA74" s="141"/>
      <c r="AB74" s="142"/>
      <c r="AC74" s="133">
        <f t="shared" si="4"/>
        <v>0</v>
      </c>
      <c r="AD74" s="142"/>
      <c r="AE74" s="142"/>
      <c r="AF74" s="142"/>
      <c r="AG74" s="142"/>
      <c r="AH74" s="142"/>
      <c r="AI74" s="142"/>
      <c r="AJ74" s="142"/>
    </row>
    <row r="75" ht="22.5" hidden="1" customHeight="1">
      <c r="A75" s="4"/>
      <c r="B75" s="4"/>
      <c r="C75" s="131"/>
      <c r="D75" s="119"/>
      <c r="E75" s="119"/>
      <c r="F75" s="119"/>
      <c r="G75" s="119"/>
      <c r="H75" s="119"/>
      <c r="I75" s="119"/>
      <c r="J75" s="121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25">
        <f t="shared" si="1"/>
        <v>0</v>
      </c>
      <c r="X75" s="119"/>
      <c r="Y75" s="119"/>
      <c r="Z75" s="127">
        <f t="shared" si="2"/>
        <v>0</v>
      </c>
      <c r="AA75" s="141"/>
      <c r="AB75" s="142"/>
      <c r="AC75" s="133">
        <f t="shared" si="4"/>
        <v>0</v>
      </c>
      <c r="AD75" s="142"/>
      <c r="AE75" s="142"/>
      <c r="AF75" s="142"/>
      <c r="AG75" s="142"/>
      <c r="AH75" s="142"/>
      <c r="AI75" s="142"/>
      <c r="AJ75" s="142"/>
    </row>
    <row r="76" ht="22.5" hidden="1" customHeight="1">
      <c r="A76" s="4"/>
      <c r="B76" s="4"/>
      <c r="C76" s="131"/>
      <c r="D76" s="119"/>
      <c r="E76" s="119"/>
      <c r="F76" s="119"/>
      <c r="G76" s="119"/>
      <c r="H76" s="119"/>
      <c r="I76" s="119"/>
      <c r="J76" s="121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25">
        <f t="shared" si="1"/>
        <v>0</v>
      </c>
      <c r="X76" s="119"/>
      <c r="Y76" s="119"/>
      <c r="Z76" s="127">
        <f t="shared" si="2"/>
        <v>0</v>
      </c>
      <c r="AA76" s="141"/>
      <c r="AB76" s="142"/>
      <c r="AC76" s="133">
        <f t="shared" si="4"/>
        <v>0</v>
      </c>
      <c r="AD76" s="142"/>
      <c r="AE76" s="142"/>
      <c r="AF76" s="142"/>
      <c r="AG76" s="142"/>
      <c r="AH76" s="142"/>
      <c r="AI76" s="142"/>
      <c r="AJ76" s="142"/>
    </row>
    <row r="77" ht="22.5" hidden="1" customHeight="1">
      <c r="A77" s="4"/>
      <c r="B77" s="4"/>
      <c r="C77" s="131"/>
      <c r="D77" s="119"/>
      <c r="E77" s="119"/>
      <c r="F77" s="119"/>
      <c r="G77" s="119"/>
      <c r="H77" s="119"/>
      <c r="I77" s="119"/>
      <c r="J77" s="121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25">
        <f t="shared" si="1"/>
        <v>0</v>
      </c>
      <c r="X77" s="119"/>
      <c r="Y77" s="119"/>
      <c r="Z77" s="127">
        <f t="shared" si="2"/>
        <v>0</v>
      </c>
      <c r="AA77" s="141"/>
      <c r="AB77" s="142"/>
      <c r="AC77" s="133">
        <f t="shared" si="4"/>
        <v>0</v>
      </c>
      <c r="AD77" s="142"/>
      <c r="AE77" s="142"/>
      <c r="AF77" s="142"/>
      <c r="AG77" s="142"/>
      <c r="AH77" s="142"/>
      <c r="AI77" s="142"/>
      <c r="AJ77" s="142"/>
    </row>
    <row r="78" ht="22.5" hidden="1" customHeight="1">
      <c r="A78" s="4"/>
      <c r="B78" s="4"/>
      <c r="C78" s="131"/>
      <c r="D78" s="119"/>
      <c r="E78" s="119"/>
      <c r="F78" s="119"/>
      <c r="G78" s="119"/>
      <c r="H78" s="119"/>
      <c r="I78" s="119"/>
      <c r="J78" s="121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25">
        <f t="shared" si="1"/>
        <v>0</v>
      </c>
      <c r="X78" s="119"/>
      <c r="Y78" s="119"/>
      <c r="Z78" s="127">
        <f t="shared" si="2"/>
        <v>0</v>
      </c>
      <c r="AA78" s="141"/>
      <c r="AB78" s="142"/>
      <c r="AC78" s="133">
        <f t="shared" si="4"/>
        <v>0</v>
      </c>
      <c r="AD78" s="142"/>
      <c r="AE78" s="142"/>
      <c r="AF78" s="142"/>
      <c r="AG78" s="142"/>
      <c r="AH78" s="142"/>
      <c r="AI78" s="142"/>
      <c r="AJ78" s="142"/>
    </row>
    <row r="79" ht="22.5" hidden="1" customHeight="1">
      <c r="A79" s="4"/>
      <c r="B79" s="4"/>
      <c r="C79" s="131"/>
      <c r="D79" s="119"/>
      <c r="E79" s="119"/>
      <c r="F79" s="119"/>
      <c r="G79" s="119"/>
      <c r="H79" s="119"/>
      <c r="I79" s="119"/>
      <c r="J79" s="121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25">
        <f t="shared" si="1"/>
        <v>0</v>
      </c>
      <c r="X79" s="119"/>
      <c r="Y79" s="119"/>
      <c r="Z79" s="127">
        <f t="shared" si="2"/>
        <v>0</v>
      </c>
      <c r="AA79" s="141"/>
      <c r="AB79" s="142"/>
      <c r="AC79" s="133">
        <f t="shared" si="4"/>
        <v>0</v>
      </c>
      <c r="AD79" s="142"/>
      <c r="AE79" s="142"/>
      <c r="AF79" s="142"/>
      <c r="AG79" s="142"/>
      <c r="AH79" s="142"/>
      <c r="AI79" s="142"/>
      <c r="AJ79" s="142"/>
    </row>
    <row r="80" ht="22.5" hidden="1" customHeight="1">
      <c r="A80" s="4"/>
      <c r="B80" s="4"/>
      <c r="C80" s="131"/>
      <c r="D80" s="119"/>
      <c r="E80" s="119"/>
      <c r="F80" s="119"/>
      <c r="G80" s="119"/>
      <c r="H80" s="119"/>
      <c r="I80" s="119"/>
      <c r="J80" s="121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25">
        <f t="shared" si="1"/>
        <v>0</v>
      </c>
      <c r="X80" s="119"/>
      <c r="Y80" s="119"/>
      <c r="Z80" s="127">
        <f t="shared" si="2"/>
        <v>0</v>
      </c>
      <c r="AA80" s="141"/>
      <c r="AB80" s="142"/>
      <c r="AC80" s="133">
        <f t="shared" si="4"/>
        <v>0</v>
      </c>
      <c r="AD80" s="142"/>
      <c r="AE80" s="142"/>
      <c r="AF80" s="142"/>
      <c r="AG80" s="142"/>
      <c r="AH80" s="142"/>
      <c r="AI80" s="142"/>
      <c r="AJ80" s="142"/>
    </row>
    <row r="81" ht="22.5" hidden="1" customHeight="1">
      <c r="A81" s="4"/>
      <c r="B81" s="4"/>
      <c r="C81" s="131"/>
      <c r="D81" s="119"/>
      <c r="E81" s="119"/>
      <c r="F81" s="119"/>
      <c r="G81" s="119"/>
      <c r="H81" s="119"/>
      <c r="I81" s="119"/>
      <c r="J81" s="121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25">
        <f t="shared" si="1"/>
        <v>0</v>
      </c>
      <c r="X81" s="119"/>
      <c r="Y81" s="119"/>
      <c r="Z81" s="127">
        <f t="shared" si="2"/>
        <v>0</v>
      </c>
      <c r="AA81" s="141"/>
      <c r="AB81" s="142"/>
      <c r="AC81" s="133">
        <f t="shared" si="4"/>
        <v>0</v>
      </c>
      <c r="AD81" s="142"/>
      <c r="AE81" s="142"/>
      <c r="AF81" s="142"/>
      <c r="AG81" s="142"/>
      <c r="AH81" s="142"/>
      <c r="AI81" s="142"/>
      <c r="AJ81" s="142"/>
    </row>
    <row r="82" ht="22.5" hidden="1" customHeight="1">
      <c r="A82" s="4"/>
      <c r="B82" s="4"/>
      <c r="C82" s="131"/>
      <c r="D82" s="119"/>
      <c r="E82" s="119"/>
      <c r="F82" s="119"/>
      <c r="G82" s="119"/>
      <c r="H82" s="119"/>
      <c r="I82" s="119"/>
      <c r="J82" s="121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25">
        <f t="shared" si="1"/>
        <v>0</v>
      </c>
      <c r="X82" s="119"/>
      <c r="Y82" s="119"/>
      <c r="Z82" s="127">
        <f t="shared" si="2"/>
        <v>0</v>
      </c>
      <c r="AA82" s="141"/>
      <c r="AB82" s="142"/>
      <c r="AC82" s="133">
        <f t="shared" si="4"/>
        <v>0</v>
      </c>
      <c r="AD82" s="142"/>
      <c r="AE82" s="142"/>
      <c r="AF82" s="142"/>
      <c r="AG82" s="142"/>
      <c r="AH82" s="142"/>
      <c r="AI82" s="142"/>
      <c r="AJ82" s="142"/>
    </row>
    <row r="83" ht="22.5" hidden="1" customHeight="1">
      <c r="A83" s="4"/>
      <c r="B83" s="4"/>
      <c r="C83" s="131"/>
      <c r="D83" s="119"/>
      <c r="E83" s="119"/>
      <c r="F83" s="119"/>
      <c r="G83" s="119"/>
      <c r="H83" s="119"/>
      <c r="I83" s="119"/>
      <c r="J83" s="121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25">
        <f t="shared" si="1"/>
        <v>0</v>
      </c>
      <c r="X83" s="119"/>
      <c r="Y83" s="119"/>
      <c r="Z83" s="127">
        <f t="shared" si="2"/>
        <v>0</v>
      </c>
      <c r="AA83" s="141"/>
      <c r="AB83" s="142"/>
      <c r="AC83" s="133">
        <f t="shared" si="4"/>
        <v>0</v>
      </c>
      <c r="AD83" s="142"/>
      <c r="AE83" s="142"/>
      <c r="AF83" s="142"/>
      <c r="AG83" s="142"/>
      <c r="AH83" s="142"/>
      <c r="AI83" s="142"/>
      <c r="AJ83" s="142"/>
    </row>
    <row r="84" ht="22.5" hidden="1" customHeight="1">
      <c r="A84" s="4"/>
      <c r="B84" s="4"/>
      <c r="C84" s="131"/>
      <c r="D84" s="119"/>
      <c r="E84" s="119"/>
      <c r="F84" s="119"/>
      <c r="G84" s="119"/>
      <c r="H84" s="119"/>
      <c r="I84" s="119"/>
      <c r="J84" s="121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25">
        <f t="shared" si="1"/>
        <v>0</v>
      </c>
      <c r="X84" s="119"/>
      <c r="Y84" s="119"/>
      <c r="Z84" s="127">
        <f t="shared" si="2"/>
        <v>0</v>
      </c>
      <c r="AA84" s="141"/>
      <c r="AB84" s="142"/>
      <c r="AC84" s="133">
        <f t="shared" si="4"/>
        <v>0</v>
      </c>
      <c r="AD84" s="142"/>
      <c r="AE84" s="142"/>
      <c r="AF84" s="142"/>
      <c r="AG84" s="142"/>
      <c r="AH84" s="142"/>
      <c r="AI84" s="142"/>
      <c r="AJ84" s="142"/>
    </row>
    <row r="85" ht="22.5" hidden="1" customHeight="1">
      <c r="A85" s="4"/>
      <c r="B85" s="4"/>
      <c r="C85" s="131"/>
      <c r="D85" s="119"/>
      <c r="E85" s="119"/>
      <c r="F85" s="119"/>
      <c r="G85" s="119"/>
      <c r="H85" s="119"/>
      <c r="I85" s="119"/>
      <c r="J85" s="121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25">
        <f t="shared" si="1"/>
        <v>0</v>
      </c>
      <c r="X85" s="119"/>
      <c r="Y85" s="119"/>
      <c r="Z85" s="127">
        <f t="shared" si="2"/>
        <v>0</v>
      </c>
      <c r="AA85" s="141"/>
      <c r="AB85" s="142"/>
      <c r="AC85" s="133">
        <f t="shared" si="4"/>
        <v>0</v>
      </c>
      <c r="AD85" s="142"/>
      <c r="AE85" s="142"/>
      <c r="AF85" s="142"/>
      <c r="AG85" s="142"/>
      <c r="AH85" s="142"/>
      <c r="AI85" s="142"/>
      <c r="AJ85" s="142"/>
    </row>
    <row r="86" ht="22.5" hidden="1" customHeight="1">
      <c r="A86" s="4"/>
      <c r="B86" s="4"/>
      <c r="C86" s="131"/>
      <c r="D86" s="119"/>
      <c r="E86" s="119"/>
      <c r="F86" s="119"/>
      <c r="G86" s="119"/>
      <c r="H86" s="119"/>
      <c r="I86" s="119"/>
      <c r="J86" s="121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25">
        <f t="shared" si="1"/>
        <v>0</v>
      </c>
      <c r="X86" s="119"/>
      <c r="Y86" s="119"/>
      <c r="Z86" s="127">
        <f t="shared" si="2"/>
        <v>0</v>
      </c>
      <c r="AA86" s="141"/>
      <c r="AB86" s="142"/>
      <c r="AC86" s="133">
        <f t="shared" si="4"/>
        <v>0</v>
      </c>
      <c r="AD86" s="142"/>
      <c r="AE86" s="142"/>
      <c r="AF86" s="142"/>
      <c r="AG86" s="142"/>
      <c r="AH86" s="142"/>
      <c r="AI86" s="142"/>
      <c r="AJ86" s="142"/>
    </row>
    <row r="87" ht="22.5" hidden="1" customHeight="1">
      <c r="A87" s="4"/>
      <c r="B87" s="4"/>
      <c r="C87" s="131"/>
      <c r="D87" s="119"/>
      <c r="E87" s="119"/>
      <c r="F87" s="119"/>
      <c r="G87" s="119"/>
      <c r="H87" s="119"/>
      <c r="I87" s="119"/>
      <c r="J87" s="121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25">
        <f t="shared" si="1"/>
        <v>0</v>
      </c>
      <c r="X87" s="119"/>
      <c r="Y87" s="119"/>
      <c r="Z87" s="127">
        <f t="shared" si="2"/>
        <v>0</v>
      </c>
      <c r="AA87" s="141"/>
      <c r="AB87" s="142"/>
      <c r="AC87" s="133">
        <f t="shared" si="4"/>
        <v>0</v>
      </c>
      <c r="AD87" s="142"/>
      <c r="AE87" s="142"/>
      <c r="AF87" s="142"/>
      <c r="AG87" s="142"/>
      <c r="AH87" s="142"/>
      <c r="AI87" s="142"/>
      <c r="AJ87" s="142"/>
    </row>
    <row r="88" ht="22.5" hidden="1" customHeight="1">
      <c r="A88" s="4"/>
      <c r="B88" s="4"/>
      <c r="C88" s="131"/>
      <c r="D88" s="119"/>
      <c r="E88" s="119"/>
      <c r="F88" s="119"/>
      <c r="G88" s="119"/>
      <c r="H88" s="119"/>
      <c r="I88" s="119"/>
      <c r="J88" s="121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25">
        <f t="shared" si="1"/>
        <v>0</v>
      </c>
      <c r="X88" s="119"/>
      <c r="Y88" s="119"/>
      <c r="Z88" s="127">
        <f t="shared" si="2"/>
        <v>0</v>
      </c>
      <c r="AA88" s="141"/>
      <c r="AB88" s="142"/>
      <c r="AC88" s="133">
        <f t="shared" si="4"/>
        <v>0</v>
      </c>
      <c r="AD88" s="142"/>
      <c r="AE88" s="142"/>
      <c r="AF88" s="142"/>
      <c r="AG88" s="142"/>
      <c r="AH88" s="142"/>
      <c r="AI88" s="142"/>
      <c r="AJ88" s="142"/>
    </row>
    <row r="89" ht="22.5" hidden="1" customHeight="1">
      <c r="A89" s="4"/>
      <c r="B89" s="4"/>
      <c r="C89" s="131"/>
      <c r="D89" s="119"/>
      <c r="E89" s="119"/>
      <c r="F89" s="119"/>
      <c r="G89" s="119"/>
      <c r="H89" s="119"/>
      <c r="I89" s="119"/>
      <c r="J89" s="121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25">
        <f t="shared" si="1"/>
        <v>0</v>
      </c>
      <c r="X89" s="119"/>
      <c r="Y89" s="119"/>
      <c r="Z89" s="127">
        <f t="shared" si="2"/>
        <v>0</v>
      </c>
      <c r="AA89" s="141"/>
      <c r="AB89" s="142"/>
      <c r="AC89" s="133">
        <f t="shared" si="4"/>
        <v>0</v>
      </c>
      <c r="AD89" s="142"/>
      <c r="AE89" s="142"/>
      <c r="AF89" s="142"/>
      <c r="AG89" s="142"/>
      <c r="AH89" s="142"/>
      <c r="AI89" s="142"/>
      <c r="AJ89" s="142"/>
    </row>
    <row r="90" ht="22.5" hidden="1" customHeight="1">
      <c r="A90" s="4"/>
      <c r="B90" s="4"/>
      <c r="C90" s="131"/>
      <c r="D90" s="119"/>
      <c r="E90" s="119"/>
      <c r="F90" s="119"/>
      <c r="G90" s="119"/>
      <c r="H90" s="119"/>
      <c r="I90" s="119"/>
      <c r="J90" s="121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25">
        <f t="shared" si="1"/>
        <v>0</v>
      </c>
      <c r="X90" s="119"/>
      <c r="Y90" s="119"/>
      <c r="Z90" s="127">
        <f t="shared" si="2"/>
        <v>0</v>
      </c>
      <c r="AA90" s="141"/>
      <c r="AB90" s="142"/>
      <c r="AC90" s="133">
        <f t="shared" si="4"/>
        <v>0</v>
      </c>
      <c r="AD90" s="142"/>
      <c r="AE90" s="142"/>
      <c r="AF90" s="142"/>
      <c r="AG90" s="142"/>
      <c r="AH90" s="142"/>
      <c r="AI90" s="142"/>
      <c r="AJ90" s="142"/>
    </row>
    <row r="91" ht="22.5" hidden="1" customHeight="1">
      <c r="A91" s="4"/>
      <c r="B91" s="4"/>
      <c r="C91" s="131"/>
      <c r="D91" s="119"/>
      <c r="E91" s="119"/>
      <c r="F91" s="119"/>
      <c r="G91" s="119"/>
      <c r="H91" s="119"/>
      <c r="I91" s="119"/>
      <c r="J91" s="121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25">
        <f t="shared" si="1"/>
        <v>0</v>
      </c>
      <c r="X91" s="119"/>
      <c r="Y91" s="119"/>
      <c r="Z91" s="127">
        <f t="shared" si="2"/>
        <v>0</v>
      </c>
      <c r="AA91" s="141"/>
      <c r="AB91" s="142"/>
      <c r="AC91" s="133">
        <f t="shared" si="4"/>
        <v>0</v>
      </c>
      <c r="AD91" s="142"/>
      <c r="AE91" s="142"/>
      <c r="AF91" s="142"/>
      <c r="AG91" s="142"/>
      <c r="AH91" s="142"/>
      <c r="AI91" s="142"/>
      <c r="AJ91" s="142"/>
    </row>
    <row r="92" ht="22.5" hidden="1" customHeight="1">
      <c r="A92" s="4"/>
      <c r="B92" s="4"/>
      <c r="C92" s="131"/>
      <c r="D92" s="119"/>
      <c r="E92" s="119"/>
      <c r="F92" s="119"/>
      <c r="G92" s="119"/>
      <c r="H92" s="119"/>
      <c r="I92" s="119"/>
      <c r="J92" s="121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25">
        <f t="shared" si="1"/>
        <v>0</v>
      </c>
      <c r="X92" s="119"/>
      <c r="Y92" s="119"/>
      <c r="Z92" s="127">
        <f t="shared" si="2"/>
        <v>0</v>
      </c>
      <c r="AA92" s="141"/>
      <c r="AB92" s="142"/>
      <c r="AC92" s="133">
        <f t="shared" si="4"/>
        <v>0</v>
      </c>
      <c r="AD92" s="142"/>
      <c r="AE92" s="142"/>
      <c r="AF92" s="142"/>
      <c r="AG92" s="142"/>
      <c r="AH92" s="142"/>
      <c r="AI92" s="142"/>
      <c r="AJ92" s="142"/>
    </row>
    <row r="93" ht="22.5" hidden="1" customHeight="1">
      <c r="A93" s="4"/>
      <c r="B93" s="4"/>
      <c r="C93" s="131"/>
      <c r="D93" s="119"/>
      <c r="E93" s="119"/>
      <c r="F93" s="119"/>
      <c r="G93" s="119"/>
      <c r="H93" s="119"/>
      <c r="I93" s="119"/>
      <c r="J93" s="121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25">
        <f t="shared" si="1"/>
        <v>0</v>
      </c>
      <c r="X93" s="119"/>
      <c r="Y93" s="119"/>
      <c r="Z93" s="127">
        <f t="shared" si="2"/>
        <v>0</v>
      </c>
      <c r="AA93" s="141"/>
      <c r="AB93" s="142"/>
      <c r="AC93" s="133">
        <f t="shared" si="4"/>
        <v>0</v>
      </c>
      <c r="AD93" s="142"/>
      <c r="AE93" s="142"/>
      <c r="AF93" s="142"/>
      <c r="AG93" s="142"/>
      <c r="AH93" s="142"/>
      <c r="AI93" s="142"/>
      <c r="AJ93" s="142"/>
    </row>
    <row r="94" ht="22.5" hidden="1" customHeight="1">
      <c r="A94" s="4"/>
      <c r="B94" s="4"/>
      <c r="C94" s="131"/>
      <c r="D94" s="119"/>
      <c r="E94" s="119"/>
      <c r="F94" s="119"/>
      <c r="G94" s="119"/>
      <c r="H94" s="119"/>
      <c r="I94" s="119"/>
      <c r="J94" s="121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25">
        <f t="shared" si="1"/>
        <v>0</v>
      </c>
      <c r="X94" s="119"/>
      <c r="Y94" s="119"/>
      <c r="Z94" s="127">
        <f t="shared" si="2"/>
        <v>0</v>
      </c>
      <c r="AA94" s="141"/>
      <c r="AB94" s="142"/>
      <c r="AC94" s="133">
        <f t="shared" si="4"/>
        <v>0</v>
      </c>
      <c r="AD94" s="142"/>
      <c r="AE94" s="142"/>
      <c r="AF94" s="142"/>
      <c r="AG94" s="142"/>
      <c r="AH94" s="142"/>
      <c r="AI94" s="142"/>
      <c r="AJ94" s="142"/>
    </row>
    <row r="95" ht="22.5" hidden="1" customHeight="1">
      <c r="A95" s="4"/>
      <c r="B95" s="4"/>
      <c r="C95" s="131"/>
      <c r="D95" s="119"/>
      <c r="E95" s="119"/>
      <c r="F95" s="119"/>
      <c r="G95" s="119"/>
      <c r="H95" s="119"/>
      <c r="I95" s="119"/>
      <c r="J95" s="121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25">
        <f t="shared" si="1"/>
        <v>0</v>
      </c>
      <c r="X95" s="119"/>
      <c r="Y95" s="119"/>
      <c r="Z95" s="127">
        <f t="shared" si="2"/>
        <v>0</v>
      </c>
      <c r="AA95" s="141"/>
      <c r="AB95" s="142"/>
      <c r="AC95" s="133">
        <f t="shared" si="4"/>
        <v>0</v>
      </c>
      <c r="AD95" s="142"/>
      <c r="AE95" s="142"/>
      <c r="AF95" s="142"/>
      <c r="AG95" s="142"/>
      <c r="AH95" s="142"/>
      <c r="AI95" s="142"/>
      <c r="AJ95" s="142"/>
    </row>
    <row r="96" ht="22.5" hidden="1" customHeight="1">
      <c r="A96" s="4"/>
      <c r="B96" s="4"/>
      <c r="C96" s="131"/>
      <c r="D96" s="119"/>
      <c r="E96" s="119"/>
      <c r="F96" s="119"/>
      <c r="G96" s="119"/>
      <c r="H96" s="119"/>
      <c r="I96" s="119"/>
      <c r="J96" s="121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25">
        <f t="shared" si="1"/>
        <v>0</v>
      </c>
      <c r="X96" s="119"/>
      <c r="Y96" s="119"/>
      <c r="Z96" s="127">
        <f t="shared" si="2"/>
        <v>0</v>
      </c>
      <c r="AA96" s="141"/>
      <c r="AB96" s="142"/>
      <c r="AC96" s="133">
        <f t="shared" si="4"/>
        <v>0</v>
      </c>
      <c r="AD96" s="142"/>
      <c r="AE96" s="142"/>
      <c r="AF96" s="142"/>
      <c r="AG96" s="142"/>
      <c r="AH96" s="142"/>
      <c r="AI96" s="142"/>
      <c r="AJ96" s="142"/>
    </row>
    <row r="97" ht="22.5" hidden="1" customHeight="1">
      <c r="A97" s="4"/>
      <c r="B97" s="4"/>
      <c r="C97" s="131"/>
      <c r="D97" s="119"/>
      <c r="E97" s="119"/>
      <c r="F97" s="119"/>
      <c r="G97" s="119"/>
      <c r="H97" s="119"/>
      <c r="I97" s="119"/>
      <c r="J97" s="121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25">
        <f t="shared" si="1"/>
        <v>0</v>
      </c>
      <c r="X97" s="119"/>
      <c r="Y97" s="119"/>
      <c r="Z97" s="127">
        <f t="shared" si="2"/>
        <v>0</v>
      </c>
      <c r="AA97" s="141"/>
      <c r="AB97" s="142"/>
      <c r="AC97" s="133">
        <f t="shared" si="4"/>
        <v>0</v>
      </c>
      <c r="AD97" s="142"/>
      <c r="AE97" s="142"/>
      <c r="AF97" s="142"/>
      <c r="AG97" s="142"/>
      <c r="AH97" s="142"/>
      <c r="AI97" s="142"/>
      <c r="AJ97" s="142"/>
    </row>
    <row r="98" ht="22.5" hidden="1" customHeight="1">
      <c r="A98" s="4"/>
      <c r="B98" s="4"/>
      <c r="C98" s="131"/>
      <c r="D98" s="119"/>
      <c r="E98" s="119"/>
      <c r="F98" s="119"/>
      <c r="G98" s="119"/>
      <c r="H98" s="119"/>
      <c r="I98" s="119"/>
      <c r="J98" s="121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25">
        <f t="shared" si="1"/>
        <v>0</v>
      </c>
      <c r="X98" s="119"/>
      <c r="Y98" s="119"/>
      <c r="Z98" s="127">
        <f t="shared" si="2"/>
        <v>0</v>
      </c>
      <c r="AA98" s="141"/>
      <c r="AB98" s="142"/>
      <c r="AC98" s="133">
        <f t="shared" si="4"/>
        <v>0</v>
      </c>
      <c r="AD98" s="142"/>
      <c r="AE98" s="142"/>
      <c r="AF98" s="142"/>
      <c r="AG98" s="142"/>
      <c r="AH98" s="142"/>
      <c r="AI98" s="142"/>
      <c r="AJ98" s="142"/>
    </row>
    <row r="99" ht="22.5" hidden="1" customHeight="1">
      <c r="A99" s="4"/>
      <c r="B99" s="4"/>
      <c r="C99" s="131"/>
      <c r="D99" s="119"/>
      <c r="E99" s="119"/>
      <c r="F99" s="119"/>
      <c r="G99" s="119"/>
      <c r="H99" s="119"/>
      <c r="I99" s="119"/>
      <c r="J99" s="121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25">
        <f t="shared" si="1"/>
        <v>0</v>
      </c>
      <c r="X99" s="119"/>
      <c r="Y99" s="119"/>
      <c r="Z99" s="127">
        <f t="shared" si="2"/>
        <v>0</v>
      </c>
      <c r="AA99" s="141"/>
      <c r="AB99" s="142"/>
      <c r="AC99" s="133">
        <f t="shared" si="4"/>
        <v>0</v>
      </c>
      <c r="AD99" s="142"/>
      <c r="AE99" s="142"/>
      <c r="AF99" s="142"/>
      <c r="AG99" s="142"/>
      <c r="AH99" s="142"/>
      <c r="AI99" s="142"/>
      <c r="AJ99" s="142"/>
    </row>
    <row r="100" ht="22.5" hidden="1" customHeight="1">
      <c r="A100" s="4"/>
      <c r="B100" s="4"/>
      <c r="C100" s="131"/>
      <c r="D100" s="119"/>
      <c r="E100" s="119"/>
      <c r="F100" s="119"/>
      <c r="G100" s="119"/>
      <c r="H100" s="119"/>
      <c r="I100" s="119"/>
      <c r="J100" s="121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25">
        <f t="shared" si="1"/>
        <v>0</v>
      </c>
      <c r="X100" s="119"/>
      <c r="Y100" s="119"/>
      <c r="Z100" s="127">
        <f t="shared" si="2"/>
        <v>0</v>
      </c>
      <c r="AA100" s="141"/>
      <c r="AB100" s="142"/>
      <c r="AC100" s="133">
        <f t="shared" si="4"/>
        <v>0</v>
      </c>
      <c r="AD100" s="142"/>
      <c r="AE100" s="142"/>
      <c r="AF100" s="142"/>
      <c r="AG100" s="142"/>
      <c r="AH100" s="142"/>
      <c r="AI100" s="142"/>
      <c r="AJ100" s="142"/>
    </row>
    <row r="101" ht="22.5" hidden="1" customHeight="1">
      <c r="A101" s="4"/>
      <c r="B101" s="4"/>
      <c r="C101" s="131"/>
      <c r="D101" s="119"/>
      <c r="E101" s="119"/>
      <c r="F101" s="119"/>
      <c r="G101" s="119"/>
      <c r="H101" s="119"/>
      <c r="I101" s="119"/>
      <c r="J101" s="121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25">
        <f t="shared" si="1"/>
        <v>0</v>
      </c>
      <c r="X101" s="119"/>
      <c r="Y101" s="119"/>
      <c r="Z101" s="127">
        <f t="shared" si="2"/>
        <v>0</v>
      </c>
      <c r="AA101" s="141"/>
      <c r="AB101" s="142"/>
      <c r="AC101" s="133">
        <f t="shared" si="4"/>
        <v>0</v>
      </c>
      <c r="AD101" s="142"/>
      <c r="AE101" s="142"/>
      <c r="AF101" s="142"/>
      <c r="AG101" s="142"/>
      <c r="AH101" s="142"/>
      <c r="AI101" s="142"/>
      <c r="AJ101" s="142"/>
    </row>
    <row r="102" ht="22.5" hidden="1" customHeight="1">
      <c r="A102" s="4"/>
      <c r="B102" s="4"/>
      <c r="C102" s="131"/>
      <c r="D102" s="119"/>
      <c r="E102" s="119"/>
      <c r="F102" s="119"/>
      <c r="G102" s="119"/>
      <c r="H102" s="119"/>
      <c r="I102" s="119"/>
      <c r="J102" s="121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25">
        <f t="shared" si="1"/>
        <v>0</v>
      </c>
      <c r="X102" s="119"/>
      <c r="Y102" s="119"/>
      <c r="Z102" s="127">
        <f t="shared" si="2"/>
        <v>0</v>
      </c>
      <c r="AA102" s="141"/>
      <c r="AB102" s="142"/>
      <c r="AC102" s="133">
        <f t="shared" si="4"/>
        <v>0</v>
      </c>
      <c r="AD102" s="142"/>
      <c r="AE102" s="142"/>
      <c r="AF102" s="142"/>
      <c r="AG102" s="142"/>
      <c r="AH102" s="142"/>
      <c r="AI102" s="142"/>
      <c r="AJ102" s="142"/>
    </row>
    <row r="103" ht="22.5" hidden="1" customHeight="1">
      <c r="A103" s="4"/>
      <c r="B103" s="4"/>
      <c r="C103" s="131"/>
      <c r="D103" s="119"/>
      <c r="E103" s="119"/>
      <c r="F103" s="119"/>
      <c r="G103" s="119"/>
      <c r="H103" s="119"/>
      <c r="I103" s="119"/>
      <c r="J103" s="121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25">
        <f t="shared" si="1"/>
        <v>0</v>
      </c>
      <c r="X103" s="119"/>
      <c r="Y103" s="119"/>
      <c r="Z103" s="127">
        <f t="shared" si="2"/>
        <v>0</v>
      </c>
      <c r="AA103" s="141"/>
      <c r="AB103" s="142"/>
      <c r="AC103" s="133">
        <f t="shared" si="4"/>
        <v>0</v>
      </c>
      <c r="AD103" s="142"/>
      <c r="AE103" s="142"/>
      <c r="AF103" s="142"/>
      <c r="AG103" s="142"/>
      <c r="AH103" s="142"/>
      <c r="AI103" s="142"/>
      <c r="AJ103" s="142"/>
    </row>
    <row r="104" ht="22.5" hidden="1" customHeight="1">
      <c r="A104" s="4"/>
      <c r="B104" s="4"/>
      <c r="C104" s="131"/>
      <c r="D104" s="119"/>
      <c r="E104" s="119"/>
      <c r="F104" s="119"/>
      <c r="G104" s="119"/>
      <c r="H104" s="119"/>
      <c r="I104" s="119"/>
      <c r="J104" s="121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25">
        <f t="shared" si="1"/>
        <v>0</v>
      </c>
      <c r="X104" s="119"/>
      <c r="Y104" s="119"/>
      <c r="Z104" s="127">
        <f t="shared" si="2"/>
        <v>0</v>
      </c>
      <c r="AA104" s="141"/>
      <c r="AB104" s="142"/>
      <c r="AC104" s="133">
        <f t="shared" si="4"/>
        <v>0</v>
      </c>
      <c r="AD104" s="142"/>
      <c r="AE104" s="142"/>
      <c r="AF104" s="142"/>
      <c r="AG104" s="142"/>
      <c r="AH104" s="142"/>
      <c r="AI104" s="142"/>
      <c r="AJ104" s="142"/>
    </row>
    <row r="105" ht="22.5" hidden="1" customHeight="1">
      <c r="A105" s="4"/>
      <c r="B105" s="4"/>
      <c r="C105" s="131"/>
      <c r="D105" s="119"/>
      <c r="E105" s="119"/>
      <c r="F105" s="119"/>
      <c r="G105" s="119"/>
      <c r="H105" s="119"/>
      <c r="I105" s="119"/>
      <c r="J105" s="121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25">
        <f t="shared" si="1"/>
        <v>0</v>
      </c>
      <c r="X105" s="119"/>
      <c r="Y105" s="119"/>
      <c r="Z105" s="127">
        <f t="shared" si="2"/>
        <v>0</v>
      </c>
      <c r="AA105" s="141"/>
      <c r="AB105" s="142"/>
      <c r="AC105" s="133">
        <f t="shared" si="4"/>
        <v>0</v>
      </c>
      <c r="AD105" s="142"/>
      <c r="AE105" s="142"/>
      <c r="AF105" s="142"/>
      <c r="AG105" s="142"/>
      <c r="AH105" s="142"/>
      <c r="AI105" s="142"/>
      <c r="AJ105" s="142"/>
    </row>
    <row r="106" ht="22.5" hidden="1" customHeight="1">
      <c r="A106" s="4"/>
      <c r="B106" s="4"/>
      <c r="C106" s="131"/>
      <c r="D106" s="119"/>
      <c r="E106" s="119"/>
      <c r="F106" s="119"/>
      <c r="G106" s="119"/>
      <c r="H106" s="119"/>
      <c r="I106" s="119"/>
      <c r="J106" s="121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25">
        <f t="shared" si="1"/>
        <v>0</v>
      </c>
      <c r="X106" s="119"/>
      <c r="Y106" s="119"/>
      <c r="Z106" s="127">
        <f t="shared" si="2"/>
        <v>0</v>
      </c>
      <c r="AA106" s="141"/>
      <c r="AB106" s="142"/>
      <c r="AC106" s="133">
        <f t="shared" si="4"/>
        <v>0</v>
      </c>
      <c r="AD106" s="142"/>
      <c r="AE106" s="142"/>
      <c r="AF106" s="142"/>
      <c r="AG106" s="142"/>
      <c r="AH106" s="142"/>
      <c r="AI106" s="142"/>
      <c r="AJ106" s="142"/>
    </row>
    <row r="107" ht="22.5" hidden="1" customHeight="1">
      <c r="A107" s="4"/>
      <c r="B107" s="4"/>
      <c r="C107" s="131"/>
      <c r="D107" s="119"/>
      <c r="E107" s="119"/>
      <c r="F107" s="119"/>
      <c r="G107" s="119"/>
      <c r="H107" s="119"/>
      <c r="I107" s="119"/>
      <c r="J107" s="121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25">
        <f t="shared" si="1"/>
        <v>0</v>
      </c>
      <c r="X107" s="119"/>
      <c r="Y107" s="119"/>
      <c r="Z107" s="127">
        <f t="shared" si="2"/>
        <v>0</v>
      </c>
      <c r="AA107" s="141"/>
      <c r="AB107" s="142"/>
      <c r="AC107" s="133">
        <f t="shared" si="4"/>
        <v>0</v>
      </c>
      <c r="AD107" s="142"/>
      <c r="AE107" s="142"/>
      <c r="AF107" s="142"/>
      <c r="AG107" s="142"/>
      <c r="AH107" s="142"/>
      <c r="AI107" s="142"/>
      <c r="AJ107" s="142"/>
    </row>
    <row r="108" ht="22.5" hidden="1" customHeight="1">
      <c r="A108" s="4"/>
      <c r="B108" s="4"/>
      <c r="C108" s="131"/>
      <c r="D108" s="119"/>
      <c r="E108" s="119"/>
      <c r="F108" s="119"/>
      <c r="G108" s="119"/>
      <c r="H108" s="119"/>
      <c r="I108" s="119"/>
      <c r="J108" s="121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25">
        <f t="shared" si="1"/>
        <v>0</v>
      </c>
      <c r="X108" s="119"/>
      <c r="Y108" s="119"/>
      <c r="Z108" s="127">
        <f t="shared" si="2"/>
        <v>0</v>
      </c>
      <c r="AA108" s="141"/>
      <c r="AB108" s="142"/>
      <c r="AC108" s="133">
        <f t="shared" si="4"/>
        <v>0</v>
      </c>
      <c r="AD108" s="142"/>
      <c r="AE108" s="142"/>
      <c r="AF108" s="142"/>
      <c r="AG108" s="142"/>
      <c r="AH108" s="142"/>
      <c r="AI108" s="142"/>
      <c r="AJ108" s="142"/>
    </row>
    <row r="109" ht="22.5" customHeight="1">
      <c r="A109" s="4"/>
      <c r="B109" s="4"/>
      <c r="C109" s="131"/>
      <c r="D109" s="119"/>
      <c r="E109" s="119"/>
      <c r="F109" s="119"/>
      <c r="G109" s="119"/>
      <c r="H109" s="119"/>
      <c r="I109" s="119"/>
      <c r="J109" s="121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25">
        <f t="shared" si="1"/>
        <v>0</v>
      </c>
      <c r="X109" s="119"/>
      <c r="Y109" s="119"/>
      <c r="Z109" s="127">
        <f t="shared" si="2"/>
        <v>0</v>
      </c>
      <c r="AA109" s="141"/>
      <c r="AB109" s="142"/>
      <c r="AC109" s="133">
        <f t="shared" si="4"/>
        <v>0</v>
      </c>
      <c r="AD109" s="142"/>
      <c r="AE109" s="142"/>
      <c r="AF109" s="142"/>
      <c r="AG109" s="142"/>
      <c r="AH109" s="142"/>
      <c r="AI109" s="142"/>
      <c r="AJ109" s="142"/>
    </row>
    <row r="110" ht="22.5" customHeight="1">
      <c r="A110" s="115" t="s">
        <v>109</v>
      </c>
      <c r="B110" s="143"/>
      <c r="C110" s="136"/>
      <c r="D110" s="136">
        <f t="shared" ref="D110:V110" si="5">SUM(D3:D109)</f>
        <v>240000</v>
      </c>
      <c r="E110" s="136">
        <f t="shared" si="5"/>
        <v>30000</v>
      </c>
      <c r="F110" s="136">
        <f t="shared" si="5"/>
        <v>30000</v>
      </c>
      <c r="G110" s="136">
        <f t="shared" si="5"/>
        <v>12000</v>
      </c>
      <c r="H110" s="136">
        <f t="shared" si="5"/>
        <v>70000</v>
      </c>
      <c r="I110" s="136">
        <f t="shared" si="5"/>
        <v>141790</v>
      </c>
      <c r="J110" s="144">
        <f t="shared" si="5"/>
        <v>-67462</v>
      </c>
      <c r="K110" s="136">
        <f t="shared" si="5"/>
        <v>22915</v>
      </c>
      <c r="L110" s="136">
        <f t="shared" si="5"/>
        <v>6570</v>
      </c>
      <c r="M110" s="136">
        <f t="shared" si="5"/>
        <v>30000</v>
      </c>
      <c r="N110" s="136">
        <f t="shared" si="5"/>
        <v>0</v>
      </c>
      <c r="O110" s="136">
        <f t="shared" si="5"/>
        <v>7281</v>
      </c>
      <c r="P110" s="136">
        <f t="shared" si="5"/>
        <v>0</v>
      </c>
      <c r="Q110" s="136">
        <f t="shared" si="5"/>
        <v>11154</v>
      </c>
      <c r="R110" s="136">
        <f t="shared" si="5"/>
        <v>0</v>
      </c>
      <c r="S110" s="136">
        <f t="shared" si="5"/>
        <v>0</v>
      </c>
      <c r="T110" s="136">
        <f t="shared" si="5"/>
        <v>0</v>
      </c>
      <c r="U110" s="136">
        <f t="shared" si="5"/>
        <v>0</v>
      </c>
      <c r="V110" s="136">
        <f t="shared" si="5"/>
        <v>0</v>
      </c>
      <c r="W110" s="125">
        <f t="shared" si="1"/>
        <v>534248</v>
      </c>
      <c r="X110" s="136">
        <f t="shared" ref="X110:Z110" si="6">SUM(X3:X109)</f>
        <v>134640</v>
      </c>
      <c r="Y110" s="136">
        <f t="shared" si="6"/>
        <v>16000</v>
      </c>
      <c r="Z110" s="136">
        <f t="shared" si="6"/>
        <v>684888</v>
      </c>
      <c r="AA110" s="145"/>
      <c r="AC110" s="146"/>
    </row>
    <row r="111">
      <c r="A111" s="117"/>
      <c r="B111" s="11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</row>
    <row r="112">
      <c r="A112" s="117"/>
      <c r="B112" s="117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</row>
    <row r="113">
      <c r="A113" s="117"/>
      <c r="B113" s="11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</row>
    <row r="114">
      <c r="A114" s="117"/>
      <c r="B114" s="11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</row>
    <row r="115">
      <c r="A115" s="117"/>
      <c r="B115" s="11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</row>
    <row r="116">
      <c r="A116" s="117"/>
      <c r="B116" s="11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</row>
    <row r="117">
      <c r="A117" s="117"/>
      <c r="B117" s="11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</row>
    <row r="118">
      <c r="A118" s="117"/>
      <c r="B118" s="11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</row>
    <row r="119">
      <c r="A119" s="117"/>
      <c r="B119" s="11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</row>
    <row r="120">
      <c r="A120" s="117"/>
      <c r="B120" s="11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</row>
    <row r="121">
      <c r="A121" s="117"/>
      <c r="B121" s="11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</row>
    <row r="122">
      <c r="A122" s="117"/>
      <c r="B122" s="11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</row>
    <row r="123">
      <c r="A123" s="117"/>
      <c r="B123" s="11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</row>
    <row r="124">
      <c r="A124" s="117"/>
      <c r="B124" s="11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</row>
    <row r="125">
      <c r="A125" s="117"/>
      <c r="B125" s="11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</row>
    <row r="126">
      <c r="A126" s="117"/>
      <c r="B126" s="11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</row>
    <row r="127">
      <c r="A127" s="117"/>
      <c r="B127" s="117"/>
    </row>
    <row r="128">
      <c r="A128" s="117"/>
      <c r="B128" s="117"/>
    </row>
    <row r="129">
      <c r="A129" s="117"/>
      <c r="B129" s="117"/>
    </row>
    <row r="130">
      <c r="A130" s="117"/>
      <c r="B130" s="117"/>
    </row>
    <row r="131">
      <c r="A131" s="117"/>
      <c r="B131" s="117"/>
    </row>
    <row r="132">
      <c r="A132" s="117"/>
      <c r="B132" s="117"/>
    </row>
    <row r="133">
      <c r="A133" s="117"/>
      <c r="B133" s="117"/>
    </row>
    <row r="134">
      <c r="A134" s="117"/>
      <c r="B134" s="117"/>
    </row>
    <row r="135">
      <c r="A135" s="117"/>
      <c r="B135" s="117"/>
    </row>
    <row r="136">
      <c r="A136" s="117"/>
      <c r="B136" s="117"/>
    </row>
    <row r="137">
      <c r="A137" s="117"/>
      <c r="B137" s="117"/>
    </row>
    <row r="138">
      <c r="A138" s="117"/>
      <c r="B138" s="117"/>
    </row>
    <row r="139">
      <c r="A139" s="117"/>
      <c r="B139" s="117"/>
    </row>
    <row r="140">
      <c r="A140" s="117"/>
      <c r="B140" s="117"/>
    </row>
    <row r="141">
      <c r="A141" s="117"/>
      <c r="B141" s="117"/>
    </row>
    <row r="142">
      <c r="A142" s="117"/>
      <c r="B142" s="117"/>
    </row>
    <row r="143">
      <c r="A143" s="117"/>
      <c r="B143" s="117"/>
    </row>
    <row r="144">
      <c r="A144" s="117"/>
      <c r="B144" s="117"/>
    </row>
    <row r="145">
      <c r="A145" s="117"/>
      <c r="B145" s="117"/>
    </row>
    <row r="146">
      <c r="A146" s="117"/>
      <c r="B146" s="117"/>
    </row>
    <row r="147">
      <c r="A147" s="117"/>
      <c r="B147" s="117"/>
    </row>
    <row r="148">
      <c r="A148" s="117"/>
      <c r="B148" s="117"/>
    </row>
    <row r="149">
      <c r="A149" s="117"/>
      <c r="B149" s="117"/>
    </row>
    <row r="150">
      <c r="A150" s="117"/>
      <c r="B150" s="117"/>
    </row>
    <row r="151">
      <c r="A151" s="117"/>
      <c r="B151" s="117"/>
    </row>
    <row r="152">
      <c r="A152" s="117"/>
      <c r="B152" s="117"/>
    </row>
    <row r="153">
      <c r="A153" s="117"/>
      <c r="B153" s="117"/>
    </row>
    <row r="154">
      <c r="A154" s="117"/>
      <c r="B154" s="117"/>
    </row>
    <row r="155">
      <c r="A155" s="117"/>
      <c r="B155" s="117"/>
    </row>
    <row r="156">
      <c r="A156" s="117"/>
      <c r="B156" s="117"/>
    </row>
    <row r="157">
      <c r="A157" s="117"/>
      <c r="B157" s="117"/>
    </row>
    <row r="158">
      <c r="A158" s="117"/>
      <c r="B158" s="117"/>
    </row>
    <row r="159">
      <c r="A159" s="117"/>
      <c r="B159" s="117"/>
    </row>
    <row r="160">
      <c r="A160" s="117"/>
      <c r="B160" s="117"/>
    </row>
    <row r="161">
      <c r="A161" s="117"/>
      <c r="B161" s="117"/>
    </row>
    <row r="162">
      <c r="A162" s="117"/>
      <c r="B162" s="117"/>
    </row>
    <row r="163">
      <c r="A163" s="117"/>
      <c r="B163" s="117"/>
    </row>
    <row r="164">
      <c r="A164" s="117"/>
      <c r="B164" s="117"/>
    </row>
    <row r="165">
      <c r="A165" s="117"/>
      <c r="B165" s="117"/>
    </row>
    <row r="166">
      <c r="A166" s="117"/>
      <c r="B166" s="117"/>
    </row>
    <row r="167">
      <c r="A167" s="117"/>
      <c r="B167" s="117"/>
    </row>
    <row r="168">
      <c r="A168" s="117"/>
      <c r="B168" s="117"/>
    </row>
    <row r="169">
      <c r="A169" s="117"/>
      <c r="B169" s="117"/>
    </row>
    <row r="170">
      <c r="A170" s="117"/>
      <c r="B170" s="117"/>
    </row>
    <row r="171">
      <c r="A171" s="117"/>
      <c r="B171" s="117"/>
    </row>
    <row r="172">
      <c r="A172" s="117"/>
      <c r="B172" s="117"/>
    </row>
    <row r="173">
      <c r="A173" s="117"/>
      <c r="B173" s="117"/>
    </row>
    <row r="174">
      <c r="A174" s="117"/>
      <c r="B174" s="117"/>
    </row>
    <row r="175">
      <c r="A175" s="117"/>
      <c r="B175" s="117"/>
    </row>
    <row r="176">
      <c r="A176" s="117"/>
      <c r="B176" s="117"/>
    </row>
    <row r="177">
      <c r="A177" s="117"/>
      <c r="B177" s="117"/>
    </row>
    <row r="178">
      <c r="A178" s="117"/>
      <c r="B178" s="117"/>
    </row>
    <row r="179">
      <c r="A179" s="117"/>
      <c r="B179" s="117"/>
    </row>
    <row r="180">
      <c r="A180" s="117"/>
      <c r="B180" s="117"/>
    </row>
    <row r="181">
      <c r="A181" s="117"/>
      <c r="B181" s="117"/>
    </row>
    <row r="182">
      <c r="A182" s="117"/>
      <c r="B182" s="117"/>
    </row>
    <row r="183">
      <c r="A183" s="117"/>
      <c r="B183" s="117"/>
    </row>
    <row r="184">
      <c r="A184" s="117"/>
      <c r="B184" s="117"/>
    </row>
    <row r="185">
      <c r="A185" s="117"/>
      <c r="B185" s="117"/>
    </row>
    <row r="186">
      <c r="A186" s="117"/>
      <c r="B186" s="117"/>
    </row>
    <row r="187">
      <c r="A187" s="117"/>
      <c r="B187" s="117"/>
    </row>
    <row r="188">
      <c r="A188" s="117"/>
      <c r="B188" s="117"/>
    </row>
    <row r="189">
      <c r="A189" s="117"/>
      <c r="B189" s="117"/>
    </row>
    <row r="190">
      <c r="A190" s="117"/>
      <c r="B190" s="117"/>
    </row>
    <row r="191">
      <c r="A191" s="117"/>
      <c r="B191" s="117"/>
    </row>
    <row r="192">
      <c r="A192" s="117"/>
      <c r="B192" s="117"/>
    </row>
    <row r="193">
      <c r="A193" s="117"/>
      <c r="B193" s="117"/>
    </row>
    <row r="194">
      <c r="A194" s="117"/>
      <c r="B194" s="117"/>
    </row>
    <row r="195">
      <c r="A195" s="117"/>
      <c r="B195" s="117"/>
    </row>
    <row r="196">
      <c r="A196" s="117"/>
      <c r="B196" s="117"/>
    </row>
    <row r="197">
      <c r="A197" s="117"/>
      <c r="B197" s="117"/>
    </row>
    <row r="198">
      <c r="A198" s="117"/>
      <c r="B198" s="117"/>
    </row>
    <row r="199">
      <c r="A199" s="117"/>
      <c r="B199" s="117"/>
    </row>
    <row r="200">
      <c r="A200" s="117"/>
      <c r="B200" s="117"/>
    </row>
    <row r="201">
      <c r="A201" s="117"/>
      <c r="B201" s="117"/>
    </row>
    <row r="202">
      <c r="A202" s="117"/>
      <c r="B202" s="117"/>
    </row>
    <row r="203">
      <c r="A203" s="117"/>
      <c r="B203" s="117"/>
    </row>
    <row r="204">
      <c r="A204" s="117"/>
      <c r="B204" s="117"/>
    </row>
    <row r="205">
      <c r="A205" s="117"/>
      <c r="B205" s="117"/>
    </row>
    <row r="206">
      <c r="A206" s="117"/>
      <c r="B206" s="117"/>
    </row>
    <row r="207">
      <c r="A207" s="117"/>
      <c r="B207" s="117"/>
    </row>
    <row r="208">
      <c r="A208" s="117"/>
      <c r="B208" s="117"/>
    </row>
    <row r="209">
      <c r="A209" s="117"/>
      <c r="B209" s="117"/>
    </row>
    <row r="210">
      <c r="A210" s="117"/>
      <c r="B210" s="117"/>
    </row>
    <row r="211">
      <c r="A211" s="117"/>
      <c r="B211" s="117"/>
    </row>
    <row r="212">
      <c r="A212" s="117"/>
      <c r="B212" s="117"/>
    </row>
    <row r="213">
      <c r="A213" s="117"/>
      <c r="B213" s="117"/>
    </row>
    <row r="214">
      <c r="A214" s="117"/>
      <c r="B214" s="117"/>
    </row>
    <row r="215">
      <c r="A215" s="117"/>
      <c r="B215" s="117"/>
    </row>
    <row r="216">
      <c r="A216" s="117"/>
      <c r="B216" s="117"/>
    </row>
    <row r="217">
      <c r="A217" s="117"/>
      <c r="B217" s="117"/>
    </row>
    <row r="218">
      <c r="A218" s="117"/>
      <c r="B218" s="117"/>
    </row>
    <row r="219">
      <c r="A219" s="117"/>
      <c r="B219" s="117"/>
    </row>
    <row r="220">
      <c r="A220" s="117"/>
      <c r="B220" s="117"/>
    </row>
    <row r="221">
      <c r="A221" s="117"/>
      <c r="B221" s="117"/>
    </row>
    <row r="222">
      <c r="A222" s="117"/>
      <c r="B222" s="117"/>
    </row>
    <row r="223">
      <c r="A223" s="117"/>
      <c r="B223" s="117"/>
    </row>
    <row r="224">
      <c r="A224" s="117"/>
      <c r="B224" s="117"/>
    </row>
    <row r="225">
      <c r="A225" s="117"/>
      <c r="B225" s="117"/>
    </row>
    <row r="226">
      <c r="A226" s="117"/>
      <c r="B226" s="117"/>
    </row>
    <row r="227">
      <c r="A227" s="117"/>
      <c r="B227" s="117"/>
    </row>
    <row r="228">
      <c r="A228" s="117"/>
      <c r="B228" s="117"/>
    </row>
    <row r="229">
      <c r="A229" s="117"/>
      <c r="B229" s="117"/>
    </row>
    <row r="230">
      <c r="A230" s="117"/>
      <c r="B230" s="117"/>
    </row>
    <row r="231">
      <c r="A231" s="117"/>
      <c r="B231" s="117"/>
    </row>
    <row r="232">
      <c r="A232" s="117"/>
      <c r="B232" s="117"/>
    </row>
    <row r="233">
      <c r="A233" s="117"/>
      <c r="B233" s="117"/>
    </row>
    <row r="234">
      <c r="A234" s="117"/>
      <c r="B234" s="117"/>
    </row>
    <row r="235">
      <c r="A235" s="117"/>
      <c r="B235" s="117"/>
    </row>
    <row r="236">
      <c r="A236" s="117"/>
      <c r="B236" s="117"/>
    </row>
    <row r="237">
      <c r="A237" s="117"/>
      <c r="B237" s="117"/>
    </row>
    <row r="238">
      <c r="A238" s="117"/>
      <c r="B238" s="117"/>
    </row>
    <row r="239">
      <c r="A239" s="117"/>
      <c r="B239" s="117"/>
    </row>
    <row r="240">
      <c r="A240" s="117"/>
      <c r="B240" s="117"/>
    </row>
    <row r="241">
      <c r="A241" s="117"/>
      <c r="B241" s="117"/>
    </row>
    <row r="242">
      <c r="A242" s="117"/>
      <c r="B242" s="117"/>
    </row>
    <row r="243">
      <c r="A243" s="117"/>
      <c r="B243" s="117"/>
    </row>
    <row r="244">
      <c r="A244" s="117"/>
      <c r="B244" s="117"/>
    </row>
    <row r="245">
      <c r="A245" s="117"/>
      <c r="B245" s="117"/>
    </row>
    <row r="246">
      <c r="A246" s="117"/>
      <c r="B246" s="117"/>
    </row>
    <row r="247">
      <c r="A247" s="117"/>
      <c r="B247" s="117"/>
    </row>
    <row r="248">
      <c r="A248" s="117"/>
      <c r="B248" s="117"/>
    </row>
    <row r="249">
      <c r="A249" s="117"/>
      <c r="B249" s="117"/>
    </row>
    <row r="250">
      <c r="A250" s="117"/>
      <c r="B250" s="117"/>
    </row>
    <row r="251">
      <c r="A251" s="117"/>
      <c r="B251" s="117"/>
    </row>
    <row r="252">
      <c r="A252" s="117"/>
      <c r="B252" s="117"/>
    </row>
    <row r="253">
      <c r="A253" s="117"/>
      <c r="B253" s="117"/>
    </row>
    <row r="254">
      <c r="A254" s="117"/>
      <c r="B254" s="117"/>
    </row>
    <row r="255">
      <c r="A255" s="117"/>
      <c r="B255" s="117"/>
    </row>
    <row r="256">
      <c r="A256" s="117"/>
      <c r="B256" s="117"/>
    </row>
    <row r="257">
      <c r="A257" s="117"/>
      <c r="B257" s="117"/>
    </row>
    <row r="258">
      <c r="A258" s="117"/>
      <c r="B258" s="117"/>
    </row>
    <row r="259">
      <c r="A259" s="117"/>
      <c r="B259" s="117"/>
    </row>
    <row r="260">
      <c r="A260" s="117"/>
      <c r="B260" s="117"/>
    </row>
    <row r="261">
      <c r="A261" s="117"/>
      <c r="B261" s="117"/>
    </row>
    <row r="262">
      <c r="A262" s="117"/>
      <c r="B262" s="117"/>
    </row>
    <row r="263">
      <c r="A263" s="117"/>
      <c r="B263" s="117"/>
    </row>
    <row r="264">
      <c r="A264" s="117"/>
      <c r="B264" s="117"/>
    </row>
    <row r="265">
      <c r="A265" s="117"/>
      <c r="B265" s="117"/>
    </row>
    <row r="266">
      <c r="A266" s="117"/>
      <c r="B266" s="117"/>
    </row>
    <row r="267">
      <c r="A267" s="117"/>
      <c r="B267" s="117"/>
    </row>
    <row r="268">
      <c r="A268" s="117"/>
      <c r="B268" s="117"/>
    </row>
    <row r="269">
      <c r="A269" s="117"/>
      <c r="B269" s="117"/>
    </row>
    <row r="270">
      <c r="A270" s="117"/>
      <c r="B270" s="117"/>
    </row>
    <row r="271">
      <c r="A271" s="117"/>
      <c r="B271" s="117"/>
    </row>
    <row r="272">
      <c r="A272" s="117"/>
      <c r="B272" s="117"/>
    </row>
    <row r="273">
      <c r="A273" s="117"/>
      <c r="B273" s="117"/>
    </row>
    <row r="274">
      <c r="A274" s="117"/>
      <c r="B274" s="117"/>
    </row>
    <row r="275">
      <c r="A275" s="117"/>
      <c r="B275" s="117"/>
    </row>
    <row r="276">
      <c r="A276" s="117"/>
      <c r="B276" s="117"/>
    </row>
    <row r="277">
      <c r="A277" s="117"/>
      <c r="B277" s="117"/>
    </row>
    <row r="278">
      <c r="A278" s="117"/>
      <c r="B278" s="117"/>
    </row>
    <row r="279">
      <c r="A279" s="117"/>
      <c r="B279" s="117"/>
    </row>
    <row r="280">
      <c r="A280" s="117"/>
      <c r="B280" s="117"/>
    </row>
    <row r="281">
      <c r="A281" s="117"/>
      <c r="B281" s="117"/>
    </row>
    <row r="282">
      <c r="A282" s="117"/>
      <c r="B282" s="117"/>
    </row>
    <row r="283">
      <c r="A283" s="117"/>
      <c r="B283" s="117"/>
    </row>
    <row r="284">
      <c r="A284" s="117"/>
      <c r="B284" s="117"/>
    </row>
    <row r="285">
      <c r="A285" s="117"/>
      <c r="B285" s="117"/>
    </row>
    <row r="286">
      <c r="A286" s="117"/>
      <c r="B286" s="117"/>
    </row>
    <row r="287">
      <c r="A287" s="117"/>
      <c r="B287" s="117"/>
    </row>
    <row r="288">
      <c r="A288" s="117"/>
      <c r="B288" s="117"/>
    </row>
    <row r="289">
      <c r="A289" s="117"/>
      <c r="B289" s="117"/>
    </row>
    <row r="290">
      <c r="A290" s="117"/>
      <c r="B290" s="117"/>
    </row>
    <row r="291">
      <c r="A291" s="117"/>
      <c r="B291" s="117"/>
    </row>
    <row r="292">
      <c r="A292" s="117"/>
      <c r="B292" s="117"/>
    </row>
    <row r="293">
      <c r="A293" s="117"/>
      <c r="B293" s="117"/>
    </row>
    <row r="294">
      <c r="A294" s="117"/>
      <c r="B294" s="117"/>
    </row>
    <row r="295">
      <c r="A295" s="117"/>
      <c r="B295" s="117"/>
    </row>
    <row r="296">
      <c r="A296" s="117"/>
      <c r="B296" s="117"/>
    </row>
    <row r="297">
      <c r="A297" s="117"/>
      <c r="B297" s="117"/>
    </row>
    <row r="298">
      <c r="A298" s="117"/>
      <c r="B298" s="117"/>
    </row>
    <row r="299">
      <c r="A299" s="117"/>
      <c r="B299" s="117"/>
    </row>
    <row r="300">
      <c r="A300" s="117"/>
      <c r="B300" s="117"/>
    </row>
    <row r="301">
      <c r="A301" s="117"/>
      <c r="B301" s="117"/>
    </row>
    <row r="302">
      <c r="A302" s="117"/>
      <c r="B302" s="117"/>
    </row>
    <row r="303">
      <c r="A303" s="117"/>
      <c r="B303" s="117"/>
    </row>
    <row r="304">
      <c r="A304" s="117"/>
      <c r="B304" s="117"/>
    </row>
    <row r="305">
      <c r="A305" s="117"/>
      <c r="B305" s="117"/>
    </row>
    <row r="306">
      <c r="A306" s="117"/>
      <c r="B306" s="117"/>
    </row>
    <row r="307">
      <c r="A307" s="117"/>
      <c r="B307" s="117"/>
    </row>
    <row r="308">
      <c r="A308" s="117"/>
      <c r="B308" s="117"/>
    </row>
    <row r="309">
      <c r="A309" s="117"/>
      <c r="B309" s="117"/>
    </row>
    <row r="310">
      <c r="A310" s="117"/>
      <c r="B310" s="117"/>
    </row>
    <row r="311">
      <c r="A311" s="117"/>
      <c r="B311" s="117"/>
    </row>
    <row r="312">
      <c r="A312" s="117"/>
      <c r="B312" s="117"/>
    </row>
    <row r="313">
      <c r="A313" s="117"/>
      <c r="B313" s="117"/>
    </row>
    <row r="314">
      <c r="A314" s="117"/>
      <c r="B314" s="117"/>
    </row>
    <row r="315">
      <c r="A315" s="117"/>
      <c r="B315" s="117"/>
    </row>
    <row r="316">
      <c r="A316" s="117"/>
      <c r="B316" s="117"/>
    </row>
    <row r="317">
      <c r="A317" s="117"/>
      <c r="B317" s="117"/>
    </row>
    <row r="318">
      <c r="A318" s="117"/>
      <c r="B318" s="117"/>
    </row>
    <row r="319">
      <c r="A319" s="117"/>
      <c r="B319" s="117"/>
    </row>
    <row r="320">
      <c r="A320" s="117"/>
      <c r="B320" s="117"/>
    </row>
    <row r="321">
      <c r="A321" s="117"/>
      <c r="B321" s="117"/>
    </row>
    <row r="322">
      <c r="A322" s="117"/>
      <c r="B322" s="117"/>
    </row>
    <row r="323">
      <c r="A323" s="117"/>
      <c r="B323" s="117"/>
    </row>
    <row r="324">
      <c r="A324" s="117"/>
      <c r="B324" s="117"/>
    </row>
    <row r="325">
      <c r="A325" s="117"/>
      <c r="B325" s="117"/>
    </row>
    <row r="326">
      <c r="A326" s="117"/>
      <c r="B326" s="117"/>
    </row>
    <row r="327">
      <c r="A327" s="117"/>
      <c r="B327" s="117"/>
    </row>
    <row r="328">
      <c r="A328" s="117"/>
      <c r="B328" s="117"/>
    </row>
    <row r="329">
      <c r="A329" s="117"/>
      <c r="B329" s="117"/>
    </row>
    <row r="330">
      <c r="A330" s="117"/>
      <c r="B330" s="117"/>
    </row>
    <row r="331">
      <c r="A331" s="117"/>
      <c r="B331" s="117"/>
    </row>
    <row r="332">
      <c r="A332" s="117"/>
      <c r="B332" s="117"/>
    </row>
    <row r="333">
      <c r="A333" s="117"/>
      <c r="B333" s="117"/>
    </row>
    <row r="334">
      <c r="A334" s="117"/>
      <c r="B334" s="117"/>
    </row>
    <row r="335">
      <c r="A335" s="117"/>
      <c r="B335" s="117"/>
    </row>
    <row r="336">
      <c r="A336" s="117"/>
      <c r="B336" s="117"/>
    </row>
    <row r="337">
      <c r="A337" s="117"/>
      <c r="B337" s="117"/>
    </row>
    <row r="338">
      <c r="A338" s="117"/>
      <c r="B338" s="117"/>
    </row>
    <row r="339">
      <c r="A339" s="117"/>
      <c r="B339" s="117"/>
    </row>
    <row r="340">
      <c r="A340" s="117"/>
      <c r="B340" s="117"/>
    </row>
    <row r="341">
      <c r="A341" s="117"/>
      <c r="B341" s="117"/>
    </row>
    <row r="342">
      <c r="A342" s="117"/>
      <c r="B342" s="117"/>
    </row>
    <row r="343">
      <c r="A343" s="117"/>
      <c r="B343" s="117"/>
    </row>
    <row r="344">
      <c r="A344" s="117"/>
      <c r="B344" s="117"/>
    </row>
    <row r="345">
      <c r="A345" s="117"/>
      <c r="B345" s="117"/>
    </row>
    <row r="346">
      <c r="A346" s="117"/>
      <c r="B346" s="117"/>
    </row>
    <row r="347">
      <c r="A347" s="117"/>
      <c r="B347" s="117"/>
    </row>
    <row r="348">
      <c r="A348" s="117"/>
      <c r="B348" s="117"/>
    </row>
    <row r="349">
      <c r="A349" s="117"/>
      <c r="B349" s="117"/>
    </row>
    <row r="350">
      <c r="A350" s="117"/>
      <c r="B350" s="117"/>
    </row>
    <row r="351">
      <c r="A351" s="117"/>
      <c r="B351" s="117"/>
    </row>
    <row r="352">
      <c r="A352" s="117"/>
      <c r="B352" s="117"/>
    </row>
    <row r="353">
      <c r="A353" s="117"/>
      <c r="B353" s="117"/>
    </row>
    <row r="354">
      <c r="A354" s="117"/>
      <c r="B354" s="117"/>
    </row>
    <row r="355">
      <c r="A355" s="117"/>
      <c r="B355" s="117"/>
    </row>
    <row r="356">
      <c r="A356" s="117"/>
      <c r="B356" s="117"/>
    </row>
    <row r="357">
      <c r="A357" s="117"/>
      <c r="B357" s="117"/>
    </row>
    <row r="358">
      <c r="A358" s="117"/>
      <c r="B358" s="117"/>
    </row>
    <row r="359">
      <c r="A359" s="117"/>
      <c r="B359" s="117"/>
    </row>
    <row r="360">
      <c r="A360" s="117"/>
      <c r="B360" s="117"/>
    </row>
    <row r="361">
      <c r="A361" s="117"/>
      <c r="B361" s="117"/>
    </row>
    <row r="362">
      <c r="A362" s="117"/>
      <c r="B362" s="117"/>
    </row>
    <row r="363">
      <c r="A363" s="117"/>
      <c r="B363" s="117"/>
    </row>
    <row r="364">
      <c r="A364" s="117"/>
      <c r="B364" s="117"/>
    </row>
    <row r="365">
      <c r="A365" s="117"/>
      <c r="B365" s="117"/>
    </row>
    <row r="366">
      <c r="A366" s="117"/>
      <c r="B366" s="117"/>
    </row>
    <row r="367">
      <c r="A367" s="117"/>
      <c r="B367" s="117"/>
    </row>
    <row r="368">
      <c r="A368" s="117"/>
      <c r="B368" s="117"/>
    </row>
    <row r="369">
      <c r="A369" s="117"/>
      <c r="B369" s="117"/>
    </row>
    <row r="370">
      <c r="A370" s="117"/>
      <c r="B370" s="117"/>
    </row>
    <row r="371">
      <c r="A371" s="117"/>
      <c r="B371" s="117"/>
    </row>
    <row r="372">
      <c r="A372" s="117"/>
      <c r="B372" s="117"/>
    </row>
    <row r="373">
      <c r="A373" s="117"/>
      <c r="B373" s="117"/>
    </row>
    <row r="374">
      <c r="A374" s="117"/>
      <c r="B374" s="117"/>
    </row>
    <row r="375">
      <c r="A375" s="117"/>
      <c r="B375" s="117"/>
    </row>
    <row r="376">
      <c r="A376" s="117"/>
      <c r="B376" s="117"/>
    </row>
    <row r="377">
      <c r="A377" s="117"/>
      <c r="B377" s="117"/>
    </row>
    <row r="378">
      <c r="A378" s="117"/>
      <c r="B378" s="117"/>
    </row>
    <row r="379">
      <c r="A379" s="117"/>
      <c r="B379" s="117"/>
    </row>
    <row r="380">
      <c r="A380" s="117"/>
      <c r="B380" s="117"/>
    </row>
    <row r="381">
      <c r="A381" s="117"/>
      <c r="B381" s="117"/>
    </row>
    <row r="382">
      <c r="A382" s="117"/>
      <c r="B382" s="117"/>
    </row>
    <row r="383">
      <c r="A383" s="117"/>
      <c r="B383" s="117"/>
    </row>
    <row r="384">
      <c r="A384" s="117"/>
      <c r="B384" s="117"/>
    </row>
    <row r="385">
      <c r="A385" s="117"/>
      <c r="B385" s="117"/>
    </row>
    <row r="386">
      <c r="A386" s="117"/>
      <c r="B386" s="117"/>
    </row>
    <row r="387">
      <c r="A387" s="117"/>
      <c r="B387" s="117"/>
    </row>
    <row r="388">
      <c r="A388" s="117"/>
      <c r="B388" s="117"/>
    </row>
    <row r="389">
      <c r="A389" s="117"/>
      <c r="B389" s="117"/>
    </row>
    <row r="390">
      <c r="A390" s="117"/>
      <c r="B390" s="117"/>
    </row>
    <row r="391">
      <c r="A391" s="117"/>
      <c r="B391" s="117"/>
    </row>
    <row r="392">
      <c r="A392" s="117"/>
      <c r="B392" s="117"/>
    </row>
    <row r="393">
      <c r="A393" s="117"/>
      <c r="B393" s="117"/>
    </row>
    <row r="394">
      <c r="A394" s="117"/>
      <c r="B394" s="117"/>
    </row>
    <row r="395">
      <c r="A395" s="117"/>
      <c r="B395" s="117"/>
    </row>
    <row r="396">
      <c r="A396" s="117"/>
      <c r="B396" s="117"/>
    </row>
    <row r="397">
      <c r="A397" s="117"/>
      <c r="B397" s="117"/>
    </row>
    <row r="398">
      <c r="A398" s="117"/>
      <c r="B398" s="117"/>
    </row>
    <row r="399">
      <c r="A399" s="117"/>
      <c r="B399" s="117"/>
    </row>
    <row r="400">
      <c r="A400" s="117"/>
      <c r="B400" s="117"/>
    </row>
    <row r="401">
      <c r="A401" s="117"/>
      <c r="B401" s="117"/>
    </row>
    <row r="402">
      <c r="A402" s="117"/>
      <c r="B402" s="117"/>
    </row>
    <row r="403">
      <c r="A403" s="117"/>
      <c r="B403" s="117"/>
    </row>
    <row r="404">
      <c r="A404" s="117"/>
      <c r="B404" s="117"/>
    </row>
    <row r="405">
      <c r="A405" s="117"/>
      <c r="B405" s="117"/>
    </row>
    <row r="406">
      <c r="A406" s="117"/>
      <c r="B406" s="117"/>
    </row>
    <row r="407">
      <c r="A407" s="117"/>
      <c r="B407" s="117"/>
    </row>
    <row r="408">
      <c r="A408" s="117"/>
      <c r="B408" s="117"/>
    </row>
    <row r="409">
      <c r="A409" s="117"/>
      <c r="B409" s="117"/>
    </row>
    <row r="410">
      <c r="A410" s="117"/>
      <c r="B410" s="117"/>
    </row>
    <row r="411">
      <c r="A411" s="117"/>
      <c r="B411" s="117"/>
    </row>
    <row r="412">
      <c r="A412" s="117"/>
      <c r="B412" s="117"/>
    </row>
    <row r="413">
      <c r="A413" s="117"/>
      <c r="B413" s="117"/>
    </row>
    <row r="414">
      <c r="A414" s="117"/>
      <c r="B414" s="117"/>
    </row>
    <row r="415">
      <c r="A415" s="117"/>
      <c r="B415" s="117"/>
    </row>
    <row r="416">
      <c r="A416" s="117"/>
      <c r="B416" s="117"/>
    </row>
    <row r="417">
      <c r="A417" s="117"/>
      <c r="B417" s="117"/>
    </row>
    <row r="418">
      <c r="A418" s="117"/>
      <c r="B418" s="117"/>
    </row>
    <row r="419">
      <c r="A419" s="117"/>
      <c r="B419" s="117"/>
    </row>
    <row r="420">
      <c r="A420" s="117"/>
      <c r="B420" s="117"/>
    </row>
    <row r="421">
      <c r="A421" s="117"/>
      <c r="B421" s="117"/>
    </row>
    <row r="422">
      <c r="A422" s="117"/>
      <c r="B422" s="117"/>
    </row>
    <row r="423">
      <c r="A423" s="117"/>
      <c r="B423" s="117"/>
    </row>
    <row r="424">
      <c r="A424" s="117"/>
      <c r="B424" s="117"/>
    </row>
    <row r="425">
      <c r="A425" s="117"/>
      <c r="B425" s="117"/>
    </row>
    <row r="426">
      <c r="A426" s="117"/>
      <c r="B426" s="117"/>
    </row>
    <row r="427">
      <c r="A427" s="117"/>
      <c r="B427" s="117"/>
    </row>
    <row r="428">
      <c r="A428" s="117"/>
      <c r="B428" s="117"/>
    </row>
    <row r="429">
      <c r="A429" s="117"/>
      <c r="B429" s="117"/>
    </row>
    <row r="430">
      <c r="A430" s="117"/>
      <c r="B430" s="117"/>
    </row>
    <row r="431">
      <c r="A431" s="117"/>
      <c r="B431" s="117"/>
    </row>
    <row r="432">
      <c r="A432" s="117"/>
      <c r="B432" s="117"/>
    </row>
    <row r="433">
      <c r="A433" s="117"/>
      <c r="B433" s="117"/>
    </row>
    <row r="434">
      <c r="A434" s="117"/>
      <c r="B434" s="117"/>
    </row>
    <row r="435">
      <c r="A435" s="117"/>
      <c r="B435" s="117"/>
    </row>
    <row r="436">
      <c r="A436" s="117"/>
      <c r="B436" s="117"/>
    </row>
    <row r="437">
      <c r="A437" s="117"/>
      <c r="B437" s="117"/>
    </row>
    <row r="438">
      <c r="A438" s="117"/>
      <c r="B438" s="117"/>
    </row>
    <row r="439">
      <c r="A439" s="117"/>
      <c r="B439" s="117"/>
    </row>
    <row r="440">
      <c r="A440" s="117"/>
      <c r="B440" s="117"/>
    </row>
    <row r="441">
      <c r="A441" s="117"/>
      <c r="B441" s="117"/>
    </row>
    <row r="442">
      <c r="A442" s="117"/>
      <c r="B442" s="117"/>
    </row>
    <row r="443">
      <c r="A443" s="117"/>
      <c r="B443" s="117"/>
    </row>
    <row r="444">
      <c r="A444" s="117"/>
      <c r="B444" s="117"/>
    </row>
    <row r="445">
      <c r="A445" s="117"/>
      <c r="B445" s="117"/>
    </row>
    <row r="446">
      <c r="A446" s="117"/>
      <c r="B446" s="117"/>
    </row>
    <row r="447">
      <c r="A447" s="117"/>
      <c r="B447" s="117"/>
    </row>
    <row r="448">
      <c r="A448" s="117"/>
      <c r="B448" s="117"/>
    </row>
    <row r="449">
      <c r="A449" s="117"/>
      <c r="B449" s="117"/>
    </row>
    <row r="450">
      <c r="A450" s="117"/>
      <c r="B450" s="117"/>
    </row>
    <row r="451">
      <c r="A451" s="117"/>
      <c r="B451" s="117"/>
    </row>
    <row r="452">
      <c r="A452" s="117"/>
      <c r="B452" s="117"/>
    </row>
    <row r="453">
      <c r="A453" s="117"/>
      <c r="B453" s="117"/>
    </row>
    <row r="454">
      <c r="A454" s="117"/>
      <c r="B454" s="117"/>
    </row>
    <row r="455">
      <c r="A455" s="117"/>
      <c r="B455" s="117"/>
    </row>
    <row r="456">
      <c r="A456" s="117"/>
      <c r="B456" s="117"/>
    </row>
    <row r="457">
      <c r="A457" s="117"/>
      <c r="B457" s="117"/>
    </row>
    <row r="458">
      <c r="A458" s="117"/>
      <c r="B458" s="117"/>
    </row>
    <row r="459">
      <c r="A459" s="117"/>
      <c r="B459" s="117"/>
    </row>
    <row r="460">
      <c r="A460" s="117"/>
      <c r="B460" s="117"/>
    </row>
    <row r="461">
      <c r="A461" s="117"/>
      <c r="B461" s="117"/>
    </row>
    <row r="462">
      <c r="A462" s="117"/>
      <c r="B462" s="117"/>
    </row>
    <row r="463">
      <c r="A463" s="117"/>
      <c r="B463" s="117"/>
    </row>
    <row r="464">
      <c r="A464" s="117"/>
      <c r="B464" s="117"/>
    </row>
    <row r="465">
      <c r="A465" s="117"/>
      <c r="B465" s="117"/>
    </row>
    <row r="466">
      <c r="A466" s="117"/>
      <c r="B466" s="117"/>
    </row>
    <row r="467">
      <c r="A467" s="117"/>
      <c r="B467" s="117"/>
    </row>
    <row r="468">
      <c r="A468" s="117"/>
      <c r="B468" s="117"/>
    </row>
    <row r="469">
      <c r="A469" s="117"/>
      <c r="B469" s="117"/>
    </row>
    <row r="470">
      <c r="A470" s="117"/>
      <c r="B470" s="117"/>
    </row>
    <row r="471">
      <c r="A471" s="117"/>
      <c r="B471" s="117"/>
    </row>
    <row r="472">
      <c r="A472" s="117"/>
      <c r="B472" s="117"/>
    </row>
    <row r="473">
      <c r="A473" s="117"/>
      <c r="B473" s="117"/>
    </row>
    <row r="474">
      <c r="A474" s="117"/>
      <c r="B474" s="117"/>
    </row>
    <row r="475">
      <c r="A475" s="117"/>
      <c r="B475" s="117"/>
    </row>
    <row r="476">
      <c r="A476" s="117"/>
      <c r="B476" s="117"/>
    </row>
    <row r="477">
      <c r="A477" s="117"/>
      <c r="B477" s="117"/>
    </row>
    <row r="478">
      <c r="A478" s="117"/>
      <c r="B478" s="117"/>
    </row>
    <row r="479">
      <c r="A479" s="117"/>
      <c r="B479" s="117"/>
    </row>
    <row r="480">
      <c r="A480" s="117"/>
      <c r="B480" s="117"/>
    </row>
    <row r="481">
      <c r="A481" s="117"/>
      <c r="B481" s="117"/>
    </row>
    <row r="482">
      <c r="A482" s="117"/>
      <c r="B482" s="117"/>
    </row>
    <row r="483">
      <c r="A483" s="117"/>
      <c r="B483" s="117"/>
    </row>
    <row r="484">
      <c r="A484" s="117"/>
      <c r="B484" s="117"/>
    </row>
    <row r="485">
      <c r="A485" s="117"/>
      <c r="B485" s="117"/>
    </row>
    <row r="486">
      <c r="A486" s="117"/>
      <c r="B486" s="117"/>
    </row>
    <row r="487">
      <c r="A487" s="117"/>
      <c r="B487" s="117"/>
    </row>
    <row r="488">
      <c r="A488" s="117"/>
      <c r="B488" s="117"/>
    </row>
    <row r="489">
      <c r="A489" s="117"/>
      <c r="B489" s="117"/>
    </row>
    <row r="490">
      <c r="A490" s="117"/>
      <c r="B490" s="117"/>
    </row>
    <row r="491">
      <c r="A491" s="117"/>
      <c r="B491" s="117"/>
    </row>
    <row r="492">
      <c r="A492" s="117"/>
      <c r="B492" s="117"/>
    </row>
    <row r="493">
      <c r="A493" s="117"/>
      <c r="B493" s="117"/>
    </row>
    <row r="494">
      <c r="A494" s="117"/>
      <c r="B494" s="117"/>
    </row>
    <row r="495">
      <c r="A495" s="117"/>
      <c r="B495" s="117"/>
    </row>
    <row r="496">
      <c r="A496" s="117"/>
      <c r="B496" s="117"/>
    </row>
    <row r="497">
      <c r="A497" s="117"/>
      <c r="B497" s="117"/>
    </row>
    <row r="498">
      <c r="A498" s="117"/>
      <c r="B498" s="117"/>
    </row>
    <row r="499">
      <c r="A499" s="117"/>
      <c r="B499" s="117"/>
    </row>
    <row r="500">
      <c r="A500" s="117"/>
      <c r="B500" s="117"/>
    </row>
    <row r="501">
      <c r="A501" s="117"/>
      <c r="B501" s="117"/>
    </row>
    <row r="502">
      <c r="A502" s="117"/>
      <c r="B502" s="117"/>
    </row>
    <row r="503">
      <c r="A503" s="117"/>
      <c r="B503" s="117"/>
    </row>
    <row r="504">
      <c r="A504" s="117"/>
      <c r="B504" s="117"/>
    </row>
    <row r="505">
      <c r="A505" s="117"/>
      <c r="B505" s="117"/>
    </row>
    <row r="506">
      <c r="A506" s="117"/>
      <c r="B506" s="117"/>
    </row>
    <row r="507">
      <c r="A507" s="117"/>
      <c r="B507" s="117"/>
    </row>
    <row r="508">
      <c r="A508" s="117"/>
      <c r="B508" s="117"/>
    </row>
    <row r="509">
      <c r="A509" s="117"/>
      <c r="B509" s="117"/>
    </row>
    <row r="510">
      <c r="A510" s="117"/>
      <c r="B510" s="117"/>
    </row>
    <row r="511">
      <c r="A511" s="117"/>
      <c r="B511" s="117"/>
    </row>
    <row r="512">
      <c r="A512" s="117"/>
      <c r="B512" s="117"/>
    </row>
    <row r="513">
      <c r="A513" s="117"/>
      <c r="B513" s="117"/>
    </row>
    <row r="514">
      <c r="A514" s="117"/>
      <c r="B514" s="117"/>
    </row>
    <row r="515">
      <c r="A515" s="117"/>
      <c r="B515" s="117"/>
    </row>
    <row r="516">
      <c r="A516" s="117"/>
      <c r="B516" s="117"/>
    </row>
    <row r="517">
      <c r="A517" s="117"/>
      <c r="B517" s="117"/>
    </row>
    <row r="518">
      <c r="A518" s="117"/>
      <c r="B518" s="117"/>
    </row>
    <row r="519">
      <c r="A519" s="117"/>
      <c r="B519" s="117"/>
    </row>
    <row r="520">
      <c r="A520" s="117"/>
      <c r="B520" s="117"/>
    </row>
    <row r="521">
      <c r="A521" s="117"/>
      <c r="B521" s="117"/>
    </row>
    <row r="522">
      <c r="A522" s="117"/>
      <c r="B522" s="117"/>
    </row>
    <row r="523">
      <c r="A523" s="117"/>
      <c r="B523" s="117"/>
    </row>
    <row r="524">
      <c r="A524" s="117"/>
      <c r="B524" s="117"/>
    </row>
    <row r="525">
      <c r="A525" s="117"/>
      <c r="B525" s="117"/>
    </row>
    <row r="526">
      <c r="A526" s="117"/>
      <c r="B526" s="117"/>
    </row>
    <row r="527">
      <c r="A527" s="117"/>
      <c r="B527" s="117"/>
    </row>
    <row r="528">
      <c r="A528" s="117"/>
      <c r="B528" s="117"/>
    </row>
    <row r="529">
      <c r="A529" s="117"/>
      <c r="B529" s="117"/>
    </row>
    <row r="530">
      <c r="A530" s="117"/>
      <c r="B530" s="117"/>
    </row>
    <row r="531">
      <c r="A531" s="117"/>
      <c r="B531" s="117"/>
    </row>
    <row r="532">
      <c r="A532" s="117"/>
      <c r="B532" s="117"/>
    </row>
    <row r="533">
      <c r="A533" s="117"/>
      <c r="B533" s="117"/>
    </row>
    <row r="534">
      <c r="A534" s="117"/>
      <c r="B534" s="117"/>
    </row>
    <row r="535">
      <c r="A535" s="117"/>
      <c r="B535" s="117"/>
    </row>
    <row r="536">
      <c r="A536" s="117"/>
      <c r="B536" s="117"/>
    </row>
    <row r="537">
      <c r="A537" s="117"/>
      <c r="B537" s="117"/>
    </row>
    <row r="538">
      <c r="A538" s="117"/>
      <c r="B538" s="117"/>
    </row>
    <row r="539">
      <c r="A539" s="117"/>
      <c r="B539" s="117"/>
    </row>
    <row r="540">
      <c r="A540" s="117"/>
      <c r="B540" s="117"/>
    </row>
    <row r="541">
      <c r="A541" s="117"/>
      <c r="B541" s="117"/>
    </row>
    <row r="542">
      <c r="A542" s="117"/>
      <c r="B542" s="117"/>
    </row>
    <row r="543">
      <c r="A543" s="117"/>
      <c r="B543" s="117"/>
    </row>
    <row r="544">
      <c r="A544" s="117"/>
      <c r="B544" s="117"/>
    </row>
    <row r="545">
      <c r="A545" s="117"/>
      <c r="B545" s="117"/>
    </row>
    <row r="546">
      <c r="A546" s="117"/>
      <c r="B546" s="117"/>
    </row>
    <row r="547">
      <c r="A547" s="117"/>
      <c r="B547" s="117"/>
    </row>
    <row r="548">
      <c r="A548" s="117"/>
      <c r="B548" s="117"/>
    </row>
    <row r="549">
      <c r="A549" s="117"/>
      <c r="B549" s="117"/>
    </row>
    <row r="550">
      <c r="A550" s="117"/>
      <c r="B550" s="117"/>
    </row>
    <row r="551">
      <c r="A551" s="117"/>
      <c r="B551" s="117"/>
    </row>
    <row r="552">
      <c r="A552" s="117"/>
      <c r="B552" s="117"/>
    </row>
    <row r="553">
      <c r="A553" s="117"/>
      <c r="B553" s="117"/>
    </row>
    <row r="554">
      <c r="A554" s="117"/>
      <c r="B554" s="117"/>
    </row>
    <row r="555">
      <c r="A555" s="117"/>
      <c r="B555" s="117"/>
    </row>
    <row r="556">
      <c r="A556" s="117"/>
      <c r="B556" s="117"/>
    </row>
    <row r="557">
      <c r="A557" s="117"/>
      <c r="B557" s="117"/>
    </row>
    <row r="558">
      <c r="A558" s="117"/>
      <c r="B558" s="117"/>
    </row>
    <row r="559">
      <c r="A559" s="117"/>
      <c r="B559" s="117"/>
    </row>
    <row r="560">
      <c r="A560" s="117"/>
      <c r="B560" s="117"/>
    </row>
    <row r="561">
      <c r="A561" s="117"/>
      <c r="B561" s="117"/>
    </row>
    <row r="562">
      <c r="A562" s="117"/>
      <c r="B562" s="117"/>
    </row>
    <row r="563">
      <c r="A563" s="117"/>
      <c r="B563" s="117"/>
    </row>
    <row r="564">
      <c r="A564" s="117"/>
      <c r="B564" s="117"/>
    </row>
    <row r="565">
      <c r="A565" s="117"/>
      <c r="B565" s="117"/>
    </row>
    <row r="566">
      <c r="A566" s="117"/>
      <c r="B566" s="117"/>
    </row>
    <row r="567">
      <c r="A567" s="117"/>
      <c r="B567" s="117"/>
    </row>
    <row r="568">
      <c r="A568" s="117"/>
      <c r="B568" s="117"/>
    </row>
    <row r="569">
      <c r="A569" s="117"/>
      <c r="B569" s="117"/>
    </row>
    <row r="570">
      <c r="A570" s="117"/>
      <c r="B570" s="117"/>
    </row>
    <row r="571">
      <c r="A571" s="117"/>
      <c r="B571" s="117"/>
    </row>
    <row r="572">
      <c r="A572" s="117"/>
      <c r="B572" s="117"/>
    </row>
    <row r="573">
      <c r="A573" s="117"/>
      <c r="B573" s="117"/>
    </row>
    <row r="574">
      <c r="A574" s="117"/>
      <c r="B574" s="117"/>
    </row>
    <row r="575">
      <c r="A575" s="117"/>
      <c r="B575" s="117"/>
    </row>
    <row r="576">
      <c r="A576" s="117"/>
      <c r="B576" s="117"/>
    </row>
    <row r="577">
      <c r="A577" s="117"/>
      <c r="B577" s="117"/>
    </row>
    <row r="578">
      <c r="A578" s="117"/>
      <c r="B578" s="117"/>
    </row>
    <row r="579">
      <c r="A579" s="117"/>
      <c r="B579" s="117"/>
    </row>
    <row r="580">
      <c r="A580" s="117"/>
      <c r="B580" s="117"/>
    </row>
    <row r="581">
      <c r="A581" s="117"/>
      <c r="B581" s="117"/>
    </row>
    <row r="582">
      <c r="A582" s="117"/>
      <c r="B582" s="117"/>
    </row>
    <row r="583">
      <c r="A583" s="117"/>
      <c r="B583" s="117"/>
    </row>
    <row r="584">
      <c r="A584" s="117"/>
      <c r="B584" s="117"/>
    </row>
    <row r="585">
      <c r="A585" s="117"/>
      <c r="B585" s="117"/>
    </row>
    <row r="586">
      <c r="A586" s="117"/>
      <c r="B586" s="117"/>
    </row>
    <row r="587">
      <c r="A587" s="117"/>
      <c r="B587" s="117"/>
    </row>
    <row r="588">
      <c r="A588" s="117"/>
      <c r="B588" s="117"/>
    </row>
    <row r="589">
      <c r="A589" s="117"/>
      <c r="B589" s="117"/>
    </row>
    <row r="590">
      <c r="A590" s="117"/>
      <c r="B590" s="117"/>
    </row>
    <row r="591">
      <c r="A591" s="117"/>
      <c r="B591" s="117"/>
    </row>
    <row r="592">
      <c r="A592" s="117"/>
      <c r="B592" s="117"/>
    </row>
    <row r="593">
      <c r="A593" s="117"/>
      <c r="B593" s="117"/>
    </row>
    <row r="594">
      <c r="A594" s="117"/>
      <c r="B594" s="117"/>
    </row>
    <row r="595">
      <c r="A595" s="117"/>
      <c r="B595" s="117"/>
    </row>
    <row r="596">
      <c r="A596" s="117"/>
      <c r="B596" s="117"/>
    </row>
    <row r="597">
      <c r="A597" s="117"/>
      <c r="B597" s="117"/>
    </row>
    <row r="598">
      <c r="A598" s="117"/>
      <c r="B598" s="117"/>
    </row>
    <row r="599">
      <c r="A599" s="117"/>
      <c r="B599" s="117"/>
    </row>
    <row r="600">
      <c r="A600" s="117"/>
      <c r="B600" s="117"/>
    </row>
    <row r="601">
      <c r="A601" s="117"/>
      <c r="B601" s="117"/>
    </row>
    <row r="602">
      <c r="A602" s="117"/>
      <c r="B602" s="117"/>
    </row>
    <row r="603">
      <c r="A603" s="117"/>
      <c r="B603" s="117"/>
    </row>
    <row r="604">
      <c r="A604" s="117"/>
      <c r="B604" s="117"/>
    </row>
    <row r="605">
      <c r="A605" s="117"/>
      <c r="B605" s="117"/>
    </row>
    <row r="606">
      <c r="A606" s="117"/>
      <c r="B606" s="117"/>
    </row>
    <row r="607">
      <c r="A607" s="117"/>
      <c r="B607" s="117"/>
    </row>
    <row r="608">
      <c r="A608" s="117"/>
      <c r="B608" s="117"/>
    </row>
    <row r="609">
      <c r="A609" s="117"/>
      <c r="B609" s="117"/>
    </row>
    <row r="610">
      <c r="A610" s="117"/>
      <c r="B610" s="117"/>
    </row>
    <row r="611">
      <c r="A611" s="117"/>
      <c r="B611" s="117"/>
    </row>
    <row r="612">
      <c r="A612" s="117"/>
      <c r="B612" s="117"/>
    </row>
    <row r="613">
      <c r="A613" s="117"/>
      <c r="B613" s="117"/>
    </row>
    <row r="614">
      <c r="A614" s="117"/>
      <c r="B614" s="117"/>
    </row>
    <row r="615">
      <c r="A615" s="117"/>
      <c r="B615" s="117"/>
    </row>
    <row r="616">
      <c r="A616" s="117"/>
      <c r="B616" s="117"/>
    </row>
    <row r="617">
      <c r="A617" s="117"/>
      <c r="B617" s="117"/>
    </row>
    <row r="618">
      <c r="A618" s="117"/>
      <c r="B618" s="117"/>
    </row>
    <row r="619">
      <c r="A619" s="117"/>
      <c r="B619" s="117"/>
    </row>
    <row r="620">
      <c r="A620" s="117"/>
      <c r="B620" s="117"/>
    </row>
    <row r="621">
      <c r="A621" s="117"/>
      <c r="B621" s="117"/>
    </row>
    <row r="622">
      <c r="A622" s="117"/>
      <c r="B622" s="117"/>
    </row>
    <row r="623">
      <c r="A623" s="117"/>
      <c r="B623" s="117"/>
    </row>
    <row r="624">
      <c r="A624" s="117"/>
      <c r="B624" s="117"/>
    </row>
    <row r="625">
      <c r="A625" s="117"/>
      <c r="B625" s="117"/>
    </row>
    <row r="626">
      <c r="A626" s="117"/>
      <c r="B626" s="117"/>
    </row>
    <row r="627">
      <c r="A627" s="117"/>
      <c r="B627" s="117"/>
    </row>
    <row r="628">
      <c r="A628" s="117"/>
      <c r="B628" s="117"/>
    </row>
    <row r="629">
      <c r="A629" s="117"/>
      <c r="B629" s="117"/>
    </row>
    <row r="630">
      <c r="A630" s="117"/>
      <c r="B630" s="117"/>
    </row>
    <row r="631">
      <c r="A631" s="117"/>
      <c r="B631" s="117"/>
    </row>
    <row r="632">
      <c r="A632" s="117"/>
      <c r="B632" s="117"/>
    </row>
    <row r="633">
      <c r="A633" s="117"/>
      <c r="B633" s="117"/>
    </row>
    <row r="634">
      <c r="A634" s="117"/>
      <c r="B634" s="117"/>
    </row>
    <row r="635">
      <c r="A635" s="117"/>
      <c r="B635" s="117"/>
    </row>
    <row r="636">
      <c r="A636" s="117"/>
      <c r="B636" s="117"/>
    </row>
    <row r="637">
      <c r="A637" s="117"/>
      <c r="B637" s="117"/>
    </row>
    <row r="638">
      <c r="A638" s="117"/>
      <c r="B638" s="117"/>
    </row>
    <row r="639">
      <c r="A639" s="117"/>
      <c r="B639" s="117"/>
    </row>
    <row r="640">
      <c r="A640" s="117"/>
      <c r="B640" s="117"/>
    </row>
    <row r="641">
      <c r="A641" s="117"/>
      <c r="B641" s="117"/>
    </row>
    <row r="642">
      <c r="A642" s="117"/>
      <c r="B642" s="117"/>
    </row>
    <row r="643">
      <c r="A643" s="117"/>
      <c r="B643" s="117"/>
    </row>
    <row r="644">
      <c r="A644" s="117"/>
      <c r="B644" s="117"/>
    </row>
    <row r="645">
      <c r="A645" s="117"/>
      <c r="B645" s="117"/>
    </row>
    <row r="646">
      <c r="A646" s="117"/>
      <c r="B646" s="117"/>
    </row>
    <row r="647">
      <c r="A647" s="117"/>
      <c r="B647" s="117"/>
    </row>
    <row r="648">
      <c r="A648" s="117"/>
      <c r="B648" s="117"/>
    </row>
    <row r="649">
      <c r="A649" s="117"/>
      <c r="B649" s="117"/>
    </row>
    <row r="650">
      <c r="A650" s="117"/>
      <c r="B650" s="117"/>
    </row>
    <row r="651">
      <c r="A651" s="117"/>
      <c r="B651" s="117"/>
    </row>
    <row r="652">
      <c r="A652" s="117"/>
      <c r="B652" s="117"/>
    </row>
    <row r="653">
      <c r="A653" s="117"/>
      <c r="B653" s="117"/>
    </row>
    <row r="654">
      <c r="A654" s="117"/>
      <c r="B654" s="117"/>
    </row>
    <row r="655">
      <c r="A655" s="117"/>
      <c r="B655" s="117"/>
    </row>
    <row r="656">
      <c r="A656" s="117"/>
      <c r="B656" s="117"/>
    </row>
    <row r="657">
      <c r="A657" s="117"/>
      <c r="B657" s="117"/>
    </row>
    <row r="658">
      <c r="A658" s="117"/>
      <c r="B658" s="117"/>
    </row>
    <row r="659">
      <c r="A659" s="117"/>
      <c r="B659" s="117"/>
    </row>
    <row r="660">
      <c r="A660" s="117"/>
      <c r="B660" s="117"/>
    </row>
    <row r="661">
      <c r="A661" s="117"/>
      <c r="B661" s="117"/>
    </row>
    <row r="662">
      <c r="A662" s="117"/>
      <c r="B662" s="117"/>
    </row>
    <row r="663">
      <c r="A663" s="117"/>
      <c r="B663" s="117"/>
    </row>
    <row r="664">
      <c r="A664" s="117"/>
      <c r="B664" s="117"/>
    </row>
    <row r="665">
      <c r="A665" s="117"/>
      <c r="B665" s="117"/>
    </row>
    <row r="666">
      <c r="A666" s="117"/>
      <c r="B666" s="117"/>
    </row>
    <row r="667">
      <c r="A667" s="117"/>
      <c r="B667" s="117"/>
    </row>
    <row r="668">
      <c r="A668" s="117"/>
      <c r="B668" s="117"/>
    </row>
    <row r="669">
      <c r="A669" s="117"/>
      <c r="B669" s="117"/>
    </row>
    <row r="670">
      <c r="A670" s="117"/>
      <c r="B670" s="117"/>
    </row>
    <row r="671">
      <c r="A671" s="117"/>
      <c r="B671" s="117"/>
    </row>
    <row r="672">
      <c r="A672" s="117"/>
      <c r="B672" s="117"/>
    </row>
    <row r="673">
      <c r="A673" s="117"/>
      <c r="B673" s="117"/>
    </row>
    <row r="674">
      <c r="A674" s="117"/>
      <c r="B674" s="117"/>
    </row>
    <row r="675">
      <c r="A675" s="117"/>
      <c r="B675" s="117"/>
    </row>
    <row r="676">
      <c r="A676" s="117"/>
      <c r="B676" s="117"/>
    </row>
    <row r="677">
      <c r="A677" s="117"/>
      <c r="B677" s="117"/>
    </row>
    <row r="678">
      <c r="A678" s="117"/>
      <c r="B678" s="117"/>
    </row>
    <row r="679">
      <c r="A679" s="117"/>
      <c r="B679" s="117"/>
    </row>
    <row r="680">
      <c r="A680" s="117"/>
      <c r="B680" s="117"/>
    </row>
    <row r="681">
      <c r="A681" s="117"/>
      <c r="B681" s="117"/>
    </row>
    <row r="682">
      <c r="A682" s="117"/>
      <c r="B682" s="117"/>
    </row>
    <row r="683">
      <c r="A683" s="117"/>
      <c r="B683" s="117"/>
    </row>
    <row r="684">
      <c r="A684" s="117"/>
      <c r="B684" s="117"/>
    </row>
    <row r="685">
      <c r="A685" s="117"/>
      <c r="B685" s="117"/>
    </row>
    <row r="686">
      <c r="A686" s="117"/>
      <c r="B686" s="117"/>
    </row>
    <row r="687">
      <c r="A687" s="117"/>
      <c r="B687" s="117"/>
    </row>
    <row r="688">
      <c r="A688" s="117"/>
      <c r="B688" s="117"/>
    </row>
    <row r="689">
      <c r="A689" s="117"/>
      <c r="B689" s="117"/>
    </row>
    <row r="690">
      <c r="A690" s="117"/>
      <c r="B690" s="117"/>
    </row>
    <row r="691">
      <c r="A691" s="117"/>
      <c r="B691" s="117"/>
    </row>
    <row r="692">
      <c r="A692" s="117"/>
      <c r="B692" s="117"/>
    </row>
    <row r="693">
      <c r="A693" s="117"/>
      <c r="B693" s="117"/>
    </row>
    <row r="694">
      <c r="A694" s="117"/>
      <c r="B694" s="117"/>
    </row>
    <row r="695">
      <c r="A695" s="117"/>
      <c r="B695" s="117"/>
    </row>
    <row r="696">
      <c r="A696" s="117"/>
      <c r="B696" s="117"/>
    </row>
    <row r="697">
      <c r="A697" s="117"/>
      <c r="B697" s="117"/>
    </row>
    <row r="698">
      <c r="A698" s="117"/>
      <c r="B698" s="117"/>
    </row>
    <row r="699">
      <c r="A699" s="117"/>
      <c r="B699" s="117"/>
    </row>
    <row r="700">
      <c r="A700" s="117"/>
      <c r="B700" s="117"/>
    </row>
    <row r="701">
      <c r="A701" s="117"/>
      <c r="B701" s="117"/>
    </row>
    <row r="702">
      <c r="A702" s="117"/>
      <c r="B702" s="117"/>
    </row>
    <row r="703">
      <c r="A703" s="117"/>
      <c r="B703" s="117"/>
    </row>
    <row r="704">
      <c r="A704" s="117"/>
      <c r="B704" s="117"/>
    </row>
    <row r="705">
      <c r="A705" s="117"/>
      <c r="B705" s="117"/>
    </row>
    <row r="706">
      <c r="A706" s="117"/>
      <c r="B706" s="117"/>
    </row>
    <row r="707">
      <c r="A707" s="117"/>
      <c r="B707" s="117"/>
    </row>
    <row r="708">
      <c r="A708" s="117"/>
      <c r="B708" s="117"/>
    </row>
    <row r="709">
      <c r="A709" s="117"/>
      <c r="B709" s="117"/>
    </row>
    <row r="710">
      <c r="A710" s="117"/>
      <c r="B710" s="117"/>
    </row>
    <row r="711">
      <c r="A711" s="117"/>
      <c r="B711" s="117"/>
    </row>
    <row r="712">
      <c r="A712" s="117"/>
      <c r="B712" s="117"/>
    </row>
    <row r="713">
      <c r="A713" s="117"/>
      <c r="B713" s="117"/>
    </row>
    <row r="714">
      <c r="A714" s="117"/>
      <c r="B714" s="117"/>
    </row>
    <row r="715">
      <c r="A715" s="117"/>
      <c r="B715" s="117"/>
    </row>
    <row r="716">
      <c r="A716" s="117"/>
      <c r="B716" s="117"/>
    </row>
    <row r="717">
      <c r="A717" s="117"/>
      <c r="B717" s="117"/>
    </row>
    <row r="718">
      <c r="A718" s="117"/>
      <c r="B718" s="117"/>
    </row>
    <row r="719">
      <c r="A719" s="117"/>
      <c r="B719" s="117"/>
    </row>
    <row r="720">
      <c r="A720" s="117"/>
      <c r="B720" s="117"/>
    </row>
    <row r="721">
      <c r="A721" s="117"/>
      <c r="B721" s="117"/>
    </row>
    <row r="722">
      <c r="A722" s="117"/>
      <c r="B722" s="117"/>
    </row>
    <row r="723">
      <c r="A723" s="117"/>
      <c r="B723" s="117"/>
    </row>
    <row r="724">
      <c r="A724" s="117"/>
      <c r="B724" s="117"/>
    </row>
    <row r="725">
      <c r="A725" s="117"/>
      <c r="B725" s="117"/>
    </row>
    <row r="726">
      <c r="A726" s="117"/>
      <c r="B726" s="117"/>
    </row>
    <row r="727">
      <c r="A727" s="117"/>
      <c r="B727" s="117"/>
    </row>
    <row r="728">
      <c r="A728" s="117"/>
      <c r="B728" s="117"/>
    </row>
    <row r="729">
      <c r="A729" s="117"/>
      <c r="B729" s="117"/>
    </row>
    <row r="730">
      <c r="A730" s="117"/>
      <c r="B730" s="117"/>
    </row>
    <row r="731">
      <c r="A731" s="117"/>
      <c r="B731" s="117"/>
    </row>
    <row r="732">
      <c r="A732" s="117"/>
      <c r="B732" s="117"/>
    </row>
    <row r="733">
      <c r="A733" s="117"/>
      <c r="B733" s="117"/>
    </row>
    <row r="734">
      <c r="A734" s="117"/>
      <c r="B734" s="117"/>
    </row>
    <row r="735">
      <c r="A735" s="117"/>
      <c r="B735" s="117"/>
    </row>
    <row r="736">
      <c r="A736" s="117"/>
      <c r="B736" s="117"/>
    </row>
    <row r="737">
      <c r="A737" s="117"/>
      <c r="B737" s="117"/>
    </row>
    <row r="738">
      <c r="A738" s="117"/>
      <c r="B738" s="117"/>
    </row>
    <row r="739">
      <c r="A739" s="117"/>
      <c r="B739" s="117"/>
    </row>
    <row r="740">
      <c r="A740" s="117"/>
      <c r="B740" s="117"/>
    </row>
    <row r="741">
      <c r="A741" s="117"/>
      <c r="B741" s="117"/>
    </row>
    <row r="742">
      <c r="A742" s="117"/>
      <c r="B742" s="117"/>
    </row>
    <row r="743">
      <c r="A743" s="117"/>
      <c r="B743" s="117"/>
    </row>
    <row r="744">
      <c r="A744" s="117"/>
      <c r="B744" s="117"/>
    </row>
    <row r="745">
      <c r="A745" s="117"/>
      <c r="B745" s="117"/>
    </row>
    <row r="746">
      <c r="A746" s="117"/>
      <c r="B746" s="117"/>
    </row>
    <row r="747">
      <c r="A747" s="117"/>
      <c r="B747" s="117"/>
    </row>
    <row r="748">
      <c r="A748" s="117"/>
      <c r="B748" s="117"/>
    </row>
    <row r="749">
      <c r="A749" s="117"/>
      <c r="B749" s="117"/>
    </row>
    <row r="750">
      <c r="A750" s="117"/>
      <c r="B750" s="117"/>
    </row>
    <row r="751">
      <c r="A751" s="117"/>
      <c r="B751" s="117"/>
    </row>
    <row r="752">
      <c r="A752" s="117"/>
      <c r="B752" s="117"/>
    </row>
    <row r="753">
      <c r="A753" s="117"/>
      <c r="B753" s="117"/>
    </row>
    <row r="754">
      <c r="A754" s="117"/>
      <c r="B754" s="117"/>
    </row>
    <row r="755">
      <c r="A755" s="117"/>
      <c r="B755" s="117"/>
    </row>
    <row r="756">
      <c r="A756" s="117"/>
      <c r="B756" s="117"/>
    </row>
    <row r="757">
      <c r="A757" s="117"/>
      <c r="B757" s="117"/>
    </row>
    <row r="758">
      <c r="A758" s="117"/>
      <c r="B758" s="117"/>
    </row>
    <row r="759">
      <c r="A759" s="117"/>
      <c r="B759" s="117"/>
    </row>
    <row r="760">
      <c r="A760" s="117"/>
      <c r="B760" s="117"/>
    </row>
    <row r="761">
      <c r="A761" s="117"/>
      <c r="B761" s="117"/>
    </row>
    <row r="762">
      <c r="A762" s="117"/>
      <c r="B762" s="117"/>
    </row>
    <row r="763">
      <c r="A763" s="117"/>
      <c r="B763" s="117"/>
    </row>
    <row r="764">
      <c r="A764" s="117"/>
      <c r="B764" s="117"/>
    </row>
    <row r="765">
      <c r="A765" s="117"/>
      <c r="B765" s="117"/>
    </row>
    <row r="766">
      <c r="A766" s="117"/>
      <c r="B766" s="117"/>
    </row>
    <row r="767">
      <c r="A767" s="117"/>
      <c r="B767" s="117"/>
    </row>
    <row r="768">
      <c r="A768" s="117"/>
      <c r="B768" s="117"/>
    </row>
    <row r="769">
      <c r="A769" s="117"/>
      <c r="B769" s="117"/>
    </row>
    <row r="770">
      <c r="A770" s="117"/>
      <c r="B770" s="117"/>
    </row>
    <row r="771">
      <c r="A771" s="117"/>
      <c r="B771" s="117"/>
    </row>
    <row r="772">
      <c r="A772" s="117"/>
      <c r="B772" s="117"/>
    </row>
    <row r="773">
      <c r="A773" s="117"/>
      <c r="B773" s="117"/>
    </row>
    <row r="774">
      <c r="A774" s="117"/>
      <c r="B774" s="117"/>
    </row>
    <row r="775">
      <c r="A775" s="117"/>
      <c r="B775" s="117"/>
    </row>
    <row r="776">
      <c r="A776" s="117"/>
      <c r="B776" s="117"/>
    </row>
    <row r="777">
      <c r="A777" s="117"/>
      <c r="B777" s="117"/>
    </row>
    <row r="778">
      <c r="A778" s="117"/>
      <c r="B778" s="117"/>
    </row>
    <row r="779">
      <c r="A779" s="117"/>
      <c r="B779" s="117"/>
    </row>
    <row r="780">
      <c r="A780" s="117"/>
      <c r="B780" s="117"/>
    </row>
    <row r="781">
      <c r="A781" s="117"/>
      <c r="B781" s="117"/>
    </row>
    <row r="782">
      <c r="A782" s="117"/>
      <c r="B782" s="117"/>
    </row>
    <row r="783">
      <c r="A783" s="117"/>
      <c r="B783" s="117"/>
    </row>
    <row r="784">
      <c r="A784" s="117"/>
      <c r="B784" s="117"/>
    </row>
    <row r="785">
      <c r="A785" s="117"/>
      <c r="B785" s="117"/>
    </row>
    <row r="786">
      <c r="A786" s="117"/>
      <c r="B786" s="117"/>
    </row>
    <row r="787">
      <c r="A787" s="117"/>
      <c r="B787" s="117"/>
    </row>
    <row r="788">
      <c r="A788" s="117"/>
      <c r="B788" s="117"/>
    </row>
    <row r="789">
      <c r="A789" s="117"/>
      <c r="B789" s="117"/>
    </row>
    <row r="790">
      <c r="A790" s="117"/>
      <c r="B790" s="117"/>
    </row>
    <row r="791">
      <c r="A791" s="117"/>
      <c r="B791" s="117"/>
    </row>
    <row r="792">
      <c r="A792" s="117"/>
      <c r="B792" s="117"/>
    </row>
    <row r="793">
      <c r="A793" s="117"/>
      <c r="B793" s="117"/>
    </row>
    <row r="794">
      <c r="A794" s="117"/>
      <c r="B794" s="117"/>
    </row>
    <row r="795">
      <c r="A795" s="117"/>
      <c r="B795" s="117"/>
    </row>
    <row r="796">
      <c r="A796" s="117"/>
      <c r="B796" s="117"/>
    </row>
    <row r="797">
      <c r="A797" s="117"/>
      <c r="B797" s="117"/>
    </row>
    <row r="798">
      <c r="A798" s="117"/>
      <c r="B798" s="117"/>
    </row>
    <row r="799">
      <c r="A799" s="117"/>
      <c r="B799" s="117"/>
    </row>
    <row r="800">
      <c r="A800" s="117"/>
      <c r="B800" s="117"/>
    </row>
    <row r="801">
      <c r="A801" s="117"/>
      <c r="B801" s="117"/>
    </row>
    <row r="802">
      <c r="A802" s="117"/>
      <c r="B802" s="117"/>
    </row>
    <row r="803">
      <c r="A803" s="117"/>
      <c r="B803" s="117"/>
    </row>
    <row r="804">
      <c r="A804" s="117"/>
      <c r="B804" s="117"/>
    </row>
    <row r="805">
      <c r="A805" s="117"/>
      <c r="B805" s="117"/>
    </row>
    <row r="806">
      <c r="A806" s="117"/>
      <c r="B806" s="117"/>
    </row>
    <row r="807">
      <c r="A807" s="117"/>
      <c r="B807" s="117"/>
    </row>
    <row r="808">
      <c r="A808" s="117"/>
      <c r="B808" s="117"/>
    </row>
    <row r="809">
      <c r="A809" s="117"/>
      <c r="B809" s="117"/>
    </row>
    <row r="810">
      <c r="A810" s="117"/>
      <c r="B810" s="117"/>
    </row>
    <row r="811">
      <c r="A811" s="117"/>
      <c r="B811" s="117"/>
    </row>
    <row r="812">
      <c r="A812" s="117"/>
      <c r="B812" s="117"/>
    </row>
    <row r="813">
      <c r="A813" s="117"/>
      <c r="B813" s="117"/>
    </row>
    <row r="814">
      <c r="A814" s="117"/>
      <c r="B814" s="117"/>
    </row>
    <row r="815">
      <c r="A815" s="117"/>
      <c r="B815" s="117"/>
    </row>
    <row r="816">
      <c r="A816" s="117"/>
      <c r="B816" s="117"/>
    </row>
    <row r="817">
      <c r="A817" s="117"/>
      <c r="B817" s="117"/>
    </row>
    <row r="818">
      <c r="A818" s="117"/>
      <c r="B818" s="117"/>
    </row>
    <row r="819">
      <c r="A819" s="117"/>
      <c r="B819" s="117"/>
    </row>
    <row r="820">
      <c r="A820" s="117"/>
      <c r="B820" s="117"/>
    </row>
    <row r="821">
      <c r="A821" s="117"/>
      <c r="B821" s="117"/>
    </row>
    <row r="822">
      <c r="A822" s="117"/>
      <c r="B822" s="117"/>
    </row>
    <row r="823">
      <c r="A823" s="117"/>
      <c r="B823" s="117"/>
    </row>
    <row r="824">
      <c r="A824" s="117"/>
      <c r="B824" s="117"/>
    </row>
    <row r="825">
      <c r="A825" s="117"/>
      <c r="B825" s="117"/>
    </row>
    <row r="826">
      <c r="A826" s="117"/>
      <c r="B826" s="117"/>
    </row>
    <row r="827">
      <c r="A827" s="117"/>
      <c r="B827" s="117"/>
    </row>
    <row r="828">
      <c r="A828" s="117"/>
      <c r="B828" s="117"/>
    </row>
    <row r="829">
      <c r="A829" s="117"/>
      <c r="B829" s="117"/>
    </row>
    <row r="830">
      <c r="A830" s="117"/>
      <c r="B830" s="117"/>
    </row>
    <row r="831">
      <c r="A831" s="117"/>
      <c r="B831" s="117"/>
    </row>
    <row r="832">
      <c r="A832" s="117"/>
      <c r="B832" s="117"/>
    </row>
    <row r="833">
      <c r="A833" s="117"/>
      <c r="B833" s="117"/>
    </row>
    <row r="834">
      <c r="A834" s="117"/>
      <c r="B834" s="117"/>
    </row>
    <row r="835">
      <c r="A835" s="117"/>
      <c r="B835" s="117"/>
    </row>
    <row r="836">
      <c r="A836" s="117"/>
      <c r="B836" s="117"/>
    </row>
    <row r="837">
      <c r="A837" s="117"/>
      <c r="B837" s="117"/>
    </row>
    <row r="838">
      <c r="A838" s="117"/>
      <c r="B838" s="117"/>
    </row>
    <row r="839">
      <c r="A839" s="117"/>
      <c r="B839" s="117"/>
    </row>
    <row r="840">
      <c r="A840" s="117"/>
      <c r="B840" s="117"/>
    </row>
    <row r="841">
      <c r="A841" s="117"/>
      <c r="B841" s="117"/>
    </row>
    <row r="842">
      <c r="A842" s="117"/>
      <c r="B842" s="117"/>
    </row>
    <row r="843">
      <c r="A843" s="117"/>
      <c r="B843" s="117"/>
    </row>
    <row r="844">
      <c r="A844" s="117"/>
      <c r="B844" s="117"/>
    </row>
    <row r="845">
      <c r="A845" s="117"/>
      <c r="B845" s="117"/>
    </row>
    <row r="846">
      <c r="A846" s="117"/>
      <c r="B846" s="117"/>
    </row>
    <row r="847">
      <c r="A847" s="117"/>
      <c r="B847" s="117"/>
    </row>
    <row r="848">
      <c r="A848" s="117"/>
      <c r="B848" s="117"/>
    </row>
    <row r="849">
      <c r="A849" s="117"/>
      <c r="B849" s="117"/>
    </row>
    <row r="850">
      <c r="A850" s="117"/>
      <c r="B850" s="117"/>
    </row>
    <row r="851">
      <c r="A851" s="117"/>
      <c r="B851" s="117"/>
    </row>
    <row r="852">
      <c r="A852" s="117"/>
      <c r="B852" s="117"/>
    </row>
    <row r="853">
      <c r="A853" s="117"/>
      <c r="B853" s="117"/>
    </row>
    <row r="854">
      <c r="A854" s="117"/>
      <c r="B854" s="117"/>
    </row>
    <row r="855">
      <c r="A855" s="117"/>
      <c r="B855" s="117"/>
    </row>
    <row r="856">
      <c r="A856" s="117"/>
      <c r="B856" s="117"/>
    </row>
    <row r="857">
      <c r="A857" s="117"/>
      <c r="B857" s="117"/>
    </row>
    <row r="858">
      <c r="A858" s="117"/>
      <c r="B858" s="117"/>
    </row>
    <row r="859">
      <c r="A859" s="117"/>
      <c r="B859" s="117"/>
    </row>
    <row r="860">
      <c r="A860" s="117"/>
      <c r="B860" s="117"/>
    </row>
    <row r="861">
      <c r="A861" s="117"/>
      <c r="B861" s="117"/>
    </row>
    <row r="862">
      <c r="A862" s="117"/>
      <c r="B862" s="117"/>
    </row>
    <row r="863">
      <c r="A863" s="117"/>
      <c r="B863" s="117"/>
    </row>
    <row r="864">
      <c r="A864" s="117"/>
      <c r="B864" s="117"/>
    </row>
    <row r="865">
      <c r="A865" s="117"/>
      <c r="B865" s="117"/>
    </row>
    <row r="866">
      <c r="A866" s="117"/>
      <c r="B866" s="117"/>
    </row>
    <row r="867">
      <c r="A867" s="117"/>
      <c r="B867" s="117"/>
    </row>
    <row r="868">
      <c r="A868" s="117"/>
      <c r="B868" s="117"/>
    </row>
    <row r="869">
      <c r="A869" s="117"/>
      <c r="B869" s="117"/>
    </row>
    <row r="870">
      <c r="A870" s="117"/>
      <c r="B870" s="117"/>
    </row>
    <row r="871">
      <c r="A871" s="117"/>
      <c r="B871" s="117"/>
    </row>
    <row r="872">
      <c r="A872" s="117"/>
      <c r="B872" s="117"/>
    </row>
    <row r="873">
      <c r="A873" s="117"/>
      <c r="B873" s="117"/>
    </row>
    <row r="874">
      <c r="A874" s="117"/>
      <c r="B874" s="117"/>
    </row>
    <row r="875">
      <c r="A875" s="117"/>
      <c r="B875" s="117"/>
    </row>
    <row r="876">
      <c r="A876" s="117"/>
      <c r="B876" s="117"/>
    </row>
    <row r="877">
      <c r="A877" s="117"/>
      <c r="B877" s="117"/>
    </row>
    <row r="878">
      <c r="A878" s="117"/>
      <c r="B878" s="117"/>
    </row>
    <row r="879">
      <c r="A879" s="117"/>
      <c r="B879" s="117"/>
    </row>
    <row r="880">
      <c r="A880" s="117"/>
      <c r="B880" s="117"/>
    </row>
    <row r="881">
      <c r="A881" s="117"/>
      <c r="B881" s="117"/>
    </row>
    <row r="882">
      <c r="A882" s="117"/>
      <c r="B882" s="117"/>
    </row>
    <row r="883">
      <c r="A883" s="117"/>
      <c r="B883" s="117"/>
    </row>
    <row r="884">
      <c r="A884" s="117"/>
      <c r="B884" s="117"/>
    </row>
    <row r="885">
      <c r="A885" s="117"/>
      <c r="B885" s="117"/>
    </row>
    <row r="886">
      <c r="A886" s="117"/>
      <c r="B886" s="117"/>
    </row>
    <row r="887">
      <c r="A887" s="117"/>
      <c r="B887" s="117"/>
    </row>
    <row r="888">
      <c r="A888" s="117"/>
      <c r="B888" s="117"/>
    </row>
    <row r="889">
      <c r="A889" s="117"/>
      <c r="B889" s="117"/>
    </row>
    <row r="890">
      <c r="A890" s="117"/>
      <c r="B890" s="117"/>
    </row>
    <row r="891">
      <c r="A891" s="117"/>
      <c r="B891" s="117"/>
    </row>
    <row r="892">
      <c r="A892" s="117"/>
      <c r="B892" s="117"/>
    </row>
    <row r="893">
      <c r="A893" s="117"/>
      <c r="B893" s="117"/>
    </row>
    <row r="894">
      <c r="A894" s="117"/>
      <c r="B894" s="117"/>
    </row>
    <row r="895">
      <c r="A895" s="117"/>
      <c r="B895" s="117"/>
    </row>
    <row r="896">
      <c r="A896" s="117"/>
      <c r="B896" s="117"/>
    </row>
    <row r="897">
      <c r="A897" s="117"/>
      <c r="B897" s="117"/>
    </row>
    <row r="898">
      <c r="A898" s="117"/>
      <c r="B898" s="117"/>
    </row>
    <row r="899">
      <c r="A899" s="117"/>
      <c r="B899" s="117"/>
    </row>
    <row r="900">
      <c r="A900" s="117"/>
      <c r="B900" s="117"/>
    </row>
    <row r="901">
      <c r="A901" s="117"/>
      <c r="B901" s="117"/>
    </row>
    <row r="902">
      <c r="A902" s="117"/>
      <c r="B902" s="117"/>
    </row>
    <row r="903">
      <c r="A903" s="117"/>
      <c r="B903" s="117"/>
    </row>
    <row r="904">
      <c r="A904" s="117"/>
      <c r="B904" s="117"/>
    </row>
    <row r="905">
      <c r="A905" s="117"/>
      <c r="B905" s="117"/>
    </row>
    <row r="906">
      <c r="A906" s="117"/>
      <c r="B906" s="117"/>
    </row>
    <row r="907">
      <c r="A907" s="117"/>
      <c r="B907" s="117"/>
    </row>
    <row r="908">
      <c r="A908" s="117"/>
      <c r="B908" s="117"/>
    </row>
    <row r="909">
      <c r="A909" s="117"/>
      <c r="B909" s="117"/>
    </row>
    <row r="910">
      <c r="A910" s="117"/>
      <c r="B910" s="117"/>
    </row>
    <row r="911">
      <c r="A911" s="117"/>
      <c r="B911" s="117"/>
    </row>
    <row r="912">
      <c r="A912" s="117"/>
      <c r="B912" s="117"/>
    </row>
    <row r="913">
      <c r="A913" s="117"/>
      <c r="B913" s="117"/>
    </row>
    <row r="914">
      <c r="A914" s="117"/>
      <c r="B914" s="117"/>
    </row>
    <row r="915">
      <c r="A915" s="117"/>
      <c r="B915" s="117"/>
    </row>
    <row r="916">
      <c r="A916" s="117"/>
      <c r="B916" s="117"/>
    </row>
    <row r="917">
      <c r="A917" s="117"/>
      <c r="B917" s="117"/>
    </row>
    <row r="918">
      <c r="A918" s="117"/>
      <c r="B918" s="117"/>
    </row>
    <row r="919">
      <c r="A919" s="117"/>
      <c r="B919" s="117"/>
    </row>
    <row r="920">
      <c r="A920" s="117"/>
      <c r="B920" s="117"/>
    </row>
    <row r="921">
      <c r="A921" s="117"/>
      <c r="B921" s="117"/>
    </row>
    <row r="922">
      <c r="A922" s="117"/>
      <c r="B922" s="117"/>
    </row>
    <row r="923">
      <c r="A923" s="117"/>
      <c r="B923" s="117"/>
    </row>
    <row r="924">
      <c r="A924" s="117"/>
      <c r="B924" s="117"/>
    </row>
    <row r="925">
      <c r="A925" s="117"/>
      <c r="B925" s="117"/>
    </row>
    <row r="926">
      <c r="A926" s="117"/>
      <c r="B926" s="117"/>
    </row>
    <row r="927">
      <c r="A927" s="117"/>
      <c r="B927" s="117"/>
    </row>
    <row r="928">
      <c r="A928" s="117"/>
      <c r="B928" s="117"/>
    </row>
    <row r="929">
      <c r="A929" s="117"/>
      <c r="B929" s="117"/>
    </row>
    <row r="930">
      <c r="A930" s="117"/>
      <c r="B930" s="117"/>
    </row>
    <row r="931">
      <c r="A931" s="117"/>
      <c r="B931" s="117"/>
    </row>
    <row r="932">
      <c r="A932" s="117"/>
      <c r="B932" s="117"/>
    </row>
    <row r="933">
      <c r="A933" s="117"/>
      <c r="B933" s="117"/>
    </row>
    <row r="934">
      <c r="A934" s="117"/>
      <c r="B934" s="117"/>
    </row>
    <row r="935">
      <c r="A935" s="117"/>
      <c r="B935" s="117"/>
    </row>
    <row r="936">
      <c r="A936" s="117"/>
      <c r="B936" s="117"/>
    </row>
    <row r="937">
      <c r="A937" s="117"/>
      <c r="B937" s="117"/>
    </row>
    <row r="938">
      <c r="A938" s="117"/>
      <c r="B938" s="117"/>
    </row>
    <row r="939">
      <c r="A939" s="117"/>
      <c r="B939" s="117"/>
    </row>
    <row r="940">
      <c r="A940" s="117"/>
      <c r="B940" s="117"/>
    </row>
    <row r="941">
      <c r="A941" s="117"/>
      <c r="B941" s="117"/>
    </row>
    <row r="942">
      <c r="A942" s="117"/>
      <c r="B942" s="117"/>
    </row>
    <row r="943">
      <c r="A943" s="117"/>
      <c r="B943" s="117"/>
    </row>
    <row r="944">
      <c r="A944" s="117"/>
      <c r="B944" s="117"/>
    </row>
    <row r="945">
      <c r="A945" s="117"/>
      <c r="B945" s="117"/>
    </row>
    <row r="946">
      <c r="A946" s="117"/>
      <c r="B946" s="117"/>
    </row>
    <row r="947">
      <c r="A947" s="117"/>
      <c r="B947" s="117"/>
    </row>
    <row r="948">
      <c r="A948" s="117"/>
      <c r="B948" s="117"/>
    </row>
    <row r="949">
      <c r="A949" s="117"/>
      <c r="B949" s="117"/>
    </row>
    <row r="950">
      <c r="A950" s="117"/>
      <c r="B950" s="117"/>
    </row>
    <row r="951">
      <c r="A951" s="117"/>
      <c r="B951" s="117"/>
    </row>
    <row r="952">
      <c r="A952" s="117"/>
      <c r="B952" s="117"/>
    </row>
    <row r="953">
      <c r="A953" s="117"/>
      <c r="B953" s="117"/>
    </row>
    <row r="954">
      <c r="A954" s="117"/>
      <c r="B954" s="117"/>
    </row>
    <row r="955">
      <c r="A955" s="117"/>
      <c r="B955" s="117"/>
    </row>
    <row r="956">
      <c r="A956" s="117"/>
      <c r="B956" s="117"/>
    </row>
    <row r="957">
      <c r="A957" s="117"/>
      <c r="B957" s="117"/>
    </row>
    <row r="958">
      <c r="A958" s="117"/>
      <c r="B958" s="117"/>
    </row>
    <row r="959">
      <c r="A959" s="117"/>
      <c r="B959" s="117"/>
    </row>
    <row r="960">
      <c r="A960" s="117"/>
      <c r="B960" s="117"/>
    </row>
    <row r="961">
      <c r="A961" s="117"/>
      <c r="B961" s="117"/>
    </row>
    <row r="962">
      <c r="A962" s="117"/>
      <c r="B962" s="117"/>
    </row>
    <row r="963">
      <c r="A963" s="117"/>
      <c r="B963" s="117"/>
    </row>
    <row r="964">
      <c r="A964" s="117"/>
      <c r="B964" s="117"/>
    </row>
    <row r="965">
      <c r="A965" s="117"/>
      <c r="B965" s="117"/>
    </row>
    <row r="966">
      <c r="A966" s="117"/>
      <c r="B966" s="117"/>
    </row>
    <row r="967">
      <c r="A967" s="117"/>
      <c r="B967" s="117"/>
    </row>
    <row r="968">
      <c r="A968" s="117"/>
      <c r="B968" s="117"/>
    </row>
    <row r="969">
      <c r="A969" s="117"/>
      <c r="B969" s="117"/>
    </row>
    <row r="970">
      <c r="A970" s="117"/>
      <c r="B970" s="117"/>
    </row>
    <row r="971">
      <c r="A971" s="117"/>
      <c r="B971" s="117"/>
    </row>
    <row r="972">
      <c r="A972" s="117"/>
      <c r="B972" s="117"/>
    </row>
    <row r="973">
      <c r="A973" s="117"/>
      <c r="B973" s="117"/>
    </row>
    <row r="974">
      <c r="A974" s="117"/>
      <c r="B974" s="117"/>
    </row>
    <row r="975">
      <c r="A975" s="117"/>
      <c r="B975" s="117"/>
    </row>
    <row r="976">
      <c r="A976" s="117"/>
      <c r="B976" s="117"/>
    </row>
    <row r="977">
      <c r="A977" s="117"/>
      <c r="B977" s="117"/>
    </row>
    <row r="978">
      <c r="A978" s="117"/>
      <c r="B978" s="117"/>
    </row>
    <row r="979">
      <c r="A979" s="117"/>
      <c r="B979" s="117"/>
    </row>
    <row r="980">
      <c r="A980" s="117"/>
      <c r="B980" s="117"/>
    </row>
    <row r="981">
      <c r="A981" s="117"/>
      <c r="B981" s="117"/>
    </row>
    <row r="982">
      <c r="A982" s="117"/>
      <c r="B982" s="117"/>
    </row>
    <row r="983">
      <c r="A983" s="117"/>
      <c r="B983" s="117"/>
    </row>
    <row r="984">
      <c r="A984" s="117"/>
      <c r="B984" s="117"/>
    </row>
    <row r="985">
      <c r="A985" s="117"/>
      <c r="B985" s="117"/>
    </row>
    <row r="986">
      <c r="A986" s="117"/>
      <c r="B986" s="117"/>
    </row>
    <row r="987">
      <c r="A987" s="117"/>
      <c r="B987" s="117"/>
    </row>
    <row r="988">
      <c r="A988" s="117"/>
      <c r="B988" s="117"/>
    </row>
    <row r="989">
      <c r="A989" s="117"/>
      <c r="B989" s="117"/>
    </row>
    <row r="990">
      <c r="A990" s="117"/>
      <c r="B990" s="117"/>
    </row>
    <row r="991">
      <c r="A991" s="117"/>
      <c r="B991" s="117"/>
    </row>
    <row r="992">
      <c r="A992" s="117"/>
      <c r="B992" s="117"/>
    </row>
    <row r="993">
      <c r="A993" s="117"/>
      <c r="B993" s="117"/>
    </row>
    <row r="994">
      <c r="A994" s="117"/>
      <c r="B994" s="117"/>
    </row>
    <row r="995">
      <c r="A995" s="117"/>
      <c r="B995" s="117"/>
    </row>
    <row r="996">
      <c r="A996" s="117"/>
      <c r="B996" s="117"/>
    </row>
    <row r="997">
      <c r="A997" s="117"/>
      <c r="B997" s="117"/>
    </row>
    <row r="998">
      <c r="A998" s="117"/>
      <c r="B998" s="117"/>
    </row>
    <row r="999">
      <c r="A999" s="117"/>
      <c r="B999" s="117"/>
    </row>
    <row r="1000">
      <c r="A1000" s="117"/>
      <c r="B1000" s="117"/>
    </row>
    <row r="1001">
      <c r="A1001" s="117"/>
      <c r="B1001" s="117"/>
    </row>
    <row r="1002">
      <c r="A1002" s="117"/>
      <c r="B1002" s="117"/>
    </row>
    <row r="1003">
      <c r="A1003" s="117"/>
      <c r="B1003" s="117"/>
    </row>
    <row r="1004">
      <c r="A1004" s="117"/>
      <c r="B1004" s="117"/>
    </row>
    <row r="1005">
      <c r="A1005" s="117"/>
      <c r="B1005" s="117"/>
    </row>
    <row r="1006">
      <c r="A1006" s="117"/>
      <c r="B1006" s="117"/>
    </row>
    <row r="1007">
      <c r="A1007" s="117"/>
      <c r="B1007" s="117"/>
    </row>
    <row r="1008">
      <c r="A1008" s="117"/>
      <c r="B1008" s="117"/>
    </row>
    <row r="1009">
      <c r="A1009" s="117"/>
      <c r="B1009" s="117"/>
    </row>
    <row r="1010">
      <c r="A1010" s="117"/>
      <c r="B1010" s="117"/>
    </row>
    <row r="1011">
      <c r="A1011" s="117"/>
      <c r="B1011" s="117"/>
    </row>
    <row r="1012">
      <c r="A1012" s="117"/>
      <c r="B1012" s="117"/>
    </row>
    <row r="1013">
      <c r="A1013" s="117"/>
      <c r="B1013" s="117"/>
    </row>
    <row r="1014">
      <c r="A1014" s="117"/>
      <c r="B1014" s="117"/>
    </row>
    <row r="1015">
      <c r="A1015" s="117"/>
      <c r="B1015" s="117"/>
    </row>
    <row r="1016">
      <c r="A1016" s="117"/>
      <c r="B1016" s="117"/>
    </row>
    <row r="1017">
      <c r="A1017" s="117"/>
      <c r="B1017" s="117"/>
    </row>
    <row r="1018">
      <c r="A1018" s="117"/>
      <c r="B1018" s="117"/>
    </row>
    <row r="1019">
      <c r="A1019" s="117"/>
      <c r="B1019" s="117"/>
    </row>
    <row r="1020">
      <c r="A1020" s="117"/>
      <c r="B1020" s="117"/>
    </row>
    <row r="1021">
      <c r="A1021" s="117"/>
      <c r="B1021" s="117"/>
    </row>
    <row r="1022">
      <c r="A1022" s="117"/>
      <c r="B1022" s="117"/>
    </row>
    <row r="1023">
      <c r="A1023" s="117"/>
      <c r="B1023" s="117"/>
    </row>
    <row r="1024">
      <c r="A1024" s="117"/>
      <c r="B1024" s="117"/>
    </row>
    <row r="1025">
      <c r="A1025" s="117"/>
      <c r="B1025" s="117"/>
    </row>
    <row r="1026">
      <c r="A1026" s="117"/>
      <c r="B1026" s="117"/>
    </row>
    <row r="1027">
      <c r="A1027" s="117"/>
      <c r="B1027" s="117"/>
    </row>
    <row r="1028">
      <c r="A1028" s="117"/>
      <c r="B1028" s="117"/>
    </row>
    <row r="1029">
      <c r="A1029" s="117"/>
      <c r="B1029" s="117"/>
    </row>
    <row r="1030">
      <c r="A1030" s="117"/>
      <c r="B1030" s="117"/>
    </row>
    <row r="1031">
      <c r="A1031" s="117"/>
      <c r="B1031" s="117"/>
    </row>
    <row r="1032">
      <c r="A1032" s="117"/>
      <c r="B1032" s="117"/>
    </row>
    <row r="1033">
      <c r="A1033" s="117"/>
      <c r="B1033" s="117"/>
    </row>
    <row r="1034">
      <c r="A1034" s="117"/>
      <c r="B1034" s="117"/>
    </row>
    <row r="1035">
      <c r="A1035" s="117"/>
      <c r="B1035" s="117"/>
    </row>
    <row r="1036">
      <c r="A1036" s="117"/>
      <c r="B1036" s="117"/>
    </row>
    <row r="1037">
      <c r="A1037" s="117"/>
      <c r="B1037" s="117"/>
    </row>
    <row r="1038">
      <c r="A1038" s="117"/>
      <c r="B1038" s="117"/>
    </row>
    <row r="1039">
      <c r="A1039" s="117"/>
      <c r="B1039" s="117"/>
    </row>
    <row r="1040">
      <c r="A1040" s="117"/>
      <c r="B1040" s="117"/>
    </row>
    <row r="1041">
      <c r="A1041" s="117"/>
      <c r="B1041" s="117"/>
    </row>
    <row r="1042">
      <c r="A1042" s="117"/>
      <c r="B1042" s="117"/>
    </row>
    <row r="1043">
      <c r="A1043" s="117"/>
      <c r="B1043" s="117"/>
    </row>
    <row r="1044">
      <c r="A1044" s="117"/>
      <c r="B1044" s="117"/>
    </row>
    <row r="1045">
      <c r="A1045" s="117"/>
      <c r="B1045" s="117"/>
    </row>
    <row r="1046">
      <c r="A1046" s="117"/>
      <c r="B1046" s="117"/>
    </row>
    <row r="1047">
      <c r="A1047" s="117"/>
      <c r="B1047" s="117"/>
    </row>
    <row r="1048">
      <c r="A1048" s="117"/>
      <c r="B1048" s="117"/>
    </row>
    <row r="1049">
      <c r="A1049" s="117"/>
      <c r="B1049" s="117"/>
    </row>
    <row r="1050">
      <c r="A1050" s="117"/>
      <c r="B1050" s="117"/>
    </row>
    <row r="1051">
      <c r="A1051" s="117"/>
      <c r="B1051" s="117"/>
    </row>
    <row r="1052">
      <c r="A1052" s="117"/>
      <c r="B1052" s="117"/>
    </row>
    <row r="1053">
      <c r="A1053" s="117"/>
      <c r="B1053" s="117"/>
    </row>
    <row r="1054">
      <c r="A1054" s="117"/>
      <c r="B1054" s="117"/>
    </row>
    <row r="1055">
      <c r="A1055" s="117"/>
      <c r="B1055" s="117"/>
    </row>
    <row r="1056">
      <c r="A1056" s="117"/>
      <c r="B1056" s="117"/>
    </row>
    <row r="1057">
      <c r="A1057" s="117"/>
      <c r="B1057" s="117"/>
    </row>
    <row r="1058">
      <c r="A1058" s="117"/>
      <c r="B1058" s="117"/>
    </row>
    <row r="1059">
      <c r="A1059" s="117"/>
      <c r="B1059" s="117"/>
    </row>
    <row r="1060">
      <c r="A1060" s="117"/>
      <c r="B1060" s="117"/>
    </row>
    <row r="1061">
      <c r="A1061" s="117"/>
      <c r="B1061" s="117"/>
    </row>
    <row r="1062">
      <c r="A1062" s="117"/>
      <c r="B1062" s="117"/>
    </row>
    <row r="1063">
      <c r="A1063" s="117"/>
      <c r="B1063" s="117"/>
    </row>
    <row r="1064">
      <c r="A1064" s="117"/>
      <c r="B1064" s="117"/>
    </row>
    <row r="1065">
      <c r="A1065" s="117"/>
      <c r="B1065" s="117"/>
    </row>
    <row r="1066">
      <c r="A1066" s="117"/>
      <c r="B1066" s="117"/>
    </row>
    <row r="1067">
      <c r="A1067" s="117"/>
      <c r="B1067" s="117"/>
    </row>
    <row r="1068">
      <c r="A1068" s="117"/>
      <c r="B1068" s="117"/>
    </row>
    <row r="1069">
      <c r="A1069" s="117"/>
      <c r="B1069" s="117"/>
    </row>
    <row r="1070">
      <c r="A1070" s="117"/>
      <c r="B1070" s="117"/>
    </row>
    <row r="1071">
      <c r="A1071" s="117"/>
      <c r="B1071" s="117"/>
    </row>
    <row r="1072">
      <c r="A1072" s="117"/>
      <c r="B1072" s="117"/>
    </row>
    <row r="1073">
      <c r="A1073" s="117"/>
      <c r="B1073" s="117"/>
    </row>
    <row r="1074">
      <c r="A1074" s="117"/>
      <c r="B1074" s="117"/>
    </row>
    <row r="1075">
      <c r="A1075" s="117"/>
      <c r="B1075" s="117"/>
    </row>
    <row r="1076">
      <c r="A1076" s="117"/>
      <c r="B1076" s="117"/>
    </row>
    <row r="1077">
      <c r="A1077" s="117"/>
      <c r="B1077" s="117"/>
    </row>
    <row r="1078">
      <c r="A1078" s="117"/>
      <c r="B1078" s="117"/>
    </row>
    <row r="1079">
      <c r="A1079" s="117"/>
      <c r="B1079" s="117"/>
    </row>
    <row r="1080">
      <c r="A1080" s="117"/>
      <c r="B1080" s="117"/>
    </row>
    <row r="1081">
      <c r="A1081" s="117"/>
      <c r="B1081" s="117"/>
    </row>
    <row r="1082">
      <c r="A1082" s="117"/>
      <c r="B1082" s="117"/>
    </row>
    <row r="1083">
      <c r="A1083" s="117"/>
      <c r="B1083" s="117"/>
    </row>
    <row r="1084">
      <c r="A1084" s="117"/>
      <c r="B1084" s="11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08">
        <v>45961.0</v>
      </c>
      <c r="C1" s="109" t="s">
        <v>62</v>
      </c>
      <c r="D1" s="110" t="s">
        <v>63</v>
      </c>
      <c r="E1" s="110" t="s">
        <v>64</v>
      </c>
      <c r="F1" s="110" t="s">
        <v>65</v>
      </c>
      <c r="G1" s="110" t="s">
        <v>66</v>
      </c>
      <c r="H1" s="110" t="s">
        <v>67</v>
      </c>
      <c r="I1" s="110" t="s">
        <v>68</v>
      </c>
      <c r="J1" s="110" t="s">
        <v>69</v>
      </c>
      <c r="K1" s="110" t="s">
        <v>70</v>
      </c>
      <c r="L1" s="110" t="s">
        <v>71</v>
      </c>
      <c r="M1" s="110" t="s">
        <v>72</v>
      </c>
      <c r="N1" s="110" t="s">
        <v>73</v>
      </c>
      <c r="O1" s="110" t="s">
        <v>74</v>
      </c>
      <c r="P1" s="110" t="s">
        <v>75</v>
      </c>
      <c r="Q1" s="110" t="s">
        <v>76</v>
      </c>
      <c r="R1" s="110" t="s">
        <v>77</v>
      </c>
      <c r="S1" s="110" t="s">
        <v>78</v>
      </c>
      <c r="T1" s="110" t="s">
        <v>79</v>
      </c>
      <c r="U1" s="110" t="s">
        <v>80</v>
      </c>
      <c r="V1" s="110" t="s">
        <v>81</v>
      </c>
      <c r="W1" s="110" t="s">
        <v>82</v>
      </c>
      <c r="X1" s="110" t="s">
        <v>83</v>
      </c>
      <c r="Y1" s="110" t="s">
        <v>84</v>
      </c>
      <c r="Z1" s="110" t="s">
        <v>85</v>
      </c>
      <c r="AA1" s="110" t="s">
        <v>86</v>
      </c>
      <c r="AB1" s="110" t="s">
        <v>87</v>
      </c>
    </row>
    <row r="2" ht="22.5" customHeight="1">
      <c r="A2" s="1" t="s">
        <v>0</v>
      </c>
      <c r="B2" s="1" t="s">
        <v>1</v>
      </c>
      <c r="C2" s="4" t="s">
        <v>88</v>
      </c>
      <c r="D2" s="111" t="s">
        <v>89</v>
      </c>
      <c r="E2" s="111" t="s">
        <v>90</v>
      </c>
      <c r="F2" s="111" t="s">
        <v>91</v>
      </c>
      <c r="G2" s="111" t="s">
        <v>92</v>
      </c>
      <c r="H2" s="112" t="s">
        <v>93</v>
      </c>
      <c r="I2" s="112" t="s">
        <v>94</v>
      </c>
      <c r="J2" s="113" t="s">
        <v>95</v>
      </c>
      <c r="K2" s="112" t="s">
        <v>96</v>
      </c>
      <c r="L2" s="112" t="s">
        <v>97</v>
      </c>
      <c r="M2" s="112" t="s">
        <v>98</v>
      </c>
      <c r="N2" s="112" t="s">
        <v>99</v>
      </c>
      <c r="O2" s="112" t="s">
        <v>100</v>
      </c>
      <c r="P2" s="111" t="s">
        <v>101</v>
      </c>
      <c r="Q2" s="111" t="s">
        <v>102</v>
      </c>
      <c r="R2" s="111" t="s">
        <v>103</v>
      </c>
      <c r="S2" s="111" t="s">
        <v>104</v>
      </c>
      <c r="T2" s="111" t="s">
        <v>105</v>
      </c>
      <c r="U2" s="111"/>
      <c r="V2" s="111"/>
      <c r="W2" s="114" t="s">
        <v>106</v>
      </c>
      <c r="X2" s="4" t="s">
        <v>107</v>
      </c>
      <c r="Y2" s="4" t="s">
        <v>108</v>
      </c>
      <c r="Z2" s="115" t="s">
        <v>109</v>
      </c>
      <c r="AA2" s="116" t="s">
        <v>24</v>
      </c>
      <c r="AB2" s="116" t="s">
        <v>110</v>
      </c>
      <c r="AC2" s="1" t="s">
        <v>111</v>
      </c>
      <c r="AD2" s="117"/>
      <c r="AE2" s="117"/>
      <c r="AF2" s="117"/>
      <c r="AG2" s="117"/>
      <c r="AH2" s="117"/>
      <c r="AI2" s="117"/>
      <c r="AJ2" s="117"/>
    </row>
    <row r="3" ht="22.5" customHeight="1">
      <c r="A3" s="2">
        <v>608.0</v>
      </c>
      <c r="B3" s="118" t="s">
        <v>2</v>
      </c>
      <c r="C3" s="119"/>
      <c r="D3" s="120">
        <v>40000.0</v>
      </c>
      <c r="E3" s="120">
        <v>5000.0</v>
      </c>
      <c r="F3" s="120">
        <v>5000.0</v>
      </c>
      <c r="G3" s="120">
        <v>2000.0</v>
      </c>
      <c r="H3" s="120">
        <v>10000.0</v>
      </c>
      <c r="I3" s="120">
        <v>0.0</v>
      </c>
      <c r="J3" s="121"/>
      <c r="K3" s="122">
        <v>0.0</v>
      </c>
      <c r="L3" s="122">
        <v>0.0</v>
      </c>
      <c r="M3" s="120"/>
      <c r="N3" s="119"/>
      <c r="O3" s="119"/>
      <c r="P3" s="119"/>
      <c r="Q3" s="120"/>
      <c r="R3" s="123"/>
      <c r="S3" s="123"/>
      <c r="T3" s="124"/>
      <c r="U3" s="123"/>
      <c r="V3" s="123"/>
      <c r="W3" s="125">
        <f t="shared" ref="W3:W110" si="1">SUM(D3:V3)</f>
        <v>62000</v>
      </c>
      <c r="X3" s="126">
        <v>23525.0</v>
      </c>
      <c r="Y3" s="126">
        <v>8000.0</v>
      </c>
      <c r="Z3" s="127">
        <f t="shared" ref="Z3:Z109" si="2">SUM(W3:Y3)</f>
        <v>93525</v>
      </c>
      <c r="AA3" s="128"/>
      <c r="AB3" s="129" t="s">
        <v>112</v>
      </c>
      <c r="AC3" s="130">
        <f t="shared" ref="AC3:AC4" si="3">C3-M3</f>
        <v>0</v>
      </c>
    </row>
    <row r="4" ht="22.5" customHeight="1">
      <c r="A4" s="2">
        <v>703.0</v>
      </c>
      <c r="B4" s="4" t="s">
        <v>3</v>
      </c>
      <c r="C4" s="131"/>
      <c r="D4" s="120">
        <v>40000.0</v>
      </c>
      <c r="E4" s="120">
        <v>5000.0</v>
      </c>
      <c r="F4" s="120">
        <v>5000.0</v>
      </c>
      <c r="G4" s="120">
        <v>2000.0</v>
      </c>
      <c r="H4" s="120">
        <v>10000.0</v>
      </c>
      <c r="I4" s="119">
        <v>22330.0</v>
      </c>
      <c r="J4" s="121"/>
      <c r="K4" s="136"/>
      <c r="L4" s="136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25">
        <f t="shared" si="1"/>
        <v>84330</v>
      </c>
      <c r="X4" s="126"/>
      <c r="Y4" s="126"/>
      <c r="Z4" s="127">
        <f t="shared" si="2"/>
        <v>84330</v>
      </c>
      <c r="AA4" s="128" t="s">
        <v>113</v>
      </c>
      <c r="AB4" s="129" t="s">
        <v>112</v>
      </c>
      <c r="AC4" s="133">
        <f t="shared" si="3"/>
        <v>0</v>
      </c>
    </row>
    <row r="5" ht="22.5" customHeight="1">
      <c r="A5" s="2">
        <v>801.0</v>
      </c>
      <c r="B5" s="118" t="s">
        <v>120</v>
      </c>
      <c r="C5" s="134"/>
      <c r="D5" s="120">
        <v>40000.0</v>
      </c>
      <c r="E5" s="120">
        <v>5000.0</v>
      </c>
      <c r="F5" s="120">
        <v>5000.0</v>
      </c>
      <c r="G5" s="120">
        <v>2000.0</v>
      </c>
      <c r="H5" s="120">
        <v>10000.0</v>
      </c>
      <c r="I5" s="119">
        <v>44330.0</v>
      </c>
      <c r="J5" s="121"/>
      <c r="K5" s="119">
        <v>11253.0</v>
      </c>
      <c r="L5" s="120">
        <v>2263.0</v>
      </c>
      <c r="M5" s="119"/>
      <c r="N5" s="119"/>
      <c r="O5" s="119"/>
      <c r="P5" s="119"/>
      <c r="Q5" s="119">
        <v>5534.0</v>
      </c>
      <c r="R5" s="119"/>
      <c r="S5" s="119"/>
      <c r="T5" s="119"/>
      <c r="U5" s="119"/>
      <c r="V5" s="119"/>
      <c r="W5" s="125">
        <f t="shared" si="1"/>
        <v>125380</v>
      </c>
      <c r="X5" s="126"/>
      <c r="Y5" s="126"/>
      <c r="Z5" s="127">
        <f t="shared" si="2"/>
        <v>125380</v>
      </c>
      <c r="AA5" s="128"/>
      <c r="AB5" s="129" t="s">
        <v>112</v>
      </c>
      <c r="AC5" s="135">
        <v>0.0</v>
      </c>
    </row>
    <row r="6" ht="22.5" customHeight="1">
      <c r="A6" s="1">
        <v>813.0</v>
      </c>
      <c r="B6" s="4" t="s">
        <v>114</v>
      </c>
      <c r="C6" s="131"/>
      <c r="D6" s="120">
        <v>40000.0</v>
      </c>
      <c r="E6" s="120">
        <v>5000.0</v>
      </c>
      <c r="F6" s="120">
        <v>5000.0</v>
      </c>
      <c r="G6" s="120">
        <v>2000.0</v>
      </c>
      <c r="H6" s="120">
        <v>10000.0</v>
      </c>
      <c r="I6" s="119">
        <v>30360.0</v>
      </c>
      <c r="J6" s="121"/>
      <c r="K6" s="136"/>
      <c r="L6" s="136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25">
        <f t="shared" si="1"/>
        <v>92360</v>
      </c>
      <c r="X6" s="126"/>
      <c r="Y6" s="126"/>
      <c r="Z6" s="127">
        <f t="shared" si="2"/>
        <v>92360</v>
      </c>
      <c r="AA6" s="128" t="s">
        <v>115</v>
      </c>
      <c r="AB6" s="129" t="s">
        <v>112</v>
      </c>
      <c r="AC6" s="133">
        <f t="shared" ref="AC6:AC109" si="4">C6-M6</f>
        <v>0</v>
      </c>
    </row>
    <row r="7" ht="22.5" customHeight="1">
      <c r="A7" s="1">
        <v>906.0</v>
      </c>
      <c r="B7" s="4"/>
      <c r="C7" s="131"/>
      <c r="D7" s="119"/>
      <c r="E7" s="119"/>
      <c r="F7" s="119"/>
      <c r="G7" s="119"/>
      <c r="H7" s="119"/>
      <c r="I7" s="119"/>
      <c r="J7" s="121"/>
      <c r="K7" s="119"/>
      <c r="L7" s="119"/>
      <c r="M7" s="119"/>
      <c r="N7" s="119"/>
      <c r="O7" s="119"/>
      <c r="P7" s="119"/>
      <c r="Q7" s="119"/>
      <c r="R7" s="137"/>
      <c r="S7" s="137"/>
      <c r="T7" s="137"/>
      <c r="U7" s="137"/>
      <c r="V7" s="137"/>
      <c r="W7" s="125">
        <f t="shared" si="1"/>
        <v>0</v>
      </c>
      <c r="X7" s="138"/>
      <c r="Y7" s="138"/>
      <c r="Z7" s="127">
        <f t="shared" si="2"/>
        <v>0</v>
      </c>
      <c r="AA7" s="128"/>
      <c r="AB7" s="129" t="s">
        <v>112</v>
      </c>
      <c r="AC7" s="133">
        <f t="shared" si="4"/>
        <v>0</v>
      </c>
    </row>
    <row r="8" ht="22.5" customHeight="1">
      <c r="A8" s="1">
        <v>913.0</v>
      </c>
      <c r="B8" s="4" t="s">
        <v>117</v>
      </c>
      <c r="C8" s="134">
        <v>67000.0</v>
      </c>
      <c r="D8" s="120">
        <v>40000.0</v>
      </c>
      <c r="E8" s="120">
        <v>5000.0</v>
      </c>
      <c r="F8" s="120">
        <v>5000.0</v>
      </c>
      <c r="G8" s="120">
        <v>2000.0</v>
      </c>
      <c r="H8" s="120">
        <v>10000.0</v>
      </c>
      <c r="I8" s="119">
        <v>41030.0</v>
      </c>
      <c r="J8" s="121">
        <v>-46231.0</v>
      </c>
      <c r="K8" s="119">
        <v>11253.0</v>
      </c>
      <c r="L8" s="119">
        <v>2263.0</v>
      </c>
      <c r="M8" s="119">
        <v>10000.0</v>
      </c>
      <c r="N8" s="119"/>
      <c r="O8" s="119"/>
      <c r="P8" s="119"/>
      <c r="Q8" s="119">
        <v>4642.0</v>
      </c>
      <c r="R8" s="137"/>
      <c r="S8" s="137"/>
      <c r="T8" s="137"/>
      <c r="U8" s="137"/>
      <c r="V8" s="137"/>
      <c r="W8" s="125">
        <f t="shared" si="1"/>
        <v>84957</v>
      </c>
      <c r="X8" s="138">
        <v>25043.0</v>
      </c>
      <c r="Y8" s="138"/>
      <c r="Z8" s="127">
        <f t="shared" si="2"/>
        <v>110000</v>
      </c>
      <c r="AA8" s="128" t="s">
        <v>118</v>
      </c>
      <c r="AB8" s="129" t="s">
        <v>112</v>
      </c>
      <c r="AC8" s="133">
        <f t="shared" si="4"/>
        <v>57000</v>
      </c>
    </row>
    <row r="9" ht="22.5" customHeight="1">
      <c r="A9" s="1">
        <v>915.0</v>
      </c>
      <c r="B9" s="4" t="s">
        <v>7</v>
      </c>
      <c r="C9" s="134">
        <v>130000.0</v>
      </c>
      <c r="D9" s="120">
        <v>40000.0</v>
      </c>
      <c r="E9" s="120">
        <v>5000.0</v>
      </c>
      <c r="F9" s="120">
        <v>5000.0</v>
      </c>
      <c r="G9" s="120">
        <v>2000.0</v>
      </c>
      <c r="H9" s="120">
        <v>10000.0</v>
      </c>
      <c r="I9" s="119">
        <v>16060.0</v>
      </c>
      <c r="J9" s="121">
        <v>0.0</v>
      </c>
      <c r="K9" s="119">
        <v>1573.0</v>
      </c>
      <c r="L9" s="119">
        <v>949.0</v>
      </c>
      <c r="M9" s="119">
        <v>10000.0</v>
      </c>
      <c r="N9" s="119"/>
      <c r="O9" s="119"/>
      <c r="P9" s="119"/>
      <c r="Q9" s="119"/>
      <c r="R9" s="119"/>
      <c r="S9" s="119"/>
      <c r="T9" s="119"/>
      <c r="U9" s="119"/>
      <c r="V9" s="119"/>
      <c r="W9" s="125">
        <f t="shared" si="1"/>
        <v>90582</v>
      </c>
      <c r="X9" s="126">
        <v>25520.0</v>
      </c>
      <c r="Y9" s="126"/>
      <c r="Z9" s="127">
        <f t="shared" si="2"/>
        <v>116102</v>
      </c>
      <c r="AA9" s="149">
        <v>45974.0</v>
      </c>
      <c r="AB9" s="129" t="s">
        <v>112</v>
      </c>
      <c r="AC9" s="133">
        <f t="shared" si="4"/>
        <v>120000</v>
      </c>
    </row>
    <row r="10" ht="22.5" customHeight="1">
      <c r="A10" s="1">
        <v>1005.0</v>
      </c>
      <c r="B10" s="4"/>
      <c r="C10" s="134"/>
      <c r="D10" s="120"/>
      <c r="E10" s="120"/>
      <c r="F10" s="120"/>
      <c r="G10" s="120"/>
      <c r="H10" s="120"/>
      <c r="I10" s="119"/>
      <c r="J10" s="121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25">
        <f t="shared" si="1"/>
        <v>0</v>
      </c>
      <c r="X10" s="140"/>
      <c r="Y10" s="140"/>
      <c r="Z10" s="127">
        <f t="shared" si="2"/>
        <v>0</v>
      </c>
      <c r="AA10" s="128"/>
      <c r="AB10" s="129" t="s">
        <v>112</v>
      </c>
      <c r="AC10" s="133">
        <f t="shared" si="4"/>
        <v>0</v>
      </c>
    </row>
    <row r="11" ht="22.5" customHeight="1">
      <c r="A11" s="1">
        <v>1006.0</v>
      </c>
      <c r="B11" s="4" t="s">
        <v>8</v>
      </c>
      <c r="C11" s="134">
        <v>140000.0</v>
      </c>
      <c r="D11" s="120">
        <v>40000.0</v>
      </c>
      <c r="E11" s="120">
        <v>5000.0</v>
      </c>
      <c r="F11" s="120">
        <v>5000.0</v>
      </c>
      <c r="G11" s="120">
        <v>2000.0</v>
      </c>
      <c r="H11" s="120">
        <v>10000.0</v>
      </c>
      <c r="I11" s="119">
        <v>27500.0</v>
      </c>
      <c r="J11" s="121"/>
      <c r="K11" s="119">
        <v>0.0</v>
      </c>
      <c r="L11" s="119">
        <v>0.0</v>
      </c>
      <c r="M11" s="119">
        <v>10000.0</v>
      </c>
      <c r="N11" s="119"/>
      <c r="O11" s="119"/>
      <c r="P11" s="119"/>
      <c r="Q11" s="119"/>
      <c r="R11" s="119"/>
      <c r="S11" s="119"/>
      <c r="T11" s="119"/>
      <c r="U11" s="119"/>
      <c r="V11" s="119"/>
      <c r="W11" s="125">
        <f t="shared" si="1"/>
        <v>99500</v>
      </c>
      <c r="X11" s="126"/>
      <c r="Y11" s="126">
        <f>8780+14210</f>
        <v>22990</v>
      </c>
      <c r="Z11" s="127">
        <f t="shared" si="2"/>
        <v>122490</v>
      </c>
      <c r="AA11" s="128" t="s">
        <v>119</v>
      </c>
      <c r="AB11" s="129" t="s">
        <v>112</v>
      </c>
      <c r="AC11" s="133">
        <f t="shared" si="4"/>
        <v>130000</v>
      </c>
    </row>
    <row r="12" ht="22.5" customHeight="1">
      <c r="A12" s="1">
        <v>1012.0</v>
      </c>
      <c r="B12" s="4"/>
      <c r="C12" s="134"/>
      <c r="D12" s="120"/>
      <c r="E12" s="120"/>
      <c r="F12" s="120"/>
      <c r="G12" s="120"/>
      <c r="H12" s="120"/>
      <c r="I12" s="119"/>
      <c r="J12" s="121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25">
        <f t="shared" si="1"/>
        <v>0</v>
      </c>
      <c r="X12" s="140"/>
      <c r="Y12" s="140"/>
      <c r="Z12" s="127">
        <f t="shared" si="2"/>
        <v>0</v>
      </c>
      <c r="AA12" s="128"/>
      <c r="AB12" s="129" t="s">
        <v>112</v>
      </c>
      <c r="AC12" s="133">
        <f t="shared" si="4"/>
        <v>0</v>
      </c>
    </row>
    <row r="13" ht="22.5" customHeight="1">
      <c r="A13" s="1"/>
      <c r="B13" s="4"/>
      <c r="C13" s="131"/>
      <c r="D13" s="120"/>
      <c r="E13" s="120"/>
      <c r="F13" s="120"/>
      <c r="G13" s="120"/>
      <c r="H13" s="120"/>
      <c r="I13" s="119"/>
      <c r="J13" s="121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25">
        <f t="shared" si="1"/>
        <v>0</v>
      </c>
      <c r="X13" s="140"/>
      <c r="Y13" s="140"/>
      <c r="Z13" s="127">
        <f t="shared" si="2"/>
        <v>0</v>
      </c>
      <c r="AA13" s="128"/>
      <c r="AB13" s="129" t="s">
        <v>112</v>
      </c>
      <c r="AC13" s="133">
        <f t="shared" si="4"/>
        <v>0</v>
      </c>
    </row>
    <row r="14" ht="22.5" customHeight="1">
      <c r="A14" s="1" t="str">
        <f>'入居者'!A13</f>
        <v/>
      </c>
      <c r="B14" s="4"/>
      <c r="C14" s="131"/>
      <c r="D14" s="119"/>
      <c r="E14" s="119"/>
      <c r="F14" s="119"/>
      <c r="G14" s="119"/>
      <c r="H14" s="119"/>
      <c r="I14" s="119"/>
      <c r="J14" s="121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25">
        <f t="shared" si="1"/>
        <v>0</v>
      </c>
      <c r="X14" s="119"/>
      <c r="Y14" s="119"/>
      <c r="Z14" s="127">
        <f t="shared" si="2"/>
        <v>0</v>
      </c>
      <c r="AA14" s="141"/>
      <c r="AB14" s="142"/>
      <c r="AC14" s="133">
        <f t="shared" si="4"/>
        <v>0</v>
      </c>
      <c r="AD14" s="142"/>
      <c r="AE14" s="142"/>
      <c r="AF14" s="142"/>
      <c r="AG14" s="142"/>
      <c r="AH14" s="142"/>
      <c r="AI14" s="142"/>
      <c r="AJ14" s="142"/>
    </row>
    <row r="15" ht="22.5" customHeight="1">
      <c r="A15" s="4"/>
      <c r="B15" s="4"/>
      <c r="C15" s="131"/>
      <c r="D15" s="119"/>
      <c r="E15" s="119"/>
      <c r="F15" s="119"/>
      <c r="G15" s="119"/>
      <c r="H15" s="119"/>
      <c r="I15" s="119"/>
      <c r="J15" s="121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25">
        <f t="shared" si="1"/>
        <v>0</v>
      </c>
      <c r="X15" s="119"/>
      <c r="Y15" s="119"/>
      <c r="Z15" s="127">
        <f t="shared" si="2"/>
        <v>0</v>
      </c>
      <c r="AA15" s="141"/>
      <c r="AB15" s="142"/>
      <c r="AC15" s="133">
        <f t="shared" si="4"/>
        <v>0</v>
      </c>
      <c r="AD15" s="142"/>
      <c r="AE15" s="142"/>
      <c r="AF15" s="142"/>
      <c r="AG15" s="142"/>
      <c r="AH15" s="142"/>
      <c r="AI15" s="142"/>
      <c r="AJ15" s="142"/>
    </row>
    <row r="16" ht="22.5" customHeight="1">
      <c r="A16" s="4"/>
      <c r="B16" s="4"/>
      <c r="C16" s="131"/>
      <c r="D16" s="119"/>
      <c r="E16" s="119"/>
      <c r="F16" s="119"/>
      <c r="G16" s="119"/>
      <c r="H16" s="119"/>
      <c r="I16" s="119"/>
      <c r="J16" s="121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25">
        <f t="shared" si="1"/>
        <v>0</v>
      </c>
      <c r="X16" s="119"/>
      <c r="Y16" s="119"/>
      <c r="Z16" s="127">
        <f t="shared" si="2"/>
        <v>0</v>
      </c>
      <c r="AA16" s="141"/>
      <c r="AB16" s="142"/>
      <c r="AC16" s="133">
        <f t="shared" si="4"/>
        <v>0</v>
      </c>
      <c r="AD16" s="142"/>
      <c r="AE16" s="142"/>
      <c r="AF16" s="142"/>
      <c r="AG16" s="142"/>
      <c r="AH16" s="142"/>
      <c r="AI16" s="142"/>
      <c r="AJ16" s="142"/>
    </row>
    <row r="17" ht="22.5" customHeight="1">
      <c r="A17" s="4"/>
      <c r="B17" s="4"/>
      <c r="C17" s="131"/>
      <c r="D17" s="119"/>
      <c r="E17" s="119"/>
      <c r="F17" s="119"/>
      <c r="G17" s="119"/>
      <c r="H17" s="119"/>
      <c r="I17" s="119"/>
      <c r="J17" s="121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25">
        <f t="shared" si="1"/>
        <v>0</v>
      </c>
      <c r="X17" s="119"/>
      <c r="Y17" s="119"/>
      <c r="Z17" s="127">
        <f t="shared" si="2"/>
        <v>0</v>
      </c>
      <c r="AA17" s="141"/>
      <c r="AB17" s="142"/>
      <c r="AC17" s="133">
        <f t="shared" si="4"/>
        <v>0</v>
      </c>
      <c r="AD17" s="142"/>
      <c r="AE17" s="142"/>
      <c r="AF17" s="142"/>
      <c r="AG17" s="142"/>
      <c r="AH17" s="142"/>
      <c r="AI17" s="142"/>
      <c r="AJ17" s="142"/>
    </row>
    <row r="18" ht="22.5" customHeight="1">
      <c r="A18" s="4"/>
      <c r="B18" s="4"/>
      <c r="C18" s="131"/>
      <c r="D18" s="119"/>
      <c r="E18" s="119"/>
      <c r="F18" s="119"/>
      <c r="G18" s="119"/>
      <c r="H18" s="119"/>
      <c r="I18" s="119"/>
      <c r="J18" s="121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25">
        <f t="shared" si="1"/>
        <v>0</v>
      </c>
      <c r="X18" s="119"/>
      <c r="Y18" s="119"/>
      <c r="Z18" s="127">
        <f t="shared" si="2"/>
        <v>0</v>
      </c>
      <c r="AA18" s="141"/>
      <c r="AB18" s="142"/>
      <c r="AC18" s="133">
        <f t="shared" si="4"/>
        <v>0</v>
      </c>
      <c r="AD18" s="142"/>
      <c r="AE18" s="142"/>
      <c r="AF18" s="142"/>
      <c r="AG18" s="142"/>
      <c r="AH18" s="142"/>
      <c r="AI18" s="142"/>
      <c r="AJ18" s="142"/>
    </row>
    <row r="19" ht="22.5" customHeight="1">
      <c r="A19" s="4"/>
      <c r="B19" s="4"/>
      <c r="C19" s="131"/>
      <c r="D19" s="119"/>
      <c r="E19" s="119"/>
      <c r="F19" s="119"/>
      <c r="G19" s="119"/>
      <c r="H19" s="119"/>
      <c r="I19" s="119"/>
      <c r="J19" s="121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25">
        <f t="shared" si="1"/>
        <v>0</v>
      </c>
      <c r="X19" s="119"/>
      <c r="Y19" s="119"/>
      <c r="Z19" s="127">
        <f t="shared" si="2"/>
        <v>0</v>
      </c>
      <c r="AA19" s="141"/>
      <c r="AB19" s="142"/>
      <c r="AC19" s="133">
        <f t="shared" si="4"/>
        <v>0</v>
      </c>
      <c r="AD19" s="142"/>
      <c r="AE19" s="142"/>
      <c r="AF19" s="142"/>
      <c r="AG19" s="142"/>
      <c r="AH19" s="142"/>
      <c r="AI19" s="142"/>
      <c r="AJ19" s="142"/>
    </row>
    <row r="20" ht="22.5" customHeight="1">
      <c r="A20" s="4"/>
      <c r="B20" s="4"/>
      <c r="C20" s="131"/>
      <c r="D20" s="119"/>
      <c r="E20" s="119"/>
      <c r="F20" s="119"/>
      <c r="G20" s="119"/>
      <c r="H20" s="119"/>
      <c r="I20" s="119"/>
      <c r="J20" s="121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25">
        <f t="shared" si="1"/>
        <v>0</v>
      </c>
      <c r="X20" s="119"/>
      <c r="Y20" s="119"/>
      <c r="Z20" s="127">
        <f t="shared" si="2"/>
        <v>0</v>
      </c>
      <c r="AA20" s="141"/>
      <c r="AB20" s="142"/>
      <c r="AC20" s="133">
        <f t="shared" si="4"/>
        <v>0</v>
      </c>
      <c r="AD20" s="142"/>
      <c r="AE20" s="142"/>
      <c r="AF20" s="142"/>
      <c r="AG20" s="142"/>
      <c r="AH20" s="142"/>
      <c r="AI20" s="142"/>
      <c r="AJ20" s="142"/>
    </row>
    <row r="21" ht="22.5" customHeight="1">
      <c r="A21" s="4"/>
      <c r="B21" s="4"/>
      <c r="C21" s="131"/>
      <c r="D21" s="119"/>
      <c r="E21" s="119"/>
      <c r="F21" s="119"/>
      <c r="G21" s="119"/>
      <c r="H21" s="119"/>
      <c r="I21" s="119"/>
      <c r="J21" s="121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25">
        <f t="shared" si="1"/>
        <v>0</v>
      </c>
      <c r="X21" s="119"/>
      <c r="Y21" s="119"/>
      <c r="Z21" s="127">
        <f t="shared" si="2"/>
        <v>0</v>
      </c>
      <c r="AA21" s="141"/>
      <c r="AB21" s="142"/>
      <c r="AC21" s="133">
        <f t="shared" si="4"/>
        <v>0</v>
      </c>
      <c r="AD21" s="142"/>
      <c r="AE21" s="142"/>
      <c r="AF21" s="142"/>
      <c r="AG21" s="142"/>
      <c r="AH21" s="142"/>
      <c r="AI21" s="142"/>
      <c r="AJ21" s="142"/>
    </row>
    <row r="22" ht="22.5" hidden="1" customHeight="1">
      <c r="A22" s="4"/>
      <c r="B22" s="4"/>
      <c r="C22" s="131"/>
      <c r="D22" s="119"/>
      <c r="E22" s="119"/>
      <c r="F22" s="119"/>
      <c r="G22" s="119"/>
      <c r="H22" s="119"/>
      <c r="I22" s="119"/>
      <c r="J22" s="121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25">
        <f t="shared" si="1"/>
        <v>0</v>
      </c>
      <c r="X22" s="119"/>
      <c r="Y22" s="119"/>
      <c r="Z22" s="127">
        <f t="shared" si="2"/>
        <v>0</v>
      </c>
      <c r="AA22" s="141"/>
      <c r="AB22" s="142"/>
      <c r="AC22" s="133">
        <f t="shared" si="4"/>
        <v>0</v>
      </c>
      <c r="AD22" s="142"/>
      <c r="AE22" s="142"/>
      <c r="AF22" s="142"/>
      <c r="AG22" s="142"/>
      <c r="AH22" s="142"/>
      <c r="AI22" s="142"/>
      <c r="AJ22" s="142"/>
    </row>
    <row r="23" ht="22.5" hidden="1" customHeight="1">
      <c r="A23" s="4"/>
      <c r="B23" s="4"/>
      <c r="C23" s="131"/>
      <c r="D23" s="119"/>
      <c r="E23" s="119"/>
      <c r="F23" s="119"/>
      <c r="G23" s="119"/>
      <c r="H23" s="119"/>
      <c r="I23" s="119"/>
      <c r="J23" s="121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25">
        <f t="shared" si="1"/>
        <v>0</v>
      </c>
      <c r="X23" s="119"/>
      <c r="Y23" s="119"/>
      <c r="Z23" s="127">
        <f t="shared" si="2"/>
        <v>0</v>
      </c>
      <c r="AA23" s="141"/>
      <c r="AB23" s="142"/>
      <c r="AC23" s="133">
        <f t="shared" si="4"/>
        <v>0</v>
      </c>
      <c r="AD23" s="142"/>
      <c r="AE23" s="142"/>
      <c r="AF23" s="142"/>
      <c r="AG23" s="142"/>
      <c r="AH23" s="142"/>
      <c r="AI23" s="142"/>
      <c r="AJ23" s="142"/>
    </row>
    <row r="24" ht="22.5" hidden="1" customHeight="1">
      <c r="A24" s="4"/>
      <c r="B24" s="4"/>
      <c r="C24" s="131"/>
      <c r="D24" s="119"/>
      <c r="E24" s="119"/>
      <c r="F24" s="119"/>
      <c r="G24" s="119"/>
      <c r="H24" s="119"/>
      <c r="I24" s="119"/>
      <c r="J24" s="121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25">
        <f t="shared" si="1"/>
        <v>0</v>
      </c>
      <c r="X24" s="119"/>
      <c r="Y24" s="119"/>
      <c r="Z24" s="127">
        <f t="shared" si="2"/>
        <v>0</v>
      </c>
      <c r="AA24" s="141"/>
      <c r="AB24" s="142"/>
      <c r="AC24" s="133">
        <f t="shared" si="4"/>
        <v>0</v>
      </c>
      <c r="AD24" s="142"/>
      <c r="AE24" s="142"/>
      <c r="AF24" s="142"/>
      <c r="AG24" s="142"/>
      <c r="AH24" s="142"/>
      <c r="AI24" s="142"/>
      <c r="AJ24" s="142"/>
    </row>
    <row r="25" ht="22.5" hidden="1" customHeight="1">
      <c r="A25" s="4"/>
      <c r="B25" s="4"/>
      <c r="C25" s="131"/>
      <c r="D25" s="119"/>
      <c r="E25" s="119"/>
      <c r="F25" s="119"/>
      <c r="G25" s="119"/>
      <c r="H25" s="119"/>
      <c r="I25" s="119"/>
      <c r="J25" s="121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25">
        <f t="shared" si="1"/>
        <v>0</v>
      </c>
      <c r="X25" s="119"/>
      <c r="Y25" s="119"/>
      <c r="Z25" s="127">
        <f t="shared" si="2"/>
        <v>0</v>
      </c>
      <c r="AA25" s="141"/>
      <c r="AB25" s="142"/>
      <c r="AC25" s="133">
        <f t="shared" si="4"/>
        <v>0</v>
      </c>
      <c r="AD25" s="142"/>
      <c r="AE25" s="142"/>
      <c r="AF25" s="142"/>
      <c r="AG25" s="142"/>
      <c r="AH25" s="142"/>
      <c r="AI25" s="142"/>
      <c r="AJ25" s="142"/>
    </row>
    <row r="26" ht="22.5" hidden="1" customHeight="1">
      <c r="A26" s="4"/>
      <c r="B26" s="4"/>
      <c r="C26" s="131"/>
      <c r="D26" s="119"/>
      <c r="E26" s="119"/>
      <c r="F26" s="119"/>
      <c r="G26" s="119"/>
      <c r="H26" s="119"/>
      <c r="I26" s="119"/>
      <c r="J26" s="121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25">
        <f t="shared" si="1"/>
        <v>0</v>
      </c>
      <c r="X26" s="119"/>
      <c r="Y26" s="119"/>
      <c r="Z26" s="127">
        <f t="shared" si="2"/>
        <v>0</v>
      </c>
      <c r="AA26" s="141"/>
      <c r="AB26" s="142"/>
      <c r="AC26" s="133">
        <f t="shared" si="4"/>
        <v>0</v>
      </c>
      <c r="AD26" s="142"/>
      <c r="AE26" s="142"/>
      <c r="AF26" s="142"/>
      <c r="AG26" s="142"/>
      <c r="AH26" s="142"/>
      <c r="AI26" s="142"/>
      <c r="AJ26" s="142"/>
    </row>
    <row r="27" ht="22.5" hidden="1" customHeight="1">
      <c r="A27" s="4"/>
      <c r="B27" s="4"/>
      <c r="C27" s="131"/>
      <c r="D27" s="119"/>
      <c r="E27" s="119"/>
      <c r="F27" s="119"/>
      <c r="G27" s="119"/>
      <c r="H27" s="119"/>
      <c r="I27" s="119"/>
      <c r="J27" s="121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25">
        <f t="shared" si="1"/>
        <v>0</v>
      </c>
      <c r="X27" s="119"/>
      <c r="Y27" s="119"/>
      <c r="Z27" s="127">
        <f t="shared" si="2"/>
        <v>0</v>
      </c>
      <c r="AA27" s="141"/>
      <c r="AB27" s="142"/>
      <c r="AC27" s="133">
        <f t="shared" si="4"/>
        <v>0</v>
      </c>
      <c r="AD27" s="142"/>
      <c r="AE27" s="142"/>
      <c r="AF27" s="142"/>
      <c r="AG27" s="142"/>
      <c r="AH27" s="142"/>
      <c r="AI27" s="142"/>
      <c r="AJ27" s="142"/>
    </row>
    <row r="28" ht="22.5" hidden="1" customHeight="1">
      <c r="A28" s="4"/>
      <c r="B28" s="4"/>
      <c r="C28" s="131"/>
      <c r="D28" s="119"/>
      <c r="E28" s="119"/>
      <c r="F28" s="119"/>
      <c r="G28" s="119"/>
      <c r="H28" s="119"/>
      <c r="I28" s="119"/>
      <c r="J28" s="121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25">
        <f t="shared" si="1"/>
        <v>0</v>
      </c>
      <c r="X28" s="119"/>
      <c r="Y28" s="119"/>
      <c r="Z28" s="127">
        <f t="shared" si="2"/>
        <v>0</v>
      </c>
      <c r="AA28" s="141"/>
      <c r="AB28" s="142"/>
      <c r="AC28" s="133">
        <f t="shared" si="4"/>
        <v>0</v>
      </c>
      <c r="AD28" s="142"/>
      <c r="AE28" s="142"/>
      <c r="AF28" s="142"/>
      <c r="AG28" s="142"/>
      <c r="AH28" s="142"/>
      <c r="AI28" s="142"/>
      <c r="AJ28" s="142"/>
    </row>
    <row r="29" ht="22.5" hidden="1" customHeight="1">
      <c r="A29" s="4"/>
      <c r="B29" s="4"/>
      <c r="C29" s="131"/>
      <c r="D29" s="119"/>
      <c r="E29" s="119"/>
      <c r="F29" s="119"/>
      <c r="G29" s="119"/>
      <c r="H29" s="119"/>
      <c r="I29" s="119"/>
      <c r="J29" s="121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25">
        <f t="shared" si="1"/>
        <v>0</v>
      </c>
      <c r="X29" s="119"/>
      <c r="Y29" s="119"/>
      <c r="Z29" s="127">
        <f t="shared" si="2"/>
        <v>0</v>
      </c>
      <c r="AA29" s="141"/>
      <c r="AB29" s="142"/>
      <c r="AC29" s="133">
        <f t="shared" si="4"/>
        <v>0</v>
      </c>
      <c r="AD29" s="142"/>
      <c r="AE29" s="142"/>
      <c r="AF29" s="142"/>
      <c r="AG29" s="142"/>
      <c r="AH29" s="142"/>
      <c r="AI29" s="142"/>
      <c r="AJ29" s="142"/>
    </row>
    <row r="30" ht="22.5" hidden="1" customHeight="1">
      <c r="A30" s="4"/>
      <c r="B30" s="4"/>
      <c r="C30" s="131"/>
      <c r="D30" s="119"/>
      <c r="E30" s="119"/>
      <c r="F30" s="119"/>
      <c r="G30" s="119"/>
      <c r="H30" s="119"/>
      <c r="I30" s="119"/>
      <c r="J30" s="121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25">
        <f t="shared" si="1"/>
        <v>0</v>
      </c>
      <c r="X30" s="119"/>
      <c r="Y30" s="119"/>
      <c r="Z30" s="127">
        <f t="shared" si="2"/>
        <v>0</v>
      </c>
      <c r="AA30" s="141"/>
      <c r="AB30" s="142"/>
      <c r="AC30" s="133">
        <f t="shared" si="4"/>
        <v>0</v>
      </c>
      <c r="AD30" s="142"/>
      <c r="AE30" s="142"/>
      <c r="AF30" s="142"/>
      <c r="AG30" s="142"/>
      <c r="AH30" s="142"/>
      <c r="AI30" s="142"/>
      <c r="AJ30" s="142"/>
    </row>
    <row r="31" ht="22.5" hidden="1" customHeight="1">
      <c r="A31" s="4"/>
      <c r="B31" s="4"/>
      <c r="C31" s="131"/>
      <c r="D31" s="119"/>
      <c r="E31" s="119"/>
      <c r="F31" s="119"/>
      <c r="G31" s="119"/>
      <c r="H31" s="119"/>
      <c r="I31" s="119"/>
      <c r="J31" s="121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25">
        <f t="shared" si="1"/>
        <v>0</v>
      </c>
      <c r="X31" s="119"/>
      <c r="Y31" s="119"/>
      <c r="Z31" s="127">
        <f t="shared" si="2"/>
        <v>0</v>
      </c>
      <c r="AA31" s="141"/>
      <c r="AB31" s="142"/>
      <c r="AC31" s="133">
        <f t="shared" si="4"/>
        <v>0</v>
      </c>
      <c r="AD31" s="142"/>
      <c r="AE31" s="142"/>
      <c r="AF31" s="142"/>
      <c r="AG31" s="142"/>
      <c r="AH31" s="142"/>
      <c r="AI31" s="142"/>
      <c r="AJ31" s="142"/>
    </row>
    <row r="32" ht="22.5" hidden="1" customHeight="1">
      <c r="A32" s="4"/>
      <c r="B32" s="4"/>
      <c r="C32" s="131"/>
      <c r="D32" s="119"/>
      <c r="E32" s="119"/>
      <c r="F32" s="119"/>
      <c r="G32" s="119"/>
      <c r="H32" s="119"/>
      <c r="I32" s="119"/>
      <c r="J32" s="121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25">
        <f t="shared" si="1"/>
        <v>0</v>
      </c>
      <c r="X32" s="119"/>
      <c r="Y32" s="119"/>
      <c r="Z32" s="127">
        <f t="shared" si="2"/>
        <v>0</v>
      </c>
      <c r="AA32" s="141"/>
      <c r="AB32" s="142"/>
      <c r="AC32" s="133">
        <f t="shared" si="4"/>
        <v>0</v>
      </c>
      <c r="AD32" s="142"/>
      <c r="AE32" s="142"/>
      <c r="AF32" s="142"/>
      <c r="AG32" s="142"/>
      <c r="AH32" s="142"/>
      <c r="AI32" s="142"/>
      <c r="AJ32" s="142"/>
    </row>
    <row r="33" ht="22.5" hidden="1" customHeight="1">
      <c r="A33" s="4"/>
      <c r="B33" s="4"/>
      <c r="C33" s="131"/>
      <c r="D33" s="119"/>
      <c r="E33" s="119"/>
      <c r="F33" s="119"/>
      <c r="G33" s="119"/>
      <c r="H33" s="119"/>
      <c r="I33" s="119"/>
      <c r="J33" s="121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25">
        <f t="shared" si="1"/>
        <v>0</v>
      </c>
      <c r="X33" s="119"/>
      <c r="Y33" s="119"/>
      <c r="Z33" s="127">
        <f t="shared" si="2"/>
        <v>0</v>
      </c>
      <c r="AA33" s="141"/>
      <c r="AB33" s="142"/>
      <c r="AC33" s="133">
        <f t="shared" si="4"/>
        <v>0</v>
      </c>
      <c r="AD33" s="142"/>
      <c r="AE33" s="142"/>
      <c r="AF33" s="142"/>
      <c r="AG33" s="142"/>
      <c r="AH33" s="142"/>
      <c r="AI33" s="142"/>
      <c r="AJ33" s="142"/>
    </row>
    <row r="34" ht="22.5" hidden="1" customHeight="1">
      <c r="A34" s="4"/>
      <c r="B34" s="4"/>
      <c r="C34" s="131"/>
      <c r="D34" s="119"/>
      <c r="E34" s="119"/>
      <c r="F34" s="119"/>
      <c r="G34" s="119"/>
      <c r="H34" s="119"/>
      <c r="I34" s="119"/>
      <c r="J34" s="121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25">
        <f t="shared" si="1"/>
        <v>0</v>
      </c>
      <c r="X34" s="119"/>
      <c r="Y34" s="119"/>
      <c r="Z34" s="127">
        <f t="shared" si="2"/>
        <v>0</v>
      </c>
      <c r="AA34" s="141"/>
      <c r="AB34" s="142"/>
      <c r="AC34" s="133">
        <f t="shared" si="4"/>
        <v>0</v>
      </c>
      <c r="AD34" s="142"/>
      <c r="AE34" s="142"/>
      <c r="AF34" s="142"/>
      <c r="AG34" s="142"/>
      <c r="AH34" s="142"/>
      <c r="AI34" s="142"/>
      <c r="AJ34" s="142"/>
    </row>
    <row r="35" ht="22.5" hidden="1" customHeight="1">
      <c r="A35" s="4"/>
      <c r="B35" s="4"/>
      <c r="C35" s="131"/>
      <c r="D35" s="119"/>
      <c r="E35" s="119"/>
      <c r="F35" s="119"/>
      <c r="G35" s="119"/>
      <c r="H35" s="119"/>
      <c r="I35" s="119"/>
      <c r="J35" s="121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25">
        <f t="shared" si="1"/>
        <v>0</v>
      </c>
      <c r="X35" s="119"/>
      <c r="Y35" s="119"/>
      <c r="Z35" s="127">
        <f t="shared" si="2"/>
        <v>0</v>
      </c>
      <c r="AA35" s="141"/>
      <c r="AB35" s="142"/>
      <c r="AC35" s="133">
        <f t="shared" si="4"/>
        <v>0</v>
      </c>
      <c r="AD35" s="142"/>
      <c r="AE35" s="142"/>
      <c r="AF35" s="142"/>
      <c r="AG35" s="142"/>
      <c r="AH35" s="142"/>
      <c r="AI35" s="142"/>
      <c r="AJ35" s="142"/>
    </row>
    <row r="36" ht="22.5" hidden="1" customHeight="1">
      <c r="A36" s="4"/>
      <c r="B36" s="4"/>
      <c r="C36" s="131"/>
      <c r="D36" s="119"/>
      <c r="E36" s="119"/>
      <c r="F36" s="119"/>
      <c r="G36" s="119"/>
      <c r="H36" s="119"/>
      <c r="I36" s="119"/>
      <c r="J36" s="121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25">
        <f t="shared" si="1"/>
        <v>0</v>
      </c>
      <c r="X36" s="119"/>
      <c r="Y36" s="119"/>
      <c r="Z36" s="127">
        <f t="shared" si="2"/>
        <v>0</v>
      </c>
      <c r="AA36" s="141"/>
      <c r="AB36" s="142"/>
      <c r="AC36" s="133">
        <f t="shared" si="4"/>
        <v>0</v>
      </c>
      <c r="AD36" s="142"/>
      <c r="AE36" s="142"/>
      <c r="AF36" s="142"/>
      <c r="AG36" s="142"/>
      <c r="AH36" s="142"/>
      <c r="AI36" s="142"/>
      <c r="AJ36" s="142"/>
    </row>
    <row r="37" ht="22.5" hidden="1" customHeight="1">
      <c r="A37" s="4"/>
      <c r="B37" s="4"/>
      <c r="C37" s="131"/>
      <c r="D37" s="119"/>
      <c r="E37" s="119"/>
      <c r="F37" s="119"/>
      <c r="G37" s="119"/>
      <c r="H37" s="119"/>
      <c r="I37" s="119"/>
      <c r="J37" s="121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25">
        <f t="shared" si="1"/>
        <v>0</v>
      </c>
      <c r="X37" s="119"/>
      <c r="Y37" s="119"/>
      <c r="Z37" s="127">
        <f t="shared" si="2"/>
        <v>0</v>
      </c>
      <c r="AA37" s="141"/>
      <c r="AB37" s="142"/>
      <c r="AC37" s="133">
        <f t="shared" si="4"/>
        <v>0</v>
      </c>
      <c r="AD37" s="142"/>
      <c r="AE37" s="142"/>
      <c r="AF37" s="142"/>
      <c r="AG37" s="142"/>
      <c r="AH37" s="142"/>
      <c r="AI37" s="142"/>
      <c r="AJ37" s="142"/>
    </row>
    <row r="38" ht="22.5" hidden="1" customHeight="1">
      <c r="A38" s="4"/>
      <c r="B38" s="4"/>
      <c r="C38" s="131"/>
      <c r="D38" s="119"/>
      <c r="E38" s="119"/>
      <c r="F38" s="119"/>
      <c r="G38" s="119"/>
      <c r="H38" s="119"/>
      <c r="I38" s="119"/>
      <c r="J38" s="121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25">
        <f t="shared" si="1"/>
        <v>0</v>
      </c>
      <c r="X38" s="119"/>
      <c r="Y38" s="119"/>
      <c r="Z38" s="127">
        <f t="shared" si="2"/>
        <v>0</v>
      </c>
      <c r="AA38" s="141"/>
      <c r="AB38" s="142"/>
      <c r="AC38" s="133">
        <f t="shared" si="4"/>
        <v>0</v>
      </c>
      <c r="AD38" s="142"/>
      <c r="AE38" s="142"/>
      <c r="AF38" s="142"/>
      <c r="AG38" s="142"/>
      <c r="AH38" s="142"/>
      <c r="AI38" s="142"/>
      <c r="AJ38" s="142"/>
    </row>
    <row r="39" ht="22.5" hidden="1" customHeight="1">
      <c r="A39" s="4"/>
      <c r="B39" s="4"/>
      <c r="C39" s="131"/>
      <c r="D39" s="119"/>
      <c r="E39" s="119"/>
      <c r="F39" s="119"/>
      <c r="G39" s="119"/>
      <c r="H39" s="119"/>
      <c r="I39" s="119"/>
      <c r="J39" s="121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25">
        <f t="shared" si="1"/>
        <v>0</v>
      </c>
      <c r="X39" s="119"/>
      <c r="Y39" s="119"/>
      <c r="Z39" s="127">
        <f t="shared" si="2"/>
        <v>0</v>
      </c>
      <c r="AA39" s="141"/>
      <c r="AB39" s="142"/>
      <c r="AC39" s="133">
        <f t="shared" si="4"/>
        <v>0</v>
      </c>
      <c r="AD39" s="142"/>
      <c r="AE39" s="142"/>
      <c r="AF39" s="142"/>
      <c r="AG39" s="142"/>
      <c r="AH39" s="142"/>
      <c r="AI39" s="142"/>
      <c r="AJ39" s="142"/>
    </row>
    <row r="40" ht="22.5" hidden="1" customHeight="1">
      <c r="A40" s="4"/>
      <c r="B40" s="4"/>
      <c r="C40" s="131"/>
      <c r="D40" s="119"/>
      <c r="E40" s="119"/>
      <c r="F40" s="119"/>
      <c r="G40" s="119"/>
      <c r="H40" s="119"/>
      <c r="I40" s="119"/>
      <c r="J40" s="121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25">
        <f t="shared" si="1"/>
        <v>0</v>
      </c>
      <c r="X40" s="119"/>
      <c r="Y40" s="119"/>
      <c r="Z40" s="127">
        <f t="shared" si="2"/>
        <v>0</v>
      </c>
      <c r="AA40" s="141"/>
      <c r="AB40" s="142"/>
      <c r="AC40" s="133">
        <f t="shared" si="4"/>
        <v>0</v>
      </c>
      <c r="AD40" s="142"/>
      <c r="AE40" s="142"/>
      <c r="AF40" s="142"/>
      <c r="AG40" s="142"/>
      <c r="AH40" s="142"/>
      <c r="AI40" s="142"/>
      <c r="AJ40" s="142"/>
    </row>
    <row r="41" ht="22.5" hidden="1" customHeight="1">
      <c r="A41" s="4"/>
      <c r="B41" s="4"/>
      <c r="C41" s="131"/>
      <c r="D41" s="119"/>
      <c r="E41" s="119"/>
      <c r="F41" s="119"/>
      <c r="G41" s="119"/>
      <c r="H41" s="119"/>
      <c r="I41" s="119"/>
      <c r="J41" s="121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25">
        <f t="shared" si="1"/>
        <v>0</v>
      </c>
      <c r="X41" s="119"/>
      <c r="Y41" s="119"/>
      <c r="Z41" s="127">
        <f t="shared" si="2"/>
        <v>0</v>
      </c>
      <c r="AA41" s="141"/>
      <c r="AB41" s="142"/>
      <c r="AC41" s="133">
        <f t="shared" si="4"/>
        <v>0</v>
      </c>
      <c r="AD41" s="142"/>
      <c r="AE41" s="142"/>
      <c r="AF41" s="142"/>
      <c r="AG41" s="142"/>
      <c r="AH41" s="142"/>
      <c r="AI41" s="142"/>
      <c r="AJ41" s="142"/>
    </row>
    <row r="42" ht="22.5" hidden="1" customHeight="1">
      <c r="A42" s="4"/>
      <c r="B42" s="4"/>
      <c r="C42" s="131"/>
      <c r="D42" s="119"/>
      <c r="E42" s="119"/>
      <c r="F42" s="119"/>
      <c r="G42" s="119"/>
      <c r="H42" s="119"/>
      <c r="I42" s="119"/>
      <c r="J42" s="121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25">
        <f t="shared" si="1"/>
        <v>0</v>
      </c>
      <c r="X42" s="119"/>
      <c r="Y42" s="119"/>
      <c r="Z42" s="127">
        <f t="shared" si="2"/>
        <v>0</v>
      </c>
      <c r="AA42" s="141"/>
      <c r="AB42" s="142"/>
      <c r="AC42" s="133">
        <f t="shared" si="4"/>
        <v>0</v>
      </c>
      <c r="AD42" s="142"/>
      <c r="AE42" s="142"/>
      <c r="AF42" s="142"/>
      <c r="AG42" s="142"/>
      <c r="AH42" s="142"/>
      <c r="AI42" s="142"/>
      <c r="AJ42" s="142"/>
    </row>
    <row r="43" ht="22.5" hidden="1" customHeight="1">
      <c r="A43" s="4"/>
      <c r="B43" s="4"/>
      <c r="C43" s="131"/>
      <c r="D43" s="119"/>
      <c r="E43" s="119"/>
      <c r="F43" s="119"/>
      <c r="G43" s="119"/>
      <c r="H43" s="119"/>
      <c r="I43" s="119"/>
      <c r="J43" s="121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25">
        <f t="shared" si="1"/>
        <v>0</v>
      </c>
      <c r="X43" s="119"/>
      <c r="Y43" s="119"/>
      <c r="Z43" s="127">
        <f t="shared" si="2"/>
        <v>0</v>
      </c>
      <c r="AA43" s="141"/>
      <c r="AB43" s="142"/>
      <c r="AC43" s="133">
        <f t="shared" si="4"/>
        <v>0</v>
      </c>
      <c r="AD43" s="142"/>
      <c r="AE43" s="142"/>
      <c r="AF43" s="142"/>
      <c r="AG43" s="142"/>
      <c r="AH43" s="142"/>
      <c r="AI43" s="142"/>
      <c r="AJ43" s="142"/>
    </row>
    <row r="44" ht="22.5" hidden="1" customHeight="1">
      <c r="A44" s="4"/>
      <c r="B44" s="4"/>
      <c r="C44" s="131"/>
      <c r="D44" s="119"/>
      <c r="E44" s="119"/>
      <c r="F44" s="119"/>
      <c r="G44" s="119"/>
      <c r="H44" s="119"/>
      <c r="I44" s="119"/>
      <c r="J44" s="121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25">
        <f t="shared" si="1"/>
        <v>0</v>
      </c>
      <c r="X44" s="119"/>
      <c r="Y44" s="119"/>
      <c r="Z44" s="127">
        <f t="shared" si="2"/>
        <v>0</v>
      </c>
      <c r="AA44" s="141"/>
      <c r="AB44" s="142"/>
      <c r="AC44" s="133">
        <f t="shared" si="4"/>
        <v>0</v>
      </c>
      <c r="AD44" s="142"/>
      <c r="AE44" s="142"/>
      <c r="AF44" s="142"/>
      <c r="AG44" s="142"/>
      <c r="AH44" s="142"/>
      <c r="AI44" s="142"/>
      <c r="AJ44" s="142"/>
    </row>
    <row r="45" ht="22.5" hidden="1" customHeight="1">
      <c r="A45" s="4"/>
      <c r="B45" s="4"/>
      <c r="C45" s="131"/>
      <c r="D45" s="119"/>
      <c r="E45" s="119"/>
      <c r="F45" s="119"/>
      <c r="G45" s="119"/>
      <c r="H45" s="119"/>
      <c r="I45" s="119"/>
      <c r="J45" s="121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25">
        <f t="shared" si="1"/>
        <v>0</v>
      </c>
      <c r="X45" s="119"/>
      <c r="Y45" s="119"/>
      <c r="Z45" s="127">
        <f t="shared" si="2"/>
        <v>0</v>
      </c>
      <c r="AA45" s="141"/>
      <c r="AB45" s="142"/>
      <c r="AC45" s="133">
        <f t="shared" si="4"/>
        <v>0</v>
      </c>
      <c r="AD45" s="142"/>
      <c r="AE45" s="142"/>
      <c r="AF45" s="142"/>
      <c r="AG45" s="142"/>
      <c r="AH45" s="142"/>
      <c r="AI45" s="142"/>
      <c r="AJ45" s="142"/>
    </row>
    <row r="46" ht="22.5" hidden="1" customHeight="1">
      <c r="A46" s="4"/>
      <c r="B46" s="4"/>
      <c r="C46" s="131"/>
      <c r="D46" s="119"/>
      <c r="E46" s="119"/>
      <c r="F46" s="119"/>
      <c r="G46" s="119"/>
      <c r="H46" s="119"/>
      <c r="I46" s="119"/>
      <c r="J46" s="121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25">
        <f t="shared" si="1"/>
        <v>0</v>
      </c>
      <c r="X46" s="119"/>
      <c r="Y46" s="119"/>
      <c r="Z46" s="127">
        <f t="shared" si="2"/>
        <v>0</v>
      </c>
      <c r="AA46" s="141"/>
      <c r="AB46" s="142"/>
      <c r="AC46" s="133">
        <f t="shared" si="4"/>
        <v>0</v>
      </c>
      <c r="AD46" s="142"/>
      <c r="AE46" s="142"/>
      <c r="AF46" s="142"/>
      <c r="AG46" s="142"/>
      <c r="AH46" s="142"/>
      <c r="AI46" s="142"/>
      <c r="AJ46" s="142"/>
    </row>
    <row r="47" ht="22.5" hidden="1" customHeight="1">
      <c r="A47" s="4"/>
      <c r="B47" s="4"/>
      <c r="C47" s="131"/>
      <c r="D47" s="119"/>
      <c r="E47" s="119"/>
      <c r="F47" s="119"/>
      <c r="G47" s="119"/>
      <c r="H47" s="119"/>
      <c r="I47" s="119"/>
      <c r="J47" s="121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25">
        <f t="shared" si="1"/>
        <v>0</v>
      </c>
      <c r="X47" s="119"/>
      <c r="Y47" s="119"/>
      <c r="Z47" s="127">
        <f t="shared" si="2"/>
        <v>0</v>
      </c>
      <c r="AA47" s="141"/>
      <c r="AB47" s="142"/>
      <c r="AC47" s="133">
        <f t="shared" si="4"/>
        <v>0</v>
      </c>
      <c r="AD47" s="142"/>
      <c r="AE47" s="142"/>
      <c r="AF47" s="142"/>
      <c r="AG47" s="142"/>
      <c r="AH47" s="142"/>
      <c r="AI47" s="142"/>
      <c r="AJ47" s="142"/>
    </row>
    <row r="48" ht="22.5" hidden="1" customHeight="1">
      <c r="A48" s="4"/>
      <c r="B48" s="4"/>
      <c r="C48" s="131"/>
      <c r="D48" s="119"/>
      <c r="E48" s="119"/>
      <c r="F48" s="119"/>
      <c r="G48" s="119"/>
      <c r="H48" s="119"/>
      <c r="I48" s="119"/>
      <c r="J48" s="121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25">
        <f t="shared" si="1"/>
        <v>0</v>
      </c>
      <c r="X48" s="119"/>
      <c r="Y48" s="119"/>
      <c r="Z48" s="127">
        <f t="shared" si="2"/>
        <v>0</v>
      </c>
      <c r="AA48" s="141"/>
      <c r="AB48" s="142"/>
      <c r="AC48" s="133">
        <f t="shared" si="4"/>
        <v>0</v>
      </c>
      <c r="AD48" s="142"/>
      <c r="AE48" s="142"/>
      <c r="AF48" s="142"/>
      <c r="AG48" s="142"/>
      <c r="AH48" s="142"/>
      <c r="AI48" s="142"/>
      <c r="AJ48" s="142"/>
    </row>
    <row r="49" ht="22.5" hidden="1" customHeight="1">
      <c r="A49" s="4"/>
      <c r="B49" s="4"/>
      <c r="C49" s="131"/>
      <c r="D49" s="119"/>
      <c r="E49" s="119"/>
      <c r="F49" s="119"/>
      <c r="G49" s="119"/>
      <c r="H49" s="119"/>
      <c r="I49" s="119"/>
      <c r="J49" s="121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25">
        <f t="shared" si="1"/>
        <v>0</v>
      </c>
      <c r="X49" s="119"/>
      <c r="Y49" s="119"/>
      <c r="Z49" s="127">
        <f t="shared" si="2"/>
        <v>0</v>
      </c>
      <c r="AA49" s="141"/>
      <c r="AB49" s="142"/>
      <c r="AC49" s="133">
        <f t="shared" si="4"/>
        <v>0</v>
      </c>
      <c r="AD49" s="142"/>
      <c r="AE49" s="142"/>
      <c r="AF49" s="142"/>
      <c r="AG49" s="142"/>
      <c r="AH49" s="142"/>
      <c r="AI49" s="142"/>
      <c r="AJ49" s="142"/>
    </row>
    <row r="50" ht="22.5" hidden="1" customHeight="1">
      <c r="A50" s="4"/>
      <c r="B50" s="4"/>
      <c r="C50" s="131"/>
      <c r="D50" s="119"/>
      <c r="E50" s="119"/>
      <c r="F50" s="119"/>
      <c r="G50" s="119"/>
      <c r="H50" s="119"/>
      <c r="I50" s="119"/>
      <c r="J50" s="121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25">
        <f t="shared" si="1"/>
        <v>0</v>
      </c>
      <c r="X50" s="119"/>
      <c r="Y50" s="119"/>
      <c r="Z50" s="127">
        <f t="shared" si="2"/>
        <v>0</v>
      </c>
      <c r="AA50" s="141"/>
      <c r="AB50" s="142"/>
      <c r="AC50" s="133">
        <f t="shared" si="4"/>
        <v>0</v>
      </c>
      <c r="AD50" s="142"/>
      <c r="AE50" s="142"/>
      <c r="AF50" s="142"/>
      <c r="AG50" s="142"/>
      <c r="AH50" s="142"/>
      <c r="AI50" s="142"/>
      <c r="AJ50" s="142"/>
    </row>
    <row r="51" ht="22.5" hidden="1" customHeight="1">
      <c r="A51" s="4"/>
      <c r="B51" s="4"/>
      <c r="C51" s="131"/>
      <c r="D51" s="119"/>
      <c r="E51" s="119"/>
      <c r="F51" s="119"/>
      <c r="G51" s="119"/>
      <c r="H51" s="119"/>
      <c r="I51" s="119"/>
      <c r="J51" s="121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25">
        <f t="shared" si="1"/>
        <v>0</v>
      </c>
      <c r="X51" s="119"/>
      <c r="Y51" s="119"/>
      <c r="Z51" s="127">
        <f t="shared" si="2"/>
        <v>0</v>
      </c>
      <c r="AA51" s="141"/>
      <c r="AB51" s="142"/>
      <c r="AC51" s="133">
        <f t="shared" si="4"/>
        <v>0</v>
      </c>
      <c r="AD51" s="142"/>
      <c r="AE51" s="142"/>
      <c r="AF51" s="142"/>
      <c r="AG51" s="142"/>
      <c r="AH51" s="142"/>
      <c r="AI51" s="142"/>
      <c r="AJ51" s="142"/>
    </row>
    <row r="52" ht="22.5" hidden="1" customHeight="1">
      <c r="A52" s="4"/>
      <c r="B52" s="4"/>
      <c r="C52" s="131"/>
      <c r="D52" s="119"/>
      <c r="E52" s="119"/>
      <c r="F52" s="119"/>
      <c r="G52" s="119"/>
      <c r="H52" s="119"/>
      <c r="I52" s="119"/>
      <c r="J52" s="121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25">
        <f t="shared" si="1"/>
        <v>0</v>
      </c>
      <c r="X52" s="119"/>
      <c r="Y52" s="119"/>
      <c r="Z52" s="127">
        <f t="shared" si="2"/>
        <v>0</v>
      </c>
      <c r="AA52" s="141"/>
      <c r="AB52" s="142"/>
      <c r="AC52" s="133">
        <f t="shared" si="4"/>
        <v>0</v>
      </c>
      <c r="AD52" s="142"/>
      <c r="AE52" s="142"/>
      <c r="AF52" s="142"/>
      <c r="AG52" s="142"/>
      <c r="AH52" s="142"/>
      <c r="AI52" s="142"/>
      <c r="AJ52" s="142"/>
    </row>
    <row r="53" ht="22.5" hidden="1" customHeight="1">
      <c r="A53" s="4"/>
      <c r="B53" s="4"/>
      <c r="C53" s="131"/>
      <c r="D53" s="119"/>
      <c r="E53" s="119"/>
      <c r="F53" s="119"/>
      <c r="G53" s="119"/>
      <c r="H53" s="119"/>
      <c r="I53" s="119"/>
      <c r="J53" s="121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25">
        <f t="shared" si="1"/>
        <v>0</v>
      </c>
      <c r="X53" s="119"/>
      <c r="Y53" s="119"/>
      <c r="Z53" s="127">
        <f t="shared" si="2"/>
        <v>0</v>
      </c>
      <c r="AA53" s="141"/>
      <c r="AB53" s="142"/>
      <c r="AC53" s="133">
        <f t="shared" si="4"/>
        <v>0</v>
      </c>
      <c r="AD53" s="142"/>
      <c r="AE53" s="142"/>
      <c r="AF53" s="142"/>
      <c r="AG53" s="142"/>
      <c r="AH53" s="142"/>
      <c r="AI53" s="142"/>
      <c r="AJ53" s="142"/>
    </row>
    <row r="54" ht="22.5" hidden="1" customHeight="1">
      <c r="A54" s="4"/>
      <c r="B54" s="4"/>
      <c r="C54" s="131"/>
      <c r="D54" s="119"/>
      <c r="E54" s="119"/>
      <c r="F54" s="119"/>
      <c r="G54" s="119"/>
      <c r="H54" s="119"/>
      <c r="I54" s="119"/>
      <c r="J54" s="121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25">
        <f t="shared" si="1"/>
        <v>0</v>
      </c>
      <c r="X54" s="119"/>
      <c r="Y54" s="119"/>
      <c r="Z54" s="127">
        <f t="shared" si="2"/>
        <v>0</v>
      </c>
      <c r="AA54" s="141"/>
      <c r="AB54" s="142"/>
      <c r="AC54" s="133">
        <f t="shared" si="4"/>
        <v>0</v>
      </c>
      <c r="AD54" s="142"/>
      <c r="AE54" s="142"/>
      <c r="AF54" s="142"/>
      <c r="AG54" s="142"/>
      <c r="AH54" s="142"/>
      <c r="AI54" s="142"/>
      <c r="AJ54" s="142"/>
    </row>
    <row r="55" ht="22.5" hidden="1" customHeight="1">
      <c r="A55" s="4"/>
      <c r="B55" s="4"/>
      <c r="C55" s="131"/>
      <c r="D55" s="119"/>
      <c r="E55" s="119"/>
      <c r="F55" s="119"/>
      <c r="G55" s="119"/>
      <c r="H55" s="119"/>
      <c r="I55" s="119"/>
      <c r="J55" s="121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25">
        <f t="shared" si="1"/>
        <v>0</v>
      </c>
      <c r="X55" s="119"/>
      <c r="Y55" s="119"/>
      <c r="Z55" s="127">
        <f t="shared" si="2"/>
        <v>0</v>
      </c>
      <c r="AA55" s="141"/>
      <c r="AB55" s="142"/>
      <c r="AC55" s="133">
        <f t="shared" si="4"/>
        <v>0</v>
      </c>
      <c r="AD55" s="142"/>
      <c r="AE55" s="142"/>
      <c r="AF55" s="142"/>
      <c r="AG55" s="142"/>
      <c r="AH55" s="142"/>
      <c r="AI55" s="142"/>
      <c r="AJ55" s="142"/>
    </row>
    <row r="56" ht="22.5" hidden="1" customHeight="1">
      <c r="A56" s="4"/>
      <c r="B56" s="4"/>
      <c r="C56" s="131"/>
      <c r="D56" s="119"/>
      <c r="E56" s="119"/>
      <c r="F56" s="119"/>
      <c r="G56" s="119"/>
      <c r="H56" s="119"/>
      <c r="I56" s="119"/>
      <c r="J56" s="121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25">
        <f t="shared" si="1"/>
        <v>0</v>
      </c>
      <c r="X56" s="119"/>
      <c r="Y56" s="119"/>
      <c r="Z56" s="127">
        <f t="shared" si="2"/>
        <v>0</v>
      </c>
      <c r="AA56" s="141"/>
      <c r="AB56" s="142"/>
      <c r="AC56" s="133">
        <f t="shared" si="4"/>
        <v>0</v>
      </c>
      <c r="AD56" s="142"/>
      <c r="AE56" s="142"/>
      <c r="AF56" s="142"/>
      <c r="AG56" s="142"/>
      <c r="AH56" s="142"/>
      <c r="AI56" s="142"/>
      <c r="AJ56" s="142"/>
    </row>
    <row r="57" ht="22.5" hidden="1" customHeight="1">
      <c r="A57" s="4"/>
      <c r="B57" s="4"/>
      <c r="C57" s="131"/>
      <c r="D57" s="119"/>
      <c r="E57" s="119"/>
      <c r="F57" s="119"/>
      <c r="G57" s="119"/>
      <c r="H57" s="119"/>
      <c r="I57" s="119"/>
      <c r="J57" s="121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25">
        <f t="shared" si="1"/>
        <v>0</v>
      </c>
      <c r="X57" s="119"/>
      <c r="Y57" s="119"/>
      <c r="Z57" s="127">
        <f t="shared" si="2"/>
        <v>0</v>
      </c>
      <c r="AA57" s="141"/>
      <c r="AB57" s="142"/>
      <c r="AC57" s="133">
        <f t="shared" si="4"/>
        <v>0</v>
      </c>
      <c r="AD57" s="142"/>
      <c r="AE57" s="142"/>
      <c r="AF57" s="142"/>
      <c r="AG57" s="142"/>
      <c r="AH57" s="142"/>
      <c r="AI57" s="142"/>
      <c r="AJ57" s="142"/>
    </row>
    <row r="58" ht="22.5" hidden="1" customHeight="1">
      <c r="A58" s="4"/>
      <c r="B58" s="4"/>
      <c r="C58" s="131"/>
      <c r="D58" s="119"/>
      <c r="E58" s="119"/>
      <c r="F58" s="119"/>
      <c r="G58" s="119"/>
      <c r="H58" s="119"/>
      <c r="I58" s="119"/>
      <c r="J58" s="121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25">
        <f t="shared" si="1"/>
        <v>0</v>
      </c>
      <c r="X58" s="119"/>
      <c r="Y58" s="119"/>
      <c r="Z58" s="127">
        <f t="shared" si="2"/>
        <v>0</v>
      </c>
      <c r="AA58" s="141"/>
      <c r="AB58" s="142"/>
      <c r="AC58" s="133">
        <f t="shared" si="4"/>
        <v>0</v>
      </c>
      <c r="AD58" s="142"/>
      <c r="AE58" s="142"/>
      <c r="AF58" s="142"/>
      <c r="AG58" s="142"/>
      <c r="AH58" s="142"/>
      <c r="AI58" s="142"/>
      <c r="AJ58" s="142"/>
    </row>
    <row r="59" ht="22.5" hidden="1" customHeight="1">
      <c r="A59" s="4"/>
      <c r="B59" s="4"/>
      <c r="C59" s="131"/>
      <c r="D59" s="119"/>
      <c r="E59" s="119"/>
      <c r="F59" s="119"/>
      <c r="G59" s="119"/>
      <c r="H59" s="119"/>
      <c r="I59" s="119"/>
      <c r="J59" s="121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25">
        <f t="shared" si="1"/>
        <v>0</v>
      </c>
      <c r="X59" s="119"/>
      <c r="Y59" s="119"/>
      <c r="Z59" s="127">
        <f t="shared" si="2"/>
        <v>0</v>
      </c>
      <c r="AA59" s="141"/>
      <c r="AB59" s="142"/>
      <c r="AC59" s="133">
        <f t="shared" si="4"/>
        <v>0</v>
      </c>
      <c r="AD59" s="142"/>
      <c r="AE59" s="142"/>
      <c r="AF59" s="142"/>
      <c r="AG59" s="142"/>
      <c r="AH59" s="142"/>
      <c r="AI59" s="142"/>
      <c r="AJ59" s="142"/>
    </row>
    <row r="60" ht="22.5" hidden="1" customHeight="1">
      <c r="A60" s="4"/>
      <c r="B60" s="4"/>
      <c r="C60" s="131"/>
      <c r="D60" s="119"/>
      <c r="E60" s="119"/>
      <c r="F60" s="119"/>
      <c r="G60" s="119"/>
      <c r="H60" s="119"/>
      <c r="I60" s="119"/>
      <c r="J60" s="121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25">
        <f t="shared" si="1"/>
        <v>0</v>
      </c>
      <c r="X60" s="119"/>
      <c r="Y60" s="119"/>
      <c r="Z60" s="127">
        <f t="shared" si="2"/>
        <v>0</v>
      </c>
      <c r="AA60" s="141"/>
      <c r="AB60" s="142"/>
      <c r="AC60" s="133">
        <f t="shared" si="4"/>
        <v>0</v>
      </c>
      <c r="AD60" s="142"/>
      <c r="AE60" s="142"/>
      <c r="AF60" s="142"/>
      <c r="AG60" s="142"/>
      <c r="AH60" s="142"/>
      <c r="AI60" s="142"/>
      <c r="AJ60" s="142"/>
    </row>
    <row r="61" ht="22.5" hidden="1" customHeight="1">
      <c r="A61" s="4"/>
      <c r="B61" s="4"/>
      <c r="C61" s="131"/>
      <c r="D61" s="119"/>
      <c r="E61" s="119"/>
      <c r="F61" s="119"/>
      <c r="G61" s="119"/>
      <c r="H61" s="119"/>
      <c r="I61" s="119"/>
      <c r="J61" s="121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25">
        <f t="shared" si="1"/>
        <v>0</v>
      </c>
      <c r="X61" s="119"/>
      <c r="Y61" s="119"/>
      <c r="Z61" s="127">
        <f t="shared" si="2"/>
        <v>0</v>
      </c>
      <c r="AA61" s="141"/>
      <c r="AB61" s="142"/>
      <c r="AC61" s="133">
        <f t="shared" si="4"/>
        <v>0</v>
      </c>
      <c r="AD61" s="142"/>
      <c r="AE61" s="142"/>
      <c r="AF61" s="142"/>
      <c r="AG61" s="142"/>
      <c r="AH61" s="142"/>
      <c r="AI61" s="142"/>
      <c r="AJ61" s="142"/>
    </row>
    <row r="62" ht="22.5" hidden="1" customHeight="1">
      <c r="A62" s="4"/>
      <c r="B62" s="4"/>
      <c r="C62" s="131"/>
      <c r="D62" s="119"/>
      <c r="E62" s="119"/>
      <c r="F62" s="119"/>
      <c r="G62" s="119"/>
      <c r="H62" s="119"/>
      <c r="I62" s="119"/>
      <c r="J62" s="121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25">
        <f t="shared" si="1"/>
        <v>0</v>
      </c>
      <c r="X62" s="119"/>
      <c r="Y62" s="119"/>
      <c r="Z62" s="127">
        <f t="shared" si="2"/>
        <v>0</v>
      </c>
      <c r="AA62" s="141"/>
      <c r="AB62" s="142"/>
      <c r="AC62" s="133">
        <f t="shared" si="4"/>
        <v>0</v>
      </c>
      <c r="AD62" s="142"/>
      <c r="AE62" s="142"/>
      <c r="AF62" s="142"/>
      <c r="AG62" s="142"/>
      <c r="AH62" s="142"/>
      <c r="AI62" s="142"/>
      <c r="AJ62" s="142"/>
    </row>
    <row r="63" ht="22.5" hidden="1" customHeight="1">
      <c r="A63" s="4"/>
      <c r="B63" s="4"/>
      <c r="C63" s="131"/>
      <c r="D63" s="119"/>
      <c r="E63" s="119"/>
      <c r="F63" s="119"/>
      <c r="G63" s="119"/>
      <c r="H63" s="119"/>
      <c r="I63" s="119"/>
      <c r="J63" s="121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25">
        <f t="shared" si="1"/>
        <v>0</v>
      </c>
      <c r="X63" s="119"/>
      <c r="Y63" s="119"/>
      <c r="Z63" s="127">
        <f t="shared" si="2"/>
        <v>0</v>
      </c>
      <c r="AA63" s="141"/>
      <c r="AB63" s="142"/>
      <c r="AC63" s="133">
        <f t="shared" si="4"/>
        <v>0</v>
      </c>
      <c r="AD63" s="142"/>
      <c r="AE63" s="142"/>
      <c r="AF63" s="142"/>
      <c r="AG63" s="142"/>
      <c r="AH63" s="142"/>
      <c r="AI63" s="142"/>
      <c r="AJ63" s="142"/>
    </row>
    <row r="64" ht="22.5" hidden="1" customHeight="1">
      <c r="A64" s="4"/>
      <c r="B64" s="4"/>
      <c r="C64" s="131"/>
      <c r="D64" s="119"/>
      <c r="E64" s="119"/>
      <c r="F64" s="119"/>
      <c r="G64" s="119"/>
      <c r="H64" s="119"/>
      <c r="I64" s="119"/>
      <c r="J64" s="121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25">
        <f t="shared" si="1"/>
        <v>0</v>
      </c>
      <c r="X64" s="119"/>
      <c r="Y64" s="119"/>
      <c r="Z64" s="127">
        <f t="shared" si="2"/>
        <v>0</v>
      </c>
      <c r="AA64" s="141"/>
      <c r="AB64" s="142"/>
      <c r="AC64" s="133">
        <f t="shared" si="4"/>
        <v>0</v>
      </c>
      <c r="AD64" s="142"/>
      <c r="AE64" s="142"/>
      <c r="AF64" s="142"/>
      <c r="AG64" s="142"/>
      <c r="AH64" s="142"/>
      <c r="AI64" s="142"/>
      <c r="AJ64" s="142"/>
    </row>
    <row r="65" ht="22.5" hidden="1" customHeight="1">
      <c r="A65" s="4"/>
      <c r="B65" s="4"/>
      <c r="C65" s="131"/>
      <c r="D65" s="119"/>
      <c r="E65" s="119"/>
      <c r="F65" s="119"/>
      <c r="G65" s="119"/>
      <c r="H65" s="119"/>
      <c r="I65" s="119"/>
      <c r="J65" s="121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25">
        <f t="shared" si="1"/>
        <v>0</v>
      </c>
      <c r="X65" s="119"/>
      <c r="Y65" s="119"/>
      <c r="Z65" s="127">
        <f t="shared" si="2"/>
        <v>0</v>
      </c>
      <c r="AA65" s="141"/>
      <c r="AB65" s="142"/>
      <c r="AC65" s="133">
        <f t="shared" si="4"/>
        <v>0</v>
      </c>
      <c r="AD65" s="142"/>
      <c r="AE65" s="142"/>
      <c r="AF65" s="142"/>
      <c r="AG65" s="142"/>
      <c r="AH65" s="142"/>
      <c r="AI65" s="142"/>
      <c r="AJ65" s="142"/>
    </row>
    <row r="66" ht="22.5" hidden="1" customHeight="1">
      <c r="A66" s="4"/>
      <c r="B66" s="4"/>
      <c r="C66" s="131"/>
      <c r="D66" s="119"/>
      <c r="E66" s="119"/>
      <c r="F66" s="119"/>
      <c r="G66" s="119"/>
      <c r="H66" s="119"/>
      <c r="I66" s="119"/>
      <c r="J66" s="121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25">
        <f t="shared" si="1"/>
        <v>0</v>
      </c>
      <c r="X66" s="119"/>
      <c r="Y66" s="119"/>
      <c r="Z66" s="127">
        <f t="shared" si="2"/>
        <v>0</v>
      </c>
      <c r="AA66" s="141"/>
      <c r="AB66" s="142"/>
      <c r="AC66" s="133">
        <f t="shared" si="4"/>
        <v>0</v>
      </c>
      <c r="AD66" s="142"/>
      <c r="AE66" s="142"/>
      <c r="AF66" s="142"/>
      <c r="AG66" s="142"/>
      <c r="AH66" s="142"/>
      <c r="AI66" s="142"/>
      <c r="AJ66" s="142"/>
    </row>
    <row r="67" ht="22.5" hidden="1" customHeight="1">
      <c r="A67" s="4"/>
      <c r="B67" s="4"/>
      <c r="C67" s="131"/>
      <c r="D67" s="119"/>
      <c r="E67" s="119"/>
      <c r="F67" s="119"/>
      <c r="G67" s="119"/>
      <c r="H67" s="119"/>
      <c r="I67" s="119"/>
      <c r="J67" s="121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25">
        <f t="shared" si="1"/>
        <v>0</v>
      </c>
      <c r="X67" s="119"/>
      <c r="Y67" s="119"/>
      <c r="Z67" s="127">
        <f t="shared" si="2"/>
        <v>0</v>
      </c>
      <c r="AA67" s="141"/>
      <c r="AB67" s="142"/>
      <c r="AC67" s="133">
        <f t="shared" si="4"/>
        <v>0</v>
      </c>
      <c r="AD67" s="142"/>
      <c r="AE67" s="142"/>
      <c r="AF67" s="142"/>
      <c r="AG67" s="142"/>
      <c r="AH67" s="142"/>
      <c r="AI67" s="142"/>
      <c r="AJ67" s="142"/>
    </row>
    <row r="68" ht="22.5" hidden="1" customHeight="1">
      <c r="A68" s="4"/>
      <c r="B68" s="4"/>
      <c r="C68" s="131"/>
      <c r="D68" s="119"/>
      <c r="E68" s="119"/>
      <c r="F68" s="119"/>
      <c r="G68" s="119"/>
      <c r="H68" s="119"/>
      <c r="I68" s="119"/>
      <c r="J68" s="121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25">
        <f t="shared" si="1"/>
        <v>0</v>
      </c>
      <c r="X68" s="119"/>
      <c r="Y68" s="119"/>
      <c r="Z68" s="127">
        <f t="shared" si="2"/>
        <v>0</v>
      </c>
      <c r="AA68" s="141"/>
      <c r="AB68" s="142"/>
      <c r="AC68" s="133">
        <f t="shared" si="4"/>
        <v>0</v>
      </c>
      <c r="AD68" s="142"/>
      <c r="AE68" s="142"/>
      <c r="AF68" s="142"/>
      <c r="AG68" s="142"/>
      <c r="AH68" s="142"/>
      <c r="AI68" s="142"/>
      <c r="AJ68" s="142"/>
    </row>
    <row r="69" ht="22.5" hidden="1" customHeight="1">
      <c r="A69" s="4"/>
      <c r="B69" s="4"/>
      <c r="C69" s="131"/>
      <c r="D69" s="119"/>
      <c r="E69" s="119"/>
      <c r="F69" s="119"/>
      <c r="G69" s="119"/>
      <c r="H69" s="119"/>
      <c r="I69" s="119"/>
      <c r="J69" s="121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25">
        <f t="shared" si="1"/>
        <v>0</v>
      </c>
      <c r="X69" s="119"/>
      <c r="Y69" s="119"/>
      <c r="Z69" s="127">
        <f t="shared" si="2"/>
        <v>0</v>
      </c>
      <c r="AA69" s="141"/>
      <c r="AB69" s="142"/>
      <c r="AC69" s="133">
        <f t="shared" si="4"/>
        <v>0</v>
      </c>
      <c r="AD69" s="142"/>
      <c r="AE69" s="142"/>
      <c r="AF69" s="142"/>
      <c r="AG69" s="142"/>
      <c r="AH69" s="142"/>
      <c r="AI69" s="142"/>
      <c r="AJ69" s="142"/>
    </row>
    <row r="70" ht="22.5" hidden="1" customHeight="1">
      <c r="A70" s="4"/>
      <c r="B70" s="4"/>
      <c r="C70" s="131"/>
      <c r="D70" s="119"/>
      <c r="E70" s="119"/>
      <c r="F70" s="119"/>
      <c r="G70" s="119"/>
      <c r="H70" s="119"/>
      <c r="I70" s="119"/>
      <c r="J70" s="121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25">
        <f t="shared" si="1"/>
        <v>0</v>
      </c>
      <c r="X70" s="119"/>
      <c r="Y70" s="119"/>
      <c r="Z70" s="127">
        <f t="shared" si="2"/>
        <v>0</v>
      </c>
      <c r="AA70" s="141"/>
      <c r="AB70" s="142"/>
      <c r="AC70" s="133">
        <f t="shared" si="4"/>
        <v>0</v>
      </c>
      <c r="AD70" s="142"/>
      <c r="AE70" s="142"/>
      <c r="AF70" s="142"/>
      <c r="AG70" s="142"/>
      <c r="AH70" s="142"/>
      <c r="AI70" s="142"/>
      <c r="AJ70" s="142"/>
    </row>
    <row r="71" ht="22.5" hidden="1" customHeight="1">
      <c r="A71" s="4"/>
      <c r="B71" s="4"/>
      <c r="C71" s="131"/>
      <c r="D71" s="119"/>
      <c r="E71" s="119"/>
      <c r="F71" s="119"/>
      <c r="G71" s="119"/>
      <c r="H71" s="119"/>
      <c r="I71" s="119"/>
      <c r="J71" s="121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25">
        <f t="shared" si="1"/>
        <v>0</v>
      </c>
      <c r="X71" s="119"/>
      <c r="Y71" s="119"/>
      <c r="Z71" s="127">
        <f t="shared" si="2"/>
        <v>0</v>
      </c>
      <c r="AA71" s="141"/>
      <c r="AB71" s="142"/>
      <c r="AC71" s="133">
        <f t="shared" si="4"/>
        <v>0</v>
      </c>
      <c r="AD71" s="142"/>
      <c r="AE71" s="142"/>
      <c r="AF71" s="142"/>
      <c r="AG71" s="142"/>
      <c r="AH71" s="142"/>
      <c r="AI71" s="142"/>
      <c r="AJ71" s="142"/>
    </row>
    <row r="72" ht="22.5" hidden="1" customHeight="1">
      <c r="A72" s="4"/>
      <c r="B72" s="4"/>
      <c r="C72" s="131"/>
      <c r="D72" s="119"/>
      <c r="E72" s="119"/>
      <c r="F72" s="119"/>
      <c r="G72" s="119"/>
      <c r="H72" s="119"/>
      <c r="I72" s="119"/>
      <c r="J72" s="121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25">
        <f t="shared" si="1"/>
        <v>0</v>
      </c>
      <c r="X72" s="119"/>
      <c r="Y72" s="119"/>
      <c r="Z72" s="127">
        <f t="shared" si="2"/>
        <v>0</v>
      </c>
      <c r="AA72" s="141"/>
      <c r="AB72" s="142"/>
      <c r="AC72" s="133">
        <f t="shared" si="4"/>
        <v>0</v>
      </c>
      <c r="AD72" s="142"/>
      <c r="AE72" s="142"/>
      <c r="AF72" s="142"/>
      <c r="AG72" s="142"/>
      <c r="AH72" s="142"/>
      <c r="AI72" s="142"/>
      <c r="AJ72" s="142"/>
    </row>
    <row r="73" ht="22.5" hidden="1" customHeight="1">
      <c r="A73" s="4"/>
      <c r="B73" s="4"/>
      <c r="C73" s="131"/>
      <c r="D73" s="119"/>
      <c r="E73" s="119"/>
      <c r="F73" s="119"/>
      <c r="G73" s="119"/>
      <c r="H73" s="119"/>
      <c r="I73" s="119"/>
      <c r="J73" s="121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25">
        <f t="shared" si="1"/>
        <v>0</v>
      </c>
      <c r="X73" s="119"/>
      <c r="Y73" s="119"/>
      <c r="Z73" s="127">
        <f t="shared" si="2"/>
        <v>0</v>
      </c>
      <c r="AA73" s="141"/>
      <c r="AB73" s="142"/>
      <c r="AC73" s="133">
        <f t="shared" si="4"/>
        <v>0</v>
      </c>
      <c r="AD73" s="142"/>
      <c r="AE73" s="142"/>
      <c r="AF73" s="142"/>
      <c r="AG73" s="142"/>
      <c r="AH73" s="142"/>
      <c r="AI73" s="142"/>
      <c r="AJ73" s="142"/>
    </row>
    <row r="74" ht="22.5" hidden="1" customHeight="1">
      <c r="A74" s="4"/>
      <c r="B74" s="4"/>
      <c r="C74" s="131"/>
      <c r="D74" s="119"/>
      <c r="E74" s="119"/>
      <c r="F74" s="119"/>
      <c r="G74" s="119"/>
      <c r="H74" s="119"/>
      <c r="I74" s="119"/>
      <c r="J74" s="121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25">
        <f t="shared" si="1"/>
        <v>0</v>
      </c>
      <c r="X74" s="119"/>
      <c r="Y74" s="119"/>
      <c r="Z74" s="127">
        <f t="shared" si="2"/>
        <v>0</v>
      </c>
      <c r="AA74" s="141"/>
      <c r="AB74" s="142"/>
      <c r="AC74" s="133">
        <f t="shared" si="4"/>
        <v>0</v>
      </c>
      <c r="AD74" s="142"/>
      <c r="AE74" s="142"/>
      <c r="AF74" s="142"/>
      <c r="AG74" s="142"/>
      <c r="AH74" s="142"/>
      <c r="AI74" s="142"/>
      <c r="AJ74" s="142"/>
    </row>
    <row r="75" ht="22.5" hidden="1" customHeight="1">
      <c r="A75" s="4"/>
      <c r="B75" s="4"/>
      <c r="C75" s="131"/>
      <c r="D75" s="119"/>
      <c r="E75" s="119"/>
      <c r="F75" s="119"/>
      <c r="G75" s="119"/>
      <c r="H75" s="119"/>
      <c r="I75" s="119"/>
      <c r="J75" s="121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25">
        <f t="shared" si="1"/>
        <v>0</v>
      </c>
      <c r="X75" s="119"/>
      <c r="Y75" s="119"/>
      <c r="Z75" s="127">
        <f t="shared" si="2"/>
        <v>0</v>
      </c>
      <c r="AA75" s="141"/>
      <c r="AB75" s="142"/>
      <c r="AC75" s="133">
        <f t="shared" si="4"/>
        <v>0</v>
      </c>
      <c r="AD75" s="142"/>
      <c r="AE75" s="142"/>
      <c r="AF75" s="142"/>
      <c r="AG75" s="142"/>
      <c r="AH75" s="142"/>
      <c r="AI75" s="142"/>
      <c r="AJ75" s="142"/>
    </row>
    <row r="76" ht="22.5" hidden="1" customHeight="1">
      <c r="A76" s="4"/>
      <c r="B76" s="4"/>
      <c r="C76" s="131"/>
      <c r="D76" s="119"/>
      <c r="E76" s="119"/>
      <c r="F76" s="119"/>
      <c r="G76" s="119"/>
      <c r="H76" s="119"/>
      <c r="I76" s="119"/>
      <c r="J76" s="121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25">
        <f t="shared" si="1"/>
        <v>0</v>
      </c>
      <c r="X76" s="119"/>
      <c r="Y76" s="119"/>
      <c r="Z76" s="127">
        <f t="shared" si="2"/>
        <v>0</v>
      </c>
      <c r="AA76" s="141"/>
      <c r="AB76" s="142"/>
      <c r="AC76" s="133">
        <f t="shared" si="4"/>
        <v>0</v>
      </c>
      <c r="AD76" s="142"/>
      <c r="AE76" s="142"/>
      <c r="AF76" s="142"/>
      <c r="AG76" s="142"/>
      <c r="AH76" s="142"/>
      <c r="AI76" s="142"/>
      <c r="AJ76" s="142"/>
    </row>
    <row r="77" ht="22.5" hidden="1" customHeight="1">
      <c r="A77" s="4"/>
      <c r="B77" s="4"/>
      <c r="C77" s="131"/>
      <c r="D77" s="119"/>
      <c r="E77" s="119"/>
      <c r="F77" s="119"/>
      <c r="G77" s="119"/>
      <c r="H77" s="119"/>
      <c r="I77" s="119"/>
      <c r="J77" s="121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25">
        <f t="shared" si="1"/>
        <v>0</v>
      </c>
      <c r="X77" s="119"/>
      <c r="Y77" s="119"/>
      <c r="Z77" s="127">
        <f t="shared" si="2"/>
        <v>0</v>
      </c>
      <c r="AA77" s="141"/>
      <c r="AB77" s="142"/>
      <c r="AC77" s="133">
        <f t="shared" si="4"/>
        <v>0</v>
      </c>
      <c r="AD77" s="142"/>
      <c r="AE77" s="142"/>
      <c r="AF77" s="142"/>
      <c r="AG77" s="142"/>
      <c r="AH77" s="142"/>
      <c r="AI77" s="142"/>
      <c r="AJ77" s="142"/>
    </row>
    <row r="78" ht="22.5" hidden="1" customHeight="1">
      <c r="A78" s="4"/>
      <c r="B78" s="4"/>
      <c r="C78" s="131"/>
      <c r="D78" s="119"/>
      <c r="E78" s="119"/>
      <c r="F78" s="119"/>
      <c r="G78" s="119"/>
      <c r="H78" s="119"/>
      <c r="I78" s="119"/>
      <c r="J78" s="121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25">
        <f t="shared" si="1"/>
        <v>0</v>
      </c>
      <c r="X78" s="119"/>
      <c r="Y78" s="119"/>
      <c r="Z78" s="127">
        <f t="shared" si="2"/>
        <v>0</v>
      </c>
      <c r="AA78" s="141"/>
      <c r="AB78" s="142"/>
      <c r="AC78" s="133">
        <f t="shared" si="4"/>
        <v>0</v>
      </c>
      <c r="AD78" s="142"/>
      <c r="AE78" s="142"/>
      <c r="AF78" s="142"/>
      <c r="AG78" s="142"/>
      <c r="AH78" s="142"/>
      <c r="AI78" s="142"/>
      <c r="AJ78" s="142"/>
    </row>
    <row r="79" ht="22.5" hidden="1" customHeight="1">
      <c r="A79" s="4"/>
      <c r="B79" s="4"/>
      <c r="C79" s="131"/>
      <c r="D79" s="119"/>
      <c r="E79" s="119"/>
      <c r="F79" s="119"/>
      <c r="G79" s="119"/>
      <c r="H79" s="119"/>
      <c r="I79" s="119"/>
      <c r="J79" s="121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25">
        <f t="shared" si="1"/>
        <v>0</v>
      </c>
      <c r="X79" s="119"/>
      <c r="Y79" s="119"/>
      <c r="Z79" s="127">
        <f t="shared" si="2"/>
        <v>0</v>
      </c>
      <c r="AA79" s="141"/>
      <c r="AB79" s="142"/>
      <c r="AC79" s="133">
        <f t="shared" si="4"/>
        <v>0</v>
      </c>
      <c r="AD79" s="142"/>
      <c r="AE79" s="142"/>
      <c r="AF79" s="142"/>
      <c r="AG79" s="142"/>
      <c r="AH79" s="142"/>
      <c r="AI79" s="142"/>
      <c r="AJ79" s="142"/>
    </row>
    <row r="80" ht="22.5" hidden="1" customHeight="1">
      <c r="A80" s="4"/>
      <c r="B80" s="4"/>
      <c r="C80" s="131"/>
      <c r="D80" s="119"/>
      <c r="E80" s="119"/>
      <c r="F80" s="119"/>
      <c r="G80" s="119"/>
      <c r="H80" s="119"/>
      <c r="I80" s="119"/>
      <c r="J80" s="121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25">
        <f t="shared" si="1"/>
        <v>0</v>
      </c>
      <c r="X80" s="119"/>
      <c r="Y80" s="119"/>
      <c r="Z80" s="127">
        <f t="shared" si="2"/>
        <v>0</v>
      </c>
      <c r="AA80" s="141"/>
      <c r="AB80" s="142"/>
      <c r="AC80" s="133">
        <f t="shared" si="4"/>
        <v>0</v>
      </c>
      <c r="AD80" s="142"/>
      <c r="AE80" s="142"/>
      <c r="AF80" s="142"/>
      <c r="AG80" s="142"/>
      <c r="AH80" s="142"/>
      <c r="AI80" s="142"/>
      <c r="AJ80" s="142"/>
    </row>
    <row r="81" ht="22.5" hidden="1" customHeight="1">
      <c r="A81" s="4"/>
      <c r="B81" s="4"/>
      <c r="C81" s="131"/>
      <c r="D81" s="119"/>
      <c r="E81" s="119"/>
      <c r="F81" s="119"/>
      <c r="G81" s="119"/>
      <c r="H81" s="119"/>
      <c r="I81" s="119"/>
      <c r="J81" s="121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25">
        <f t="shared" si="1"/>
        <v>0</v>
      </c>
      <c r="X81" s="119"/>
      <c r="Y81" s="119"/>
      <c r="Z81" s="127">
        <f t="shared" si="2"/>
        <v>0</v>
      </c>
      <c r="AA81" s="141"/>
      <c r="AB81" s="142"/>
      <c r="AC81" s="133">
        <f t="shared" si="4"/>
        <v>0</v>
      </c>
      <c r="AD81" s="142"/>
      <c r="AE81" s="142"/>
      <c r="AF81" s="142"/>
      <c r="AG81" s="142"/>
      <c r="AH81" s="142"/>
      <c r="AI81" s="142"/>
      <c r="AJ81" s="142"/>
    </row>
    <row r="82" ht="22.5" hidden="1" customHeight="1">
      <c r="A82" s="4"/>
      <c r="B82" s="4"/>
      <c r="C82" s="131"/>
      <c r="D82" s="119"/>
      <c r="E82" s="119"/>
      <c r="F82" s="119"/>
      <c r="G82" s="119"/>
      <c r="H82" s="119"/>
      <c r="I82" s="119"/>
      <c r="J82" s="121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25">
        <f t="shared" si="1"/>
        <v>0</v>
      </c>
      <c r="X82" s="119"/>
      <c r="Y82" s="119"/>
      <c r="Z82" s="127">
        <f t="shared" si="2"/>
        <v>0</v>
      </c>
      <c r="AA82" s="141"/>
      <c r="AB82" s="142"/>
      <c r="AC82" s="133">
        <f t="shared" si="4"/>
        <v>0</v>
      </c>
      <c r="AD82" s="142"/>
      <c r="AE82" s="142"/>
      <c r="AF82" s="142"/>
      <c r="AG82" s="142"/>
      <c r="AH82" s="142"/>
      <c r="AI82" s="142"/>
      <c r="AJ82" s="142"/>
    </row>
    <row r="83" ht="22.5" hidden="1" customHeight="1">
      <c r="A83" s="4"/>
      <c r="B83" s="4"/>
      <c r="C83" s="131"/>
      <c r="D83" s="119"/>
      <c r="E83" s="119"/>
      <c r="F83" s="119"/>
      <c r="G83" s="119"/>
      <c r="H83" s="119"/>
      <c r="I83" s="119"/>
      <c r="J83" s="121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25">
        <f t="shared" si="1"/>
        <v>0</v>
      </c>
      <c r="X83" s="119"/>
      <c r="Y83" s="119"/>
      <c r="Z83" s="127">
        <f t="shared" si="2"/>
        <v>0</v>
      </c>
      <c r="AA83" s="141"/>
      <c r="AB83" s="142"/>
      <c r="AC83" s="133">
        <f t="shared" si="4"/>
        <v>0</v>
      </c>
      <c r="AD83" s="142"/>
      <c r="AE83" s="142"/>
      <c r="AF83" s="142"/>
      <c r="AG83" s="142"/>
      <c r="AH83" s="142"/>
      <c r="AI83" s="142"/>
      <c r="AJ83" s="142"/>
    </row>
    <row r="84" ht="22.5" hidden="1" customHeight="1">
      <c r="A84" s="4"/>
      <c r="B84" s="4"/>
      <c r="C84" s="131"/>
      <c r="D84" s="119"/>
      <c r="E84" s="119"/>
      <c r="F84" s="119"/>
      <c r="G84" s="119"/>
      <c r="H84" s="119"/>
      <c r="I84" s="119"/>
      <c r="J84" s="121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25">
        <f t="shared" si="1"/>
        <v>0</v>
      </c>
      <c r="X84" s="119"/>
      <c r="Y84" s="119"/>
      <c r="Z84" s="127">
        <f t="shared" si="2"/>
        <v>0</v>
      </c>
      <c r="AA84" s="141"/>
      <c r="AB84" s="142"/>
      <c r="AC84" s="133">
        <f t="shared" si="4"/>
        <v>0</v>
      </c>
      <c r="AD84" s="142"/>
      <c r="AE84" s="142"/>
      <c r="AF84" s="142"/>
      <c r="AG84" s="142"/>
      <c r="AH84" s="142"/>
      <c r="AI84" s="142"/>
      <c r="AJ84" s="142"/>
    </row>
    <row r="85" ht="22.5" hidden="1" customHeight="1">
      <c r="A85" s="4"/>
      <c r="B85" s="4"/>
      <c r="C85" s="131"/>
      <c r="D85" s="119"/>
      <c r="E85" s="119"/>
      <c r="F85" s="119"/>
      <c r="G85" s="119"/>
      <c r="H85" s="119"/>
      <c r="I85" s="119"/>
      <c r="J85" s="121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25">
        <f t="shared" si="1"/>
        <v>0</v>
      </c>
      <c r="X85" s="119"/>
      <c r="Y85" s="119"/>
      <c r="Z85" s="127">
        <f t="shared" si="2"/>
        <v>0</v>
      </c>
      <c r="AA85" s="141"/>
      <c r="AB85" s="142"/>
      <c r="AC85" s="133">
        <f t="shared" si="4"/>
        <v>0</v>
      </c>
      <c r="AD85" s="142"/>
      <c r="AE85" s="142"/>
      <c r="AF85" s="142"/>
      <c r="AG85" s="142"/>
      <c r="AH85" s="142"/>
      <c r="AI85" s="142"/>
      <c r="AJ85" s="142"/>
    </row>
    <row r="86" ht="22.5" hidden="1" customHeight="1">
      <c r="A86" s="4"/>
      <c r="B86" s="4"/>
      <c r="C86" s="131"/>
      <c r="D86" s="119"/>
      <c r="E86" s="119"/>
      <c r="F86" s="119"/>
      <c r="G86" s="119"/>
      <c r="H86" s="119"/>
      <c r="I86" s="119"/>
      <c r="J86" s="121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25">
        <f t="shared" si="1"/>
        <v>0</v>
      </c>
      <c r="X86" s="119"/>
      <c r="Y86" s="119"/>
      <c r="Z86" s="127">
        <f t="shared" si="2"/>
        <v>0</v>
      </c>
      <c r="AA86" s="141"/>
      <c r="AB86" s="142"/>
      <c r="AC86" s="133">
        <f t="shared" si="4"/>
        <v>0</v>
      </c>
      <c r="AD86" s="142"/>
      <c r="AE86" s="142"/>
      <c r="AF86" s="142"/>
      <c r="AG86" s="142"/>
      <c r="AH86" s="142"/>
      <c r="AI86" s="142"/>
      <c r="AJ86" s="142"/>
    </row>
    <row r="87" ht="22.5" hidden="1" customHeight="1">
      <c r="A87" s="4"/>
      <c r="B87" s="4"/>
      <c r="C87" s="131"/>
      <c r="D87" s="119"/>
      <c r="E87" s="119"/>
      <c r="F87" s="119"/>
      <c r="G87" s="119"/>
      <c r="H87" s="119"/>
      <c r="I87" s="119"/>
      <c r="J87" s="121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25">
        <f t="shared" si="1"/>
        <v>0</v>
      </c>
      <c r="X87" s="119"/>
      <c r="Y87" s="119"/>
      <c r="Z87" s="127">
        <f t="shared" si="2"/>
        <v>0</v>
      </c>
      <c r="AA87" s="141"/>
      <c r="AB87" s="142"/>
      <c r="AC87" s="133">
        <f t="shared" si="4"/>
        <v>0</v>
      </c>
      <c r="AD87" s="142"/>
      <c r="AE87" s="142"/>
      <c r="AF87" s="142"/>
      <c r="AG87" s="142"/>
      <c r="AH87" s="142"/>
      <c r="AI87" s="142"/>
      <c r="AJ87" s="142"/>
    </row>
    <row r="88" ht="22.5" hidden="1" customHeight="1">
      <c r="A88" s="4"/>
      <c r="B88" s="4"/>
      <c r="C88" s="131"/>
      <c r="D88" s="119"/>
      <c r="E88" s="119"/>
      <c r="F88" s="119"/>
      <c r="G88" s="119"/>
      <c r="H88" s="119"/>
      <c r="I88" s="119"/>
      <c r="J88" s="121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25">
        <f t="shared" si="1"/>
        <v>0</v>
      </c>
      <c r="X88" s="119"/>
      <c r="Y88" s="119"/>
      <c r="Z88" s="127">
        <f t="shared" si="2"/>
        <v>0</v>
      </c>
      <c r="AA88" s="141"/>
      <c r="AB88" s="142"/>
      <c r="AC88" s="133">
        <f t="shared" si="4"/>
        <v>0</v>
      </c>
      <c r="AD88" s="142"/>
      <c r="AE88" s="142"/>
      <c r="AF88" s="142"/>
      <c r="AG88" s="142"/>
      <c r="AH88" s="142"/>
      <c r="AI88" s="142"/>
      <c r="AJ88" s="142"/>
    </row>
    <row r="89" ht="22.5" hidden="1" customHeight="1">
      <c r="A89" s="4"/>
      <c r="B89" s="4"/>
      <c r="C89" s="131"/>
      <c r="D89" s="119"/>
      <c r="E89" s="119"/>
      <c r="F89" s="119"/>
      <c r="G89" s="119"/>
      <c r="H89" s="119"/>
      <c r="I89" s="119"/>
      <c r="J89" s="121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25">
        <f t="shared" si="1"/>
        <v>0</v>
      </c>
      <c r="X89" s="119"/>
      <c r="Y89" s="119"/>
      <c r="Z89" s="127">
        <f t="shared" si="2"/>
        <v>0</v>
      </c>
      <c r="AA89" s="141"/>
      <c r="AB89" s="142"/>
      <c r="AC89" s="133">
        <f t="shared" si="4"/>
        <v>0</v>
      </c>
      <c r="AD89" s="142"/>
      <c r="AE89" s="142"/>
      <c r="AF89" s="142"/>
      <c r="AG89" s="142"/>
      <c r="AH89" s="142"/>
      <c r="AI89" s="142"/>
      <c r="AJ89" s="142"/>
    </row>
    <row r="90" ht="22.5" hidden="1" customHeight="1">
      <c r="A90" s="4"/>
      <c r="B90" s="4"/>
      <c r="C90" s="131"/>
      <c r="D90" s="119"/>
      <c r="E90" s="119"/>
      <c r="F90" s="119"/>
      <c r="G90" s="119"/>
      <c r="H90" s="119"/>
      <c r="I90" s="119"/>
      <c r="J90" s="121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25">
        <f t="shared" si="1"/>
        <v>0</v>
      </c>
      <c r="X90" s="119"/>
      <c r="Y90" s="119"/>
      <c r="Z90" s="127">
        <f t="shared" si="2"/>
        <v>0</v>
      </c>
      <c r="AA90" s="141"/>
      <c r="AB90" s="142"/>
      <c r="AC90" s="133">
        <f t="shared" si="4"/>
        <v>0</v>
      </c>
      <c r="AD90" s="142"/>
      <c r="AE90" s="142"/>
      <c r="AF90" s="142"/>
      <c r="AG90" s="142"/>
      <c r="AH90" s="142"/>
      <c r="AI90" s="142"/>
      <c r="AJ90" s="142"/>
    </row>
    <row r="91" ht="22.5" hidden="1" customHeight="1">
      <c r="A91" s="4"/>
      <c r="B91" s="4"/>
      <c r="C91" s="131"/>
      <c r="D91" s="119"/>
      <c r="E91" s="119"/>
      <c r="F91" s="119"/>
      <c r="G91" s="119"/>
      <c r="H91" s="119"/>
      <c r="I91" s="119"/>
      <c r="J91" s="121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25">
        <f t="shared" si="1"/>
        <v>0</v>
      </c>
      <c r="X91" s="119"/>
      <c r="Y91" s="119"/>
      <c r="Z91" s="127">
        <f t="shared" si="2"/>
        <v>0</v>
      </c>
      <c r="AA91" s="141"/>
      <c r="AB91" s="142"/>
      <c r="AC91" s="133">
        <f t="shared" si="4"/>
        <v>0</v>
      </c>
      <c r="AD91" s="142"/>
      <c r="AE91" s="142"/>
      <c r="AF91" s="142"/>
      <c r="AG91" s="142"/>
      <c r="AH91" s="142"/>
      <c r="AI91" s="142"/>
      <c r="AJ91" s="142"/>
    </row>
    <row r="92" ht="22.5" hidden="1" customHeight="1">
      <c r="A92" s="4"/>
      <c r="B92" s="4"/>
      <c r="C92" s="131"/>
      <c r="D92" s="119"/>
      <c r="E92" s="119"/>
      <c r="F92" s="119"/>
      <c r="G92" s="119"/>
      <c r="H92" s="119"/>
      <c r="I92" s="119"/>
      <c r="J92" s="121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25">
        <f t="shared" si="1"/>
        <v>0</v>
      </c>
      <c r="X92" s="119"/>
      <c r="Y92" s="119"/>
      <c r="Z92" s="127">
        <f t="shared" si="2"/>
        <v>0</v>
      </c>
      <c r="AA92" s="141"/>
      <c r="AB92" s="142"/>
      <c r="AC92" s="133">
        <f t="shared" si="4"/>
        <v>0</v>
      </c>
      <c r="AD92" s="142"/>
      <c r="AE92" s="142"/>
      <c r="AF92" s="142"/>
      <c r="AG92" s="142"/>
      <c r="AH92" s="142"/>
      <c r="AI92" s="142"/>
      <c r="AJ92" s="142"/>
    </row>
    <row r="93" ht="22.5" hidden="1" customHeight="1">
      <c r="A93" s="4"/>
      <c r="B93" s="4"/>
      <c r="C93" s="131"/>
      <c r="D93" s="119"/>
      <c r="E93" s="119"/>
      <c r="F93" s="119"/>
      <c r="G93" s="119"/>
      <c r="H93" s="119"/>
      <c r="I93" s="119"/>
      <c r="J93" s="121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25">
        <f t="shared" si="1"/>
        <v>0</v>
      </c>
      <c r="X93" s="119"/>
      <c r="Y93" s="119"/>
      <c r="Z93" s="127">
        <f t="shared" si="2"/>
        <v>0</v>
      </c>
      <c r="AA93" s="141"/>
      <c r="AB93" s="142"/>
      <c r="AC93" s="133">
        <f t="shared" si="4"/>
        <v>0</v>
      </c>
      <c r="AD93" s="142"/>
      <c r="AE93" s="142"/>
      <c r="AF93" s="142"/>
      <c r="AG93" s="142"/>
      <c r="AH93" s="142"/>
      <c r="AI93" s="142"/>
      <c r="AJ93" s="142"/>
    </row>
    <row r="94" ht="22.5" hidden="1" customHeight="1">
      <c r="A94" s="4"/>
      <c r="B94" s="4"/>
      <c r="C94" s="131"/>
      <c r="D94" s="119"/>
      <c r="E94" s="119"/>
      <c r="F94" s="119"/>
      <c r="G94" s="119"/>
      <c r="H94" s="119"/>
      <c r="I94" s="119"/>
      <c r="J94" s="121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25">
        <f t="shared" si="1"/>
        <v>0</v>
      </c>
      <c r="X94" s="119"/>
      <c r="Y94" s="119"/>
      <c r="Z94" s="127">
        <f t="shared" si="2"/>
        <v>0</v>
      </c>
      <c r="AA94" s="141"/>
      <c r="AB94" s="142"/>
      <c r="AC94" s="133">
        <f t="shared" si="4"/>
        <v>0</v>
      </c>
      <c r="AD94" s="142"/>
      <c r="AE94" s="142"/>
      <c r="AF94" s="142"/>
      <c r="AG94" s="142"/>
      <c r="AH94" s="142"/>
      <c r="AI94" s="142"/>
      <c r="AJ94" s="142"/>
    </row>
    <row r="95" ht="22.5" hidden="1" customHeight="1">
      <c r="A95" s="4"/>
      <c r="B95" s="4"/>
      <c r="C95" s="131"/>
      <c r="D95" s="119"/>
      <c r="E95" s="119"/>
      <c r="F95" s="119"/>
      <c r="G95" s="119"/>
      <c r="H95" s="119"/>
      <c r="I95" s="119"/>
      <c r="J95" s="121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25">
        <f t="shared" si="1"/>
        <v>0</v>
      </c>
      <c r="X95" s="119"/>
      <c r="Y95" s="119"/>
      <c r="Z95" s="127">
        <f t="shared" si="2"/>
        <v>0</v>
      </c>
      <c r="AA95" s="141"/>
      <c r="AB95" s="142"/>
      <c r="AC95" s="133">
        <f t="shared" si="4"/>
        <v>0</v>
      </c>
      <c r="AD95" s="142"/>
      <c r="AE95" s="142"/>
      <c r="AF95" s="142"/>
      <c r="AG95" s="142"/>
      <c r="AH95" s="142"/>
      <c r="AI95" s="142"/>
      <c r="AJ95" s="142"/>
    </row>
    <row r="96" ht="22.5" hidden="1" customHeight="1">
      <c r="A96" s="4"/>
      <c r="B96" s="4"/>
      <c r="C96" s="131"/>
      <c r="D96" s="119"/>
      <c r="E96" s="119"/>
      <c r="F96" s="119"/>
      <c r="G96" s="119"/>
      <c r="H96" s="119"/>
      <c r="I96" s="119"/>
      <c r="J96" s="121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25">
        <f t="shared" si="1"/>
        <v>0</v>
      </c>
      <c r="X96" s="119"/>
      <c r="Y96" s="119"/>
      <c r="Z96" s="127">
        <f t="shared" si="2"/>
        <v>0</v>
      </c>
      <c r="AA96" s="141"/>
      <c r="AB96" s="142"/>
      <c r="AC96" s="133">
        <f t="shared" si="4"/>
        <v>0</v>
      </c>
      <c r="AD96" s="142"/>
      <c r="AE96" s="142"/>
      <c r="AF96" s="142"/>
      <c r="AG96" s="142"/>
      <c r="AH96" s="142"/>
      <c r="AI96" s="142"/>
      <c r="AJ96" s="142"/>
    </row>
    <row r="97" ht="22.5" hidden="1" customHeight="1">
      <c r="A97" s="4"/>
      <c r="B97" s="4"/>
      <c r="C97" s="131"/>
      <c r="D97" s="119"/>
      <c r="E97" s="119"/>
      <c r="F97" s="119"/>
      <c r="G97" s="119"/>
      <c r="H97" s="119"/>
      <c r="I97" s="119"/>
      <c r="J97" s="121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25">
        <f t="shared" si="1"/>
        <v>0</v>
      </c>
      <c r="X97" s="119"/>
      <c r="Y97" s="119"/>
      <c r="Z97" s="127">
        <f t="shared" si="2"/>
        <v>0</v>
      </c>
      <c r="AA97" s="141"/>
      <c r="AB97" s="142"/>
      <c r="AC97" s="133">
        <f t="shared" si="4"/>
        <v>0</v>
      </c>
      <c r="AD97" s="142"/>
      <c r="AE97" s="142"/>
      <c r="AF97" s="142"/>
      <c r="AG97" s="142"/>
      <c r="AH97" s="142"/>
      <c r="AI97" s="142"/>
      <c r="AJ97" s="142"/>
    </row>
    <row r="98" ht="22.5" hidden="1" customHeight="1">
      <c r="A98" s="4"/>
      <c r="B98" s="4"/>
      <c r="C98" s="131"/>
      <c r="D98" s="119"/>
      <c r="E98" s="119"/>
      <c r="F98" s="119"/>
      <c r="G98" s="119"/>
      <c r="H98" s="119"/>
      <c r="I98" s="119"/>
      <c r="J98" s="121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25">
        <f t="shared" si="1"/>
        <v>0</v>
      </c>
      <c r="X98" s="119"/>
      <c r="Y98" s="119"/>
      <c r="Z98" s="127">
        <f t="shared" si="2"/>
        <v>0</v>
      </c>
      <c r="AA98" s="141"/>
      <c r="AB98" s="142"/>
      <c r="AC98" s="133">
        <f t="shared" si="4"/>
        <v>0</v>
      </c>
      <c r="AD98" s="142"/>
      <c r="AE98" s="142"/>
      <c r="AF98" s="142"/>
      <c r="AG98" s="142"/>
      <c r="AH98" s="142"/>
      <c r="AI98" s="142"/>
      <c r="AJ98" s="142"/>
    </row>
    <row r="99" ht="22.5" hidden="1" customHeight="1">
      <c r="A99" s="4"/>
      <c r="B99" s="4"/>
      <c r="C99" s="131"/>
      <c r="D99" s="119"/>
      <c r="E99" s="119"/>
      <c r="F99" s="119"/>
      <c r="G99" s="119"/>
      <c r="H99" s="119"/>
      <c r="I99" s="119"/>
      <c r="J99" s="121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25">
        <f t="shared" si="1"/>
        <v>0</v>
      </c>
      <c r="X99" s="119"/>
      <c r="Y99" s="119"/>
      <c r="Z99" s="127">
        <f t="shared" si="2"/>
        <v>0</v>
      </c>
      <c r="AA99" s="141"/>
      <c r="AB99" s="142"/>
      <c r="AC99" s="133">
        <f t="shared" si="4"/>
        <v>0</v>
      </c>
      <c r="AD99" s="142"/>
      <c r="AE99" s="142"/>
      <c r="AF99" s="142"/>
      <c r="AG99" s="142"/>
      <c r="AH99" s="142"/>
      <c r="AI99" s="142"/>
      <c r="AJ99" s="142"/>
    </row>
    <row r="100" ht="22.5" hidden="1" customHeight="1">
      <c r="A100" s="4"/>
      <c r="B100" s="4"/>
      <c r="C100" s="131"/>
      <c r="D100" s="119"/>
      <c r="E100" s="119"/>
      <c r="F100" s="119"/>
      <c r="G100" s="119"/>
      <c r="H100" s="119"/>
      <c r="I100" s="119"/>
      <c r="J100" s="121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25">
        <f t="shared" si="1"/>
        <v>0</v>
      </c>
      <c r="X100" s="119"/>
      <c r="Y100" s="119"/>
      <c r="Z100" s="127">
        <f t="shared" si="2"/>
        <v>0</v>
      </c>
      <c r="AA100" s="141"/>
      <c r="AB100" s="142"/>
      <c r="AC100" s="133">
        <f t="shared" si="4"/>
        <v>0</v>
      </c>
      <c r="AD100" s="142"/>
      <c r="AE100" s="142"/>
      <c r="AF100" s="142"/>
      <c r="AG100" s="142"/>
      <c r="AH100" s="142"/>
      <c r="AI100" s="142"/>
      <c r="AJ100" s="142"/>
    </row>
    <row r="101" ht="22.5" hidden="1" customHeight="1">
      <c r="A101" s="4"/>
      <c r="B101" s="4"/>
      <c r="C101" s="131"/>
      <c r="D101" s="119"/>
      <c r="E101" s="119"/>
      <c r="F101" s="119"/>
      <c r="G101" s="119"/>
      <c r="H101" s="119"/>
      <c r="I101" s="119"/>
      <c r="J101" s="121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25">
        <f t="shared" si="1"/>
        <v>0</v>
      </c>
      <c r="X101" s="119"/>
      <c r="Y101" s="119"/>
      <c r="Z101" s="127">
        <f t="shared" si="2"/>
        <v>0</v>
      </c>
      <c r="AA101" s="141"/>
      <c r="AB101" s="142"/>
      <c r="AC101" s="133">
        <f t="shared" si="4"/>
        <v>0</v>
      </c>
      <c r="AD101" s="142"/>
      <c r="AE101" s="142"/>
      <c r="AF101" s="142"/>
      <c r="AG101" s="142"/>
      <c r="AH101" s="142"/>
      <c r="AI101" s="142"/>
      <c r="AJ101" s="142"/>
    </row>
    <row r="102" ht="22.5" hidden="1" customHeight="1">
      <c r="A102" s="4"/>
      <c r="B102" s="4"/>
      <c r="C102" s="131"/>
      <c r="D102" s="119"/>
      <c r="E102" s="119"/>
      <c r="F102" s="119"/>
      <c r="G102" s="119"/>
      <c r="H102" s="119"/>
      <c r="I102" s="119"/>
      <c r="J102" s="121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25">
        <f t="shared" si="1"/>
        <v>0</v>
      </c>
      <c r="X102" s="119"/>
      <c r="Y102" s="119"/>
      <c r="Z102" s="127">
        <f t="shared" si="2"/>
        <v>0</v>
      </c>
      <c r="AA102" s="141"/>
      <c r="AB102" s="142"/>
      <c r="AC102" s="133">
        <f t="shared" si="4"/>
        <v>0</v>
      </c>
      <c r="AD102" s="142"/>
      <c r="AE102" s="142"/>
      <c r="AF102" s="142"/>
      <c r="AG102" s="142"/>
      <c r="AH102" s="142"/>
      <c r="AI102" s="142"/>
      <c r="AJ102" s="142"/>
    </row>
    <row r="103" ht="22.5" hidden="1" customHeight="1">
      <c r="A103" s="4"/>
      <c r="B103" s="4"/>
      <c r="C103" s="131"/>
      <c r="D103" s="119"/>
      <c r="E103" s="119"/>
      <c r="F103" s="119"/>
      <c r="G103" s="119"/>
      <c r="H103" s="119"/>
      <c r="I103" s="119"/>
      <c r="J103" s="121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25">
        <f t="shared" si="1"/>
        <v>0</v>
      </c>
      <c r="X103" s="119"/>
      <c r="Y103" s="119"/>
      <c r="Z103" s="127">
        <f t="shared" si="2"/>
        <v>0</v>
      </c>
      <c r="AA103" s="141"/>
      <c r="AB103" s="142"/>
      <c r="AC103" s="133">
        <f t="shared" si="4"/>
        <v>0</v>
      </c>
      <c r="AD103" s="142"/>
      <c r="AE103" s="142"/>
      <c r="AF103" s="142"/>
      <c r="AG103" s="142"/>
      <c r="AH103" s="142"/>
      <c r="AI103" s="142"/>
      <c r="AJ103" s="142"/>
    </row>
    <row r="104" ht="22.5" hidden="1" customHeight="1">
      <c r="A104" s="4"/>
      <c r="B104" s="4"/>
      <c r="C104" s="131"/>
      <c r="D104" s="119"/>
      <c r="E104" s="119"/>
      <c r="F104" s="119"/>
      <c r="G104" s="119"/>
      <c r="H104" s="119"/>
      <c r="I104" s="119"/>
      <c r="J104" s="121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25">
        <f t="shared" si="1"/>
        <v>0</v>
      </c>
      <c r="X104" s="119"/>
      <c r="Y104" s="119"/>
      <c r="Z104" s="127">
        <f t="shared" si="2"/>
        <v>0</v>
      </c>
      <c r="AA104" s="141"/>
      <c r="AB104" s="142"/>
      <c r="AC104" s="133">
        <f t="shared" si="4"/>
        <v>0</v>
      </c>
      <c r="AD104" s="142"/>
      <c r="AE104" s="142"/>
      <c r="AF104" s="142"/>
      <c r="AG104" s="142"/>
      <c r="AH104" s="142"/>
      <c r="AI104" s="142"/>
      <c r="AJ104" s="142"/>
    </row>
    <row r="105" ht="22.5" hidden="1" customHeight="1">
      <c r="A105" s="4"/>
      <c r="B105" s="4"/>
      <c r="C105" s="131"/>
      <c r="D105" s="119"/>
      <c r="E105" s="119"/>
      <c r="F105" s="119"/>
      <c r="G105" s="119"/>
      <c r="H105" s="119"/>
      <c r="I105" s="119"/>
      <c r="J105" s="121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25">
        <f t="shared" si="1"/>
        <v>0</v>
      </c>
      <c r="X105" s="119"/>
      <c r="Y105" s="119"/>
      <c r="Z105" s="127">
        <f t="shared" si="2"/>
        <v>0</v>
      </c>
      <c r="AA105" s="141"/>
      <c r="AB105" s="142"/>
      <c r="AC105" s="133">
        <f t="shared" si="4"/>
        <v>0</v>
      </c>
      <c r="AD105" s="142"/>
      <c r="AE105" s="142"/>
      <c r="AF105" s="142"/>
      <c r="AG105" s="142"/>
      <c r="AH105" s="142"/>
      <c r="AI105" s="142"/>
      <c r="AJ105" s="142"/>
    </row>
    <row r="106" ht="22.5" hidden="1" customHeight="1">
      <c r="A106" s="4"/>
      <c r="B106" s="4"/>
      <c r="C106" s="131"/>
      <c r="D106" s="119"/>
      <c r="E106" s="119"/>
      <c r="F106" s="119"/>
      <c r="G106" s="119"/>
      <c r="H106" s="119"/>
      <c r="I106" s="119"/>
      <c r="J106" s="121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25">
        <f t="shared" si="1"/>
        <v>0</v>
      </c>
      <c r="X106" s="119"/>
      <c r="Y106" s="119"/>
      <c r="Z106" s="127">
        <f t="shared" si="2"/>
        <v>0</v>
      </c>
      <c r="AA106" s="141"/>
      <c r="AB106" s="142"/>
      <c r="AC106" s="133">
        <f t="shared" si="4"/>
        <v>0</v>
      </c>
      <c r="AD106" s="142"/>
      <c r="AE106" s="142"/>
      <c r="AF106" s="142"/>
      <c r="AG106" s="142"/>
      <c r="AH106" s="142"/>
      <c r="AI106" s="142"/>
      <c r="AJ106" s="142"/>
    </row>
    <row r="107" ht="22.5" hidden="1" customHeight="1">
      <c r="A107" s="4"/>
      <c r="B107" s="4"/>
      <c r="C107" s="131"/>
      <c r="D107" s="119"/>
      <c r="E107" s="119"/>
      <c r="F107" s="119"/>
      <c r="G107" s="119"/>
      <c r="H107" s="119"/>
      <c r="I107" s="119"/>
      <c r="J107" s="121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25">
        <f t="shared" si="1"/>
        <v>0</v>
      </c>
      <c r="X107" s="119"/>
      <c r="Y107" s="119"/>
      <c r="Z107" s="127">
        <f t="shared" si="2"/>
        <v>0</v>
      </c>
      <c r="AA107" s="141"/>
      <c r="AB107" s="142"/>
      <c r="AC107" s="133">
        <f t="shared" si="4"/>
        <v>0</v>
      </c>
      <c r="AD107" s="142"/>
      <c r="AE107" s="142"/>
      <c r="AF107" s="142"/>
      <c r="AG107" s="142"/>
      <c r="AH107" s="142"/>
      <c r="AI107" s="142"/>
      <c r="AJ107" s="142"/>
    </row>
    <row r="108" ht="22.5" hidden="1" customHeight="1">
      <c r="A108" s="4"/>
      <c r="B108" s="4"/>
      <c r="C108" s="131"/>
      <c r="D108" s="119"/>
      <c r="E108" s="119"/>
      <c r="F108" s="119"/>
      <c r="G108" s="119"/>
      <c r="H108" s="119"/>
      <c r="I108" s="119"/>
      <c r="J108" s="121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25">
        <f t="shared" si="1"/>
        <v>0</v>
      </c>
      <c r="X108" s="119"/>
      <c r="Y108" s="119"/>
      <c r="Z108" s="127">
        <f t="shared" si="2"/>
        <v>0</v>
      </c>
      <c r="AA108" s="141"/>
      <c r="AB108" s="142"/>
      <c r="AC108" s="133">
        <f t="shared" si="4"/>
        <v>0</v>
      </c>
      <c r="AD108" s="142"/>
      <c r="AE108" s="142"/>
      <c r="AF108" s="142"/>
      <c r="AG108" s="142"/>
      <c r="AH108" s="142"/>
      <c r="AI108" s="142"/>
      <c r="AJ108" s="142"/>
    </row>
    <row r="109" ht="22.5" customHeight="1">
      <c r="A109" s="4"/>
      <c r="B109" s="4"/>
      <c r="C109" s="131"/>
      <c r="D109" s="119"/>
      <c r="E109" s="119"/>
      <c r="F109" s="119"/>
      <c r="G109" s="119"/>
      <c r="H109" s="119"/>
      <c r="I109" s="119"/>
      <c r="J109" s="121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25">
        <f t="shared" si="1"/>
        <v>0</v>
      </c>
      <c r="X109" s="119"/>
      <c r="Y109" s="119"/>
      <c r="Z109" s="127">
        <f t="shared" si="2"/>
        <v>0</v>
      </c>
      <c r="AA109" s="141"/>
      <c r="AB109" s="142"/>
      <c r="AC109" s="133">
        <f t="shared" si="4"/>
        <v>0</v>
      </c>
      <c r="AD109" s="142"/>
      <c r="AE109" s="142"/>
      <c r="AF109" s="142"/>
      <c r="AG109" s="142"/>
      <c r="AH109" s="142"/>
      <c r="AI109" s="142"/>
      <c r="AJ109" s="142"/>
    </row>
    <row r="110" ht="22.5" customHeight="1">
      <c r="A110" s="115" t="s">
        <v>109</v>
      </c>
      <c r="B110" s="143"/>
      <c r="C110" s="136"/>
      <c r="D110" s="136">
        <f t="shared" ref="D110:V110" si="5">SUM(D3:D109)</f>
        <v>280000</v>
      </c>
      <c r="E110" s="136">
        <f t="shared" si="5"/>
        <v>35000</v>
      </c>
      <c r="F110" s="136">
        <f t="shared" si="5"/>
        <v>35000</v>
      </c>
      <c r="G110" s="136">
        <f t="shared" si="5"/>
        <v>14000</v>
      </c>
      <c r="H110" s="136">
        <f t="shared" si="5"/>
        <v>70000</v>
      </c>
      <c r="I110" s="136">
        <f t="shared" si="5"/>
        <v>181610</v>
      </c>
      <c r="J110" s="144">
        <f t="shared" si="5"/>
        <v>-46231</v>
      </c>
      <c r="K110" s="136">
        <f t="shared" si="5"/>
        <v>24079</v>
      </c>
      <c r="L110" s="136">
        <f t="shared" si="5"/>
        <v>5475</v>
      </c>
      <c r="M110" s="136">
        <f t="shared" si="5"/>
        <v>30000</v>
      </c>
      <c r="N110" s="136">
        <f t="shared" si="5"/>
        <v>0</v>
      </c>
      <c r="O110" s="136">
        <f t="shared" si="5"/>
        <v>0</v>
      </c>
      <c r="P110" s="136">
        <f t="shared" si="5"/>
        <v>0</v>
      </c>
      <c r="Q110" s="136">
        <f t="shared" si="5"/>
        <v>10176</v>
      </c>
      <c r="R110" s="136">
        <f t="shared" si="5"/>
        <v>0</v>
      </c>
      <c r="S110" s="136">
        <f t="shared" si="5"/>
        <v>0</v>
      </c>
      <c r="T110" s="136">
        <f t="shared" si="5"/>
        <v>0</v>
      </c>
      <c r="U110" s="136">
        <f t="shared" si="5"/>
        <v>0</v>
      </c>
      <c r="V110" s="136">
        <f t="shared" si="5"/>
        <v>0</v>
      </c>
      <c r="W110" s="125">
        <f t="shared" si="1"/>
        <v>639109</v>
      </c>
      <c r="X110" s="136">
        <f t="shared" ref="X110:Z110" si="6">SUM(X3:X109)</f>
        <v>74088</v>
      </c>
      <c r="Y110" s="136">
        <f t="shared" si="6"/>
        <v>30990</v>
      </c>
      <c r="Z110" s="136">
        <f t="shared" si="6"/>
        <v>744187</v>
      </c>
      <c r="AA110" s="145"/>
      <c r="AC110" s="146"/>
    </row>
    <row r="111">
      <c r="A111" s="117"/>
      <c r="B111" s="11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</row>
    <row r="112">
      <c r="A112" s="117"/>
      <c r="B112" s="117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</row>
    <row r="113">
      <c r="A113" s="117"/>
      <c r="B113" s="11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</row>
    <row r="114">
      <c r="A114" s="117"/>
      <c r="B114" s="11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</row>
    <row r="115">
      <c r="A115" s="117"/>
      <c r="B115" s="11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</row>
    <row r="116">
      <c r="A116" s="117"/>
      <c r="B116" s="11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</row>
    <row r="117">
      <c r="A117" s="117"/>
      <c r="B117" s="11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</row>
    <row r="118">
      <c r="A118" s="117"/>
      <c r="B118" s="11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</row>
    <row r="119">
      <c r="A119" s="117"/>
      <c r="B119" s="11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</row>
    <row r="120">
      <c r="A120" s="117"/>
      <c r="B120" s="11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</row>
    <row r="121">
      <c r="A121" s="117"/>
      <c r="B121" s="11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</row>
    <row r="122">
      <c r="A122" s="117"/>
      <c r="B122" s="11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</row>
    <row r="123">
      <c r="A123" s="117"/>
      <c r="B123" s="11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</row>
    <row r="124">
      <c r="A124" s="117"/>
      <c r="B124" s="11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</row>
    <row r="125">
      <c r="A125" s="117"/>
      <c r="B125" s="11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</row>
    <row r="126">
      <c r="A126" s="117"/>
      <c r="B126" s="11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</row>
    <row r="127">
      <c r="A127" s="117"/>
      <c r="B127" s="117"/>
    </row>
    <row r="128">
      <c r="A128" s="117"/>
      <c r="B128" s="117"/>
    </row>
    <row r="129">
      <c r="A129" s="117"/>
      <c r="B129" s="117"/>
    </row>
    <row r="130">
      <c r="A130" s="117"/>
      <c r="B130" s="117"/>
    </row>
    <row r="131">
      <c r="A131" s="117"/>
      <c r="B131" s="117"/>
    </row>
    <row r="132">
      <c r="A132" s="117"/>
      <c r="B132" s="117"/>
    </row>
    <row r="133">
      <c r="A133" s="117"/>
      <c r="B133" s="117"/>
    </row>
    <row r="134">
      <c r="A134" s="117"/>
      <c r="B134" s="117"/>
    </row>
    <row r="135">
      <c r="A135" s="117"/>
      <c r="B135" s="117"/>
    </row>
    <row r="136">
      <c r="A136" s="117"/>
      <c r="B136" s="117"/>
    </row>
    <row r="137">
      <c r="A137" s="117"/>
      <c r="B137" s="117"/>
    </row>
    <row r="138">
      <c r="A138" s="117"/>
      <c r="B138" s="117"/>
    </row>
    <row r="139">
      <c r="A139" s="117"/>
      <c r="B139" s="117"/>
    </row>
    <row r="140">
      <c r="A140" s="117"/>
      <c r="B140" s="117"/>
    </row>
    <row r="141">
      <c r="A141" s="117"/>
      <c r="B141" s="117"/>
    </row>
    <row r="142">
      <c r="A142" s="117"/>
      <c r="B142" s="117"/>
    </row>
    <row r="143">
      <c r="A143" s="117"/>
      <c r="B143" s="117"/>
    </row>
    <row r="144">
      <c r="A144" s="117"/>
      <c r="B144" s="117"/>
    </row>
    <row r="145">
      <c r="A145" s="117"/>
      <c r="B145" s="117"/>
    </row>
    <row r="146">
      <c r="A146" s="117"/>
      <c r="B146" s="117"/>
    </row>
    <row r="147">
      <c r="A147" s="117"/>
      <c r="B147" s="117"/>
    </row>
    <row r="148">
      <c r="A148" s="117"/>
      <c r="B148" s="117"/>
    </row>
    <row r="149">
      <c r="A149" s="117"/>
      <c r="B149" s="117"/>
    </row>
    <row r="150">
      <c r="A150" s="117"/>
      <c r="B150" s="117"/>
    </row>
    <row r="151">
      <c r="A151" s="117"/>
      <c r="B151" s="117"/>
    </row>
    <row r="152">
      <c r="A152" s="117"/>
      <c r="B152" s="117"/>
    </row>
    <row r="153">
      <c r="A153" s="117"/>
      <c r="B153" s="117"/>
    </row>
    <row r="154">
      <c r="A154" s="117"/>
      <c r="B154" s="117"/>
    </row>
    <row r="155">
      <c r="A155" s="117"/>
      <c r="B155" s="117"/>
    </row>
    <row r="156">
      <c r="A156" s="117"/>
      <c r="B156" s="117"/>
    </row>
    <row r="157">
      <c r="A157" s="117"/>
      <c r="B157" s="117"/>
    </row>
    <row r="158">
      <c r="A158" s="117"/>
      <c r="B158" s="117"/>
    </row>
    <row r="159">
      <c r="A159" s="117"/>
      <c r="B159" s="117"/>
    </row>
    <row r="160">
      <c r="A160" s="117"/>
      <c r="B160" s="117"/>
    </row>
    <row r="161">
      <c r="A161" s="117"/>
      <c r="B161" s="117"/>
    </row>
    <row r="162">
      <c r="A162" s="117"/>
      <c r="B162" s="117"/>
    </row>
    <row r="163">
      <c r="A163" s="117"/>
      <c r="B163" s="117"/>
    </row>
    <row r="164">
      <c r="A164" s="117"/>
      <c r="B164" s="117"/>
    </row>
    <row r="165">
      <c r="A165" s="117"/>
      <c r="B165" s="117"/>
    </row>
    <row r="166">
      <c r="A166" s="117"/>
      <c r="B166" s="117"/>
    </row>
    <row r="167">
      <c r="A167" s="117"/>
      <c r="B167" s="117"/>
    </row>
    <row r="168">
      <c r="A168" s="117"/>
      <c r="B168" s="117"/>
    </row>
    <row r="169">
      <c r="A169" s="117"/>
      <c r="B169" s="117"/>
    </row>
    <row r="170">
      <c r="A170" s="117"/>
      <c r="B170" s="117"/>
    </row>
    <row r="171">
      <c r="A171" s="117"/>
      <c r="B171" s="117"/>
    </row>
    <row r="172">
      <c r="A172" s="117"/>
      <c r="B172" s="117"/>
    </row>
    <row r="173">
      <c r="A173" s="117"/>
      <c r="B173" s="117"/>
    </row>
    <row r="174">
      <c r="A174" s="117"/>
      <c r="B174" s="117"/>
    </row>
    <row r="175">
      <c r="A175" s="117"/>
      <c r="B175" s="117"/>
    </row>
    <row r="176">
      <c r="A176" s="117"/>
      <c r="B176" s="117"/>
    </row>
    <row r="177">
      <c r="A177" s="117"/>
      <c r="B177" s="117"/>
    </row>
    <row r="178">
      <c r="A178" s="117"/>
      <c r="B178" s="117"/>
    </row>
    <row r="179">
      <c r="A179" s="117"/>
      <c r="B179" s="117"/>
    </row>
    <row r="180">
      <c r="A180" s="117"/>
      <c r="B180" s="117"/>
    </row>
    <row r="181">
      <c r="A181" s="117"/>
      <c r="B181" s="117"/>
    </row>
    <row r="182">
      <c r="A182" s="117"/>
      <c r="B182" s="117"/>
    </row>
    <row r="183">
      <c r="A183" s="117"/>
      <c r="B183" s="117"/>
    </row>
    <row r="184">
      <c r="A184" s="117"/>
      <c r="B184" s="117"/>
    </row>
    <row r="185">
      <c r="A185" s="117"/>
      <c r="B185" s="117"/>
    </row>
    <row r="186">
      <c r="A186" s="117"/>
      <c r="B186" s="117"/>
    </row>
    <row r="187">
      <c r="A187" s="117"/>
      <c r="B187" s="117"/>
    </row>
    <row r="188">
      <c r="A188" s="117"/>
      <c r="B188" s="117"/>
    </row>
    <row r="189">
      <c r="A189" s="117"/>
      <c r="B189" s="117"/>
    </row>
    <row r="190">
      <c r="A190" s="117"/>
      <c r="B190" s="117"/>
    </row>
    <row r="191">
      <c r="A191" s="117"/>
      <c r="B191" s="117"/>
    </row>
    <row r="192">
      <c r="A192" s="117"/>
      <c r="B192" s="117"/>
    </row>
    <row r="193">
      <c r="A193" s="117"/>
      <c r="B193" s="117"/>
    </row>
    <row r="194">
      <c r="A194" s="117"/>
      <c r="B194" s="117"/>
    </row>
    <row r="195">
      <c r="A195" s="117"/>
      <c r="B195" s="117"/>
    </row>
    <row r="196">
      <c r="A196" s="117"/>
      <c r="B196" s="117"/>
    </row>
    <row r="197">
      <c r="A197" s="117"/>
      <c r="B197" s="117"/>
    </row>
    <row r="198">
      <c r="A198" s="117"/>
      <c r="B198" s="117"/>
    </row>
    <row r="199">
      <c r="A199" s="117"/>
      <c r="B199" s="117"/>
    </row>
    <row r="200">
      <c r="A200" s="117"/>
      <c r="B200" s="117"/>
    </row>
    <row r="201">
      <c r="A201" s="117"/>
      <c r="B201" s="117"/>
    </row>
    <row r="202">
      <c r="A202" s="117"/>
      <c r="B202" s="117"/>
    </row>
    <row r="203">
      <c r="A203" s="117"/>
      <c r="B203" s="117"/>
    </row>
    <row r="204">
      <c r="A204" s="117"/>
      <c r="B204" s="117"/>
    </row>
    <row r="205">
      <c r="A205" s="117"/>
      <c r="B205" s="117"/>
    </row>
    <row r="206">
      <c r="A206" s="117"/>
      <c r="B206" s="117"/>
    </row>
    <row r="207">
      <c r="A207" s="117"/>
      <c r="B207" s="117"/>
    </row>
    <row r="208">
      <c r="A208" s="117"/>
      <c r="B208" s="117"/>
    </row>
    <row r="209">
      <c r="A209" s="117"/>
      <c r="B209" s="117"/>
    </row>
    <row r="210">
      <c r="A210" s="117"/>
      <c r="B210" s="117"/>
    </row>
    <row r="211">
      <c r="A211" s="117"/>
      <c r="B211" s="117"/>
    </row>
    <row r="212">
      <c r="A212" s="117"/>
      <c r="B212" s="117"/>
    </row>
    <row r="213">
      <c r="A213" s="117"/>
      <c r="B213" s="117"/>
    </row>
    <row r="214">
      <c r="A214" s="117"/>
      <c r="B214" s="117"/>
    </row>
    <row r="215">
      <c r="A215" s="117"/>
      <c r="B215" s="117"/>
    </row>
    <row r="216">
      <c r="A216" s="117"/>
      <c r="B216" s="117"/>
    </row>
    <row r="217">
      <c r="A217" s="117"/>
      <c r="B217" s="117"/>
    </row>
    <row r="218">
      <c r="A218" s="117"/>
      <c r="B218" s="117"/>
    </row>
    <row r="219">
      <c r="A219" s="117"/>
      <c r="B219" s="117"/>
    </row>
    <row r="220">
      <c r="A220" s="117"/>
      <c r="B220" s="117"/>
    </row>
    <row r="221">
      <c r="A221" s="117"/>
      <c r="B221" s="117"/>
    </row>
    <row r="222">
      <c r="A222" s="117"/>
      <c r="B222" s="117"/>
    </row>
    <row r="223">
      <c r="A223" s="117"/>
      <c r="B223" s="117"/>
    </row>
    <row r="224">
      <c r="A224" s="117"/>
      <c r="B224" s="117"/>
    </row>
    <row r="225">
      <c r="A225" s="117"/>
      <c r="B225" s="117"/>
    </row>
    <row r="226">
      <c r="A226" s="117"/>
      <c r="B226" s="117"/>
    </row>
    <row r="227">
      <c r="A227" s="117"/>
      <c r="B227" s="117"/>
    </row>
    <row r="228">
      <c r="A228" s="117"/>
      <c r="B228" s="117"/>
    </row>
    <row r="229">
      <c r="A229" s="117"/>
      <c r="B229" s="117"/>
    </row>
    <row r="230">
      <c r="A230" s="117"/>
      <c r="B230" s="117"/>
    </row>
    <row r="231">
      <c r="A231" s="117"/>
      <c r="B231" s="117"/>
    </row>
    <row r="232">
      <c r="A232" s="117"/>
      <c r="B232" s="117"/>
    </row>
    <row r="233">
      <c r="A233" s="117"/>
      <c r="B233" s="117"/>
    </row>
    <row r="234">
      <c r="A234" s="117"/>
      <c r="B234" s="117"/>
    </row>
    <row r="235">
      <c r="A235" s="117"/>
      <c r="B235" s="117"/>
    </row>
    <row r="236">
      <c r="A236" s="117"/>
      <c r="B236" s="117"/>
    </row>
    <row r="237">
      <c r="A237" s="117"/>
      <c r="B237" s="117"/>
    </row>
    <row r="238">
      <c r="A238" s="117"/>
      <c r="B238" s="117"/>
    </row>
    <row r="239">
      <c r="A239" s="117"/>
      <c r="B239" s="117"/>
    </row>
    <row r="240">
      <c r="A240" s="117"/>
      <c r="B240" s="117"/>
    </row>
    <row r="241">
      <c r="A241" s="117"/>
      <c r="B241" s="117"/>
    </row>
    <row r="242">
      <c r="A242" s="117"/>
      <c r="B242" s="117"/>
    </row>
    <row r="243">
      <c r="A243" s="117"/>
      <c r="B243" s="117"/>
    </row>
    <row r="244">
      <c r="A244" s="117"/>
      <c r="B244" s="117"/>
    </row>
    <row r="245">
      <c r="A245" s="117"/>
      <c r="B245" s="117"/>
    </row>
    <row r="246">
      <c r="A246" s="117"/>
      <c r="B246" s="117"/>
    </row>
    <row r="247">
      <c r="A247" s="117"/>
      <c r="B247" s="117"/>
    </row>
    <row r="248">
      <c r="A248" s="117"/>
      <c r="B248" s="117"/>
    </row>
    <row r="249">
      <c r="A249" s="117"/>
      <c r="B249" s="117"/>
    </row>
    <row r="250">
      <c r="A250" s="117"/>
      <c r="B250" s="117"/>
    </row>
    <row r="251">
      <c r="A251" s="117"/>
      <c r="B251" s="117"/>
    </row>
    <row r="252">
      <c r="A252" s="117"/>
      <c r="B252" s="117"/>
    </row>
    <row r="253">
      <c r="A253" s="117"/>
      <c r="B253" s="117"/>
    </row>
    <row r="254">
      <c r="A254" s="117"/>
      <c r="B254" s="117"/>
    </row>
    <row r="255">
      <c r="A255" s="117"/>
      <c r="B255" s="117"/>
    </row>
    <row r="256">
      <c r="A256" s="117"/>
      <c r="B256" s="117"/>
    </row>
    <row r="257">
      <c r="A257" s="117"/>
      <c r="B257" s="117"/>
    </row>
    <row r="258">
      <c r="A258" s="117"/>
      <c r="B258" s="117"/>
    </row>
    <row r="259">
      <c r="A259" s="117"/>
      <c r="B259" s="117"/>
    </row>
    <row r="260">
      <c r="A260" s="117"/>
      <c r="B260" s="117"/>
    </row>
    <row r="261">
      <c r="A261" s="117"/>
      <c r="B261" s="117"/>
    </row>
    <row r="262">
      <c r="A262" s="117"/>
      <c r="B262" s="117"/>
    </row>
    <row r="263">
      <c r="A263" s="117"/>
      <c r="B263" s="117"/>
    </row>
    <row r="264">
      <c r="A264" s="117"/>
      <c r="B264" s="117"/>
    </row>
    <row r="265">
      <c r="A265" s="117"/>
      <c r="B265" s="117"/>
    </row>
    <row r="266">
      <c r="A266" s="117"/>
      <c r="B266" s="117"/>
    </row>
    <row r="267">
      <c r="A267" s="117"/>
      <c r="B267" s="117"/>
    </row>
    <row r="268">
      <c r="A268" s="117"/>
      <c r="B268" s="117"/>
    </row>
    <row r="269">
      <c r="A269" s="117"/>
      <c r="B269" s="117"/>
    </row>
    <row r="270">
      <c r="A270" s="117"/>
      <c r="B270" s="117"/>
    </row>
    <row r="271">
      <c r="A271" s="117"/>
      <c r="B271" s="117"/>
    </row>
    <row r="272">
      <c r="A272" s="117"/>
      <c r="B272" s="117"/>
    </row>
    <row r="273">
      <c r="A273" s="117"/>
      <c r="B273" s="117"/>
    </row>
    <row r="274">
      <c r="A274" s="117"/>
      <c r="B274" s="117"/>
    </row>
    <row r="275">
      <c r="A275" s="117"/>
      <c r="B275" s="117"/>
    </row>
    <row r="276">
      <c r="A276" s="117"/>
      <c r="B276" s="117"/>
    </row>
    <row r="277">
      <c r="A277" s="117"/>
      <c r="B277" s="117"/>
    </row>
    <row r="278">
      <c r="A278" s="117"/>
      <c r="B278" s="117"/>
    </row>
    <row r="279">
      <c r="A279" s="117"/>
      <c r="B279" s="117"/>
    </row>
    <row r="280">
      <c r="A280" s="117"/>
      <c r="B280" s="117"/>
    </row>
    <row r="281">
      <c r="A281" s="117"/>
      <c r="B281" s="117"/>
    </row>
    <row r="282">
      <c r="A282" s="117"/>
      <c r="B282" s="117"/>
    </row>
    <row r="283">
      <c r="A283" s="117"/>
      <c r="B283" s="117"/>
    </row>
    <row r="284">
      <c r="A284" s="117"/>
      <c r="B284" s="117"/>
    </row>
    <row r="285">
      <c r="A285" s="117"/>
      <c r="B285" s="117"/>
    </row>
    <row r="286">
      <c r="A286" s="117"/>
      <c r="B286" s="117"/>
    </row>
    <row r="287">
      <c r="A287" s="117"/>
      <c r="B287" s="117"/>
    </row>
    <row r="288">
      <c r="A288" s="117"/>
      <c r="B288" s="117"/>
    </row>
    <row r="289">
      <c r="A289" s="117"/>
      <c r="B289" s="117"/>
    </row>
    <row r="290">
      <c r="A290" s="117"/>
      <c r="B290" s="117"/>
    </row>
    <row r="291">
      <c r="A291" s="117"/>
      <c r="B291" s="117"/>
    </row>
    <row r="292">
      <c r="A292" s="117"/>
      <c r="B292" s="117"/>
    </row>
    <row r="293">
      <c r="A293" s="117"/>
      <c r="B293" s="117"/>
    </row>
    <row r="294">
      <c r="A294" s="117"/>
      <c r="B294" s="117"/>
    </row>
    <row r="295">
      <c r="A295" s="117"/>
      <c r="B295" s="117"/>
    </row>
    <row r="296">
      <c r="A296" s="117"/>
      <c r="B296" s="117"/>
    </row>
    <row r="297">
      <c r="A297" s="117"/>
      <c r="B297" s="117"/>
    </row>
    <row r="298">
      <c r="A298" s="117"/>
      <c r="B298" s="117"/>
    </row>
    <row r="299">
      <c r="A299" s="117"/>
      <c r="B299" s="117"/>
    </row>
    <row r="300">
      <c r="A300" s="117"/>
      <c r="B300" s="117"/>
    </row>
    <row r="301">
      <c r="A301" s="117"/>
      <c r="B301" s="117"/>
    </row>
    <row r="302">
      <c r="A302" s="117"/>
      <c r="B302" s="117"/>
    </row>
    <row r="303">
      <c r="A303" s="117"/>
      <c r="B303" s="117"/>
    </row>
    <row r="304">
      <c r="A304" s="117"/>
      <c r="B304" s="117"/>
    </row>
    <row r="305">
      <c r="A305" s="117"/>
      <c r="B305" s="117"/>
    </row>
    <row r="306">
      <c r="A306" s="117"/>
      <c r="B306" s="117"/>
    </row>
    <row r="307">
      <c r="A307" s="117"/>
      <c r="B307" s="117"/>
    </row>
    <row r="308">
      <c r="A308" s="117"/>
      <c r="B308" s="117"/>
    </row>
    <row r="309">
      <c r="A309" s="117"/>
      <c r="B309" s="117"/>
    </row>
    <row r="310">
      <c r="A310" s="117"/>
      <c r="B310" s="117"/>
    </row>
    <row r="311">
      <c r="A311" s="117"/>
      <c r="B311" s="117"/>
    </row>
    <row r="312">
      <c r="A312" s="117"/>
      <c r="B312" s="117"/>
    </row>
    <row r="313">
      <c r="A313" s="117"/>
      <c r="B313" s="117"/>
    </row>
    <row r="314">
      <c r="A314" s="117"/>
      <c r="B314" s="117"/>
    </row>
    <row r="315">
      <c r="A315" s="117"/>
      <c r="B315" s="117"/>
    </row>
    <row r="316">
      <c r="A316" s="117"/>
      <c r="B316" s="117"/>
    </row>
    <row r="317">
      <c r="A317" s="117"/>
      <c r="B317" s="117"/>
    </row>
    <row r="318">
      <c r="A318" s="117"/>
      <c r="B318" s="117"/>
    </row>
    <row r="319">
      <c r="A319" s="117"/>
      <c r="B319" s="117"/>
    </row>
    <row r="320">
      <c r="A320" s="117"/>
      <c r="B320" s="117"/>
    </row>
    <row r="321">
      <c r="A321" s="117"/>
      <c r="B321" s="117"/>
    </row>
    <row r="322">
      <c r="A322" s="117"/>
      <c r="B322" s="117"/>
    </row>
    <row r="323">
      <c r="A323" s="117"/>
      <c r="B323" s="117"/>
    </row>
    <row r="324">
      <c r="A324" s="117"/>
      <c r="B324" s="117"/>
    </row>
    <row r="325">
      <c r="A325" s="117"/>
      <c r="B325" s="117"/>
    </row>
    <row r="326">
      <c r="A326" s="117"/>
      <c r="B326" s="117"/>
    </row>
    <row r="327">
      <c r="A327" s="117"/>
      <c r="B327" s="117"/>
    </row>
    <row r="328">
      <c r="A328" s="117"/>
      <c r="B328" s="117"/>
    </row>
    <row r="329">
      <c r="A329" s="117"/>
      <c r="B329" s="117"/>
    </row>
    <row r="330">
      <c r="A330" s="117"/>
      <c r="B330" s="117"/>
    </row>
    <row r="331">
      <c r="A331" s="117"/>
      <c r="B331" s="117"/>
    </row>
    <row r="332">
      <c r="A332" s="117"/>
      <c r="B332" s="117"/>
    </row>
    <row r="333">
      <c r="A333" s="117"/>
      <c r="B333" s="117"/>
    </row>
    <row r="334">
      <c r="A334" s="117"/>
      <c r="B334" s="117"/>
    </row>
    <row r="335">
      <c r="A335" s="117"/>
      <c r="B335" s="117"/>
    </row>
    <row r="336">
      <c r="A336" s="117"/>
      <c r="B336" s="117"/>
    </row>
    <row r="337">
      <c r="A337" s="117"/>
      <c r="B337" s="117"/>
    </row>
    <row r="338">
      <c r="A338" s="117"/>
      <c r="B338" s="117"/>
    </row>
    <row r="339">
      <c r="A339" s="117"/>
      <c r="B339" s="117"/>
    </row>
    <row r="340">
      <c r="A340" s="117"/>
      <c r="B340" s="117"/>
    </row>
    <row r="341">
      <c r="A341" s="117"/>
      <c r="B341" s="117"/>
    </row>
    <row r="342">
      <c r="A342" s="117"/>
      <c r="B342" s="117"/>
    </row>
    <row r="343">
      <c r="A343" s="117"/>
      <c r="B343" s="117"/>
    </row>
    <row r="344">
      <c r="A344" s="117"/>
      <c r="B344" s="117"/>
    </row>
    <row r="345">
      <c r="A345" s="117"/>
      <c r="B345" s="117"/>
    </row>
    <row r="346">
      <c r="A346" s="117"/>
      <c r="B346" s="117"/>
    </row>
    <row r="347">
      <c r="A347" s="117"/>
      <c r="B347" s="117"/>
    </row>
    <row r="348">
      <c r="A348" s="117"/>
      <c r="B348" s="117"/>
    </row>
    <row r="349">
      <c r="A349" s="117"/>
      <c r="B349" s="117"/>
    </row>
    <row r="350">
      <c r="A350" s="117"/>
      <c r="B350" s="117"/>
    </row>
    <row r="351">
      <c r="A351" s="117"/>
      <c r="B351" s="117"/>
    </row>
    <row r="352">
      <c r="A352" s="117"/>
      <c r="B352" s="117"/>
    </row>
    <row r="353">
      <c r="A353" s="117"/>
      <c r="B353" s="117"/>
    </row>
    <row r="354">
      <c r="A354" s="117"/>
      <c r="B354" s="117"/>
    </row>
    <row r="355">
      <c r="A355" s="117"/>
      <c r="B355" s="117"/>
    </row>
    <row r="356">
      <c r="A356" s="117"/>
      <c r="B356" s="117"/>
    </row>
    <row r="357">
      <c r="A357" s="117"/>
      <c r="B357" s="117"/>
    </row>
    <row r="358">
      <c r="A358" s="117"/>
      <c r="B358" s="117"/>
    </row>
    <row r="359">
      <c r="A359" s="117"/>
      <c r="B359" s="117"/>
    </row>
    <row r="360">
      <c r="A360" s="117"/>
      <c r="B360" s="117"/>
    </row>
    <row r="361">
      <c r="A361" s="117"/>
      <c r="B361" s="117"/>
    </row>
    <row r="362">
      <c r="A362" s="117"/>
      <c r="B362" s="117"/>
    </row>
    <row r="363">
      <c r="A363" s="117"/>
      <c r="B363" s="117"/>
    </row>
    <row r="364">
      <c r="A364" s="117"/>
      <c r="B364" s="117"/>
    </row>
    <row r="365">
      <c r="A365" s="117"/>
      <c r="B365" s="117"/>
    </row>
    <row r="366">
      <c r="A366" s="117"/>
      <c r="B366" s="117"/>
    </row>
    <row r="367">
      <c r="A367" s="117"/>
      <c r="B367" s="117"/>
    </row>
    <row r="368">
      <c r="A368" s="117"/>
      <c r="B368" s="117"/>
    </row>
    <row r="369">
      <c r="A369" s="117"/>
      <c r="B369" s="117"/>
    </row>
    <row r="370">
      <c r="A370" s="117"/>
      <c r="B370" s="117"/>
    </row>
    <row r="371">
      <c r="A371" s="117"/>
      <c r="B371" s="117"/>
    </row>
    <row r="372">
      <c r="A372" s="117"/>
      <c r="B372" s="117"/>
    </row>
    <row r="373">
      <c r="A373" s="117"/>
      <c r="B373" s="117"/>
    </row>
    <row r="374">
      <c r="A374" s="117"/>
      <c r="B374" s="117"/>
    </row>
    <row r="375">
      <c r="A375" s="117"/>
      <c r="B375" s="117"/>
    </row>
    <row r="376">
      <c r="A376" s="117"/>
      <c r="B376" s="117"/>
    </row>
    <row r="377">
      <c r="A377" s="117"/>
      <c r="B377" s="117"/>
    </row>
    <row r="378">
      <c r="A378" s="117"/>
      <c r="B378" s="117"/>
    </row>
    <row r="379">
      <c r="A379" s="117"/>
      <c r="B379" s="117"/>
    </row>
    <row r="380">
      <c r="A380" s="117"/>
      <c r="B380" s="117"/>
    </row>
    <row r="381">
      <c r="A381" s="117"/>
      <c r="B381" s="117"/>
    </row>
    <row r="382">
      <c r="A382" s="117"/>
      <c r="B382" s="117"/>
    </row>
    <row r="383">
      <c r="A383" s="117"/>
      <c r="B383" s="117"/>
    </row>
    <row r="384">
      <c r="A384" s="117"/>
      <c r="B384" s="117"/>
    </row>
    <row r="385">
      <c r="A385" s="117"/>
      <c r="B385" s="117"/>
    </row>
    <row r="386">
      <c r="A386" s="117"/>
      <c r="B386" s="117"/>
    </row>
    <row r="387">
      <c r="A387" s="117"/>
      <c r="B387" s="117"/>
    </row>
    <row r="388">
      <c r="A388" s="117"/>
      <c r="B388" s="117"/>
    </row>
    <row r="389">
      <c r="A389" s="117"/>
      <c r="B389" s="117"/>
    </row>
    <row r="390">
      <c r="A390" s="117"/>
      <c r="B390" s="117"/>
    </row>
    <row r="391">
      <c r="A391" s="117"/>
      <c r="B391" s="117"/>
    </row>
    <row r="392">
      <c r="A392" s="117"/>
      <c r="B392" s="117"/>
    </row>
    <row r="393">
      <c r="A393" s="117"/>
      <c r="B393" s="117"/>
    </row>
    <row r="394">
      <c r="A394" s="117"/>
      <c r="B394" s="117"/>
    </row>
    <row r="395">
      <c r="A395" s="117"/>
      <c r="B395" s="117"/>
    </row>
    <row r="396">
      <c r="A396" s="117"/>
      <c r="B396" s="117"/>
    </row>
    <row r="397">
      <c r="A397" s="117"/>
      <c r="B397" s="117"/>
    </row>
    <row r="398">
      <c r="A398" s="117"/>
      <c r="B398" s="117"/>
    </row>
    <row r="399">
      <c r="A399" s="117"/>
      <c r="B399" s="117"/>
    </row>
    <row r="400">
      <c r="A400" s="117"/>
      <c r="B400" s="117"/>
    </row>
    <row r="401">
      <c r="A401" s="117"/>
      <c r="B401" s="117"/>
    </row>
    <row r="402">
      <c r="A402" s="117"/>
      <c r="B402" s="117"/>
    </row>
    <row r="403">
      <c r="A403" s="117"/>
      <c r="B403" s="117"/>
    </row>
    <row r="404">
      <c r="A404" s="117"/>
      <c r="B404" s="117"/>
    </row>
    <row r="405">
      <c r="A405" s="117"/>
      <c r="B405" s="117"/>
    </row>
    <row r="406">
      <c r="A406" s="117"/>
      <c r="B406" s="117"/>
    </row>
    <row r="407">
      <c r="A407" s="117"/>
      <c r="B407" s="117"/>
    </row>
    <row r="408">
      <c r="A408" s="117"/>
      <c r="B408" s="117"/>
    </row>
    <row r="409">
      <c r="A409" s="117"/>
      <c r="B409" s="117"/>
    </row>
    <row r="410">
      <c r="A410" s="117"/>
      <c r="B410" s="117"/>
    </row>
    <row r="411">
      <c r="A411" s="117"/>
      <c r="B411" s="117"/>
    </row>
    <row r="412">
      <c r="A412" s="117"/>
      <c r="B412" s="117"/>
    </row>
    <row r="413">
      <c r="A413" s="117"/>
      <c r="B413" s="117"/>
    </row>
    <row r="414">
      <c r="A414" s="117"/>
      <c r="B414" s="117"/>
    </row>
    <row r="415">
      <c r="A415" s="117"/>
      <c r="B415" s="117"/>
    </row>
    <row r="416">
      <c r="A416" s="117"/>
      <c r="B416" s="117"/>
    </row>
    <row r="417">
      <c r="A417" s="117"/>
      <c r="B417" s="117"/>
    </row>
    <row r="418">
      <c r="A418" s="117"/>
      <c r="B418" s="117"/>
    </row>
    <row r="419">
      <c r="A419" s="117"/>
      <c r="B419" s="117"/>
    </row>
    <row r="420">
      <c r="A420" s="117"/>
      <c r="B420" s="117"/>
    </row>
    <row r="421">
      <c r="A421" s="117"/>
      <c r="B421" s="117"/>
    </row>
    <row r="422">
      <c r="A422" s="117"/>
      <c r="B422" s="117"/>
    </row>
    <row r="423">
      <c r="A423" s="117"/>
      <c r="B423" s="117"/>
    </row>
    <row r="424">
      <c r="A424" s="117"/>
      <c r="B424" s="117"/>
    </row>
    <row r="425">
      <c r="A425" s="117"/>
      <c r="B425" s="117"/>
    </row>
    <row r="426">
      <c r="A426" s="117"/>
      <c r="B426" s="117"/>
    </row>
    <row r="427">
      <c r="A427" s="117"/>
      <c r="B427" s="117"/>
    </row>
    <row r="428">
      <c r="A428" s="117"/>
      <c r="B428" s="117"/>
    </row>
    <row r="429">
      <c r="A429" s="117"/>
      <c r="B429" s="117"/>
    </row>
    <row r="430">
      <c r="A430" s="117"/>
      <c r="B430" s="117"/>
    </row>
    <row r="431">
      <c r="A431" s="117"/>
      <c r="B431" s="117"/>
    </row>
    <row r="432">
      <c r="A432" s="117"/>
      <c r="B432" s="117"/>
    </row>
    <row r="433">
      <c r="A433" s="117"/>
      <c r="B433" s="117"/>
    </row>
    <row r="434">
      <c r="A434" s="117"/>
      <c r="B434" s="117"/>
    </row>
    <row r="435">
      <c r="A435" s="117"/>
      <c r="B435" s="117"/>
    </row>
    <row r="436">
      <c r="A436" s="117"/>
      <c r="B436" s="117"/>
    </row>
    <row r="437">
      <c r="A437" s="117"/>
      <c r="B437" s="117"/>
    </row>
    <row r="438">
      <c r="A438" s="117"/>
      <c r="B438" s="117"/>
    </row>
    <row r="439">
      <c r="A439" s="117"/>
      <c r="B439" s="117"/>
    </row>
    <row r="440">
      <c r="A440" s="117"/>
      <c r="B440" s="117"/>
    </row>
    <row r="441">
      <c r="A441" s="117"/>
      <c r="B441" s="117"/>
    </row>
    <row r="442">
      <c r="A442" s="117"/>
      <c r="B442" s="117"/>
    </row>
    <row r="443">
      <c r="A443" s="117"/>
      <c r="B443" s="117"/>
    </row>
    <row r="444">
      <c r="A444" s="117"/>
      <c r="B444" s="117"/>
    </row>
    <row r="445">
      <c r="A445" s="117"/>
      <c r="B445" s="117"/>
    </row>
    <row r="446">
      <c r="A446" s="117"/>
      <c r="B446" s="117"/>
    </row>
    <row r="447">
      <c r="A447" s="117"/>
      <c r="B447" s="117"/>
    </row>
    <row r="448">
      <c r="A448" s="117"/>
      <c r="B448" s="117"/>
    </row>
    <row r="449">
      <c r="A449" s="117"/>
      <c r="B449" s="117"/>
    </row>
    <row r="450">
      <c r="A450" s="117"/>
      <c r="B450" s="117"/>
    </row>
    <row r="451">
      <c r="A451" s="117"/>
      <c r="B451" s="117"/>
    </row>
    <row r="452">
      <c r="A452" s="117"/>
      <c r="B452" s="117"/>
    </row>
    <row r="453">
      <c r="A453" s="117"/>
      <c r="B453" s="117"/>
    </row>
    <row r="454">
      <c r="A454" s="117"/>
      <c r="B454" s="117"/>
    </row>
    <row r="455">
      <c r="A455" s="117"/>
      <c r="B455" s="117"/>
    </row>
    <row r="456">
      <c r="A456" s="117"/>
      <c r="B456" s="117"/>
    </row>
    <row r="457">
      <c r="A457" s="117"/>
      <c r="B457" s="117"/>
    </row>
    <row r="458">
      <c r="A458" s="117"/>
      <c r="B458" s="117"/>
    </row>
    <row r="459">
      <c r="A459" s="117"/>
      <c r="B459" s="117"/>
    </row>
    <row r="460">
      <c r="A460" s="117"/>
      <c r="B460" s="117"/>
    </row>
    <row r="461">
      <c r="A461" s="117"/>
      <c r="B461" s="117"/>
    </row>
    <row r="462">
      <c r="A462" s="117"/>
      <c r="B462" s="117"/>
    </row>
    <row r="463">
      <c r="A463" s="117"/>
      <c r="B463" s="117"/>
    </row>
    <row r="464">
      <c r="A464" s="117"/>
      <c r="B464" s="117"/>
    </row>
    <row r="465">
      <c r="A465" s="117"/>
      <c r="B465" s="117"/>
    </row>
    <row r="466">
      <c r="A466" s="117"/>
      <c r="B466" s="117"/>
    </row>
    <row r="467">
      <c r="A467" s="117"/>
      <c r="B467" s="117"/>
    </row>
    <row r="468">
      <c r="A468" s="117"/>
      <c r="B468" s="117"/>
    </row>
    <row r="469">
      <c r="A469" s="117"/>
      <c r="B469" s="117"/>
    </row>
    <row r="470">
      <c r="A470" s="117"/>
      <c r="B470" s="117"/>
    </row>
    <row r="471">
      <c r="A471" s="117"/>
      <c r="B471" s="117"/>
    </row>
    <row r="472">
      <c r="A472" s="117"/>
      <c r="B472" s="117"/>
    </row>
    <row r="473">
      <c r="A473" s="117"/>
      <c r="B473" s="117"/>
    </row>
    <row r="474">
      <c r="A474" s="117"/>
      <c r="B474" s="117"/>
    </row>
    <row r="475">
      <c r="A475" s="117"/>
      <c r="B475" s="117"/>
    </row>
    <row r="476">
      <c r="A476" s="117"/>
      <c r="B476" s="117"/>
    </row>
    <row r="477">
      <c r="A477" s="117"/>
      <c r="B477" s="117"/>
    </row>
    <row r="478">
      <c r="A478" s="117"/>
      <c r="B478" s="117"/>
    </row>
    <row r="479">
      <c r="A479" s="117"/>
      <c r="B479" s="117"/>
    </row>
    <row r="480">
      <c r="A480" s="117"/>
      <c r="B480" s="117"/>
    </row>
    <row r="481">
      <c r="A481" s="117"/>
      <c r="B481" s="117"/>
    </row>
    <row r="482">
      <c r="A482" s="117"/>
      <c r="B482" s="117"/>
    </row>
    <row r="483">
      <c r="A483" s="117"/>
      <c r="B483" s="117"/>
    </row>
    <row r="484">
      <c r="A484" s="117"/>
      <c r="B484" s="117"/>
    </row>
    <row r="485">
      <c r="A485" s="117"/>
      <c r="B485" s="117"/>
    </row>
    <row r="486">
      <c r="A486" s="117"/>
      <c r="B486" s="117"/>
    </row>
    <row r="487">
      <c r="A487" s="117"/>
      <c r="B487" s="117"/>
    </row>
    <row r="488">
      <c r="A488" s="117"/>
      <c r="B488" s="117"/>
    </row>
    <row r="489">
      <c r="A489" s="117"/>
      <c r="B489" s="117"/>
    </row>
    <row r="490">
      <c r="A490" s="117"/>
      <c r="B490" s="117"/>
    </row>
    <row r="491">
      <c r="A491" s="117"/>
      <c r="B491" s="117"/>
    </row>
    <row r="492">
      <c r="A492" s="117"/>
      <c r="B492" s="117"/>
    </row>
    <row r="493">
      <c r="A493" s="117"/>
      <c r="B493" s="117"/>
    </row>
    <row r="494">
      <c r="A494" s="117"/>
      <c r="B494" s="117"/>
    </row>
    <row r="495">
      <c r="A495" s="117"/>
      <c r="B495" s="117"/>
    </row>
    <row r="496">
      <c r="A496" s="117"/>
      <c r="B496" s="117"/>
    </row>
    <row r="497">
      <c r="A497" s="117"/>
      <c r="B497" s="117"/>
    </row>
    <row r="498">
      <c r="A498" s="117"/>
      <c r="B498" s="117"/>
    </row>
    <row r="499">
      <c r="A499" s="117"/>
      <c r="B499" s="117"/>
    </row>
    <row r="500">
      <c r="A500" s="117"/>
      <c r="B500" s="117"/>
    </row>
    <row r="501">
      <c r="A501" s="117"/>
      <c r="B501" s="117"/>
    </row>
    <row r="502">
      <c r="A502" s="117"/>
      <c r="B502" s="117"/>
    </row>
    <row r="503">
      <c r="A503" s="117"/>
      <c r="B503" s="117"/>
    </row>
    <row r="504">
      <c r="A504" s="117"/>
      <c r="B504" s="117"/>
    </row>
    <row r="505">
      <c r="A505" s="117"/>
      <c r="B505" s="117"/>
    </row>
    <row r="506">
      <c r="A506" s="117"/>
      <c r="B506" s="117"/>
    </row>
    <row r="507">
      <c r="A507" s="117"/>
      <c r="B507" s="117"/>
    </row>
    <row r="508">
      <c r="A508" s="117"/>
      <c r="B508" s="117"/>
    </row>
    <row r="509">
      <c r="A509" s="117"/>
      <c r="B509" s="117"/>
    </row>
    <row r="510">
      <c r="A510" s="117"/>
      <c r="B510" s="117"/>
    </row>
    <row r="511">
      <c r="A511" s="117"/>
      <c r="B511" s="117"/>
    </row>
    <row r="512">
      <c r="A512" s="117"/>
      <c r="B512" s="117"/>
    </row>
    <row r="513">
      <c r="A513" s="117"/>
      <c r="B513" s="117"/>
    </row>
    <row r="514">
      <c r="A514" s="117"/>
      <c r="B514" s="117"/>
    </row>
    <row r="515">
      <c r="A515" s="117"/>
      <c r="B515" s="117"/>
    </row>
    <row r="516">
      <c r="A516" s="117"/>
      <c r="B516" s="117"/>
    </row>
    <row r="517">
      <c r="A517" s="117"/>
      <c r="B517" s="117"/>
    </row>
    <row r="518">
      <c r="A518" s="117"/>
      <c r="B518" s="117"/>
    </row>
    <row r="519">
      <c r="A519" s="117"/>
      <c r="B519" s="117"/>
    </row>
    <row r="520">
      <c r="A520" s="117"/>
      <c r="B520" s="117"/>
    </row>
    <row r="521">
      <c r="A521" s="117"/>
      <c r="B521" s="117"/>
    </row>
    <row r="522">
      <c r="A522" s="117"/>
      <c r="B522" s="117"/>
    </row>
    <row r="523">
      <c r="A523" s="117"/>
      <c r="B523" s="117"/>
    </row>
    <row r="524">
      <c r="A524" s="117"/>
      <c r="B524" s="117"/>
    </row>
    <row r="525">
      <c r="A525" s="117"/>
      <c r="B525" s="117"/>
    </row>
    <row r="526">
      <c r="A526" s="117"/>
      <c r="B526" s="117"/>
    </row>
    <row r="527">
      <c r="A527" s="117"/>
      <c r="B527" s="117"/>
    </row>
    <row r="528">
      <c r="A528" s="117"/>
      <c r="B528" s="117"/>
    </row>
    <row r="529">
      <c r="A529" s="117"/>
      <c r="B529" s="117"/>
    </row>
    <row r="530">
      <c r="A530" s="117"/>
      <c r="B530" s="117"/>
    </row>
    <row r="531">
      <c r="A531" s="117"/>
      <c r="B531" s="117"/>
    </row>
    <row r="532">
      <c r="A532" s="117"/>
      <c r="B532" s="117"/>
    </row>
    <row r="533">
      <c r="A533" s="117"/>
      <c r="B533" s="117"/>
    </row>
    <row r="534">
      <c r="A534" s="117"/>
      <c r="B534" s="117"/>
    </row>
    <row r="535">
      <c r="A535" s="117"/>
      <c r="B535" s="117"/>
    </row>
    <row r="536">
      <c r="A536" s="117"/>
      <c r="B536" s="117"/>
    </row>
    <row r="537">
      <c r="A537" s="117"/>
      <c r="B537" s="117"/>
    </row>
    <row r="538">
      <c r="A538" s="117"/>
      <c r="B538" s="117"/>
    </row>
    <row r="539">
      <c r="A539" s="117"/>
      <c r="B539" s="117"/>
    </row>
    <row r="540">
      <c r="A540" s="117"/>
      <c r="B540" s="117"/>
    </row>
    <row r="541">
      <c r="A541" s="117"/>
      <c r="B541" s="117"/>
    </row>
    <row r="542">
      <c r="A542" s="117"/>
      <c r="B542" s="117"/>
    </row>
    <row r="543">
      <c r="A543" s="117"/>
      <c r="B543" s="117"/>
    </row>
    <row r="544">
      <c r="A544" s="117"/>
      <c r="B544" s="117"/>
    </row>
    <row r="545">
      <c r="A545" s="117"/>
      <c r="B545" s="117"/>
    </row>
    <row r="546">
      <c r="A546" s="117"/>
      <c r="B546" s="117"/>
    </row>
    <row r="547">
      <c r="A547" s="117"/>
      <c r="B547" s="117"/>
    </row>
    <row r="548">
      <c r="A548" s="117"/>
      <c r="B548" s="117"/>
    </row>
    <row r="549">
      <c r="A549" s="117"/>
      <c r="B549" s="117"/>
    </row>
    <row r="550">
      <c r="A550" s="117"/>
      <c r="B550" s="117"/>
    </row>
    <row r="551">
      <c r="A551" s="117"/>
      <c r="B551" s="117"/>
    </row>
    <row r="552">
      <c r="A552" s="117"/>
      <c r="B552" s="117"/>
    </row>
    <row r="553">
      <c r="A553" s="117"/>
      <c r="B553" s="117"/>
    </row>
    <row r="554">
      <c r="A554" s="117"/>
      <c r="B554" s="117"/>
    </row>
    <row r="555">
      <c r="A555" s="117"/>
      <c r="B555" s="117"/>
    </row>
    <row r="556">
      <c r="A556" s="117"/>
      <c r="B556" s="117"/>
    </row>
    <row r="557">
      <c r="A557" s="117"/>
      <c r="B557" s="117"/>
    </row>
    <row r="558">
      <c r="A558" s="117"/>
      <c r="B558" s="117"/>
    </row>
    <row r="559">
      <c r="A559" s="117"/>
      <c r="B559" s="117"/>
    </row>
    <row r="560">
      <c r="A560" s="117"/>
      <c r="B560" s="117"/>
    </row>
    <row r="561">
      <c r="A561" s="117"/>
      <c r="B561" s="117"/>
    </row>
    <row r="562">
      <c r="A562" s="117"/>
      <c r="B562" s="117"/>
    </row>
    <row r="563">
      <c r="A563" s="117"/>
      <c r="B563" s="117"/>
    </row>
    <row r="564">
      <c r="A564" s="117"/>
      <c r="B564" s="117"/>
    </row>
    <row r="565">
      <c r="A565" s="117"/>
      <c r="B565" s="117"/>
    </row>
    <row r="566">
      <c r="A566" s="117"/>
      <c r="B566" s="117"/>
    </row>
    <row r="567">
      <c r="A567" s="117"/>
      <c r="B567" s="117"/>
    </row>
    <row r="568">
      <c r="A568" s="117"/>
      <c r="B568" s="117"/>
    </row>
    <row r="569">
      <c r="A569" s="117"/>
      <c r="B569" s="117"/>
    </row>
    <row r="570">
      <c r="A570" s="117"/>
      <c r="B570" s="117"/>
    </row>
    <row r="571">
      <c r="A571" s="117"/>
      <c r="B571" s="117"/>
    </row>
    <row r="572">
      <c r="A572" s="117"/>
      <c r="B572" s="117"/>
    </row>
    <row r="573">
      <c r="A573" s="117"/>
      <c r="B573" s="117"/>
    </row>
    <row r="574">
      <c r="A574" s="117"/>
      <c r="B574" s="117"/>
    </row>
    <row r="575">
      <c r="A575" s="117"/>
      <c r="B575" s="117"/>
    </row>
    <row r="576">
      <c r="A576" s="117"/>
      <c r="B576" s="117"/>
    </row>
    <row r="577">
      <c r="A577" s="117"/>
      <c r="B577" s="117"/>
    </row>
    <row r="578">
      <c r="A578" s="117"/>
      <c r="B578" s="117"/>
    </row>
    <row r="579">
      <c r="A579" s="117"/>
      <c r="B579" s="117"/>
    </row>
    <row r="580">
      <c r="A580" s="117"/>
      <c r="B580" s="117"/>
    </row>
    <row r="581">
      <c r="A581" s="117"/>
      <c r="B581" s="117"/>
    </row>
    <row r="582">
      <c r="A582" s="117"/>
      <c r="B582" s="117"/>
    </row>
    <row r="583">
      <c r="A583" s="117"/>
      <c r="B583" s="117"/>
    </row>
    <row r="584">
      <c r="A584" s="117"/>
      <c r="B584" s="117"/>
    </row>
    <row r="585">
      <c r="A585" s="117"/>
      <c r="B585" s="117"/>
    </row>
    <row r="586">
      <c r="A586" s="117"/>
      <c r="B586" s="117"/>
    </row>
    <row r="587">
      <c r="A587" s="117"/>
      <c r="B587" s="117"/>
    </row>
    <row r="588">
      <c r="A588" s="117"/>
      <c r="B588" s="117"/>
    </row>
    <row r="589">
      <c r="A589" s="117"/>
      <c r="B589" s="117"/>
    </row>
    <row r="590">
      <c r="A590" s="117"/>
      <c r="B590" s="117"/>
    </row>
    <row r="591">
      <c r="A591" s="117"/>
      <c r="B591" s="117"/>
    </row>
    <row r="592">
      <c r="A592" s="117"/>
      <c r="B592" s="117"/>
    </row>
    <row r="593">
      <c r="A593" s="117"/>
      <c r="B593" s="117"/>
    </row>
    <row r="594">
      <c r="A594" s="117"/>
      <c r="B594" s="117"/>
    </row>
    <row r="595">
      <c r="A595" s="117"/>
      <c r="B595" s="117"/>
    </row>
    <row r="596">
      <c r="A596" s="117"/>
      <c r="B596" s="117"/>
    </row>
    <row r="597">
      <c r="A597" s="117"/>
      <c r="B597" s="117"/>
    </row>
    <row r="598">
      <c r="A598" s="117"/>
      <c r="B598" s="117"/>
    </row>
    <row r="599">
      <c r="A599" s="117"/>
      <c r="B599" s="117"/>
    </row>
    <row r="600">
      <c r="A600" s="117"/>
      <c r="B600" s="117"/>
    </row>
    <row r="601">
      <c r="A601" s="117"/>
      <c r="B601" s="117"/>
    </row>
    <row r="602">
      <c r="A602" s="117"/>
      <c r="B602" s="117"/>
    </row>
    <row r="603">
      <c r="A603" s="117"/>
      <c r="B603" s="117"/>
    </row>
    <row r="604">
      <c r="A604" s="117"/>
      <c r="B604" s="117"/>
    </row>
    <row r="605">
      <c r="A605" s="117"/>
      <c r="B605" s="117"/>
    </row>
    <row r="606">
      <c r="A606" s="117"/>
      <c r="B606" s="117"/>
    </row>
    <row r="607">
      <c r="A607" s="117"/>
      <c r="B607" s="117"/>
    </row>
    <row r="608">
      <c r="A608" s="117"/>
      <c r="B608" s="117"/>
    </row>
    <row r="609">
      <c r="A609" s="117"/>
      <c r="B609" s="117"/>
    </row>
    <row r="610">
      <c r="A610" s="117"/>
      <c r="B610" s="117"/>
    </row>
    <row r="611">
      <c r="A611" s="117"/>
      <c r="B611" s="117"/>
    </row>
    <row r="612">
      <c r="A612" s="117"/>
      <c r="B612" s="117"/>
    </row>
    <row r="613">
      <c r="A613" s="117"/>
      <c r="B613" s="117"/>
    </row>
    <row r="614">
      <c r="A614" s="117"/>
      <c r="B614" s="117"/>
    </row>
    <row r="615">
      <c r="A615" s="117"/>
      <c r="B615" s="117"/>
    </row>
    <row r="616">
      <c r="A616" s="117"/>
      <c r="B616" s="117"/>
    </row>
    <row r="617">
      <c r="A617" s="117"/>
      <c r="B617" s="117"/>
    </row>
    <row r="618">
      <c r="A618" s="117"/>
      <c r="B618" s="117"/>
    </row>
    <row r="619">
      <c r="A619" s="117"/>
      <c r="B619" s="117"/>
    </row>
    <row r="620">
      <c r="A620" s="117"/>
      <c r="B620" s="117"/>
    </row>
    <row r="621">
      <c r="A621" s="117"/>
      <c r="B621" s="117"/>
    </row>
    <row r="622">
      <c r="A622" s="117"/>
      <c r="B622" s="117"/>
    </row>
    <row r="623">
      <c r="A623" s="117"/>
      <c r="B623" s="117"/>
    </row>
    <row r="624">
      <c r="A624" s="117"/>
      <c r="B624" s="117"/>
    </row>
    <row r="625">
      <c r="A625" s="117"/>
      <c r="B625" s="117"/>
    </row>
    <row r="626">
      <c r="A626" s="117"/>
      <c r="B626" s="117"/>
    </row>
    <row r="627">
      <c r="A627" s="117"/>
      <c r="B627" s="117"/>
    </row>
    <row r="628">
      <c r="A628" s="117"/>
      <c r="B628" s="117"/>
    </row>
    <row r="629">
      <c r="A629" s="117"/>
      <c r="B629" s="117"/>
    </row>
    <row r="630">
      <c r="A630" s="117"/>
      <c r="B630" s="117"/>
    </row>
    <row r="631">
      <c r="A631" s="117"/>
      <c r="B631" s="117"/>
    </row>
    <row r="632">
      <c r="A632" s="117"/>
      <c r="B632" s="117"/>
    </row>
    <row r="633">
      <c r="A633" s="117"/>
      <c r="B633" s="117"/>
    </row>
    <row r="634">
      <c r="A634" s="117"/>
      <c r="B634" s="117"/>
    </row>
    <row r="635">
      <c r="A635" s="117"/>
      <c r="B635" s="117"/>
    </row>
    <row r="636">
      <c r="A636" s="117"/>
      <c r="B636" s="117"/>
    </row>
    <row r="637">
      <c r="A637" s="117"/>
      <c r="B637" s="117"/>
    </row>
    <row r="638">
      <c r="A638" s="117"/>
      <c r="B638" s="117"/>
    </row>
    <row r="639">
      <c r="A639" s="117"/>
      <c r="B639" s="117"/>
    </row>
    <row r="640">
      <c r="A640" s="117"/>
      <c r="B640" s="117"/>
    </row>
    <row r="641">
      <c r="A641" s="117"/>
      <c r="B641" s="117"/>
    </row>
    <row r="642">
      <c r="A642" s="117"/>
      <c r="B642" s="117"/>
    </row>
    <row r="643">
      <c r="A643" s="117"/>
      <c r="B643" s="117"/>
    </row>
    <row r="644">
      <c r="A644" s="117"/>
      <c r="B644" s="117"/>
    </row>
    <row r="645">
      <c r="A645" s="117"/>
      <c r="B645" s="117"/>
    </row>
    <row r="646">
      <c r="A646" s="117"/>
      <c r="B646" s="117"/>
    </row>
    <row r="647">
      <c r="A647" s="117"/>
      <c r="B647" s="117"/>
    </row>
    <row r="648">
      <c r="A648" s="117"/>
      <c r="B648" s="117"/>
    </row>
    <row r="649">
      <c r="A649" s="117"/>
      <c r="B649" s="117"/>
    </row>
    <row r="650">
      <c r="A650" s="117"/>
      <c r="B650" s="117"/>
    </row>
    <row r="651">
      <c r="A651" s="117"/>
      <c r="B651" s="117"/>
    </row>
    <row r="652">
      <c r="A652" s="117"/>
      <c r="B652" s="117"/>
    </row>
    <row r="653">
      <c r="A653" s="117"/>
      <c r="B653" s="117"/>
    </row>
    <row r="654">
      <c r="A654" s="117"/>
      <c r="B654" s="117"/>
    </row>
    <row r="655">
      <c r="A655" s="117"/>
      <c r="B655" s="117"/>
    </row>
    <row r="656">
      <c r="A656" s="117"/>
      <c r="B656" s="117"/>
    </row>
    <row r="657">
      <c r="A657" s="117"/>
      <c r="B657" s="117"/>
    </row>
    <row r="658">
      <c r="A658" s="117"/>
      <c r="B658" s="117"/>
    </row>
    <row r="659">
      <c r="A659" s="117"/>
      <c r="B659" s="117"/>
    </row>
    <row r="660">
      <c r="A660" s="117"/>
      <c r="B660" s="117"/>
    </row>
    <row r="661">
      <c r="A661" s="117"/>
      <c r="B661" s="117"/>
    </row>
    <row r="662">
      <c r="A662" s="117"/>
      <c r="B662" s="117"/>
    </row>
    <row r="663">
      <c r="A663" s="117"/>
      <c r="B663" s="117"/>
    </row>
    <row r="664">
      <c r="A664" s="117"/>
      <c r="B664" s="117"/>
    </row>
    <row r="665">
      <c r="A665" s="117"/>
      <c r="B665" s="117"/>
    </row>
    <row r="666">
      <c r="A666" s="117"/>
      <c r="B666" s="117"/>
    </row>
    <row r="667">
      <c r="A667" s="117"/>
      <c r="B667" s="117"/>
    </row>
    <row r="668">
      <c r="A668" s="117"/>
      <c r="B668" s="117"/>
    </row>
    <row r="669">
      <c r="A669" s="117"/>
      <c r="B669" s="117"/>
    </row>
    <row r="670">
      <c r="A670" s="117"/>
      <c r="B670" s="117"/>
    </row>
    <row r="671">
      <c r="A671" s="117"/>
      <c r="B671" s="117"/>
    </row>
    <row r="672">
      <c r="A672" s="117"/>
      <c r="B672" s="117"/>
    </row>
    <row r="673">
      <c r="A673" s="117"/>
      <c r="B673" s="117"/>
    </row>
    <row r="674">
      <c r="A674" s="117"/>
      <c r="B674" s="117"/>
    </row>
    <row r="675">
      <c r="A675" s="117"/>
      <c r="B675" s="117"/>
    </row>
    <row r="676">
      <c r="A676" s="117"/>
      <c r="B676" s="117"/>
    </row>
    <row r="677">
      <c r="A677" s="117"/>
      <c r="B677" s="117"/>
    </row>
    <row r="678">
      <c r="A678" s="117"/>
      <c r="B678" s="117"/>
    </row>
    <row r="679">
      <c r="A679" s="117"/>
      <c r="B679" s="117"/>
    </row>
    <row r="680">
      <c r="A680" s="117"/>
      <c r="B680" s="117"/>
    </row>
    <row r="681">
      <c r="A681" s="117"/>
      <c r="B681" s="117"/>
    </row>
    <row r="682">
      <c r="A682" s="117"/>
      <c r="B682" s="117"/>
    </row>
    <row r="683">
      <c r="A683" s="117"/>
      <c r="B683" s="117"/>
    </row>
    <row r="684">
      <c r="A684" s="117"/>
      <c r="B684" s="117"/>
    </row>
    <row r="685">
      <c r="A685" s="117"/>
      <c r="B685" s="117"/>
    </row>
    <row r="686">
      <c r="A686" s="117"/>
      <c r="B686" s="117"/>
    </row>
    <row r="687">
      <c r="A687" s="117"/>
      <c r="B687" s="117"/>
    </row>
    <row r="688">
      <c r="A688" s="117"/>
      <c r="B688" s="117"/>
    </row>
    <row r="689">
      <c r="A689" s="117"/>
      <c r="B689" s="117"/>
    </row>
    <row r="690">
      <c r="A690" s="117"/>
      <c r="B690" s="117"/>
    </row>
    <row r="691">
      <c r="A691" s="117"/>
      <c r="B691" s="117"/>
    </row>
    <row r="692">
      <c r="A692" s="117"/>
      <c r="B692" s="117"/>
    </row>
    <row r="693">
      <c r="A693" s="117"/>
      <c r="B693" s="117"/>
    </row>
    <row r="694">
      <c r="A694" s="117"/>
      <c r="B694" s="117"/>
    </row>
    <row r="695">
      <c r="A695" s="117"/>
      <c r="B695" s="117"/>
    </row>
    <row r="696">
      <c r="A696" s="117"/>
      <c r="B696" s="117"/>
    </row>
    <row r="697">
      <c r="A697" s="117"/>
      <c r="B697" s="117"/>
    </row>
    <row r="698">
      <c r="A698" s="117"/>
      <c r="B698" s="117"/>
    </row>
    <row r="699">
      <c r="A699" s="117"/>
      <c r="B699" s="117"/>
    </row>
    <row r="700">
      <c r="A700" s="117"/>
      <c r="B700" s="117"/>
    </row>
    <row r="701">
      <c r="A701" s="117"/>
      <c r="B701" s="117"/>
    </row>
    <row r="702">
      <c r="A702" s="117"/>
      <c r="B702" s="117"/>
    </row>
    <row r="703">
      <c r="A703" s="117"/>
      <c r="B703" s="117"/>
    </row>
    <row r="704">
      <c r="A704" s="117"/>
      <c r="B704" s="117"/>
    </row>
    <row r="705">
      <c r="A705" s="117"/>
      <c r="B705" s="117"/>
    </row>
    <row r="706">
      <c r="A706" s="117"/>
      <c r="B706" s="117"/>
    </row>
    <row r="707">
      <c r="A707" s="117"/>
      <c r="B707" s="117"/>
    </row>
    <row r="708">
      <c r="A708" s="117"/>
      <c r="B708" s="117"/>
    </row>
    <row r="709">
      <c r="A709" s="117"/>
      <c r="B709" s="117"/>
    </row>
    <row r="710">
      <c r="A710" s="117"/>
      <c r="B710" s="117"/>
    </row>
    <row r="711">
      <c r="A711" s="117"/>
      <c r="B711" s="117"/>
    </row>
    <row r="712">
      <c r="A712" s="117"/>
      <c r="B712" s="117"/>
    </row>
    <row r="713">
      <c r="A713" s="117"/>
      <c r="B713" s="117"/>
    </row>
    <row r="714">
      <c r="A714" s="117"/>
      <c r="B714" s="117"/>
    </row>
    <row r="715">
      <c r="A715" s="117"/>
      <c r="B715" s="117"/>
    </row>
    <row r="716">
      <c r="A716" s="117"/>
      <c r="B716" s="117"/>
    </row>
    <row r="717">
      <c r="A717" s="117"/>
      <c r="B717" s="117"/>
    </row>
    <row r="718">
      <c r="A718" s="117"/>
      <c r="B718" s="117"/>
    </row>
    <row r="719">
      <c r="A719" s="117"/>
      <c r="B719" s="117"/>
    </row>
    <row r="720">
      <c r="A720" s="117"/>
      <c r="B720" s="117"/>
    </row>
    <row r="721">
      <c r="A721" s="117"/>
      <c r="B721" s="117"/>
    </row>
    <row r="722">
      <c r="A722" s="117"/>
      <c r="B722" s="117"/>
    </row>
    <row r="723">
      <c r="A723" s="117"/>
      <c r="B723" s="117"/>
    </row>
    <row r="724">
      <c r="A724" s="117"/>
      <c r="B724" s="117"/>
    </row>
    <row r="725">
      <c r="A725" s="117"/>
      <c r="B725" s="117"/>
    </row>
    <row r="726">
      <c r="A726" s="117"/>
      <c r="B726" s="117"/>
    </row>
    <row r="727">
      <c r="A727" s="117"/>
      <c r="B727" s="117"/>
    </row>
    <row r="728">
      <c r="A728" s="117"/>
      <c r="B728" s="117"/>
    </row>
    <row r="729">
      <c r="A729" s="117"/>
      <c r="B729" s="117"/>
    </row>
    <row r="730">
      <c r="A730" s="117"/>
      <c r="B730" s="117"/>
    </row>
    <row r="731">
      <c r="A731" s="117"/>
      <c r="B731" s="117"/>
    </row>
    <row r="732">
      <c r="A732" s="117"/>
      <c r="B732" s="117"/>
    </row>
    <row r="733">
      <c r="A733" s="117"/>
      <c r="B733" s="117"/>
    </row>
    <row r="734">
      <c r="A734" s="117"/>
      <c r="B734" s="117"/>
    </row>
    <row r="735">
      <c r="A735" s="117"/>
      <c r="B735" s="117"/>
    </row>
    <row r="736">
      <c r="A736" s="117"/>
      <c r="B736" s="117"/>
    </row>
    <row r="737">
      <c r="A737" s="117"/>
      <c r="B737" s="117"/>
    </row>
    <row r="738">
      <c r="A738" s="117"/>
      <c r="B738" s="117"/>
    </row>
    <row r="739">
      <c r="A739" s="117"/>
      <c r="B739" s="117"/>
    </row>
    <row r="740">
      <c r="A740" s="117"/>
      <c r="B740" s="117"/>
    </row>
    <row r="741">
      <c r="A741" s="117"/>
      <c r="B741" s="117"/>
    </row>
    <row r="742">
      <c r="A742" s="117"/>
      <c r="B742" s="117"/>
    </row>
    <row r="743">
      <c r="A743" s="117"/>
      <c r="B743" s="117"/>
    </row>
    <row r="744">
      <c r="A744" s="117"/>
      <c r="B744" s="117"/>
    </row>
    <row r="745">
      <c r="A745" s="117"/>
      <c r="B745" s="117"/>
    </row>
    <row r="746">
      <c r="A746" s="117"/>
      <c r="B746" s="117"/>
    </row>
    <row r="747">
      <c r="A747" s="117"/>
      <c r="B747" s="117"/>
    </row>
    <row r="748">
      <c r="A748" s="117"/>
      <c r="B748" s="117"/>
    </row>
    <row r="749">
      <c r="A749" s="117"/>
      <c r="B749" s="117"/>
    </row>
    <row r="750">
      <c r="A750" s="117"/>
      <c r="B750" s="117"/>
    </row>
    <row r="751">
      <c r="A751" s="117"/>
      <c r="B751" s="117"/>
    </row>
    <row r="752">
      <c r="A752" s="117"/>
      <c r="B752" s="117"/>
    </row>
    <row r="753">
      <c r="A753" s="117"/>
      <c r="B753" s="117"/>
    </row>
    <row r="754">
      <c r="A754" s="117"/>
      <c r="B754" s="117"/>
    </row>
    <row r="755">
      <c r="A755" s="117"/>
      <c r="B755" s="117"/>
    </row>
    <row r="756">
      <c r="A756" s="117"/>
      <c r="B756" s="117"/>
    </row>
    <row r="757">
      <c r="A757" s="117"/>
      <c r="B757" s="117"/>
    </row>
    <row r="758">
      <c r="A758" s="117"/>
      <c r="B758" s="117"/>
    </row>
    <row r="759">
      <c r="A759" s="117"/>
      <c r="B759" s="117"/>
    </row>
    <row r="760">
      <c r="A760" s="117"/>
      <c r="B760" s="117"/>
    </row>
    <row r="761">
      <c r="A761" s="117"/>
      <c r="B761" s="117"/>
    </row>
    <row r="762">
      <c r="A762" s="117"/>
      <c r="B762" s="117"/>
    </row>
    <row r="763">
      <c r="A763" s="117"/>
      <c r="B763" s="117"/>
    </row>
    <row r="764">
      <c r="A764" s="117"/>
      <c r="B764" s="117"/>
    </row>
    <row r="765">
      <c r="A765" s="117"/>
      <c r="B765" s="117"/>
    </row>
    <row r="766">
      <c r="A766" s="117"/>
      <c r="B766" s="117"/>
    </row>
    <row r="767">
      <c r="A767" s="117"/>
      <c r="B767" s="117"/>
    </row>
    <row r="768">
      <c r="A768" s="117"/>
      <c r="B768" s="117"/>
    </row>
    <row r="769">
      <c r="A769" s="117"/>
      <c r="B769" s="117"/>
    </row>
    <row r="770">
      <c r="A770" s="117"/>
      <c r="B770" s="117"/>
    </row>
    <row r="771">
      <c r="A771" s="117"/>
      <c r="B771" s="117"/>
    </row>
    <row r="772">
      <c r="A772" s="117"/>
      <c r="B772" s="117"/>
    </row>
    <row r="773">
      <c r="A773" s="117"/>
      <c r="B773" s="117"/>
    </row>
    <row r="774">
      <c r="A774" s="117"/>
      <c r="B774" s="117"/>
    </row>
    <row r="775">
      <c r="A775" s="117"/>
      <c r="B775" s="117"/>
    </row>
    <row r="776">
      <c r="A776" s="117"/>
      <c r="B776" s="117"/>
    </row>
    <row r="777">
      <c r="A777" s="117"/>
      <c r="B777" s="117"/>
    </row>
    <row r="778">
      <c r="A778" s="117"/>
      <c r="B778" s="117"/>
    </row>
    <row r="779">
      <c r="A779" s="117"/>
      <c r="B779" s="117"/>
    </row>
    <row r="780">
      <c r="A780" s="117"/>
      <c r="B780" s="117"/>
    </row>
    <row r="781">
      <c r="A781" s="117"/>
      <c r="B781" s="117"/>
    </row>
    <row r="782">
      <c r="A782" s="117"/>
      <c r="B782" s="117"/>
    </row>
    <row r="783">
      <c r="A783" s="117"/>
      <c r="B783" s="117"/>
    </row>
    <row r="784">
      <c r="A784" s="117"/>
      <c r="B784" s="117"/>
    </row>
    <row r="785">
      <c r="A785" s="117"/>
      <c r="B785" s="117"/>
    </row>
    <row r="786">
      <c r="A786" s="117"/>
      <c r="B786" s="117"/>
    </row>
    <row r="787">
      <c r="A787" s="117"/>
      <c r="B787" s="117"/>
    </row>
    <row r="788">
      <c r="A788" s="117"/>
      <c r="B788" s="117"/>
    </row>
    <row r="789">
      <c r="A789" s="117"/>
      <c r="B789" s="117"/>
    </row>
    <row r="790">
      <c r="A790" s="117"/>
      <c r="B790" s="117"/>
    </row>
    <row r="791">
      <c r="A791" s="117"/>
      <c r="B791" s="117"/>
    </row>
    <row r="792">
      <c r="A792" s="117"/>
      <c r="B792" s="117"/>
    </row>
    <row r="793">
      <c r="A793" s="117"/>
      <c r="B793" s="117"/>
    </row>
    <row r="794">
      <c r="A794" s="117"/>
      <c r="B794" s="117"/>
    </row>
    <row r="795">
      <c r="A795" s="117"/>
      <c r="B795" s="117"/>
    </row>
    <row r="796">
      <c r="A796" s="117"/>
      <c r="B796" s="117"/>
    </row>
    <row r="797">
      <c r="A797" s="117"/>
      <c r="B797" s="117"/>
    </row>
    <row r="798">
      <c r="A798" s="117"/>
      <c r="B798" s="117"/>
    </row>
    <row r="799">
      <c r="A799" s="117"/>
      <c r="B799" s="117"/>
    </row>
    <row r="800">
      <c r="A800" s="117"/>
      <c r="B800" s="117"/>
    </row>
    <row r="801">
      <c r="A801" s="117"/>
      <c r="B801" s="117"/>
    </row>
    <row r="802">
      <c r="A802" s="117"/>
      <c r="B802" s="117"/>
    </row>
    <row r="803">
      <c r="A803" s="117"/>
      <c r="B803" s="117"/>
    </row>
    <row r="804">
      <c r="A804" s="117"/>
      <c r="B804" s="117"/>
    </row>
    <row r="805">
      <c r="A805" s="117"/>
      <c r="B805" s="117"/>
    </row>
    <row r="806">
      <c r="A806" s="117"/>
      <c r="B806" s="117"/>
    </row>
    <row r="807">
      <c r="A807" s="117"/>
      <c r="B807" s="117"/>
    </row>
    <row r="808">
      <c r="A808" s="117"/>
      <c r="B808" s="117"/>
    </row>
    <row r="809">
      <c r="A809" s="117"/>
      <c r="B809" s="117"/>
    </row>
    <row r="810">
      <c r="A810" s="117"/>
      <c r="B810" s="117"/>
    </row>
    <row r="811">
      <c r="A811" s="117"/>
      <c r="B811" s="117"/>
    </row>
    <row r="812">
      <c r="A812" s="117"/>
      <c r="B812" s="117"/>
    </row>
    <row r="813">
      <c r="A813" s="117"/>
      <c r="B813" s="117"/>
    </row>
    <row r="814">
      <c r="A814" s="117"/>
      <c r="B814" s="117"/>
    </row>
    <row r="815">
      <c r="A815" s="117"/>
      <c r="B815" s="117"/>
    </row>
    <row r="816">
      <c r="A816" s="117"/>
      <c r="B816" s="117"/>
    </row>
    <row r="817">
      <c r="A817" s="117"/>
      <c r="B817" s="117"/>
    </row>
    <row r="818">
      <c r="A818" s="117"/>
      <c r="B818" s="117"/>
    </row>
    <row r="819">
      <c r="A819" s="117"/>
      <c r="B819" s="117"/>
    </row>
    <row r="820">
      <c r="A820" s="117"/>
      <c r="B820" s="117"/>
    </row>
    <row r="821">
      <c r="A821" s="117"/>
      <c r="B821" s="117"/>
    </row>
    <row r="822">
      <c r="A822" s="117"/>
      <c r="B822" s="117"/>
    </row>
    <row r="823">
      <c r="A823" s="117"/>
      <c r="B823" s="117"/>
    </row>
    <row r="824">
      <c r="A824" s="117"/>
      <c r="B824" s="117"/>
    </row>
    <row r="825">
      <c r="A825" s="117"/>
      <c r="B825" s="117"/>
    </row>
    <row r="826">
      <c r="A826" s="117"/>
      <c r="B826" s="117"/>
    </row>
    <row r="827">
      <c r="A827" s="117"/>
      <c r="B827" s="117"/>
    </row>
    <row r="828">
      <c r="A828" s="117"/>
      <c r="B828" s="117"/>
    </row>
    <row r="829">
      <c r="A829" s="117"/>
      <c r="B829" s="117"/>
    </row>
    <row r="830">
      <c r="A830" s="117"/>
      <c r="B830" s="117"/>
    </row>
    <row r="831">
      <c r="A831" s="117"/>
      <c r="B831" s="117"/>
    </row>
    <row r="832">
      <c r="A832" s="117"/>
      <c r="B832" s="117"/>
    </row>
    <row r="833">
      <c r="A833" s="117"/>
      <c r="B833" s="117"/>
    </row>
    <row r="834">
      <c r="A834" s="117"/>
      <c r="B834" s="117"/>
    </row>
    <row r="835">
      <c r="A835" s="117"/>
      <c r="B835" s="117"/>
    </row>
    <row r="836">
      <c r="A836" s="117"/>
      <c r="B836" s="117"/>
    </row>
    <row r="837">
      <c r="A837" s="117"/>
      <c r="B837" s="117"/>
    </row>
    <row r="838">
      <c r="A838" s="117"/>
      <c r="B838" s="117"/>
    </row>
    <row r="839">
      <c r="A839" s="117"/>
      <c r="B839" s="117"/>
    </row>
    <row r="840">
      <c r="A840" s="117"/>
      <c r="B840" s="117"/>
    </row>
    <row r="841">
      <c r="A841" s="117"/>
      <c r="B841" s="117"/>
    </row>
    <row r="842">
      <c r="A842" s="117"/>
      <c r="B842" s="117"/>
    </row>
    <row r="843">
      <c r="A843" s="117"/>
      <c r="B843" s="117"/>
    </row>
    <row r="844">
      <c r="A844" s="117"/>
      <c r="B844" s="117"/>
    </row>
    <row r="845">
      <c r="A845" s="117"/>
      <c r="B845" s="117"/>
    </row>
    <row r="846">
      <c r="A846" s="117"/>
      <c r="B846" s="117"/>
    </row>
    <row r="847">
      <c r="A847" s="117"/>
      <c r="B847" s="117"/>
    </row>
    <row r="848">
      <c r="A848" s="117"/>
      <c r="B848" s="117"/>
    </row>
    <row r="849">
      <c r="A849" s="117"/>
      <c r="B849" s="117"/>
    </row>
    <row r="850">
      <c r="A850" s="117"/>
      <c r="B850" s="117"/>
    </row>
    <row r="851">
      <c r="A851" s="117"/>
      <c r="B851" s="117"/>
    </row>
    <row r="852">
      <c r="A852" s="117"/>
      <c r="B852" s="117"/>
    </row>
    <row r="853">
      <c r="A853" s="117"/>
      <c r="B853" s="117"/>
    </row>
    <row r="854">
      <c r="A854" s="117"/>
      <c r="B854" s="117"/>
    </row>
    <row r="855">
      <c r="A855" s="117"/>
      <c r="B855" s="117"/>
    </row>
    <row r="856">
      <c r="A856" s="117"/>
      <c r="B856" s="117"/>
    </row>
    <row r="857">
      <c r="A857" s="117"/>
      <c r="B857" s="117"/>
    </row>
    <row r="858">
      <c r="A858" s="117"/>
      <c r="B858" s="117"/>
    </row>
    <row r="859">
      <c r="A859" s="117"/>
      <c r="B859" s="117"/>
    </row>
    <row r="860">
      <c r="A860" s="117"/>
      <c r="B860" s="117"/>
    </row>
    <row r="861">
      <c r="A861" s="117"/>
      <c r="B861" s="117"/>
    </row>
    <row r="862">
      <c r="A862" s="117"/>
      <c r="B862" s="117"/>
    </row>
    <row r="863">
      <c r="A863" s="117"/>
      <c r="B863" s="117"/>
    </row>
    <row r="864">
      <c r="A864" s="117"/>
      <c r="B864" s="117"/>
    </row>
    <row r="865">
      <c r="A865" s="117"/>
      <c r="B865" s="117"/>
    </row>
    <row r="866">
      <c r="A866" s="117"/>
      <c r="B866" s="117"/>
    </row>
    <row r="867">
      <c r="A867" s="117"/>
      <c r="B867" s="117"/>
    </row>
    <row r="868">
      <c r="A868" s="117"/>
      <c r="B868" s="117"/>
    </row>
    <row r="869">
      <c r="A869" s="117"/>
      <c r="B869" s="117"/>
    </row>
    <row r="870">
      <c r="A870" s="117"/>
      <c r="B870" s="117"/>
    </row>
    <row r="871">
      <c r="A871" s="117"/>
      <c r="B871" s="117"/>
    </row>
    <row r="872">
      <c r="A872" s="117"/>
      <c r="B872" s="117"/>
    </row>
    <row r="873">
      <c r="A873" s="117"/>
      <c r="B873" s="117"/>
    </row>
    <row r="874">
      <c r="A874" s="117"/>
      <c r="B874" s="117"/>
    </row>
    <row r="875">
      <c r="A875" s="117"/>
      <c r="B875" s="117"/>
    </row>
    <row r="876">
      <c r="A876" s="117"/>
      <c r="B876" s="117"/>
    </row>
    <row r="877">
      <c r="A877" s="117"/>
      <c r="B877" s="117"/>
    </row>
    <row r="878">
      <c r="A878" s="117"/>
      <c r="B878" s="117"/>
    </row>
    <row r="879">
      <c r="A879" s="117"/>
      <c r="B879" s="117"/>
    </row>
    <row r="880">
      <c r="A880" s="117"/>
      <c r="B880" s="117"/>
    </row>
    <row r="881">
      <c r="A881" s="117"/>
      <c r="B881" s="117"/>
    </row>
    <row r="882">
      <c r="A882" s="117"/>
      <c r="B882" s="117"/>
    </row>
    <row r="883">
      <c r="A883" s="117"/>
      <c r="B883" s="117"/>
    </row>
    <row r="884">
      <c r="A884" s="117"/>
      <c r="B884" s="117"/>
    </row>
    <row r="885">
      <c r="A885" s="117"/>
      <c r="B885" s="117"/>
    </row>
    <row r="886">
      <c r="A886" s="117"/>
      <c r="B886" s="117"/>
    </row>
    <row r="887">
      <c r="A887" s="117"/>
      <c r="B887" s="117"/>
    </row>
    <row r="888">
      <c r="A888" s="117"/>
      <c r="B888" s="117"/>
    </row>
    <row r="889">
      <c r="A889" s="117"/>
      <c r="B889" s="117"/>
    </row>
    <row r="890">
      <c r="A890" s="117"/>
      <c r="B890" s="117"/>
    </row>
    <row r="891">
      <c r="A891" s="117"/>
      <c r="B891" s="117"/>
    </row>
    <row r="892">
      <c r="A892" s="117"/>
      <c r="B892" s="117"/>
    </row>
    <row r="893">
      <c r="A893" s="117"/>
      <c r="B893" s="117"/>
    </row>
    <row r="894">
      <c r="A894" s="117"/>
      <c r="B894" s="117"/>
    </row>
    <row r="895">
      <c r="A895" s="117"/>
      <c r="B895" s="117"/>
    </row>
    <row r="896">
      <c r="A896" s="117"/>
      <c r="B896" s="117"/>
    </row>
    <row r="897">
      <c r="A897" s="117"/>
      <c r="B897" s="117"/>
    </row>
    <row r="898">
      <c r="A898" s="117"/>
      <c r="B898" s="117"/>
    </row>
    <row r="899">
      <c r="A899" s="117"/>
      <c r="B899" s="117"/>
    </row>
    <row r="900">
      <c r="A900" s="117"/>
      <c r="B900" s="117"/>
    </row>
    <row r="901">
      <c r="A901" s="117"/>
      <c r="B901" s="117"/>
    </row>
    <row r="902">
      <c r="A902" s="117"/>
      <c r="B902" s="117"/>
    </row>
    <row r="903">
      <c r="A903" s="117"/>
      <c r="B903" s="117"/>
    </row>
    <row r="904">
      <c r="A904" s="117"/>
      <c r="B904" s="117"/>
    </row>
    <row r="905">
      <c r="A905" s="117"/>
      <c r="B905" s="117"/>
    </row>
    <row r="906">
      <c r="A906" s="117"/>
      <c r="B906" s="117"/>
    </row>
    <row r="907">
      <c r="A907" s="117"/>
      <c r="B907" s="117"/>
    </row>
    <row r="908">
      <c r="A908" s="117"/>
      <c r="B908" s="117"/>
    </row>
    <row r="909">
      <c r="A909" s="117"/>
      <c r="B909" s="117"/>
    </row>
    <row r="910">
      <c r="A910" s="117"/>
      <c r="B910" s="117"/>
    </row>
    <row r="911">
      <c r="A911" s="117"/>
      <c r="B911" s="117"/>
    </row>
    <row r="912">
      <c r="A912" s="117"/>
      <c r="B912" s="117"/>
    </row>
    <row r="913">
      <c r="A913" s="117"/>
      <c r="B913" s="117"/>
    </row>
    <row r="914">
      <c r="A914" s="117"/>
      <c r="B914" s="117"/>
    </row>
    <row r="915">
      <c r="A915" s="117"/>
      <c r="B915" s="117"/>
    </row>
    <row r="916">
      <c r="A916" s="117"/>
      <c r="B916" s="117"/>
    </row>
    <row r="917">
      <c r="A917" s="117"/>
      <c r="B917" s="117"/>
    </row>
    <row r="918">
      <c r="A918" s="117"/>
      <c r="B918" s="117"/>
    </row>
    <row r="919">
      <c r="A919" s="117"/>
      <c r="B919" s="117"/>
    </row>
    <row r="920">
      <c r="A920" s="117"/>
      <c r="B920" s="117"/>
    </row>
    <row r="921">
      <c r="A921" s="117"/>
      <c r="B921" s="117"/>
    </row>
    <row r="922">
      <c r="A922" s="117"/>
      <c r="B922" s="117"/>
    </row>
    <row r="923">
      <c r="A923" s="117"/>
      <c r="B923" s="117"/>
    </row>
    <row r="924">
      <c r="A924" s="117"/>
      <c r="B924" s="117"/>
    </row>
    <row r="925">
      <c r="A925" s="117"/>
      <c r="B925" s="117"/>
    </row>
    <row r="926">
      <c r="A926" s="117"/>
      <c r="B926" s="117"/>
    </row>
    <row r="927">
      <c r="A927" s="117"/>
      <c r="B927" s="117"/>
    </row>
    <row r="928">
      <c r="A928" s="117"/>
      <c r="B928" s="117"/>
    </row>
    <row r="929">
      <c r="A929" s="117"/>
      <c r="B929" s="117"/>
    </row>
    <row r="930">
      <c r="A930" s="117"/>
      <c r="B930" s="117"/>
    </row>
    <row r="931">
      <c r="A931" s="117"/>
      <c r="B931" s="117"/>
    </row>
    <row r="932">
      <c r="A932" s="117"/>
      <c r="B932" s="117"/>
    </row>
    <row r="933">
      <c r="A933" s="117"/>
      <c r="B933" s="117"/>
    </row>
    <row r="934">
      <c r="A934" s="117"/>
      <c r="B934" s="117"/>
    </row>
    <row r="935">
      <c r="A935" s="117"/>
      <c r="B935" s="117"/>
    </row>
    <row r="936">
      <c r="A936" s="117"/>
      <c r="B936" s="117"/>
    </row>
    <row r="937">
      <c r="A937" s="117"/>
      <c r="B937" s="117"/>
    </row>
    <row r="938">
      <c r="A938" s="117"/>
      <c r="B938" s="117"/>
    </row>
    <row r="939">
      <c r="A939" s="117"/>
      <c r="B939" s="117"/>
    </row>
    <row r="940">
      <c r="A940" s="117"/>
      <c r="B940" s="117"/>
    </row>
    <row r="941">
      <c r="A941" s="117"/>
      <c r="B941" s="117"/>
    </row>
    <row r="942">
      <c r="A942" s="117"/>
      <c r="B942" s="117"/>
    </row>
    <row r="943">
      <c r="A943" s="117"/>
      <c r="B943" s="117"/>
    </row>
    <row r="944">
      <c r="A944" s="117"/>
      <c r="B944" s="117"/>
    </row>
    <row r="945">
      <c r="A945" s="117"/>
      <c r="B945" s="117"/>
    </row>
    <row r="946">
      <c r="A946" s="117"/>
      <c r="B946" s="117"/>
    </row>
    <row r="947">
      <c r="A947" s="117"/>
      <c r="B947" s="117"/>
    </row>
    <row r="948">
      <c r="A948" s="117"/>
      <c r="B948" s="117"/>
    </row>
    <row r="949">
      <c r="A949" s="117"/>
      <c r="B949" s="117"/>
    </row>
    <row r="950">
      <c r="A950" s="117"/>
      <c r="B950" s="117"/>
    </row>
    <row r="951">
      <c r="A951" s="117"/>
      <c r="B951" s="117"/>
    </row>
    <row r="952">
      <c r="A952" s="117"/>
      <c r="B952" s="117"/>
    </row>
    <row r="953">
      <c r="A953" s="117"/>
      <c r="B953" s="117"/>
    </row>
    <row r="954">
      <c r="A954" s="117"/>
      <c r="B954" s="117"/>
    </row>
    <row r="955">
      <c r="A955" s="117"/>
      <c r="B955" s="117"/>
    </row>
    <row r="956">
      <c r="A956" s="117"/>
      <c r="B956" s="117"/>
    </row>
    <row r="957">
      <c r="A957" s="117"/>
      <c r="B957" s="117"/>
    </row>
    <row r="958">
      <c r="A958" s="117"/>
      <c r="B958" s="117"/>
    </row>
    <row r="959">
      <c r="A959" s="117"/>
      <c r="B959" s="117"/>
    </row>
    <row r="960">
      <c r="A960" s="117"/>
      <c r="B960" s="117"/>
    </row>
    <row r="961">
      <c r="A961" s="117"/>
      <c r="B961" s="117"/>
    </row>
    <row r="962">
      <c r="A962" s="117"/>
      <c r="B962" s="117"/>
    </row>
    <row r="963">
      <c r="A963" s="117"/>
      <c r="B963" s="117"/>
    </row>
    <row r="964">
      <c r="A964" s="117"/>
      <c r="B964" s="117"/>
    </row>
    <row r="965">
      <c r="A965" s="117"/>
      <c r="B965" s="117"/>
    </row>
    <row r="966">
      <c r="A966" s="117"/>
      <c r="B966" s="117"/>
    </row>
    <row r="967">
      <c r="A967" s="117"/>
      <c r="B967" s="117"/>
    </row>
    <row r="968">
      <c r="A968" s="117"/>
      <c r="B968" s="117"/>
    </row>
    <row r="969">
      <c r="A969" s="117"/>
      <c r="B969" s="117"/>
    </row>
    <row r="970">
      <c r="A970" s="117"/>
      <c r="B970" s="117"/>
    </row>
    <row r="971">
      <c r="A971" s="117"/>
      <c r="B971" s="117"/>
    </row>
    <row r="972">
      <c r="A972" s="117"/>
      <c r="B972" s="117"/>
    </row>
    <row r="973">
      <c r="A973" s="117"/>
      <c r="B973" s="117"/>
    </row>
    <row r="974">
      <c r="A974" s="117"/>
      <c r="B974" s="117"/>
    </row>
    <row r="975">
      <c r="A975" s="117"/>
      <c r="B975" s="117"/>
    </row>
    <row r="976">
      <c r="A976" s="117"/>
      <c r="B976" s="117"/>
    </row>
    <row r="977">
      <c r="A977" s="117"/>
      <c r="B977" s="117"/>
    </row>
    <row r="978">
      <c r="A978" s="117"/>
      <c r="B978" s="117"/>
    </row>
    <row r="979">
      <c r="A979" s="117"/>
      <c r="B979" s="117"/>
    </row>
    <row r="980">
      <c r="A980" s="117"/>
      <c r="B980" s="117"/>
    </row>
    <row r="981">
      <c r="A981" s="117"/>
      <c r="B981" s="117"/>
    </row>
    <row r="982">
      <c r="A982" s="117"/>
      <c r="B982" s="117"/>
    </row>
    <row r="983">
      <c r="A983" s="117"/>
      <c r="B983" s="117"/>
    </row>
    <row r="984">
      <c r="A984" s="117"/>
      <c r="B984" s="117"/>
    </row>
    <row r="985">
      <c r="A985" s="117"/>
      <c r="B985" s="117"/>
    </row>
    <row r="986">
      <c r="A986" s="117"/>
      <c r="B986" s="117"/>
    </row>
    <row r="987">
      <c r="A987" s="117"/>
      <c r="B987" s="117"/>
    </row>
    <row r="988">
      <c r="A988" s="117"/>
      <c r="B988" s="117"/>
    </row>
    <row r="989">
      <c r="A989" s="117"/>
      <c r="B989" s="117"/>
    </row>
    <row r="990">
      <c r="A990" s="117"/>
      <c r="B990" s="117"/>
    </row>
    <row r="991">
      <c r="A991" s="117"/>
      <c r="B991" s="117"/>
    </row>
    <row r="992">
      <c r="A992" s="117"/>
      <c r="B992" s="117"/>
    </row>
    <row r="993">
      <c r="A993" s="117"/>
      <c r="B993" s="117"/>
    </row>
    <row r="994">
      <c r="A994" s="117"/>
      <c r="B994" s="117"/>
    </row>
    <row r="995">
      <c r="A995" s="117"/>
      <c r="B995" s="117"/>
    </row>
    <row r="996">
      <c r="A996" s="117"/>
      <c r="B996" s="117"/>
    </row>
    <row r="997">
      <c r="A997" s="117"/>
      <c r="B997" s="117"/>
    </row>
    <row r="998">
      <c r="A998" s="117"/>
      <c r="B998" s="117"/>
    </row>
    <row r="999">
      <c r="A999" s="117"/>
      <c r="B999" s="117"/>
    </row>
    <row r="1000">
      <c r="A1000" s="117"/>
      <c r="B1000" s="117"/>
    </row>
    <row r="1001">
      <c r="A1001" s="117"/>
      <c r="B1001" s="117"/>
    </row>
    <row r="1002">
      <c r="A1002" s="117"/>
      <c r="B1002" s="117"/>
    </row>
    <row r="1003">
      <c r="A1003" s="117"/>
      <c r="B1003" s="117"/>
    </row>
    <row r="1004">
      <c r="A1004" s="117"/>
      <c r="B1004" s="117"/>
    </row>
    <row r="1005">
      <c r="A1005" s="117"/>
      <c r="B1005" s="117"/>
    </row>
    <row r="1006">
      <c r="A1006" s="117"/>
      <c r="B1006" s="117"/>
    </row>
    <row r="1007">
      <c r="A1007" s="117"/>
      <c r="B1007" s="117"/>
    </row>
    <row r="1008">
      <c r="A1008" s="117"/>
      <c r="B1008" s="117"/>
    </row>
    <row r="1009">
      <c r="A1009" s="117"/>
      <c r="B1009" s="117"/>
    </row>
    <row r="1010">
      <c r="A1010" s="117"/>
      <c r="B1010" s="117"/>
    </row>
    <row r="1011">
      <c r="A1011" s="117"/>
      <c r="B1011" s="117"/>
    </row>
    <row r="1012">
      <c r="A1012" s="117"/>
      <c r="B1012" s="117"/>
    </row>
    <row r="1013">
      <c r="A1013" s="117"/>
      <c r="B1013" s="117"/>
    </row>
    <row r="1014">
      <c r="A1014" s="117"/>
      <c r="B1014" s="117"/>
    </row>
    <row r="1015">
      <c r="A1015" s="117"/>
      <c r="B1015" s="117"/>
    </row>
    <row r="1016">
      <c r="A1016" s="117"/>
      <c r="B1016" s="117"/>
    </row>
    <row r="1017">
      <c r="A1017" s="117"/>
      <c r="B1017" s="117"/>
    </row>
    <row r="1018">
      <c r="A1018" s="117"/>
      <c r="B1018" s="117"/>
    </row>
    <row r="1019">
      <c r="A1019" s="117"/>
      <c r="B1019" s="117"/>
    </row>
    <row r="1020">
      <c r="A1020" s="117"/>
      <c r="B1020" s="117"/>
    </row>
    <row r="1021">
      <c r="A1021" s="117"/>
      <c r="B1021" s="117"/>
    </row>
    <row r="1022">
      <c r="A1022" s="117"/>
      <c r="B1022" s="117"/>
    </row>
    <row r="1023">
      <c r="A1023" s="117"/>
      <c r="B1023" s="117"/>
    </row>
    <row r="1024">
      <c r="A1024" s="117"/>
      <c r="B1024" s="117"/>
    </row>
    <row r="1025">
      <c r="A1025" s="117"/>
      <c r="B1025" s="117"/>
    </row>
    <row r="1026">
      <c r="A1026" s="117"/>
      <c r="B1026" s="117"/>
    </row>
    <row r="1027">
      <c r="A1027" s="117"/>
      <c r="B1027" s="117"/>
    </row>
    <row r="1028">
      <c r="A1028" s="117"/>
      <c r="B1028" s="117"/>
    </row>
    <row r="1029">
      <c r="A1029" s="117"/>
      <c r="B1029" s="117"/>
    </row>
    <row r="1030">
      <c r="A1030" s="117"/>
      <c r="B1030" s="117"/>
    </row>
    <row r="1031">
      <c r="A1031" s="117"/>
      <c r="B1031" s="117"/>
    </row>
    <row r="1032">
      <c r="A1032" s="117"/>
      <c r="B1032" s="117"/>
    </row>
    <row r="1033">
      <c r="A1033" s="117"/>
      <c r="B1033" s="117"/>
    </row>
    <row r="1034">
      <c r="A1034" s="117"/>
      <c r="B1034" s="117"/>
    </row>
    <row r="1035">
      <c r="A1035" s="117"/>
      <c r="B1035" s="117"/>
    </row>
    <row r="1036">
      <c r="A1036" s="117"/>
      <c r="B1036" s="117"/>
    </row>
    <row r="1037">
      <c r="A1037" s="117"/>
      <c r="B1037" s="117"/>
    </row>
    <row r="1038">
      <c r="A1038" s="117"/>
      <c r="B1038" s="117"/>
    </row>
    <row r="1039">
      <c r="A1039" s="117"/>
      <c r="B1039" s="117"/>
    </row>
    <row r="1040">
      <c r="A1040" s="117"/>
      <c r="B1040" s="117"/>
    </row>
    <row r="1041">
      <c r="A1041" s="117"/>
      <c r="B1041" s="117"/>
    </row>
    <row r="1042">
      <c r="A1042" s="117"/>
      <c r="B1042" s="117"/>
    </row>
    <row r="1043">
      <c r="A1043" s="117"/>
      <c r="B1043" s="117"/>
    </row>
    <row r="1044">
      <c r="A1044" s="117"/>
      <c r="B1044" s="117"/>
    </row>
    <row r="1045">
      <c r="A1045" s="117"/>
      <c r="B1045" s="117"/>
    </row>
    <row r="1046">
      <c r="A1046" s="117"/>
      <c r="B1046" s="117"/>
    </row>
    <row r="1047">
      <c r="A1047" s="117"/>
      <c r="B1047" s="117"/>
    </row>
    <row r="1048">
      <c r="A1048" s="117"/>
      <c r="B1048" s="117"/>
    </row>
    <row r="1049">
      <c r="A1049" s="117"/>
      <c r="B1049" s="117"/>
    </row>
    <row r="1050">
      <c r="A1050" s="117"/>
      <c r="B1050" s="117"/>
    </row>
    <row r="1051">
      <c r="A1051" s="117"/>
      <c r="B1051" s="117"/>
    </row>
    <row r="1052">
      <c r="A1052" s="117"/>
      <c r="B1052" s="117"/>
    </row>
    <row r="1053">
      <c r="A1053" s="117"/>
      <c r="B1053" s="117"/>
    </row>
    <row r="1054">
      <c r="A1054" s="117"/>
      <c r="B1054" s="117"/>
    </row>
    <row r="1055">
      <c r="A1055" s="117"/>
      <c r="B1055" s="117"/>
    </row>
    <row r="1056">
      <c r="A1056" s="117"/>
      <c r="B1056" s="117"/>
    </row>
    <row r="1057">
      <c r="A1057" s="117"/>
      <c r="B1057" s="117"/>
    </row>
    <row r="1058">
      <c r="A1058" s="117"/>
      <c r="B1058" s="117"/>
    </row>
    <row r="1059">
      <c r="A1059" s="117"/>
      <c r="B1059" s="117"/>
    </row>
    <row r="1060">
      <c r="A1060" s="117"/>
      <c r="B1060" s="117"/>
    </row>
    <row r="1061">
      <c r="A1061" s="117"/>
      <c r="B1061" s="117"/>
    </row>
    <row r="1062">
      <c r="A1062" s="117"/>
      <c r="B1062" s="117"/>
    </row>
    <row r="1063">
      <c r="A1063" s="117"/>
      <c r="B1063" s="117"/>
    </row>
    <row r="1064">
      <c r="A1064" s="117"/>
      <c r="B1064" s="117"/>
    </row>
    <row r="1065">
      <c r="A1065" s="117"/>
      <c r="B1065" s="117"/>
    </row>
    <row r="1066">
      <c r="A1066" s="117"/>
      <c r="B1066" s="117"/>
    </row>
    <row r="1067">
      <c r="A1067" s="117"/>
      <c r="B1067" s="117"/>
    </row>
    <row r="1068">
      <c r="A1068" s="117"/>
      <c r="B1068" s="117"/>
    </row>
    <row r="1069">
      <c r="A1069" s="117"/>
      <c r="B1069" s="117"/>
    </row>
    <row r="1070">
      <c r="A1070" s="117"/>
      <c r="B1070" s="117"/>
    </row>
    <row r="1071">
      <c r="A1071" s="117"/>
      <c r="B1071" s="117"/>
    </row>
    <row r="1072">
      <c r="A1072" s="117"/>
      <c r="B1072" s="117"/>
    </row>
    <row r="1073">
      <c r="A1073" s="117"/>
      <c r="B1073" s="117"/>
    </row>
    <row r="1074">
      <c r="A1074" s="117"/>
      <c r="B1074" s="117"/>
    </row>
    <row r="1075">
      <c r="A1075" s="117"/>
      <c r="B1075" s="117"/>
    </row>
    <row r="1076">
      <c r="A1076" s="117"/>
      <c r="B1076" s="117"/>
    </row>
    <row r="1077">
      <c r="A1077" s="117"/>
      <c r="B1077" s="117"/>
    </row>
    <row r="1078">
      <c r="A1078" s="117"/>
      <c r="B1078" s="117"/>
    </row>
    <row r="1079">
      <c r="A1079" s="117"/>
      <c r="B1079" s="117"/>
    </row>
    <row r="1080">
      <c r="A1080" s="117"/>
      <c r="B1080" s="117"/>
    </row>
    <row r="1081">
      <c r="A1081" s="117"/>
      <c r="B1081" s="117"/>
    </row>
    <row r="1082">
      <c r="A1082" s="117"/>
      <c r="B1082" s="117"/>
    </row>
    <row r="1083">
      <c r="A1083" s="117"/>
      <c r="B1083" s="117"/>
    </row>
    <row r="1084">
      <c r="A1084" s="117"/>
      <c r="B1084" s="11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08">
        <v>45930.0</v>
      </c>
      <c r="C1" s="109" t="s">
        <v>62</v>
      </c>
      <c r="D1" s="110" t="s">
        <v>63</v>
      </c>
      <c r="E1" s="110" t="s">
        <v>64</v>
      </c>
      <c r="F1" s="110" t="s">
        <v>65</v>
      </c>
      <c r="G1" s="110" t="s">
        <v>66</v>
      </c>
      <c r="H1" s="110" t="s">
        <v>67</v>
      </c>
      <c r="I1" s="110" t="s">
        <v>68</v>
      </c>
      <c r="J1" s="110" t="s">
        <v>69</v>
      </c>
      <c r="K1" s="110" t="s">
        <v>70</v>
      </c>
      <c r="L1" s="110" t="s">
        <v>71</v>
      </c>
      <c r="M1" s="110" t="s">
        <v>72</v>
      </c>
      <c r="N1" s="110" t="s">
        <v>73</v>
      </c>
      <c r="O1" s="110" t="s">
        <v>74</v>
      </c>
      <c r="P1" s="110" t="s">
        <v>75</v>
      </c>
      <c r="Q1" s="110" t="s">
        <v>76</v>
      </c>
      <c r="R1" s="110" t="s">
        <v>77</v>
      </c>
      <c r="S1" s="110" t="s">
        <v>78</v>
      </c>
      <c r="T1" s="110" t="s">
        <v>79</v>
      </c>
      <c r="U1" s="110" t="s">
        <v>80</v>
      </c>
      <c r="V1" s="110" t="s">
        <v>81</v>
      </c>
      <c r="W1" s="110" t="s">
        <v>82</v>
      </c>
      <c r="X1" s="110" t="s">
        <v>83</v>
      </c>
      <c r="Y1" s="110" t="s">
        <v>84</v>
      </c>
      <c r="Z1" s="110" t="s">
        <v>85</v>
      </c>
      <c r="AA1" s="110" t="s">
        <v>86</v>
      </c>
      <c r="AB1" s="110" t="s">
        <v>87</v>
      </c>
    </row>
    <row r="2" ht="22.5" customHeight="1">
      <c r="A2" s="1" t="s">
        <v>0</v>
      </c>
      <c r="B2" s="1" t="s">
        <v>1</v>
      </c>
      <c r="C2" s="4" t="s">
        <v>88</v>
      </c>
      <c r="D2" s="111" t="s">
        <v>89</v>
      </c>
      <c r="E2" s="111" t="s">
        <v>90</v>
      </c>
      <c r="F2" s="111" t="s">
        <v>91</v>
      </c>
      <c r="G2" s="111" t="s">
        <v>92</v>
      </c>
      <c r="H2" s="112" t="s">
        <v>93</v>
      </c>
      <c r="I2" s="112" t="s">
        <v>94</v>
      </c>
      <c r="J2" s="113" t="s">
        <v>95</v>
      </c>
      <c r="K2" s="112" t="s">
        <v>96</v>
      </c>
      <c r="L2" s="112" t="s">
        <v>97</v>
      </c>
      <c r="M2" s="112" t="s">
        <v>98</v>
      </c>
      <c r="N2" s="112" t="s">
        <v>99</v>
      </c>
      <c r="O2" s="112" t="s">
        <v>100</v>
      </c>
      <c r="P2" s="111" t="s">
        <v>101</v>
      </c>
      <c r="Q2" s="111" t="s">
        <v>102</v>
      </c>
      <c r="R2" s="111" t="s">
        <v>103</v>
      </c>
      <c r="S2" s="111" t="s">
        <v>104</v>
      </c>
      <c r="T2" s="111" t="s">
        <v>105</v>
      </c>
      <c r="U2" s="111"/>
      <c r="V2" s="111"/>
      <c r="W2" s="114" t="s">
        <v>106</v>
      </c>
      <c r="X2" s="4" t="s">
        <v>107</v>
      </c>
      <c r="Y2" s="4" t="s">
        <v>108</v>
      </c>
      <c r="Z2" s="115" t="s">
        <v>109</v>
      </c>
      <c r="AA2" s="116" t="s">
        <v>24</v>
      </c>
      <c r="AB2" s="116" t="s">
        <v>110</v>
      </c>
      <c r="AC2" s="1" t="s">
        <v>111</v>
      </c>
      <c r="AD2" s="117"/>
      <c r="AE2" s="117"/>
      <c r="AF2" s="117"/>
      <c r="AG2" s="117"/>
      <c r="AH2" s="117"/>
      <c r="AI2" s="117"/>
      <c r="AJ2" s="117"/>
    </row>
    <row r="3" ht="22.5" customHeight="1">
      <c r="A3" s="2">
        <v>608.0</v>
      </c>
      <c r="B3" s="118" t="s">
        <v>2</v>
      </c>
      <c r="C3" s="119"/>
      <c r="D3" s="120">
        <v>40000.0</v>
      </c>
      <c r="E3" s="120">
        <v>5000.0</v>
      </c>
      <c r="F3" s="120">
        <v>5000.0</v>
      </c>
      <c r="G3" s="120">
        <v>2000.0</v>
      </c>
      <c r="H3" s="120">
        <v>10000.0</v>
      </c>
      <c r="I3" s="120">
        <v>0.0</v>
      </c>
      <c r="J3" s="121"/>
      <c r="K3" s="122">
        <v>0.0</v>
      </c>
      <c r="L3" s="122">
        <v>0.0</v>
      </c>
      <c r="M3" s="120"/>
      <c r="N3" s="119"/>
      <c r="O3" s="119"/>
      <c r="P3" s="119"/>
      <c r="Q3" s="120"/>
      <c r="R3" s="123"/>
      <c r="S3" s="123"/>
      <c r="T3" s="124"/>
      <c r="U3" s="123"/>
      <c r="V3" s="123"/>
      <c r="W3" s="125">
        <f t="shared" ref="W3:W110" si="1">SUM(D3:V3)</f>
        <v>62000</v>
      </c>
      <c r="X3" s="126">
        <v>23993.0</v>
      </c>
      <c r="Y3" s="126"/>
      <c r="Z3" s="127">
        <f t="shared" ref="Z3:Z109" si="2">SUM(W3:Y3)</f>
        <v>85993</v>
      </c>
      <c r="AA3" s="128"/>
      <c r="AB3" s="129" t="s">
        <v>112</v>
      </c>
      <c r="AC3" s="130">
        <f t="shared" ref="AC3:AC4" si="3">C3-M3</f>
        <v>0</v>
      </c>
    </row>
    <row r="4" ht="22.5" customHeight="1">
      <c r="A4" s="2">
        <v>703.0</v>
      </c>
      <c r="B4" s="4" t="s">
        <v>3</v>
      </c>
      <c r="C4" s="131"/>
      <c r="D4" s="120">
        <v>40000.0</v>
      </c>
      <c r="E4" s="120">
        <v>5000.0</v>
      </c>
      <c r="F4" s="120">
        <v>5000.0</v>
      </c>
      <c r="G4" s="120">
        <v>2000.0</v>
      </c>
      <c r="H4" s="120">
        <v>10000.0</v>
      </c>
      <c r="I4" s="119">
        <v>1100.0</v>
      </c>
      <c r="J4" s="121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25">
        <f t="shared" si="1"/>
        <v>63100</v>
      </c>
      <c r="X4" s="126"/>
      <c r="Y4" s="126"/>
      <c r="Z4" s="127">
        <f t="shared" si="2"/>
        <v>63100</v>
      </c>
      <c r="AA4" s="128"/>
      <c r="AB4" s="129" t="s">
        <v>112</v>
      </c>
      <c r="AC4" s="133">
        <f t="shared" si="3"/>
        <v>0</v>
      </c>
    </row>
    <row r="5" ht="22.5" customHeight="1">
      <c r="A5" s="2">
        <v>801.0</v>
      </c>
      <c r="B5" s="118" t="s">
        <v>120</v>
      </c>
      <c r="C5" s="134"/>
      <c r="D5" s="120">
        <v>40000.0</v>
      </c>
      <c r="E5" s="120">
        <v>5000.0</v>
      </c>
      <c r="F5" s="120">
        <v>5000.0</v>
      </c>
      <c r="G5" s="120">
        <v>2000.0</v>
      </c>
      <c r="H5" s="120">
        <v>10000.0</v>
      </c>
      <c r="I5" s="119">
        <v>26840.0</v>
      </c>
      <c r="J5" s="121"/>
      <c r="K5" s="136">
        <v>6897.0</v>
      </c>
      <c r="L5" s="150">
        <v>1387.0</v>
      </c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5">
        <f t="shared" si="1"/>
        <v>97124</v>
      </c>
      <c r="X5" s="126"/>
      <c r="Y5" s="126"/>
      <c r="Z5" s="127">
        <f t="shared" si="2"/>
        <v>97124</v>
      </c>
      <c r="AA5" s="128"/>
      <c r="AB5" s="129" t="s">
        <v>112</v>
      </c>
      <c r="AC5" s="135">
        <v>0.0</v>
      </c>
    </row>
    <row r="6" ht="22.5" customHeight="1">
      <c r="A6" s="1">
        <v>813.0</v>
      </c>
      <c r="B6" s="4" t="s">
        <v>114</v>
      </c>
      <c r="C6" s="131"/>
      <c r="D6" s="120">
        <v>40000.0</v>
      </c>
      <c r="E6" s="120">
        <v>5000.0</v>
      </c>
      <c r="F6" s="120">
        <v>5000.0</v>
      </c>
      <c r="G6" s="120">
        <v>2000.0</v>
      </c>
      <c r="H6" s="120">
        <v>10000.0</v>
      </c>
      <c r="I6" s="119">
        <v>1100.0</v>
      </c>
      <c r="J6" s="121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25">
        <f t="shared" si="1"/>
        <v>63100</v>
      </c>
      <c r="X6" s="126"/>
      <c r="Y6" s="126"/>
      <c r="Z6" s="127">
        <f t="shared" si="2"/>
        <v>63100</v>
      </c>
      <c r="AA6" s="128"/>
      <c r="AB6" s="129" t="s">
        <v>112</v>
      </c>
      <c r="AC6" s="133">
        <f t="shared" ref="AC6:AC109" si="4">C6-M6</f>
        <v>0</v>
      </c>
    </row>
    <row r="7" ht="22.5" customHeight="1">
      <c r="A7" s="1">
        <v>906.0</v>
      </c>
      <c r="B7" s="4"/>
      <c r="C7" s="131"/>
      <c r="D7" s="119"/>
      <c r="E7" s="119"/>
      <c r="F7" s="119"/>
      <c r="G7" s="119"/>
      <c r="H7" s="119"/>
      <c r="I7" s="119"/>
      <c r="J7" s="121"/>
      <c r="K7" s="119"/>
      <c r="L7" s="119"/>
      <c r="M7" s="119"/>
      <c r="N7" s="119"/>
      <c r="O7" s="119"/>
      <c r="P7" s="119"/>
      <c r="Q7" s="119"/>
      <c r="R7" s="137"/>
      <c r="S7" s="137"/>
      <c r="T7" s="137"/>
      <c r="U7" s="137"/>
      <c r="V7" s="137"/>
      <c r="W7" s="125">
        <f t="shared" si="1"/>
        <v>0</v>
      </c>
      <c r="X7" s="138"/>
      <c r="Y7" s="138"/>
      <c r="Z7" s="127">
        <f t="shared" si="2"/>
        <v>0</v>
      </c>
      <c r="AA7" s="128"/>
      <c r="AB7" s="129" t="s">
        <v>112</v>
      </c>
      <c r="AC7" s="133">
        <f t="shared" si="4"/>
        <v>0</v>
      </c>
    </row>
    <row r="8" ht="22.5" customHeight="1">
      <c r="A8" s="1">
        <v>913.0</v>
      </c>
      <c r="B8" s="4" t="s">
        <v>117</v>
      </c>
      <c r="C8" s="134">
        <v>77000.0</v>
      </c>
      <c r="D8" s="120">
        <v>40000.0</v>
      </c>
      <c r="E8" s="120">
        <v>5000.0</v>
      </c>
      <c r="F8" s="120">
        <v>5000.0</v>
      </c>
      <c r="G8" s="120">
        <v>2000.0</v>
      </c>
      <c r="H8" s="120">
        <v>10000.0</v>
      </c>
      <c r="I8" s="119">
        <v>40150.0</v>
      </c>
      <c r="J8" s="121">
        <v>-83160.0</v>
      </c>
      <c r="K8" s="119">
        <v>10890.0</v>
      </c>
      <c r="L8" s="119">
        <v>2190.0</v>
      </c>
      <c r="M8" s="119">
        <v>10000.0</v>
      </c>
      <c r="N8" s="119"/>
      <c r="O8" s="119"/>
      <c r="P8" s="119"/>
      <c r="Q8" s="119">
        <v>9906.0</v>
      </c>
      <c r="R8" s="137"/>
      <c r="S8" s="137"/>
      <c r="T8" s="137"/>
      <c r="U8" s="137"/>
      <c r="V8" s="137"/>
      <c r="W8" s="125">
        <f t="shared" si="1"/>
        <v>51976</v>
      </c>
      <c r="X8" s="138">
        <v>45894.0</v>
      </c>
      <c r="Y8" s="138">
        <v>12130.0</v>
      </c>
      <c r="Z8" s="127">
        <f t="shared" si="2"/>
        <v>110000</v>
      </c>
      <c r="AA8" s="128" t="s">
        <v>118</v>
      </c>
      <c r="AB8" s="129" t="s">
        <v>112</v>
      </c>
      <c r="AC8" s="133">
        <f t="shared" si="4"/>
        <v>67000</v>
      </c>
    </row>
    <row r="9" ht="22.5" customHeight="1">
      <c r="A9" s="1">
        <v>915.0</v>
      </c>
      <c r="B9" s="4" t="s">
        <v>7</v>
      </c>
      <c r="C9" s="134">
        <v>140000.0</v>
      </c>
      <c r="D9" s="120">
        <v>40000.0</v>
      </c>
      <c r="E9" s="120">
        <v>5000.0</v>
      </c>
      <c r="F9" s="120">
        <v>5000.0</v>
      </c>
      <c r="G9" s="120">
        <v>2000.0</v>
      </c>
      <c r="H9" s="120">
        <v>10000.0</v>
      </c>
      <c r="I9" s="119">
        <v>42900.0</v>
      </c>
      <c r="J9" s="121">
        <v>-33190.0</v>
      </c>
      <c r="K9" s="119">
        <v>7260.0</v>
      </c>
      <c r="L9" s="119">
        <v>2190.0</v>
      </c>
      <c r="M9" s="119">
        <v>10000.0</v>
      </c>
      <c r="N9" s="119"/>
      <c r="O9" s="119"/>
      <c r="P9" s="119"/>
      <c r="Q9" s="119">
        <v>7550.0</v>
      </c>
      <c r="R9" s="119"/>
      <c r="S9" s="119"/>
      <c r="T9" s="119"/>
      <c r="U9" s="119"/>
      <c r="V9" s="119"/>
      <c r="W9" s="125">
        <f t="shared" si="1"/>
        <v>98710</v>
      </c>
      <c r="X9" s="126">
        <v>31290.0</v>
      </c>
      <c r="Y9" s="126"/>
      <c r="Z9" s="127">
        <f t="shared" si="2"/>
        <v>130000</v>
      </c>
      <c r="AA9" s="151">
        <v>45974.0</v>
      </c>
      <c r="AB9" s="129" t="s">
        <v>112</v>
      </c>
      <c r="AC9" s="133">
        <f t="shared" si="4"/>
        <v>130000</v>
      </c>
    </row>
    <row r="10" ht="22.5" customHeight="1">
      <c r="A10" s="1">
        <v>1005.0</v>
      </c>
      <c r="B10" s="4"/>
      <c r="C10" s="134"/>
      <c r="D10" s="120"/>
      <c r="E10" s="120"/>
      <c r="F10" s="120"/>
      <c r="G10" s="120"/>
      <c r="H10" s="120"/>
      <c r="I10" s="119"/>
      <c r="J10" s="121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25">
        <f t="shared" si="1"/>
        <v>0</v>
      </c>
      <c r="X10" s="140"/>
      <c r="Y10" s="140"/>
      <c r="Z10" s="127">
        <f t="shared" si="2"/>
        <v>0</v>
      </c>
      <c r="AA10" s="128"/>
      <c r="AB10" s="129" t="s">
        <v>112</v>
      </c>
      <c r="AC10" s="133">
        <f t="shared" si="4"/>
        <v>0</v>
      </c>
    </row>
    <row r="11" ht="22.5" customHeight="1">
      <c r="A11" s="1">
        <v>1006.0</v>
      </c>
      <c r="B11" s="4" t="s">
        <v>8</v>
      </c>
      <c r="C11" s="134">
        <v>150000.0</v>
      </c>
      <c r="D11" s="120">
        <v>40000.0</v>
      </c>
      <c r="E11" s="120">
        <v>5000.0</v>
      </c>
      <c r="F11" s="120">
        <v>5000.0</v>
      </c>
      <c r="G11" s="120">
        <v>2000.0</v>
      </c>
      <c r="H11" s="120">
        <v>10000.0</v>
      </c>
      <c r="I11" s="119">
        <v>30800.0</v>
      </c>
      <c r="J11" s="121"/>
      <c r="K11" s="119">
        <v>0.0</v>
      </c>
      <c r="L11" s="119">
        <v>0.0</v>
      </c>
      <c r="M11" s="119">
        <v>10000.0</v>
      </c>
      <c r="N11" s="119"/>
      <c r="O11" s="119"/>
      <c r="P11" s="119"/>
      <c r="Q11" s="119"/>
      <c r="R11" s="119"/>
      <c r="S11" s="119"/>
      <c r="T11" s="119"/>
      <c r="U11" s="119"/>
      <c r="V11" s="119"/>
      <c r="W11" s="125">
        <f t="shared" si="1"/>
        <v>102800</v>
      </c>
      <c r="X11" s="126"/>
      <c r="Y11" s="126"/>
      <c r="Z11" s="127">
        <f t="shared" si="2"/>
        <v>102800</v>
      </c>
      <c r="AA11" s="128" t="s">
        <v>119</v>
      </c>
      <c r="AB11" s="129" t="s">
        <v>112</v>
      </c>
      <c r="AC11" s="133">
        <f t="shared" si="4"/>
        <v>140000</v>
      </c>
    </row>
    <row r="12" ht="22.5" customHeight="1">
      <c r="A12" s="1">
        <v>1012.0</v>
      </c>
      <c r="B12" s="4"/>
      <c r="C12" s="134"/>
      <c r="D12" s="120"/>
      <c r="E12" s="120"/>
      <c r="F12" s="120"/>
      <c r="G12" s="120"/>
      <c r="H12" s="120"/>
      <c r="I12" s="119"/>
      <c r="J12" s="121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25">
        <f t="shared" si="1"/>
        <v>0</v>
      </c>
      <c r="X12" s="140"/>
      <c r="Y12" s="140"/>
      <c r="Z12" s="127">
        <f t="shared" si="2"/>
        <v>0</v>
      </c>
      <c r="AA12" s="128"/>
      <c r="AB12" s="129" t="s">
        <v>112</v>
      </c>
      <c r="AC12" s="133">
        <f t="shared" si="4"/>
        <v>0</v>
      </c>
    </row>
    <row r="13" ht="22.5" customHeight="1">
      <c r="A13" s="1"/>
      <c r="B13" s="4"/>
      <c r="C13" s="131"/>
      <c r="D13" s="120"/>
      <c r="E13" s="120"/>
      <c r="F13" s="120"/>
      <c r="G13" s="120"/>
      <c r="H13" s="120"/>
      <c r="I13" s="119"/>
      <c r="J13" s="121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25">
        <f t="shared" si="1"/>
        <v>0</v>
      </c>
      <c r="X13" s="140"/>
      <c r="Y13" s="140"/>
      <c r="Z13" s="127">
        <f t="shared" si="2"/>
        <v>0</v>
      </c>
      <c r="AA13" s="128"/>
      <c r="AB13" s="129" t="s">
        <v>112</v>
      </c>
      <c r="AC13" s="133">
        <f t="shared" si="4"/>
        <v>0</v>
      </c>
    </row>
    <row r="14" ht="22.5" customHeight="1">
      <c r="A14" s="1" t="str">
        <f>'入居者'!A13</f>
        <v/>
      </c>
      <c r="B14" s="4"/>
      <c r="C14" s="131"/>
      <c r="D14" s="119"/>
      <c r="E14" s="119"/>
      <c r="F14" s="119"/>
      <c r="G14" s="119"/>
      <c r="H14" s="119"/>
      <c r="I14" s="119"/>
      <c r="J14" s="121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25">
        <f t="shared" si="1"/>
        <v>0</v>
      </c>
      <c r="X14" s="119"/>
      <c r="Y14" s="119"/>
      <c r="Z14" s="127">
        <f t="shared" si="2"/>
        <v>0</v>
      </c>
      <c r="AA14" s="141"/>
      <c r="AB14" s="142"/>
      <c r="AC14" s="133">
        <f t="shared" si="4"/>
        <v>0</v>
      </c>
      <c r="AD14" s="142"/>
      <c r="AE14" s="142"/>
      <c r="AF14" s="142"/>
      <c r="AG14" s="142"/>
      <c r="AH14" s="142"/>
      <c r="AI14" s="142"/>
      <c r="AJ14" s="142"/>
    </row>
    <row r="15" ht="22.5" customHeight="1">
      <c r="A15" s="4"/>
      <c r="B15" s="4"/>
      <c r="C15" s="131"/>
      <c r="D15" s="119"/>
      <c r="E15" s="119"/>
      <c r="F15" s="119"/>
      <c r="G15" s="119"/>
      <c r="H15" s="119"/>
      <c r="I15" s="119"/>
      <c r="J15" s="121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25">
        <f t="shared" si="1"/>
        <v>0</v>
      </c>
      <c r="X15" s="119"/>
      <c r="Y15" s="119"/>
      <c r="Z15" s="127">
        <f t="shared" si="2"/>
        <v>0</v>
      </c>
      <c r="AA15" s="141"/>
      <c r="AB15" s="142"/>
      <c r="AC15" s="133">
        <f t="shared" si="4"/>
        <v>0</v>
      </c>
      <c r="AD15" s="142"/>
      <c r="AE15" s="142"/>
      <c r="AF15" s="142"/>
      <c r="AG15" s="142"/>
      <c r="AH15" s="142"/>
      <c r="AI15" s="142"/>
      <c r="AJ15" s="142"/>
    </row>
    <row r="16" ht="22.5" customHeight="1">
      <c r="A16" s="4"/>
      <c r="B16" s="4"/>
      <c r="C16" s="131"/>
      <c r="D16" s="119"/>
      <c r="E16" s="119"/>
      <c r="F16" s="119"/>
      <c r="G16" s="119"/>
      <c r="H16" s="119"/>
      <c r="I16" s="119"/>
      <c r="J16" s="121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25">
        <f t="shared" si="1"/>
        <v>0</v>
      </c>
      <c r="X16" s="119"/>
      <c r="Y16" s="119"/>
      <c r="Z16" s="127">
        <f t="shared" si="2"/>
        <v>0</v>
      </c>
      <c r="AA16" s="141"/>
      <c r="AB16" s="142"/>
      <c r="AC16" s="133">
        <f t="shared" si="4"/>
        <v>0</v>
      </c>
      <c r="AD16" s="142"/>
      <c r="AE16" s="142"/>
      <c r="AF16" s="142"/>
      <c r="AG16" s="142"/>
      <c r="AH16" s="142"/>
      <c r="AI16" s="142"/>
      <c r="AJ16" s="142"/>
    </row>
    <row r="17" ht="22.5" customHeight="1">
      <c r="A17" s="4"/>
      <c r="B17" s="4"/>
      <c r="C17" s="131"/>
      <c r="D17" s="119"/>
      <c r="E17" s="119"/>
      <c r="F17" s="119"/>
      <c r="G17" s="119"/>
      <c r="H17" s="119"/>
      <c r="I17" s="119"/>
      <c r="J17" s="121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25">
        <f t="shared" si="1"/>
        <v>0</v>
      </c>
      <c r="X17" s="119"/>
      <c r="Y17" s="119"/>
      <c r="Z17" s="127">
        <f t="shared" si="2"/>
        <v>0</v>
      </c>
      <c r="AA17" s="141"/>
      <c r="AB17" s="142"/>
      <c r="AC17" s="133">
        <f t="shared" si="4"/>
        <v>0</v>
      </c>
      <c r="AD17" s="142"/>
      <c r="AE17" s="142"/>
      <c r="AF17" s="142"/>
      <c r="AG17" s="142"/>
      <c r="AH17" s="142"/>
      <c r="AI17" s="142"/>
      <c r="AJ17" s="142"/>
    </row>
    <row r="18" ht="22.5" customHeight="1">
      <c r="A18" s="4"/>
      <c r="B18" s="4"/>
      <c r="C18" s="131"/>
      <c r="D18" s="119"/>
      <c r="E18" s="119"/>
      <c r="F18" s="119"/>
      <c r="G18" s="119"/>
      <c r="H18" s="119"/>
      <c r="I18" s="119"/>
      <c r="J18" s="121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25">
        <f t="shared" si="1"/>
        <v>0</v>
      </c>
      <c r="X18" s="119"/>
      <c r="Y18" s="119"/>
      <c r="Z18" s="127">
        <f t="shared" si="2"/>
        <v>0</v>
      </c>
      <c r="AA18" s="141"/>
      <c r="AB18" s="142"/>
      <c r="AC18" s="133">
        <f t="shared" si="4"/>
        <v>0</v>
      </c>
      <c r="AD18" s="142"/>
      <c r="AE18" s="142"/>
      <c r="AF18" s="142"/>
      <c r="AG18" s="142"/>
      <c r="AH18" s="142"/>
      <c r="AI18" s="142"/>
      <c r="AJ18" s="142"/>
    </row>
    <row r="19" ht="22.5" customHeight="1">
      <c r="A19" s="4"/>
      <c r="B19" s="4"/>
      <c r="C19" s="131"/>
      <c r="D19" s="119"/>
      <c r="E19" s="119"/>
      <c r="F19" s="119"/>
      <c r="G19" s="119"/>
      <c r="H19" s="119"/>
      <c r="I19" s="119"/>
      <c r="J19" s="121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25">
        <f t="shared" si="1"/>
        <v>0</v>
      </c>
      <c r="X19" s="119"/>
      <c r="Y19" s="119"/>
      <c r="Z19" s="127">
        <f t="shared" si="2"/>
        <v>0</v>
      </c>
      <c r="AA19" s="141"/>
      <c r="AB19" s="142"/>
      <c r="AC19" s="133">
        <f t="shared" si="4"/>
        <v>0</v>
      </c>
      <c r="AD19" s="142"/>
      <c r="AE19" s="142"/>
      <c r="AF19" s="142"/>
      <c r="AG19" s="142"/>
      <c r="AH19" s="142"/>
      <c r="AI19" s="142"/>
      <c r="AJ19" s="142"/>
    </row>
    <row r="20" ht="22.5" customHeight="1">
      <c r="A20" s="4"/>
      <c r="B20" s="4"/>
      <c r="C20" s="131"/>
      <c r="D20" s="119"/>
      <c r="E20" s="119"/>
      <c r="F20" s="119"/>
      <c r="G20" s="119"/>
      <c r="H20" s="119"/>
      <c r="I20" s="119"/>
      <c r="J20" s="121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25">
        <f t="shared" si="1"/>
        <v>0</v>
      </c>
      <c r="X20" s="119"/>
      <c r="Y20" s="119"/>
      <c r="Z20" s="127">
        <f t="shared" si="2"/>
        <v>0</v>
      </c>
      <c r="AA20" s="141"/>
      <c r="AB20" s="142"/>
      <c r="AC20" s="133">
        <f t="shared" si="4"/>
        <v>0</v>
      </c>
      <c r="AD20" s="142"/>
      <c r="AE20" s="142"/>
      <c r="AF20" s="142"/>
      <c r="AG20" s="142"/>
      <c r="AH20" s="142"/>
      <c r="AI20" s="142"/>
      <c r="AJ20" s="142"/>
    </row>
    <row r="21" ht="22.5" customHeight="1">
      <c r="A21" s="4"/>
      <c r="B21" s="4"/>
      <c r="C21" s="131"/>
      <c r="D21" s="119"/>
      <c r="E21" s="119"/>
      <c r="F21" s="119"/>
      <c r="G21" s="119"/>
      <c r="H21" s="119"/>
      <c r="I21" s="119"/>
      <c r="J21" s="121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25">
        <f t="shared" si="1"/>
        <v>0</v>
      </c>
      <c r="X21" s="119"/>
      <c r="Y21" s="119"/>
      <c r="Z21" s="127">
        <f t="shared" si="2"/>
        <v>0</v>
      </c>
      <c r="AA21" s="141"/>
      <c r="AB21" s="142"/>
      <c r="AC21" s="133">
        <f t="shared" si="4"/>
        <v>0</v>
      </c>
      <c r="AD21" s="142"/>
      <c r="AE21" s="142"/>
      <c r="AF21" s="142"/>
      <c r="AG21" s="142"/>
      <c r="AH21" s="142"/>
      <c r="AI21" s="142"/>
      <c r="AJ21" s="142"/>
    </row>
    <row r="22" ht="22.5" hidden="1" customHeight="1">
      <c r="A22" s="4"/>
      <c r="B22" s="4"/>
      <c r="C22" s="131"/>
      <c r="D22" s="119"/>
      <c r="E22" s="119"/>
      <c r="F22" s="119"/>
      <c r="G22" s="119"/>
      <c r="H22" s="119"/>
      <c r="I22" s="119"/>
      <c r="J22" s="121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25">
        <f t="shared" si="1"/>
        <v>0</v>
      </c>
      <c r="X22" s="119"/>
      <c r="Y22" s="119"/>
      <c r="Z22" s="127">
        <f t="shared" si="2"/>
        <v>0</v>
      </c>
      <c r="AA22" s="141"/>
      <c r="AB22" s="142"/>
      <c r="AC22" s="133">
        <f t="shared" si="4"/>
        <v>0</v>
      </c>
      <c r="AD22" s="142"/>
      <c r="AE22" s="142"/>
      <c r="AF22" s="142"/>
      <c r="AG22" s="142"/>
      <c r="AH22" s="142"/>
      <c r="AI22" s="142"/>
      <c r="AJ22" s="142"/>
    </row>
    <row r="23" ht="22.5" hidden="1" customHeight="1">
      <c r="A23" s="4"/>
      <c r="B23" s="4"/>
      <c r="C23" s="131"/>
      <c r="D23" s="119"/>
      <c r="E23" s="119"/>
      <c r="F23" s="119"/>
      <c r="G23" s="119"/>
      <c r="H23" s="119"/>
      <c r="I23" s="119"/>
      <c r="J23" s="121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25">
        <f t="shared" si="1"/>
        <v>0</v>
      </c>
      <c r="X23" s="119"/>
      <c r="Y23" s="119"/>
      <c r="Z23" s="127">
        <f t="shared" si="2"/>
        <v>0</v>
      </c>
      <c r="AA23" s="141"/>
      <c r="AB23" s="142"/>
      <c r="AC23" s="133">
        <f t="shared" si="4"/>
        <v>0</v>
      </c>
      <c r="AD23" s="142"/>
      <c r="AE23" s="142"/>
      <c r="AF23" s="142"/>
      <c r="AG23" s="142"/>
      <c r="AH23" s="142"/>
      <c r="AI23" s="142"/>
      <c r="AJ23" s="142"/>
    </row>
    <row r="24" ht="22.5" hidden="1" customHeight="1">
      <c r="A24" s="4"/>
      <c r="B24" s="4"/>
      <c r="C24" s="131"/>
      <c r="D24" s="119"/>
      <c r="E24" s="119"/>
      <c r="F24" s="119"/>
      <c r="G24" s="119"/>
      <c r="H24" s="119"/>
      <c r="I24" s="119"/>
      <c r="J24" s="121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25">
        <f t="shared" si="1"/>
        <v>0</v>
      </c>
      <c r="X24" s="119"/>
      <c r="Y24" s="119"/>
      <c r="Z24" s="127">
        <f t="shared" si="2"/>
        <v>0</v>
      </c>
      <c r="AA24" s="141"/>
      <c r="AB24" s="142"/>
      <c r="AC24" s="133">
        <f t="shared" si="4"/>
        <v>0</v>
      </c>
      <c r="AD24" s="142"/>
      <c r="AE24" s="142"/>
      <c r="AF24" s="142"/>
      <c r="AG24" s="142"/>
      <c r="AH24" s="142"/>
      <c r="AI24" s="142"/>
      <c r="AJ24" s="142"/>
    </row>
    <row r="25" ht="22.5" hidden="1" customHeight="1">
      <c r="A25" s="4"/>
      <c r="B25" s="4"/>
      <c r="C25" s="131"/>
      <c r="D25" s="119"/>
      <c r="E25" s="119"/>
      <c r="F25" s="119"/>
      <c r="G25" s="119"/>
      <c r="H25" s="119"/>
      <c r="I25" s="119"/>
      <c r="J25" s="121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25">
        <f t="shared" si="1"/>
        <v>0</v>
      </c>
      <c r="X25" s="119"/>
      <c r="Y25" s="119"/>
      <c r="Z25" s="127">
        <f t="shared" si="2"/>
        <v>0</v>
      </c>
      <c r="AA25" s="141"/>
      <c r="AB25" s="142"/>
      <c r="AC25" s="133">
        <f t="shared" si="4"/>
        <v>0</v>
      </c>
      <c r="AD25" s="142"/>
      <c r="AE25" s="142"/>
      <c r="AF25" s="142"/>
      <c r="AG25" s="142"/>
      <c r="AH25" s="142"/>
      <c r="AI25" s="142"/>
      <c r="AJ25" s="142"/>
    </row>
    <row r="26" ht="22.5" hidden="1" customHeight="1">
      <c r="A26" s="4"/>
      <c r="B26" s="4"/>
      <c r="C26" s="131"/>
      <c r="D26" s="119"/>
      <c r="E26" s="119"/>
      <c r="F26" s="119"/>
      <c r="G26" s="119"/>
      <c r="H26" s="119"/>
      <c r="I26" s="119"/>
      <c r="J26" s="121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25">
        <f t="shared" si="1"/>
        <v>0</v>
      </c>
      <c r="X26" s="119"/>
      <c r="Y26" s="119"/>
      <c r="Z26" s="127">
        <f t="shared" si="2"/>
        <v>0</v>
      </c>
      <c r="AA26" s="141"/>
      <c r="AB26" s="142"/>
      <c r="AC26" s="133">
        <f t="shared" si="4"/>
        <v>0</v>
      </c>
      <c r="AD26" s="142"/>
      <c r="AE26" s="142"/>
      <c r="AF26" s="142"/>
      <c r="AG26" s="142"/>
      <c r="AH26" s="142"/>
      <c r="AI26" s="142"/>
      <c r="AJ26" s="142"/>
    </row>
    <row r="27" ht="22.5" hidden="1" customHeight="1">
      <c r="A27" s="4"/>
      <c r="B27" s="4"/>
      <c r="C27" s="131"/>
      <c r="D27" s="119"/>
      <c r="E27" s="119"/>
      <c r="F27" s="119"/>
      <c r="G27" s="119"/>
      <c r="H27" s="119"/>
      <c r="I27" s="119"/>
      <c r="J27" s="121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25">
        <f t="shared" si="1"/>
        <v>0</v>
      </c>
      <c r="X27" s="119"/>
      <c r="Y27" s="119"/>
      <c r="Z27" s="127">
        <f t="shared" si="2"/>
        <v>0</v>
      </c>
      <c r="AA27" s="141"/>
      <c r="AB27" s="142"/>
      <c r="AC27" s="133">
        <f t="shared" si="4"/>
        <v>0</v>
      </c>
      <c r="AD27" s="142"/>
      <c r="AE27" s="142"/>
      <c r="AF27" s="142"/>
      <c r="AG27" s="142"/>
      <c r="AH27" s="142"/>
      <c r="AI27" s="142"/>
      <c r="AJ27" s="142"/>
    </row>
    <row r="28" ht="22.5" hidden="1" customHeight="1">
      <c r="A28" s="4"/>
      <c r="B28" s="4"/>
      <c r="C28" s="131"/>
      <c r="D28" s="119"/>
      <c r="E28" s="119"/>
      <c r="F28" s="119"/>
      <c r="G28" s="119"/>
      <c r="H28" s="119"/>
      <c r="I28" s="119"/>
      <c r="J28" s="121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25">
        <f t="shared" si="1"/>
        <v>0</v>
      </c>
      <c r="X28" s="119"/>
      <c r="Y28" s="119"/>
      <c r="Z28" s="127">
        <f t="shared" si="2"/>
        <v>0</v>
      </c>
      <c r="AA28" s="141"/>
      <c r="AB28" s="142"/>
      <c r="AC28" s="133">
        <f t="shared" si="4"/>
        <v>0</v>
      </c>
      <c r="AD28" s="142"/>
      <c r="AE28" s="142"/>
      <c r="AF28" s="142"/>
      <c r="AG28" s="142"/>
      <c r="AH28" s="142"/>
      <c r="AI28" s="142"/>
      <c r="AJ28" s="142"/>
    </row>
    <row r="29" ht="22.5" hidden="1" customHeight="1">
      <c r="A29" s="4"/>
      <c r="B29" s="4"/>
      <c r="C29" s="131"/>
      <c r="D29" s="119"/>
      <c r="E29" s="119"/>
      <c r="F29" s="119"/>
      <c r="G29" s="119"/>
      <c r="H29" s="119"/>
      <c r="I29" s="119"/>
      <c r="J29" s="121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25">
        <f t="shared" si="1"/>
        <v>0</v>
      </c>
      <c r="X29" s="119"/>
      <c r="Y29" s="119"/>
      <c r="Z29" s="127">
        <f t="shared" si="2"/>
        <v>0</v>
      </c>
      <c r="AA29" s="141"/>
      <c r="AB29" s="142"/>
      <c r="AC29" s="133">
        <f t="shared" si="4"/>
        <v>0</v>
      </c>
      <c r="AD29" s="142"/>
      <c r="AE29" s="142"/>
      <c r="AF29" s="142"/>
      <c r="AG29" s="142"/>
      <c r="AH29" s="142"/>
      <c r="AI29" s="142"/>
      <c r="AJ29" s="142"/>
    </row>
    <row r="30" ht="22.5" hidden="1" customHeight="1">
      <c r="A30" s="4"/>
      <c r="B30" s="4"/>
      <c r="C30" s="131"/>
      <c r="D30" s="119"/>
      <c r="E30" s="119"/>
      <c r="F30" s="119"/>
      <c r="G30" s="119"/>
      <c r="H30" s="119"/>
      <c r="I30" s="119"/>
      <c r="J30" s="121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25">
        <f t="shared" si="1"/>
        <v>0</v>
      </c>
      <c r="X30" s="119"/>
      <c r="Y30" s="119"/>
      <c r="Z30" s="127">
        <f t="shared" si="2"/>
        <v>0</v>
      </c>
      <c r="AA30" s="141"/>
      <c r="AB30" s="142"/>
      <c r="AC30" s="133">
        <f t="shared" si="4"/>
        <v>0</v>
      </c>
      <c r="AD30" s="142"/>
      <c r="AE30" s="142"/>
      <c r="AF30" s="142"/>
      <c r="AG30" s="142"/>
      <c r="AH30" s="142"/>
      <c r="AI30" s="142"/>
      <c r="AJ30" s="142"/>
    </row>
    <row r="31" ht="22.5" hidden="1" customHeight="1">
      <c r="A31" s="4"/>
      <c r="B31" s="4"/>
      <c r="C31" s="131"/>
      <c r="D31" s="119"/>
      <c r="E31" s="119"/>
      <c r="F31" s="119"/>
      <c r="G31" s="119"/>
      <c r="H31" s="119"/>
      <c r="I31" s="119"/>
      <c r="J31" s="121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25">
        <f t="shared" si="1"/>
        <v>0</v>
      </c>
      <c r="X31" s="119"/>
      <c r="Y31" s="119"/>
      <c r="Z31" s="127">
        <f t="shared" si="2"/>
        <v>0</v>
      </c>
      <c r="AA31" s="141"/>
      <c r="AB31" s="142"/>
      <c r="AC31" s="133">
        <f t="shared" si="4"/>
        <v>0</v>
      </c>
      <c r="AD31" s="142"/>
      <c r="AE31" s="142"/>
      <c r="AF31" s="142"/>
      <c r="AG31" s="142"/>
      <c r="AH31" s="142"/>
      <c r="AI31" s="142"/>
      <c r="AJ31" s="142"/>
    </row>
    <row r="32" ht="22.5" hidden="1" customHeight="1">
      <c r="A32" s="4"/>
      <c r="B32" s="4"/>
      <c r="C32" s="131"/>
      <c r="D32" s="119"/>
      <c r="E32" s="119"/>
      <c r="F32" s="119"/>
      <c r="G32" s="119"/>
      <c r="H32" s="119"/>
      <c r="I32" s="119"/>
      <c r="J32" s="121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25">
        <f t="shared" si="1"/>
        <v>0</v>
      </c>
      <c r="X32" s="119"/>
      <c r="Y32" s="119"/>
      <c r="Z32" s="127">
        <f t="shared" si="2"/>
        <v>0</v>
      </c>
      <c r="AA32" s="141"/>
      <c r="AB32" s="142"/>
      <c r="AC32" s="133">
        <f t="shared" si="4"/>
        <v>0</v>
      </c>
      <c r="AD32" s="142"/>
      <c r="AE32" s="142"/>
      <c r="AF32" s="142"/>
      <c r="AG32" s="142"/>
      <c r="AH32" s="142"/>
      <c r="AI32" s="142"/>
      <c r="AJ32" s="142"/>
    </row>
    <row r="33" ht="22.5" hidden="1" customHeight="1">
      <c r="A33" s="4"/>
      <c r="B33" s="4"/>
      <c r="C33" s="131"/>
      <c r="D33" s="119"/>
      <c r="E33" s="119"/>
      <c r="F33" s="119"/>
      <c r="G33" s="119"/>
      <c r="H33" s="119"/>
      <c r="I33" s="119"/>
      <c r="J33" s="121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25">
        <f t="shared" si="1"/>
        <v>0</v>
      </c>
      <c r="X33" s="119"/>
      <c r="Y33" s="119"/>
      <c r="Z33" s="127">
        <f t="shared" si="2"/>
        <v>0</v>
      </c>
      <c r="AA33" s="141"/>
      <c r="AB33" s="142"/>
      <c r="AC33" s="133">
        <f t="shared" si="4"/>
        <v>0</v>
      </c>
      <c r="AD33" s="142"/>
      <c r="AE33" s="142"/>
      <c r="AF33" s="142"/>
      <c r="AG33" s="142"/>
      <c r="AH33" s="142"/>
      <c r="AI33" s="142"/>
      <c r="AJ33" s="142"/>
    </row>
    <row r="34" ht="22.5" hidden="1" customHeight="1">
      <c r="A34" s="4"/>
      <c r="B34" s="4"/>
      <c r="C34" s="131"/>
      <c r="D34" s="119"/>
      <c r="E34" s="119"/>
      <c r="F34" s="119"/>
      <c r="G34" s="119"/>
      <c r="H34" s="119"/>
      <c r="I34" s="119"/>
      <c r="J34" s="121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25">
        <f t="shared" si="1"/>
        <v>0</v>
      </c>
      <c r="X34" s="119"/>
      <c r="Y34" s="119"/>
      <c r="Z34" s="127">
        <f t="shared" si="2"/>
        <v>0</v>
      </c>
      <c r="AA34" s="141"/>
      <c r="AB34" s="142"/>
      <c r="AC34" s="133">
        <f t="shared" si="4"/>
        <v>0</v>
      </c>
      <c r="AD34" s="142"/>
      <c r="AE34" s="142"/>
      <c r="AF34" s="142"/>
      <c r="AG34" s="142"/>
      <c r="AH34" s="142"/>
      <c r="AI34" s="142"/>
      <c r="AJ34" s="142"/>
    </row>
    <row r="35" ht="22.5" hidden="1" customHeight="1">
      <c r="A35" s="4"/>
      <c r="B35" s="4"/>
      <c r="C35" s="131"/>
      <c r="D35" s="119"/>
      <c r="E35" s="119"/>
      <c r="F35" s="119"/>
      <c r="G35" s="119"/>
      <c r="H35" s="119"/>
      <c r="I35" s="119"/>
      <c r="J35" s="121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25">
        <f t="shared" si="1"/>
        <v>0</v>
      </c>
      <c r="X35" s="119"/>
      <c r="Y35" s="119"/>
      <c r="Z35" s="127">
        <f t="shared" si="2"/>
        <v>0</v>
      </c>
      <c r="AA35" s="141"/>
      <c r="AB35" s="142"/>
      <c r="AC35" s="133">
        <f t="shared" si="4"/>
        <v>0</v>
      </c>
      <c r="AD35" s="142"/>
      <c r="AE35" s="142"/>
      <c r="AF35" s="142"/>
      <c r="AG35" s="142"/>
      <c r="AH35" s="142"/>
      <c r="AI35" s="142"/>
      <c r="AJ35" s="142"/>
    </row>
    <row r="36" ht="22.5" hidden="1" customHeight="1">
      <c r="A36" s="4"/>
      <c r="B36" s="4"/>
      <c r="C36" s="131"/>
      <c r="D36" s="119"/>
      <c r="E36" s="119"/>
      <c r="F36" s="119"/>
      <c r="G36" s="119"/>
      <c r="H36" s="119"/>
      <c r="I36" s="119"/>
      <c r="J36" s="121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25">
        <f t="shared" si="1"/>
        <v>0</v>
      </c>
      <c r="X36" s="119"/>
      <c r="Y36" s="119"/>
      <c r="Z36" s="127">
        <f t="shared" si="2"/>
        <v>0</v>
      </c>
      <c r="AA36" s="141"/>
      <c r="AB36" s="142"/>
      <c r="AC36" s="133">
        <f t="shared" si="4"/>
        <v>0</v>
      </c>
      <c r="AD36" s="142"/>
      <c r="AE36" s="142"/>
      <c r="AF36" s="142"/>
      <c r="AG36" s="142"/>
      <c r="AH36" s="142"/>
      <c r="AI36" s="142"/>
      <c r="AJ36" s="142"/>
    </row>
    <row r="37" ht="22.5" hidden="1" customHeight="1">
      <c r="A37" s="4"/>
      <c r="B37" s="4"/>
      <c r="C37" s="131"/>
      <c r="D37" s="119"/>
      <c r="E37" s="119"/>
      <c r="F37" s="119"/>
      <c r="G37" s="119"/>
      <c r="H37" s="119"/>
      <c r="I37" s="119"/>
      <c r="J37" s="121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25">
        <f t="shared" si="1"/>
        <v>0</v>
      </c>
      <c r="X37" s="119"/>
      <c r="Y37" s="119"/>
      <c r="Z37" s="127">
        <f t="shared" si="2"/>
        <v>0</v>
      </c>
      <c r="AA37" s="141"/>
      <c r="AB37" s="142"/>
      <c r="AC37" s="133">
        <f t="shared" si="4"/>
        <v>0</v>
      </c>
      <c r="AD37" s="142"/>
      <c r="AE37" s="142"/>
      <c r="AF37" s="142"/>
      <c r="AG37" s="142"/>
      <c r="AH37" s="142"/>
      <c r="AI37" s="142"/>
      <c r="AJ37" s="142"/>
    </row>
    <row r="38" ht="22.5" hidden="1" customHeight="1">
      <c r="A38" s="4"/>
      <c r="B38" s="4"/>
      <c r="C38" s="131"/>
      <c r="D38" s="119"/>
      <c r="E38" s="119"/>
      <c r="F38" s="119"/>
      <c r="G38" s="119"/>
      <c r="H38" s="119"/>
      <c r="I38" s="119"/>
      <c r="J38" s="121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25">
        <f t="shared" si="1"/>
        <v>0</v>
      </c>
      <c r="X38" s="119"/>
      <c r="Y38" s="119"/>
      <c r="Z38" s="127">
        <f t="shared" si="2"/>
        <v>0</v>
      </c>
      <c r="AA38" s="141"/>
      <c r="AB38" s="142"/>
      <c r="AC38" s="133">
        <f t="shared" si="4"/>
        <v>0</v>
      </c>
      <c r="AD38" s="142"/>
      <c r="AE38" s="142"/>
      <c r="AF38" s="142"/>
      <c r="AG38" s="142"/>
      <c r="AH38" s="142"/>
      <c r="AI38" s="142"/>
      <c r="AJ38" s="142"/>
    </row>
    <row r="39" ht="22.5" hidden="1" customHeight="1">
      <c r="A39" s="4"/>
      <c r="B39" s="4"/>
      <c r="C39" s="131"/>
      <c r="D39" s="119"/>
      <c r="E39" s="119"/>
      <c r="F39" s="119"/>
      <c r="G39" s="119"/>
      <c r="H39" s="119"/>
      <c r="I39" s="119"/>
      <c r="J39" s="121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25">
        <f t="shared" si="1"/>
        <v>0</v>
      </c>
      <c r="X39" s="119"/>
      <c r="Y39" s="119"/>
      <c r="Z39" s="127">
        <f t="shared" si="2"/>
        <v>0</v>
      </c>
      <c r="AA39" s="141"/>
      <c r="AB39" s="142"/>
      <c r="AC39" s="133">
        <f t="shared" si="4"/>
        <v>0</v>
      </c>
      <c r="AD39" s="142"/>
      <c r="AE39" s="142"/>
      <c r="AF39" s="142"/>
      <c r="AG39" s="142"/>
      <c r="AH39" s="142"/>
      <c r="AI39" s="142"/>
      <c r="AJ39" s="142"/>
    </row>
    <row r="40" ht="22.5" hidden="1" customHeight="1">
      <c r="A40" s="4"/>
      <c r="B40" s="4"/>
      <c r="C40" s="131"/>
      <c r="D40" s="119"/>
      <c r="E40" s="119"/>
      <c r="F40" s="119"/>
      <c r="G40" s="119"/>
      <c r="H40" s="119"/>
      <c r="I40" s="119"/>
      <c r="J40" s="121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25">
        <f t="shared" si="1"/>
        <v>0</v>
      </c>
      <c r="X40" s="119"/>
      <c r="Y40" s="119"/>
      <c r="Z40" s="127">
        <f t="shared" si="2"/>
        <v>0</v>
      </c>
      <c r="AA40" s="141"/>
      <c r="AB40" s="142"/>
      <c r="AC40" s="133">
        <f t="shared" si="4"/>
        <v>0</v>
      </c>
      <c r="AD40" s="142"/>
      <c r="AE40" s="142"/>
      <c r="AF40" s="142"/>
      <c r="AG40" s="142"/>
      <c r="AH40" s="142"/>
      <c r="AI40" s="142"/>
      <c r="AJ40" s="142"/>
    </row>
    <row r="41" ht="22.5" hidden="1" customHeight="1">
      <c r="A41" s="4"/>
      <c r="B41" s="4"/>
      <c r="C41" s="131"/>
      <c r="D41" s="119"/>
      <c r="E41" s="119"/>
      <c r="F41" s="119"/>
      <c r="G41" s="119"/>
      <c r="H41" s="119"/>
      <c r="I41" s="119"/>
      <c r="J41" s="121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25">
        <f t="shared" si="1"/>
        <v>0</v>
      </c>
      <c r="X41" s="119"/>
      <c r="Y41" s="119"/>
      <c r="Z41" s="127">
        <f t="shared" si="2"/>
        <v>0</v>
      </c>
      <c r="AA41" s="141"/>
      <c r="AB41" s="142"/>
      <c r="AC41" s="133">
        <f t="shared" si="4"/>
        <v>0</v>
      </c>
      <c r="AD41" s="142"/>
      <c r="AE41" s="142"/>
      <c r="AF41" s="142"/>
      <c r="AG41" s="142"/>
      <c r="AH41" s="142"/>
      <c r="AI41" s="142"/>
      <c r="AJ41" s="142"/>
    </row>
    <row r="42" ht="22.5" hidden="1" customHeight="1">
      <c r="A42" s="4"/>
      <c r="B42" s="4"/>
      <c r="C42" s="131"/>
      <c r="D42" s="119"/>
      <c r="E42" s="119"/>
      <c r="F42" s="119"/>
      <c r="G42" s="119"/>
      <c r="H42" s="119"/>
      <c r="I42" s="119"/>
      <c r="J42" s="121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25">
        <f t="shared" si="1"/>
        <v>0</v>
      </c>
      <c r="X42" s="119"/>
      <c r="Y42" s="119"/>
      <c r="Z42" s="127">
        <f t="shared" si="2"/>
        <v>0</v>
      </c>
      <c r="AA42" s="141"/>
      <c r="AB42" s="142"/>
      <c r="AC42" s="133">
        <f t="shared" si="4"/>
        <v>0</v>
      </c>
      <c r="AD42" s="142"/>
      <c r="AE42" s="142"/>
      <c r="AF42" s="142"/>
      <c r="AG42" s="142"/>
      <c r="AH42" s="142"/>
      <c r="AI42" s="142"/>
      <c r="AJ42" s="142"/>
    </row>
    <row r="43" ht="22.5" hidden="1" customHeight="1">
      <c r="A43" s="4"/>
      <c r="B43" s="4"/>
      <c r="C43" s="131"/>
      <c r="D43" s="119"/>
      <c r="E43" s="119"/>
      <c r="F43" s="119"/>
      <c r="G43" s="119"/>
      <c r="H43" s="119"/>
      <c r="I43" s="119"/>
      <c r="J43" s="121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25">
        <f t="shared" si="1"/>
        <v>0</v>
      </c>
      <c r="X43" s="119"/>
      <c r="Y43" s="119"/>
      <c r="Z43" s="127">
        <f t="shared" si="2"/>
        <v>0</v>
      </c>
      <c r="AA43" s="141"/>
      <c r="AB43" s="142"/>
      <c r="AC43" s="133">
        <f t="shared" si="4"/>
        <v>0</v>
      </c>
      <c r="AD43" s="142"/>
      <c r="AE43" s="142"/>
      <c r="AF43" s="142"/>
      <c r="AG43" s="142"/>
      <c r="AH43" s="142"/>
      <c r="AI43" s="142"/>
      <c r="AJ43" s="142"/>
    </row>
    <row r="44" ht="22.5" hidden="1" customHeight="1">
      <c r="A44" s="4"/>
      <c r="B44" s="4"/>
      <c r="C44" s="131"/>
      <c r="D44" s="119"/>
      <c r="E44" s="119"/>
      <c r="F44" s="119"/>
      <c r="G44" s="119"/>
      <c r="H44" s="119"/>
      <c r="I44" s="119"/>
      <c r="J44" s="121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25">
        <f t="shared" si="1"/>
        <v>0</v>
      </c>
      <c r="X44" s="119"/>
      <c r="Y44" s="119"/>
      <c r="Z44" s="127">
        <f t="shared" si="2"/>
        <v>0</v>
      </c>
      <c r="AA44" s="141"/>
      <c r="AB44" s="142"/>
      <c r="AC44" s="133">
        <f t="shared" si="4"/>
        <v>0</v>
      </c>
      <c r="AD44" s="142"/>
      <c r="AE44" s="142"/>
      <c r="AF44" s="142"/>
      <c r="AG44" s="142"/>
      <c r="AH44" s="142"/>
      <c r="AI44" s="142"/>
      <c r="AJ44" s="142"/>
    </row>
    <row r="45" ht="22.5" hidden="1" customHeight="1">
      <c r="A45" s="4"/>
      <c r="B45" s="4"/>
      <c r="C45" s="131"/>
      <c r="D45" s="119"/>
      <c r="E45" s="119"/>
      <c r="F45" s="119"/>
      <c r="G45" s="119"/>
      <c r="H45" s="119"/>
      <c r="I45" s="119"/>
      <c r="J45" s="121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25">
        <f t="shared" si="1"/>
        <v>0</v>
      </c>
      <c r="X45" s="119"/>
      <c r="Y45" s="119"/>
      <c r="Z45" s="127">
        <f t="shared" si="2"/>
        <v>0</v>
      </c>
      <c r="AA45" s="141"/>
      <c r="AB45" s="142"/>
      <c r="AC45" s="133">
        <f t="shared" si="4"/>
        <v>0</v>
      </c>
      <c r="AD45" s="142"/>
      <c r="AE45" s="142"/>
      <c r="AF45" s="142"/>
      <c r="AG45" s="142"/>
      <c r="AH45" s="142"/>
      <c r="AI45" s="142"/>
      <c r="AJ45" s="142"/>
    </row>
    <row r="46" ht="22.5" hidden="1" customHeight="1">
      <c r="A46" s="4"/>
      <c r="B46" s="4"/>
      <c r="C46" s="131"/>
      <c r="D46" s="119"/>
      <c r="E46" s="119"/>
      <c r="F46" s="119"/>
      <c r="G46" s="119"/>
      <c r="H46" s="119"/>
      <c r="I46" s="119"/>
      <c r="J46" s="121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25">
        <f t="shared" si="1"/>
        <v>0</v>
      </c>
      <c r="X46" s="119"/>
      <c r="Y46" s="119"/>
      <c r="Z46" s="127">
        <f t="shared" si="2"/>
        <v>0</v>
      </c>
      <c r="AA46" s="141"/>
      <c r="AB46" s="142"/>
      <c r="AC46" s="133">
        <f t="shared" si="4"/>
        <v>0</v>
      </c>
      <c r="AD46" s="142"/>
      <c r="AE46" s="142"/>
      <c r="AF46" s="142"/>
      <c r="AG46" s="142"/>
      <c r="AH46" s="142"/>
      <c r="AI46" s="142"/>
      <c r="AJ46" s="142"/>
    </row>
    <row r="47" ht="22.5" hidden="1" customHeight="1">
      <c r="A47" s="4"/>
      <c r="B47" s="4"/>
      <c r="C47" s="131"/>
      <c r="D47" s="119"/>
      <c r="E47" s="119"/>
      <c r="F47" s="119"/>
      <c r="G47" s="119"/>
      <c r="H47" s="119"/>
      <c r="I47" s="119"/>
      <c r="J47" s="121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25">
        <f t="shared" si="1"/>
        <v>0</v>
      </c>
      <c r="X47" s="119"/>
      <c r="Y47" s="119"/>
      <c r="Z47" s="127">
        <f t="shared" si="2"/>
        <v>0</v>
      </c>
      <c r="AA47" s="141"/>
      <c r="AB47" s="142"/>
      <c r="AC47" s="133">
        <f t="shared" si="4"/>
        <v>0</v>
      </c>
      <c r="AD47" s="142"/>
      <c r="AE47" s="142"/>
      <c r="AF47" s="142"/>
      <c r="AG47" s="142"/>
      <c r="AH47" s="142"/>
      <c r="AI47" s="142"/>
      <c r="AJ47" s="142"/>
    </row>
    <row r="48" ht="22.5" hidden="1" customHeight="1">
      <c r="A48" s="4"/>
      <c r="B48" s="4"/>
      <c r="C48" s="131"/>
      <c r="D48" s="119"/>
      <c r="E48" s="119"/>
      <c r="F48" s="119"/>
      <c r="G48" s="119"/>
      <c r="H48" s="119"/>
      <c r="I48" s="119"/>
      <c r="J48" s="121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25">
        <f t="shared" si="1"/>
        <v>0</v>
      </c>
      <c r="X48" s="119"/>
      <c r="Y48" s="119"/>
      <c r="Z48" s="127">
        <f t="shared" si="2"/>
        <v>0</v>
      </c>
      <c r="AA48" s="141"/>
      <c r="AB48" s="142"/>
      <c r="AC48" s="133">
        <f t="shared" si="4"/>
        <v>0</v>
      </c>
      <c r="AD48" s="142"/>
      <c r="AE48" s="142"/>
      <c r="AF48" s="142"/>
      <c r="AG48" s="142"/>
      <c r="AH48" s="142"/>
      <c r="AI48" s="142"/>
      <c r="AJ48" s="142"/>
    </row>
    <row r="49" ht="22.5" hidden="1" customHeight="1">
      <c r="A49" s="4"/>
      <c r="B49" s="4"/>
      <c r="C49" s="131"/>
      <c r="D49" s="119"/>
      <c r="E49" s="119"/>
      <c r="F49" s="119"/>
      <c r="G49" s="119"/>
      <c r="H49" s="119"/>
      <c r="I49" s="119"/>
      <c r="J49" s="121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25">
        <f t="shared" si="1"/>
        <v>0</v>
      </c>
      <c r="X49" s="119"/>
      <c r="Y49" s="119"/>
      <c r="Z49" s="127">
        <f t="shared" si="2"/>
        <v>0</v>
      </c>
      <c r="AA49" s="141"/>
      <c r="AB49" s="142"/>
      <c r="AC49" s="133">
        <f t="shared" si="4"/>
        <v>0</v>
      </c>
      <c r="AD49" s="142"/>
      <c r="AE49" s="142"/>
      <c r="AF49" s="142"/>
      <c r="AG49" s="142"/>
      <c r="AH49" s="142"/>
      <c r="AI49" s="142"/>
      <c r="AJ49" s="142"/>
    </row>
    <row r="50" ht="22.5" hidden="1" customHeight="1">
      <c r="A50" s="4"/>
      <c r="B50" s="4"/>
      <c r="C50" s="131"/>
      <c r="D50" s="119"/>
      <c r="E50" s="119"/>
      <c r="F50" s="119"/>
      <c r="G50" s="119"/>
      <c r="H50" s="119"/>
      <c r="I50" s="119"/>
      <c r="J50" s="121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25">
        <f t="shared" si="1"/>
        <v>0</v>
      </c>
      <c r="X50" s="119"/>
      <c r="Y50" s="119"/>
      <c r="Z50" s="127">
        <f t="shared" si="2"/>
        <v>0</v>
      </c>
      <c r="AA50" s="141"/>
      <c r="AB50" s="142"/>
      <c r="AC50" s="133">
        <f t="shared" si="4"/>
        <v>0</v>
      </c>
      <c r="AD50" s="142"/>
      <c r="AE50" s="142"/>
      <c r="AF50" s="142"/>
      <c r="AG50" s="142"/>
      <c r="AH50" s="142"/>
      <c r="AI50" s="142"/>
      <c r="AJ50" s="142"/>
    </row>
    <row r="51" ht="22.5" hidden="1" customHeight="1">
      <c r="A51" s="4"/>
      <c r="B51" s="4"/>
      <c r="C51" s="131"/>
      <c r="D51" s="119"/>
      <c r="E51" s="119"/>
      <c r="F51" s="119"/>
      <c r="G51" s="119"/>
      <c r="H51" s="119"/>
      <c r="I51" s="119"/>
      <c r="J51" s="121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25">
        <f t="shared" si="1"/>
        <v>0</v>
      </c>
      <c r="X51" s="119"/>
      <c r="Y51" s="119"/>
      <c r="Z51" s="127">
        <f t="shared" si="2"/>
        <v>0</v>
      </c>
      <c r="AA51" s="141"/>
      <c r="AB51" s="142"/>
      <c r="AC51" s="133">
        <f t="shared" si="4"/>
        <v>0</v>
      </c>
      <c r="AD51" s="142"/>
      <c r="AE51" s="142"/>
      <c r="AF51" s="142"/>
      <c r="AG51" s="142"/>
      <c r="AH51" s="142"/>
      <c r="AI51" s="142"/>
      <c r="AJ51" s="142"/>
    </row>
    <row r="52" ht="22.5" hidden="1" customHeight="1">
      <c r="A52" s="4"/>
      <c r="B52" s="4"/>
      <c r="C52" s="131"/>
      <c r="D52" s="119"/>
      <c r="E52" s="119"/>
      <c r="F52" s="119"/>
      <c r="G52" s="119"/>
      <c r="H52" s="119"/>
      <c r="I52" s="119"/>
      <c r="J52" s="121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25">
        <f t="shared" si="1"/>
        <v>0</v>
      </c>
      <c r="X52" s="119"/>
      <c r="Y52" s="119"/>
      <c r="Z52" s="127">
        <f t="shared" si="2"/>
        <v>0</v>
      </c>
      <c r="AA52" s="141"/>
      <c r="AB52" s="142"/>
      <c r="AC52" s="133">
        <f t="shared" si="4"/>
        <v>0</v>
      </c>
      <c r="AD52" s="142"/>
      <c r="AE52" s="142"/>
      <c r="AF52" s="142"/>
      <c r="AG52" s="142"/>
      <c r="AH52" s="142"/>
      <c r="AI52" s="142"/>
      <c r="AJ52" s="142"/>
    </row>
    <row r="53" ht="22.5" hidden="1" customHeight="1">
      <c r="A53" s="4"/>
      <c r="B53" s="4"/>
      <c r="C53" s="131"/>
      <c r="D53" s="119"/>
      <c r="E53" s="119"/>
      <c r="F53" s="119"/>
      <c r="G53" s="119"/>
      <c r="H53" s="119"/>
      <c r="I53" s="119"/>
      <c r="J53" s="121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25">
        <f t="shared" si="1"/>
        <v>0</v>
      </c>
      <c r="X53" s="119"/>
      <c r="Y53" s="119"/>
      <c r="Z53" s="127">
        <f t="shared" si="2"/>
        <v>0</v>
      </c>
      <c r="AA53" s="141"/>
      <c r="AB53" s="142"/>
      <c r="AC53" s="133">
        <f t="shared" si="4"/>
        <v>0</v>
      </c>
      <c r="AD53" s="142"/>
      <c r="AE53" s="142"/>
      <c r="AF53" s="142"/>
      <c r="AG53" s="142"/>
      <c r="AH53" s="142"/>
      <c r="AI53" s="142"/>
      <c r="AJ53" s="142"/>
    </row>
    <row r="54" ht="22.5" hidden="1" customHeight="1">
      <c r="A54" s="4"/>
      <c r="B54" s="4"/>
      <c r="C54" s="131"/>
      <c r="D54" s="119"/>
      <c r="E54" s="119"/>
      <c r="F54" s="119"/>
      <c r="G54" s="119"/>
      <c r="H54" s="119"/>
      <c r="I54" s="119"/>
      <c r="J54" s="121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25">
        <f t="shared" si="1"/>
        <v>0</v>
      </c>
      <c r="X54" s="119"/>
      <c r="Y54" s="119"/>
      <c r="Z54" s="127">
        <f t="shared" si="2"/>
        <v>0</v>
      </c>
      <c r="AA54" s="141"/>
      <c r="AB54" s="142"/>
      <c r="AC54" s="133">
        <f t="shared" si="4"/>
        <v>0</v>
      </c>
      <c r="AD54" s="142"/>
      <c r="AE54" s="142"/>
      <c r="AF54" s="142"/>
      <c r="AG54" s="142"/>
      <c r="AH54" s="142"/>
      <c r="AI54" s="142"/>
      <c r="AJ54" s="142"/>
    </row>
    <row r="55" ht="22.5" hidden="1" customHeight="1">
      <c r="A55" s="4"/>
      <c r="B55" s="4"/>
      <c r="C55" s="131"/>
      <c r="D55" s="119"/>
      <c r="E55" s="119"/>
      <c r="F55" s="119"/>
      <c r="G55" s="119"/>
      <c r="H55" s="119"/>
      <c r="I55" s="119"/>
      <c r="J55" s="121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25">
        <f t="shared" si="1"/>
        <v>0</v>
      </c>
      <c r="X55" s="119"/>
      <c r="Y55" s="119"/>
      <c r="Z55" s="127">
        <f t="shared" si="2"/>
        <v>0</v>
      </c>
      <c r="AA55" s="141"/>
      <c r="AB55" s="142"/>
      <c r="AC55" s="133">
        <f t="shared" si="4"/>
        <v>0</v>
      </c>
      <c r="AD55" s="142"/>
      <c r="AE55" s="142"/>
      <c r="AF55" s="142"/>
      <c r="AG55" s="142"/>
      <c r="AH55" s="142"/>
      <c r="AI55" s="142"/>
      <c r="AJ55" s="142"/>
    </row>
    <row r="56" ht="22.5" hidden="1" customHeight="1">
      <c r="A56" s="4"/>
      <c r="B56" s="4"/>
      <c r="C56" s="131"/>
      <c r="D56" s="119"/>
      <c r="E56" s="119"/>
      <c r="F56" s="119"/>
      <c r="G56" s="119"/>
      <c r="H56" s="119"/>
      <c r="I56" s="119"/>
      <c r="J56" s="121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25">
        <f t="shared" si="1"/>
        <v>0</v>
      </c>
      <c r="X56" s="119"/>
      <c r="Y56" s="119"/>
      <c r="Z56" s="127">
        <f t="shared" si="2"/>
        <v>0</v>
      </c>
      <c r="AA56" s="141"/>
      <c r="AB56" s="142"/>
      <c r="AC56" s="133">
        <f t="shared" si="4"/>
        <v>0</v>
      </c>
      <c r="AD56" s="142"/>
      <c r="AE56" s="142"/>
      <c r="AF56" s="142"/>
      <c r="AG56" s="142"/>
      <c r="AH56" s="142"/>
      <c r="AI56" s="142"/>
      <c r="AJ56" s="142"/>
    </row>
    <row r="57" ht="22.5" hidden="1" customHeight="1">
      <c r="A57" s="4"/>
      <c r="B57" s="4"/>
      <c r="C57" s="131"/>
      <c r="D57" s="119"/>
      <c r="E57" s="119"/>
      <c r="F57" s="119"/>
      <c r="G57" s="119"/>
      <c r="H57" s="119"/>
      <c r="I57" s="119"/>
      <c r="J57" s="121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25">
        <f t="shared" si="1"/>
        <v>0</v>
      </c>
      <c r="X57" s="119"/>
      <c r="Y57" s="119"/>
      <c r="Z57" s="127">
        <f t="shared" si="2"/>
        <v>0</v>
      </c>
      <c r="AA57" s="141"/>
      <c r="AB57" s="142"/>
      <c r="AC57" s="133">
        <f t="shared" si="4"/>
        <v>0</v>
      </c>
      <c r="AD57" s="142"/>
      <c r="AE57" s="142"/>
      <c r="AF57" s="142"/>
      <c r="AG57" s="142"/>
      <c r="AH57" s="142"/>
      <c r="AI57" s="142"/>
      <c r="AJ57" s="142"/>
    </row>
    <row r="58" ht="22.5" hidden="1" customHeight="1">
      <c r="A58" s="4"/>
      <c r="B58" s="4"/>
      <c r="C58" s="131"/>
      <c r="D58" s="119"/>
      <c r="E58" s="119"/>
      <c r="F58" s="119"/>
      <c r="G58" s="119"/>
      <c r="H58" s="119"/>
      <c r="I58" s="119"/>
      <c r="J58" s="121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25">
        <f t="shared" si="1"/>
        <v>0</v>
      </c>
      <c r="X58" s="119"/>
      <c r="Y58" s="119"/>
      <c r="Z58" s="127">
        <f t="shared" si="2"/>
        <v>0</v>
      </c>
      <c r="AA58" s="141"/>
      <c r="AB58" s="142"/>
      <c r="AC58" s="133">
        <f t="shared" si="4"/>
        <v>0</v>
      </c>
      <c r="AD58" s="142"/>
      <c r="AE58" s="142"/>
      <c r="AF58" s="142"/>
      <c r="AG58" s="142"/>
      <c r="AH58" s="142"/>
      <c r="AI58" s="142"/>
      <c r="AJ58" s="142"/>
    </row>
    <row r="59" ht="22.5" hidden="1" customHeight="1">
      <c r="A59" s="4"/>
      <c r="B59" s="4"/>
      <c r="C59" s="131"/>
      <c r="D59" s="119"/>
      <c r="E59" s="119"/>
      <c r="F59" s="119"/>
      <c r="G59" s="119"/>
      <c r="H59" s="119"/>
      <c r="I59" s="119"/>
      <c r="J59" s="121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25">
        <f t="shared" si="1"/>
        <v>0</v>
      </c>
      <c r="X59" s="119"/>
      <c r="Y59" s="119"/>
      <c r="Z59" s="127">
        <f t="shared" si="2"/>
        <v>0</v>
      </c>
      <c r="AA59" s="141"/>
      <c r="AB59" s="142"/>
      <c r="AC59" s="133">
        <f t="shared" si="4"/>
        <v>0</v>
      </c>
      <c r="AD59" s="142"/>
      <c r="AE59" s="142"/>
      <c r="AF59" s="142"/>
      <c r="AG59" s="142"/>
      <c r="AH59" s="142"/>
      <c r="AI59" s="142"/>
      <c r="AJ59" s="142"/>
    </row>
    <row r="60" ht="22.5" hidden="1" customHeight="1">
      <c r="A60" s="4"/>
      <c r="B60" s="4"/>
      <c r="C60" s="131"/>
      <c r="D60" s="119"/>
      <c r="E60" s="119"/>
      <c r="F60" s="119"/>
      <c r="G60" s="119"/>
      <c r="H60" s="119"/>
      <c r="I60" s="119"/>
      <c r="J60" s="121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25">
        <f t="shared" si="1"/>
        <v>0</v>
      </c>
      <c r="X60" s="119"/>
      <c r="Y60" s="119"/>
      <c r="Z60" s="127">
        <f t="shared" si="2"/>
        <v>0</v>
      </c>
      <c r="AA60" s="141"/>
      <c r="AB60" s="142"/>
      <c r="AC60" s="133">
        <f t="shared" si="4"/>
        <v>0</v>
      </c>
      <c r="AD60" s="142"/>
      <c r="AE60" s="142"/>
      <c r="AF60" s="142"/>
      <c r="AG60" s="142"/>
      <c r="AH60" s="142"/>
      <c r="AI60" s="142"/>
      <c r="AJ60" s="142"/>
    </row>
    <row r="61" ht="22.5" hidden="1" customHeight="1">
      <c r="A61" s="4"/>
      <c r="B61" s="4"/>
      <c r="C61" s="131"/>
      <c r="D61" s="119"/>
      <c r="E61" s="119"/>
      <c r="F61" s="119"/>
      <c r="G61" s="119"/>
      <c r="H61" s="119"/>
      <c r="I61" s="119"/>
      <c r="J61" s="121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25">
        <f t="shared" si="1"/>
        <v>0</v>
      </c>
      <c r="X61" s="119"/>
      <c r="Y61" s="119"/>
      <c r="Z61" s="127">
        <f t="shared" si="2"/>
        <v>0</v>
      </c>
      <c r="AA61" s="141"/>
      <c r="AB61" s="142"/>
      <c r="AC61" s="133">
        <f t="shared" si="4"/>
        <v>0</v>
      </c>
      <c r="AD61" s="142"/>
      <c r="AE61" s="142"/>
      <c r="AF61" s="142"/>
      <c r="AG61" s="142"/>
      <c r="AH61" s="142"/>
      <c r="AI61" s="142"/>
      <c r="AJ61" s="142"/>
    </row>
    <row r="62" ht="22.5" hidden="1" customHeight="1">
      <c r="A62" s="4"/>
      <c r="B62" s="4"/>
      <c r="C62" s="131"/>
      <c r="D62" s="119"/>
      <c r="E62" s="119"/>
      <c r="F62" s="119"/>
      <c r="G62" s="119"/>
      <c r="H62" s="119"/>
      <c r="I62" s="119"/>
      <c r="J62" s="121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25">
        <f t="shared" si="1"/>
        <v>0</v>
      </c>
      <c r="X62" s="119"/>
      <c r="Y62" s="119"/>
      <c r="Z62" s="127">
        <f t="shared" si="2"/>
        <v>0</v>
      </c>
      <c r="AA62" s="141"/>
      <c r="AB62" s="142"/>
      <c r="AC62" s="133">
        <f t="shared" si="4"/>
        <v>0</v>
      </c>
      <c r="AD62" s="142"/>
      <c r="AE62" s="142"/>
      <c r="AF62" s="142"/>
      <c r="AG62" s="142"/>
      <c r="AH62" s="142"/>
      <c r="AI62" s="142"/>
      <c r="AJ62" s="142"/>
    </row>
    <row r="63" ht="22.5" hidden="1" customHeight="1">
      <c r="A63" s="4"/>
      <c r="B63" s="4"/>
      <c r="C63" s="131"/>
      <c r="D63" s="119"/>
      <c r="E63" s="119"/>
      <c r="F63" s="119"/>
      <c r="G63" s="119"/>
      <c r="H63" s="119"/>
      <c r="I63" s="119"/>
      <c r="J63" s="121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25">
        <f t="shared" si="1"/>
        <v>0</v>
      </c>
      <c r="X63" s="119"/>
      <c r="Y63" s="119"/>
      <c r="Z63" s="127">
        <f t="shared" si="2"/>
        <v>0</v>
      </c>
      <c r="AA63" s="141"/>
      <c r="AB63" s="142"/>
      <c r="AC63" s="133">
        <f t="shared" si="4"/>
        <v>0</v>
      </c>
      <c r="AD63" s="142"/>
      <c r="AE63" s="142"/>
      <c r="AF63" s="142"/>
      <c r="AG63" s="142"/>
      <c r="AH63" s="142"/>
      <c r="AI63" s="142"/>
      <c r="AJ63" s="142"/>
    </row>
    <row r="64" ht="22.5" hidden="1" customHeight="1">
      <c r="A64" s="4"/>
      <c r="B64" s="4"/>
      <c r="C64" s="131"/>
      <c r="D64" s="119"/>
      <c r="E64" s="119"/>
      <c r="F64" s="119"/>
      <c r="G64" s="119"/>
      <c r="H64" s="119"/>
      <c r="I64" s="119"/>
      <c r="J64" s="121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25">
        <f t="shared" si="1"/>
        <v>0</v>
      </c>
      <c r="X64" s="119"/>
      <c r="Y64" s="119"/>
      <c r="Z64" s="127">
        <f t="shared" si="2"/>
        <v>0</v>
      </c>
      <c r="AA64" s="141"/>
      <c r="AB64" s="142"/>
      <c r="AC64" s="133">
        <f t="shared" si="4"/>
        <v>0</v>
      </c>
      <c r="AD64" s="142"/>
      <c r="AE64" s="142"/>
      <c r="AF64" s="142"/>
      <c r="AG64" s="142"/>
      <c r="AH64" s="142"/>
      <c r="AI64" s="142"/>
      <c r="AJ64" s="142"/>
    </row>
    <row r="65" ht="22.5" hidden="1" customHeight="1">
      <c r="A65" s="4"/>
      <c r="B65" s="4"/>
      <c r="C65" s="131"/>
      <c r="D65" s="119"/>
      <c r="E65" s="119"/>
      <c r="F65" s="119"/>
      <c r="G65" s="119"/>
      <c r="H65" s="119"/>
      <c r="I65" s="119"/>
      <c r="J65" s="121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25">
        <f t="shared" si="1"/>
        <v>0</v>
      </c>
      <c r="X65" s="119"/>
      <c r="Y65" s="119"/>
      <c r="Z65" s="127">
        <f t="shared" si="2"/>
        <v>0</v>
      </c>
      <c r="AA65" s="141"/>
      <c r="AB65" s="142"/>
      <c r="AC65" s="133">
        <f t="shared" si="4"/>
        <v>0</v>
      </c>
      <c r="AD65" s="142"/>
      <c r="AE65" s="142"/>
      <c r="AF65" s="142"/>
      <c r="AG65" s="142"/>
      <c r="AH65" s="142"/>
      <c r="AI65" s="142"/>
      <c r="AJ65" s="142"/>
    </row>
    <row r="66" ht="22.5" hidden="1" customHeight="1">
      <c r="A66" s="4"/>
      <c r="B66" s="4"/>
      <c r="C66" s="131"/>
      <c r="D66" s="119"/>
      <c r="E66" s="119"/>
      <c r="F66" s="119"/>
      <c r="G66" s="119"/>
      <c r="H66" s="119"/>
      <c r="I66" s="119"/>
      <c r="J66" s="121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25">
        <f t="shared" si="1"/>
        <v>0</v>
      </c>
      <c r="X66" s="119"/>
      <c r="Y66" s="119"/>
      <c r="Z66" s="127">
        <f t="shared" si="2"/>
        <v>0</v>
      </c>
      <c r="AA66" s="141"/>
      <c r="AB66" s="142"/>
      <c r="AC66" s="133">
        <f t="shared" si="4"/>
        <v>0</v>
      </c>
      <c r="AD66" s="142"/>
      <c r="AE66" s="142"/>
      <c r="AF66" s="142"/>
      <c r="AG66" s="142"/>
      <c r="AH66" s="142"/>
      <c r="AI66" s="142"/>
      <c r="AJ66" s="142"/>
    </row>
    <row r="67" ht="22.5" hidden="1" customHeight="1">
      <c r="A67" s="4"/>
      <c r="B67" s="4"/>
      <c r="C67" s="131"/>
      <c r="D67" s="119"/>
      <c r="E67" s="119"/>
      <c r="F67" s="119"/>
      <c r="G67" s="119"/>
      <c r="H67" s="119"/>
      <c r="I67" s="119"/>
      <c r="J67" s="121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25">
        <f t="shared" si="1"/>
        <v>0</v>
      </c>
      <c r="X67" s="119"/>
      <c r="Y67" s="119"/>
      <c r="Z67" s="127">
        <f t="shared" si="2"/>
        <v>0</v>
      </c>
      <c r="AA67" s="141"/>
      <c r="AB67" s="142"/>
      <c r="AC67" s="133">
        <f t="shared" si="4"/>
        <v>0</v>
      </c>
      <c r="AD67" s="142"/>
      <c r="AE67" s="142"/>
      <c r="AF67" s="142"/>
      <c r="AG67" s="142"/>
      <c r="AH67" s="142"/>
      <c r="AI67" s="142"/>
      <c r="AJ67" s="142"/>
    </row>
    <row r="68" ht="22.5" hidden="1" customHeight="1">
      <c r="A68" s="4"/>
      <c r="B68" s="4"/>
      <c r="C68" s="131"/>
      <c r="D68" s="119"/>
      <c r="E68" s="119"/>
      <c r="F68" s="119"/>
      <c r="G68" s="119"/>
      <c r="H68" s="119"/>
      <c r="I68" s="119"/>
      <c r="J68" s="121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25">
        <f t="shared" si="1"/>
        <v>0</v>
      </c>
      <c r="X68" s="119"/>
      <c r="Y68" s="119"/>
      <c r="Z68" s="127">
        <f t="shared" si="2"/>
        <v>0</v>
      </c>
      <c r="AA68" s="141"/>
      <c r="AB68" s="142"/>
      <c r="AC68" s="133">
        <f t="shared" si="4"/>
        <v>0</v>
      </c>
      <c r="AD68" s="142"/>
      <c r="AE68" s="142"/>
      <c r="AF68" s="142"/>
      <c r="AG68" s="142"/>
      <c r="AH68" s="142"/>
      <c r="AI68" s="142"/>
      <c r="AJ68" s="142"/>
    </row>
    <row r="69" ht="22.5" hidden="1" customHeight="1">
      <c r="A69" s="4"/>
      <c r="B69" s="4"/>
      <c r="C69" s="131"/>
      <c r="D69" s="119"/>
      <c r="E69" s="119"/>
      <c r="F69" s="119"/>
      <c r="G69" s="119"/>
      <c r="H69" s="119"/>
      <c r="I69" s="119"/>
      <c r="J69" s="121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25">
        <f t="shared" si="1"/>
        <v>0</v>
      </c>
      <c r="X69" s="119"/>
      <c r="Y69" s="119"/>
      <c r="Z69" s="127">
        <f t="shared" si="2"/>
        <v>0</v>
      </c>
      <c r="AA69" s="141"/>
      <c r="AB69" s="142"/>
      <c r="AC69" s="133">
        <f t="shared" si="4"/>
        <v>0</v>
      </c>
      <c r="AD69" s="142"/>
      <c r="AE69" s="142"/>
      <c r="AF69" s="142"/>
      <c r="AG69" s="142"/>
      <c r="AH69" s="142"/>
      <c r="AI69" s="142"/>
      <c r="AJ69" s="142"/>
    </row>
    <row r="70" ht="22.5" hidden="1" customHeight="1">
      <c r="A70" s="4"/>
      <c r="B70" s="4"/>
      <c r="C70" s="131"/>
      <c r="D70" s="119"/>
      <c r="E70" s="119"/>
      <c r="F70" s="119"/>
      <c r="G70" s="119"/>
      <c r="H70" s="119"/>
      <c r="I70" s="119"/>
      <c r="J70" s="121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25">
        <f t="shared" si="1"/>
        <v>0</v>
      </c>
      <c r="X70" s="119"/>
      <c r="Y70" s="119"/>
      <c r="Z70" s="127">
        <f t="shared" si="2"/>
        <v>0</v>
      </c>
      <c r="AA70" s="141"/>
      <c r="AB70" s="142"/>
      <c r="AC70" s="133">
        <f t="shared" si="4"/>
        <v>0</v>
      </c>
      <c r="AD70" s="142"/>
      <c r="AE70" s="142"/>
      <c r="AF70" s="142"/>
      <c r="AG70" s="142"/>
      <c r="AH70" s="142"/>
      <c r="AI70" s="142"/>
      <c r="AJ70" s="142"/>
    </row>
    <row r="71" ht="22.5" hidden="1" customHeight="1">
      <c r="A71" s="4"/>
      <c r="B71" s="4"/>
      <c r="C71" s="131"/>
      <c r="D71" s="119"/>
      <c r="E71" s="119"/>
      <c r="F71" s="119"/>
      <c r="G71" s="119"/>
      <c r="H71" s="119"/>
      <c r="I71" s="119"/>
      <c r="J71" s="121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25">
        <f t="shared" si="1"/>
        <v>0</v>
      </c>
      <c r="X71" s="119"/>
      <c r="Y71" s="119"/>
      <c r="Z71" s="127">
        <f t="shared" si="2"/>
        <v>0</v>
      </c>
      <c r="AA71" s="141"/>
      <c r="AB71" s="142"/>
      <c r="AC71" s="133">
        <f t="shared" si="4"/>
        <v>0</v>
      </c>
      <c r="AD71" s="142"/>
      <c r="AE71" s="142"/>
      <c r="AF71" s="142"/>
      <c r="AG71" s="142"/>
      <c r="AH71" s="142"/>
      <c r="AI71" s="142"/>
      <c r="AJ71" s="142"/>
    </row>
    <row r="72" ht="22.5" hidden="1" customHeight="1">
      <c r="A72" s="4"/>
      <c r="B72" s="4"/>
      <c r="C72" s="131"/>
      <c r="D72" s="119"/>
      <c r="E72" s="119"/>
      <c r="F72" s="119"/>
      <c r="G72" s="119"/>
      <c r="H72" s="119"/>
      <c r="I72" s="119"/>
      <c r="J72" s="121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25">
        <f t="shared" si="1"/>
        <v>0</v>
      </c>
      <c r="X72" s="119"/>
      <c r="Y72" s="119"/>
      <c r="Z72" s="127">
        <f t="shared" si="2"/>
        <v>0</v>
      </c>
      <c r="AA72" s="141"/>
      <c r="AB72" s="142"/>
      <c r="AC72" s="133">
        <f t="shared" si="4"/>
        <v>0</v>
      </c>
      <c r="AD72" s="142"/>
      <c r="AE72" s="142"/>
      <c r="AF72" s="142"/>
      <c r="AG72" s="142"/>
      <c r="AH72" s="142"/>
      <c r="AI72" s="142"/>
      <c r="AJ72" s="142"/>
    </row>
    <row r="73" ht="22.5" hidden="1" customHeight="1">
      <c r="A73" s="4"/>
      <c r="B73" s="4"/>
      <c r="C73" s="131"/>
      <c r="D73" s="119"/>
      <c r="E73" s="119"/>
      <c r="F73" s="119"/>
      <c r="G73" s="119"/>
      <c r="H73" s="119"/>
      <c r="I73" s="119"/>
      <c r="J73" s="121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25">
        <f t="shared" si="1"/>
        <v>0</v>
      </c>
      <c r="X73" s="119"/>
      <c r="Y73" s="119"/>
      <c r="Z73" s="127">
        <f t="shared" si="2"/>
        <v>0</v>
      </c>
      <c r="AA73" s="141"/>
      <c r="AB73" s="142"/>
      <c r="AC73" s="133">
        <f t="shared" si="4"/>
        <v>0</v>
      </c>
      <c r="AD73" s="142"/>
      <c r="AE73" s="142"/>
      <c r="AF73" s="142"/>
      <c r="AG73" s="142"/>
      <c r="AH73" s="142"/>
      <c r="AI73" s="142"/>
      <c r="AJ73" s="142"/>
    </row>
    <row r="74" ht="22.5" hidden="1" customHeight="1">
      <c r="A74" s="4"/>
      <c r="B74" s="4"/>
      <c r="C74" s="131"/>
      <c r="D74" s="119"/>
      <c r="E74" s="119"/>
      <c r="F74" s="119"/>
      <c r="G74" s="119"/>
      <c r="H74" s="119"/>
      <c r="I74" s="119"/>
      <c r="J74" s="121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25">
        <f t="shared" si="1"/>
        <v>0</v>
      </c>
      <c r="X74" s="119"/>
      <c r="Y74" s="119"/>
      <c r="Z74" s="127">
        <f t="shared" si="2"/>
        <v>0</v>
      </c>
      <c r="AA74" s="141"/>
      <c r="AB74" s="142"/>
      <c r="AC74" s="133">
        <f t="shared" si="4"/>
        <v>0</v>
      </c>
      <c r="AD74" s="142"/>
      <c r="AE74" s="142"/>
      <c r="AF74" s="142"/>
      <c r="AG74" s="142"/>
      <c r="AH74" s="142"/>
      <c r="AI74" s="142"/>
      <c r="AJ74" s="142"/>
    </row>
    <row r="75" ht="22.5" hidden="1" customHeight="1">
      <c r="A75" s="4"/>
      <c r="B75" s="4"/>
      <c r="C75" s="131"/>
      <c r="D75" s="119"/>
      <c r="E75" s="119"/>
      <c r="F75" s="119"/>
      <c r="G75" s="119"/>
      <c r="H75" s="119"/>
      <c r="I75" s="119"/>
      <c r="J75" s="121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25">
        <f t="shared" si="1"/>
        <v>0</v>
      </c>
      <c r="X75" s="119"/>
      <c r="Y75" s="119"/>
      <c r="Z75" s="127">
        <f t="shared" si="2"/>
        <v>0</v>
      </c>
      <c r="AA75" s="141"/>
      <c r="AB75" s="142"/>
      <c r="AC75" s="133">
        <f t="shared" si="4"/>
        <v>0</v>
      </c>
      <c r="AD75" s="142"/>
      <c r="AE75" s="142"/>
      <c r="AF75" s="142"/>
      <c r="AG75" s="142"/>
      <c r="AH75" s="142"/>
      <c r="AI75" s="142"/>
      <c r="AJ75" s="142"/>
    </row>
    <row r="76" ht="22.5" hidden="1" customHeight="1">
      <c r="A76" s="4"/>
      <c r="B76" s="4"/>
      <c r="C76" s="131"/>
      <c r="D76" s="119"/>
      <c r="E76" s="119"/>
      <c r="F76" s="119"/>
      <c r="G76" s="119"/>
      <c r="H76" s="119"/>
      <c r="I76" s="119"/>
      <c r="J76" s="121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25">
        <f t="shared" si="1"/>
        <v>0</v>
      </c>
      <c r="X76" s="119"/>
      <c r="Y76" s="119"/>
      <c r="Z76" s="127">
        <f t="shared" si="2"/>
        <v>0</v>
      </c>
      <c r="AA76" s="141"/>
      <c r="AB76" s="142"/>
      <c r="AC76" s="133">
        <f t="shared" si="4"/>
        <v>0</v>
      </c>
      <c r="AD76" s="142"/>
      <c r="AE76" s="142"/>
      <c r="AF76" s="142"/>
      <c r="AG76" s="142"/>
      <c r="AH76" s="142"/>
      <c r="AI76" s="142"/>
      <c r="AJ76" s="142"/>
    </row>
    <row r="77" ht="22.5" hidden="1" customHeight="1">
      <c r="A77" s="4"/>
      <c r="B77" s="4"/>
      <c r="C77" s="131"/>
      <c r="D77" s="119"/>
      <c r="E77" s="119"/>
      <c r="F77" s="119"/>
      <c r="G77" s="119"/>
      <c r="H77" s="119"/>
      <c r="I77" s="119"/>
      <c r="J77" s="121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25">
        <f t="shared" si="1"/>
        <v>0</v>
      </c>
      <c r="X77" s="119"/>
      <c r="Y77" s="119"/>
      <c r="Z77" s="127">
        <f t="shared" si="2"/>
        <v>0</v>
      </c>
      <c r="AA77" s="141"/>
      <c r="AB77" s="142"/>
      <c r="AC77" s="133">
        <f t="shared" si="4"/>
        <v>0</v>
      </c>
      <c r="AD77" s="142"/>
      <c r="AE77" s="142"/>
      <c r="AF77" s="142"/>
      <c r="AG77" s="142"/>
      <c r="AH77" s="142"/>
      <c r="AI77" s="142"/>
      <c r="AJ77" s="142"/>
    </row>
    <row r="78" ht="22.5" hidden="1" customHeight="1">
      <c r="A78" s="4"/>
      <c r="B78" s="4"/>
      <c r="C78" s="131"/>
      <c r="D78" s="119"/>
      <c r="E78" s="119"/>
      <c r="F78" s="119"/>
      <c r="G78" s="119"/>
      <c r="H78" s="119"/>
      <c r="I78" s="119"/>
      <c r="J78" s="121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25">
        <f t="shared" si="1"/>
        <v>0</v>
      </c>
      <c r="X78" s="119"/>
      <c r="Y78" s="119"/>
      <c r="Z78" s="127">
        <f t="shared" si="2"/>
        <v>0</v>
      </c>
      <c r="AA78" s="141"/>
      <c r="AB78" s="142"/>
      <c r="AC78" s="133">
        <f t="shared" si="4"/>
        <v>0</v>
      </c>
      <c r="AD78" s="142"/>
      <c r="AE78" s="142"/>
      <c r="AF78" s="142"/>
      <c r="AG78" s="142"/>
      <c r="AH78" s="142"/>
      <c r="AI78" s="142"/>
      <c r="AJ78" s="142"/>
    </row>
    <row r="79" ht="22.5" hidden="1" customHeight="1">
      <c r="A79" s="4"/>
      <c r="B79" s="4"/>
      <c r="C79" s="131"/>
      <c r="D79" s="119"/>
      <c r="E79" s="119"/>
      <c r="F79" s="119"/>
      <c r="G79" s="119"/>
      <c r="H79" s="119"/>
      <c r="I79" s="119"/>
      <c r="J79" s="121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25">
        <f t="shared" si="1"/>
        <v>0</v>
      </c>
      <c r="X79" s="119"/>
      <c r="Y79" s="119"/>
      <c r="Z79" s="127">
        <f t="shared" si="2"/>
        <v>0</v>
      </c>
      <c r="AA79" s="141"/>
      <c r="AB79" s="142"/>
      <c r="AC79" s="133">
        <f t="shared" si="4"/>
        <v>0</v>
      </c>
      <c r="AD79" s="142"/>
      <c r="AE79" s="142"/>
      <c r="AF79" s="142"/>
      <c r="AG79" s="142"/>
      <c r="AH79" s="142"/>
      <c r="AI79" s="142"/>
      <c r="AJ79" s="142"/>
    </row>
    <row r="80" ht="22.5" hidden="1" customHeight="1">
      <c r="A80" s="4"/>
      <c r="B80" s="4"/>
      <c r="C80" s="131"/>
      <c r="D80" s="119"/>
      <c r="E80" s="119"/>
      <c r="F80" s="119"/>
      <c r="G80" s="119"/>
      <c r="H80" s="119"/>
      <c r="I80" s="119"/>
      <c r="J80" s="121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25">
        <f t="shared" si="1"/>
        <v>0</v>
      </c>
      <c r="X80" s="119"/>
      <c r="Y80" s="119"/>
      <c r="Z80" s="127">
        <f t="shared" si="2"/>
        <v>0</v>
      </c>
      <c r="AA80" s="141"/>
      <c r="AB80" s="142"/>
      <c r="AC80" s="133">
        <f t="shared" si="4"/>
        <v>0</v>
      </c>
      <c r="AD80" s="142"/>
      <c r="AE80" s="142"/>
      <c r="AF80" s="142"/>
      <c r="AG80" s="142"/>
      <c r="AH80" s="142"/>
      <c r="AI80" s="142"/>
      <c r="AJ80" s="142"/>
    </row>
    <row r="81" ht="22.5" hidden="1" customHeight="1">
      <c r="A81" s="4"/>
      <c r="B81" s="4"/>
      <c r="C81" s="131"/>
      <c r="D81" s="119"/>
      <c r="E81" s="119"/>
      <c r="F81" s="119"/>
      <c r="G81" s="119"/>
      <c r="H81" s="119"/>
      <c r="I81" s="119"/>
      <c r="J81" s="121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25">
        <f t="shared" si="1"/>
        <v>0</v>
      </c>
      <c r="X81" s="119"/>
      <c r="Y81" s="119"/>
      <c r="Z81" s="127">
        <f t="shared" si="2"/>
        <v>0</v>
      </c>
      <c r="AA81" s="141"/>
      <c r="AB81" s="142"/>
      <c r="AC81" s="133">
        <f t="shared" si="4"/>
        <v>0</v>
      </c>
      <c r="AD81" s="142"/>
      <c r="AE81" s="142"/>
      <c r="AF81" s="142"/>
      <c r="AG81" s="142"/>
      <c r="AH81" s="142"/>
      <c r="AI81" s="142"/>
      <c r="AJ81" s="142"/>
    </row>
    <row r="82" ht="22.5" hidden="1" customHeight="1">
      <c r="A82" s="4"/>
      <c r="B82" s="4"/>
      <c r="C82" s="131"/>
      <c r="D82" s="119"/>
      <c r="E82" s="119"/>
      <c r="F82" s="119"/>
      <c r="G82" s="119"/>
      <c r="H82" s="119"/>
      <c r="I82" s="119"/>
      <c r="J82" s="121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25">
        <f t="shared" si="1"/>
        <v>0</v>
      </c>
      <c r="X82" s="119"/>
      <c r="Y82" s="119"/>
      <c r="Z82" s="127">
        <f t="shared" si="2"/>
        <v>0</v>
      </c>
      <c r="AA82" s="141"/>
      <c r="AB82" s="142"/>
      <c r="AC82" s="133">
        <f t="shared" si="4"/>
        <v>0</v>
      </c>
      <c r="AD82" s="142"/>
      <c r="AE82" s="142"/>
      <c r="AF82" s="142"/>
      <c r="AG82" s="142"/>
      <c r="AH82" s="142"/>
      <c r="AI82" s="142"/>
      <c r="AJ82" s="142"/>
    </row>
    <row r="83" ht="22.5" hidden="1" customHeight="1">
      <c r="A83" s="4"/>
      <c r="B83" s="4"/>
      <c r="C83" s="131"/>
      <c r="D83" s="119"/>
      <c r="E83" s="119"/>
      <c r="F83" s="119"/>
      <c r="G83" s="119"/>
      <c r="H83" s="119"/>
      <c r="I83" s="119"/>
      <c r="J83" s="121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25">
        <f t="shared" si="1"/>
        <v>0</v>
      </c>
      <c r="X83" s="119"/>
      <c r="Y83" s="119"/>
      <c r="Z83" s="127">
        <f t="shared" si="2"/>
        <v>0</v>
      </c>
      <c r="AA83" s="141"/>
      <c r="AB83" s="142"/>
      <c r="AC83" s="133">
        <f t="shared" si="4"/>
        <v>0</v>
      </c>
      <c r="AD83" s="142"/>
      <c r="AE83" s="142"/>
      <c r="AF83" s="142"/>
      <c r="AG83" s="142"/>
      <c r="AH83" s="142"/>
      <c r="AI83" s="142"/>
      <c r="AJ83" s="142"/>
    </row>
    <row r="84" ht="22.5" hidden="1" customHeight="1">
      <c r="A84" s="4"/>
      <c r="B84" s="4"/>
      <c r="C84" s="131"/>
      <c r="D84" s="119"/>
      <c r="E84" s="119"/>
      <c r="F84" s="119"/>
      <c r="G84" s="119"/>
      <c r="H84" s="119"/>
      <c r="I84" s="119"/>
      <c r="J84" s="121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25">
        <f t="shared" si="1"/>
        <v>0</v>
      </c>
      <c r="X84" s="119"/>
      <c r="Y84" s="119"/>
      <c r="Z84" s="127">
        <f t="shared" si="2"/>
        <v>0</v>
      </c>
      <c r="AA84" s="141"/>
      <c r="AB84" s="142"/>
      <c r="AC84" s="133">
        <f t="shared" si="4"/>
        <v>0</v>
      </c>
      <c r="AD84" s="142"/>
      <c r="AE84" s="142"/>
      <c r="AF84" s="142"/>
      <c r="AG84" s="142"/>
      <c r="AH84" s="142"/>
      <c r="AI84" s="142"/>
      <c r="AJ84" s="142"/>
    </row>
    <row r="85" ht="22.5" hidden="1" customHeight="1">
      <c r="A85" s="4"/>
      <c r="B85" s="4"/>
      <c r="C85" s="131"/>
      <c r="D85" s="119"/>
      <c r="E85" s="119"/>
      <c r="F85" s="119"/>
      <c r="G85" s="119"/>
      <c r="H85" s="119"/>
      <c r="I85" s="119"/>
      <c r="J85" s="121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25">
        <f t="shared" si="1"/>
        <v>0</v>
      </c>
      <c r="X85" s="119"/>
      <c r="Y85" s="119"/>
      <c r="Z85" s="127">
        <f t="shared" si="2"/>
        <v>0</v>
      </c>
      <c r="AA85" s="141"/>
      <c r="AB85" s="142"/>
      <c r="AC85" s="133">
        <f t="shared" si="4"/>
        <v>0</v>
      </c>
      <c r="AD85" s="142"/>
      <c r="AE85" s="142"/>
      <c r="AF85" s="142"/>
      <c r="AG85" s="142"/>
      <c r="AH85" s="142"/>
      <c r="AI85" s="142"/>
      <c r="AJ85" s="142"/>
    </row>
    <row r="86" ht="22.5" hidden="1" customHeight="1">
      <c r="A86" s="4"/>
      <c r="B86" s="4"/>
      <c r="C86" s="131"/>
      <c r="D86" s="119"/>
      <c r="E86" s="119"/>
      <c r="F86" s="119"/>
      <c r="G86" s="119"/>
      <c r="H86" s="119"/>
      <c r="I86" s="119"/>
      <c r="J86" s="121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25">
        <f t="shared" si="1"/>
        <v>0</v>
      </c>
      <c r="X86" s="119"/>
      <c r="Y86" s="119"/>
      <c r="Z86" s="127">
        <f t="shared" si="2"/>
        <v>0</v>
      </c>
      <c r="AA86" s="141"/>
      <c r="AB86" s="142"/>
      <c r="AC86" s="133">
        <f t="shared" si="4"/>
        <v>0</v>
      </c>
      <c r="AD86" s="142"/>
      <c r="AE86" s="142"/>
      <c r="AF86" s="142"/>
      <c r="AG86" s="142"/>
      <c r="AH86" s="142"/>
      <c r="AI86" s="142"/>
      <c r="AJ86" s="142"/>
    </row>
    <row r="87" ht="22.5" hidden="1" customHeight="1">
      <c r="A87" s="4"/>
      <c r="B87" s="4"/>
      <c r="C87" s="131"/>
      <c r="D87" s="119"/>
      <c r="E87" s="119"/>
      <c r="F87" s="119"/>
      <c r="G87" s="119"/>
      <c r="H87" s="119"/>
      <c r="I87" s="119"/>
      <c r="J87" s="121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25">
        <f t="shared" si="1"/>
        <v>0</v>
      </c>
      <c r="X87" s="119"/>
      <c r="Y87" s="119"/>
      <c r="Z87" s="127">
        <f t="shared" si="2"/>
        <v>0</v>
      </c>
      <c r="AA87" s="141"/>
      <c r="AB87" s="142"/>
      <c r="AC87" s="133">
        <f t="shared" si="4"/>
        <v>0</v>
      </c>
      <c r="AD87" s="142"/>
      <c r="AE87" s="142"/>
      <c r="AF87" s="142"/>
      <c r="AG87" s="142"/>
      <c r="AH87" s="142"/>
      <c r="AI87" s="142"/>
      <c r="AJ87" s="142"/>
    </row>
    <row r="88" ht="22.5" hidden="1" customHeight="1">
      <c r="A88" s="4"/>
      <c r="B88" s="4"/>
      <c r="C88" s="131"/>
      <c r="D88" s="119"/>
      <c r="E88" s="119"/>
      <c r="F88" s="119"/>
      <c r="G88" s="119"/>
      <c r="H88" s="119"/>
      <c r="I88" s="119"/>
      <c r="J88" s="121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25">
        <f t="shared" si="1"/>
        <v>0</v>
      </c>
      <c r="X88" s="119"/>
      <c r="Y88" s="119"/>
      <c r="Z88" s="127">
        <f t="shared" si="2"/>
        <v>0</v>
      </c>
      <c r="AA88" s="141"/>
      <c r="AB88" s="142"/>
      <c r="AC88" s="133">
        <f t="shared" si="4"/>
        <v>0</v>
      </c>
      <c r="AD88" s="142"/>
      <c r="AE88" s="142"/>
      <c r="AF88" s="142"/>
      <c r="AG88" s="142"/>
      <c r="AH88" s="142"/>
      <c r="AI88" s="142"/>
      <c r="AJ88" s="142"/>
    </row>
    <row r="89" ht="22.5" hidden="1" customHeight="1">
      <c r="A89" s="4"/>
      <c r="B89" s="4"/>
      <c r="C89" s="131"/>
      <c r="D89" s="119"/>
      <c r="E89" s="119"/>
      <c r="F89" s="119"/>
      <c r="G89" s="119"/>
      <c r="H89" s="119"/>
      <c r="I89" s="119"/>
      <c r="J89" s="121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25">
        <f t="shared" si="1"/>
        <v>0</v>
      </c>
      <c r="X89" s="119"/>
      <c r="Y89" s="119"/>
      <c r="Z89" s="127">
        <f t="shared" si="2"/>
        <v>0</v>
      </c>
      <c r="AA89" s="141"/>
      <c r="AB89" s="142"/>
      <c r="AC89" s="133">
        <f t="shared" si="4"/>
        <v>0</v>
      </c>
      <c r="AD89" s="142"/>
      <c r="AE89" s="142"/>
      <c r="AF89" s="142"/>
      <c r="AG89" s="142"/>
      <c r="AH89" s="142"/>
      <c r="AI89" s="142"/>
      <c r="AJ89" s="142"/>
    </row>
    <row r="90" ht="22.5" hidden="1" customHeight="1">
      <c r="A90" s="4"/>
      <c r="B90" s="4"/>
      <c r="C90" s="131"/>
      <c r="D90" s="119"/>
      <c r="E90" s="119"/>
      <c r="F90" s="119"/>
      <c r="G90" s="119"/>
      <c r="H90" s="119"/>
      <c r="I90" s="119"/>
      <c r="J90" s="121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25">
        <f t="shared" si="1"/>
        <v>0</v>
      </c>
      <c r="X90" s="119"/>
      <c r="Y90" s="119"/>
      <c r="Z90" s="127">
        <f t="shared" si="2"/>
        <v>0</v>
      </c>
      <c r="AA90" s="141"/>
      <c r="AB90" s="142"/>
      <c r="AC90" s="133">
        <f t="shared" si="4"/>
        <v>0</v>
      </c>
      <c r="AD90" s="142"/>
      <c r="AE90" s="142"/>
      <c r="AF90" s="142"/>
      <c r="AG90" s="142"/>
      <c r="AH90" s="142"/>
      <c r="AI90" s="142"/>
      <c r="AJ90" s="142"/>
    </row>
    <row r="91" ht="22.5" hidden="1" customHeight="1">
      <c r="A91" s="4"/>
      <c r="B91" s="4"/>
      <c r="C91" s="131"/>
      <c r="D91" s="119"/>
      <c r="E91" s="119"/>
      <c r="F91" s="119"/>
      <c r="G91" s="119"/>
      <c r="H91" s="119"/>
      <c r="I91" s="119"/>
      <c r="J91" s="121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25">
        <f t="shared" si="1"/>
        <v>0</v>
      </c>
      <c r="X91" s="119"/>
      <c r="Y91" s="119"/>
      <c r="Z91" s="127">
        <f t="shared" si="2"/>
        <v>0</v>
      </c>
      <c r="AA91" s="141"/>
      <c r="AB91" s="142"/>
      <c r="AC91" s="133">
        <f t="shared" si="4"/>
        <v>0</v>
      </c>
      <c r="AD91" s="142"/>
      <c r="AE91" s="142"/>
      <c r="AF91" s="142"/>
      <c r="AG91" s="142"/>
      <c r="AH91" s="142"/>
      <c r="AI91" s="142"/>
      <c r="AJ91" s="142"/>
    </row>
    <row r="92" ht="22.5" hidden="1" customHeight="1">
      <c r="A92" s="4"/>
      <c r="B92" s="4"/>
      <c r="C92" s="131"/>
      <c r="D92" s="119"/>
      <c r="E92" s="119"/>
      <c r="F92" s="119"/>
      <c r="G92" s="119"/>
      <c r="H92" s="119"/>
      <c r="I92" s="119"/>
      <c r="J92" s="121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25">
        <f t="shared" si="1"/>
        <v>0</v>
      </c>
      <c r="X92" s="119"/>
      <c r="Y92" s="119"/>
      <c r="Z92" s="127">
        <f t="shared" si="2"/>
        <v>0</v>
      </c>
      <c r="AA92" s="141"/>
      <c r="AB92" s="142"/>
      <c r="AC92" s="133">
        <f t="shared" si="4"/>
        <v>0</v>
      </c>
      <c r="AD92" s="142"/>
      <c r="AE92" s="142"/>
      <c r="AF92" s="142"/>
      <c r="AG92" s="142"/>
      <c r="AH92" s="142"/>
      <c r="AI92" s="142"/>
      <c r="AJ92" s="142"/>
    </row>
    <row r="93" ht="22.5" hidden="1" customHeight="1">
      <c r="A93" s="4"/>
      <c r="B93" s="4"/>
      <c r="C93" s="131"/>
      <c r="D93" s="119"/>
      <c r="E93" s="119"/>
      <c r="F93" s="119"/>
      <c r="G93" s="119"/>
      <c r="H93" s="119"/>
      <c r="I93" s="119"/>
      <c r="J93" s="121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25">
        <f t="shared" si="1"/>
        <v>0</v>
      </c>
      <c r="X93" s="119"/>
      <c r="Y93" s="119"/>
      <c r="Z93" s="127">
        <f t="shared" si="2"/>
        <v>0</v>
      </c>
      <c r="AA93" s="141"/>
      <c r="AB93" s="142"/>
      <c r="AC93" s="133">
        <f t="shared" si="4"/>
        <v>0</v>
      </c>
      <c r="AD93" s="142"/>
      <c r="AE93" s="142"/>
      <c r="AF93" s="142"/>
      <c r="AG93" s="142"/>
      <c r="AH93" s="142"/>
      <c r="AI93" s="142"/>
      <c r="AJ93" s="142"/>
    </row>
    <row r="94" ht="22.5" hidden="1" customHeight="1">
      <c r="A94" s="4"/>
      <c r="B94" s="4"/>
      <c r="C94" s="131"/>
      <c r="D94" s="119"/>
      <c r="E94" s="119"/>
      <c r="F94" s="119"/>
      <c r="G94" s="119"/>
      <c r="H94" s="119"/>
      <c r="I94" s="119"/>
      <c r="J94" s="121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25">
        <f t="shared" si="1"/>
        <v>0</v>
      </c>
      <c r="X94" s="119"/>
      <c r="Y94" s="119"/>
      <c r="Z94" s="127">
        <f t="shared" si="2"/>
        <v>0</v>
      </c>
      <c r="AA94" s="141"/>
      <c r="AB94" s="142"/>
      <c r="AC94" s="133">
        <f t="shared" si="4"/>
        <v>0</v>
      </c>
      <c r="AD94" s="142"/>
      <c r="AE94" s="142"/>
      <c r="AF94" s="142"/>
      <c r="AG94" s="142"/>
      <c r="AH94" s="142"/>
      <c r="AI94" s="142"/>
      <c r="AJ94" s="142"/>
    </row>
    <row r="95" ht="22.5" hidden="1" customHeight="1">
      <c r="A95" s="4"/>
      <c r="B95" s="4"/>
      <c r="C95" s="131"/>
      <c r="D95" s="119"/>
      <c r="E95" s="119"/>
      <c r="F95" s="119"/>
      <c r="G95" s="119"/>
      <c r="H95" s="119"/>
      <c r="I95" s="119"/>
      <c r="J95" s="121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25">
        <f t="shared" si="1"/>
        <v>0</v>
      </c>
      <c r="X95" s="119"/>
      <c r="Y95" s="119"/>
      <c r="Z95" s="127">
        <f t="shared" si="2"/>
        <v>0</v>
      </c>
      <c r="AA95" s="141"/>
      <c r="AB95" s="142"/>
      <c r="AC95" s="133">
        <f t="shared" si="4"/>
        <v>0</v>
      </c>
      <c r="AD95" s="142"/>
      <c r="AE95" s="142"/>
      <c r="AF95" s="142"/>
      <c r="AG95" s="142"/>
      <c r="AH95" s="142"/>
      <c r="AI95" s="142"/>
      <c r="AJ95" s="142"/>
    </row>
    <row r="96" ht="22.5" hidden="1" customHeight="1">
      <c r="A96" s="4"/>
      <c r="B96" s="4"/>
      <c r="C96" s="131"/>
      <c r="D96" s="119"/>
      <c r="E96" s="119"/>
      <c r="F96" s="119"/>
      <c r="G96" s="119"/>
      <c r="H96" s="119"/>
      <c r="I96" s="119"/>
      <c r="J96" s="121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25">
        <f t="shared" si="1"/>
        <v>0</v>
      </c>
      <c r="X96" s="119"/>
      <c r="Y96" s="119"/>
      <c r="Z96" s="127">
        <f t="shared" si="2"/>
        <v>0</v>
      </c>
      <c r="AA96" s="141"/>
      <c r="AB96" s="142"/>
      <c r="AC96" s="133">
        <f t="shared" si="4"/>
        <v>0</v>
      </c>
      <c r="AD96" s="142"/>
      <c r="AE96" s="142"/>
      <c r="AF96" s="142"/>
      <c r="AG96" s="142"/>
      <c r="AH96" s="142"/>
      <c r="AI96" s="142"/>
      <c r="AJ96" s="142"/>
    </row>
    <row r="97" ht="22.5" hidden="1" customHeight="1">
      <c r="A97" s="4"/>
      <c r="B97" s="4"/>
      <c r="C97" s="131"/>
      <c r="D97" s="119"/>
      <c r="E97" s="119"/>
      <c r="F97" s="119"/>
      <c r="G97" s="119"/>
      <c r="H97" s="119"/>
      <c r="I97" s="119"/>
      <c r="J97" s="121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25">
        <f t="shared" si="1"/>
        <v>0</v>
      </c>
      <c r="X97" s="119"/>
      <c r="Y97" s="119"/>
      <c r="Z97" s="127">
        <f t="shared" si="2"/>
        <v>0</v>
      </c>
      <c r="AA97" s="141"/>
      <c r="AB97" s="142"/>
      <c r="AC97" s="133">
        <f t="shared" si="4"/>
        <v>0</v>
      </c>
      <c r="AD97" s="142"/>
      <c r="AE97" s="142"/>
      <c r="AF97" s="142"/>
      <c r="AG97" s="142"/>
      <c r="AH97" s="142"/>
      <c r="AI97" s="142"/>
      <c r="AJ97" s="142"/>
    </row>
    <row r="98" ht="22.5" hidden="1" customHeight="1">
      <c r="A98" s="4"/>
      <c r="B98" s="4"/>
      <c r="C98" s="131"/>
      <c r="D98" s="119"/>
      <c r="E98" s="119"/>
      <c r="F98" s="119"/>
      <c r="G98" s="119"/>
      <c r="H98" s="119"/>
      <c r="I98" s="119"/>
      <c r="J98" s="121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25">
        <f t="shared" si="1"/>
        <v>0</v>
      </c>
      <c r="X98" s="119"/>
      <c r="Y98" s="119"/>
      <c r="Z98" s="127">
        <f t="shared" si="2"/>
        <v>0</v>
      </c>
      <c r="AA98" s="141"/>
      <c r="AB98" s="142"/>
      <c r="AC98" s="133">
        <f t="shared" si="4"/>
        <v>0</v>
      </c>
      <c r="AD98" s="142"/>
      <c r="AE98" s="142"/>
      <c r="AF98" s="142"/>
      <c r="AG98" s="142"/>
      <c r="AH98" s="142"/>
      <c r="AI98" s="142"/>
      <c r="AJ98" s="142"/>
    </row>
    <row r="99" ht="22.5" hidden="1" customHeight="1">
      <c r="A99" s="4"/>
      <c r="B99" s="4"/>
      <c r="C99" s="131"/>
      <c r="D99" s="119"/>
      <c r="E99" s="119"/>
      <c r="F99" s="119"/>
      <c r="G99" s="119"/>
      <c r="H99" s="119"/>
      <c r="I99" s="119"/>
      <c r="J99" s="121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25">
        <f t="shared" si="1"/>
        <v>0</v>
      </c>
      <c r="X99" s="119"/>
      <c r="Y99" s="119"/>
      <c r="Z99" s="127">
        <f t="shared" si="2"/>
        <v>0</v>
      </c>
      <c r="AA99" s="141"/>
      <c r="AB99" s="142"/>
      <c r="AC99" s="133">
        <f t="shared" si="4"/>
        <v>0</v>
      </c>
      <c r="AD99" s="142"/>
      <c r="AE99" s="142"/>
      <c r="AF99" s="142"/>
      <c r="AG99" s="142"/>
      <c r="AH99" s="142"/>
      <c r="AI99" s="142"/>
      <c r="AJ99" s="142"/>
    </row>
    <row r="100" ht="22.5" hidden="1" customHeight="1">
      <c r="A100" s="4"/>
      <c r="B100" s="4"/>
      <c r="C100" s="131"/>
      <c r="D100" s="119"/>
      <c r="E100" s="119"/>
      <c r="F100" s="119"/>
      <c r="G100" s="119"/>
      <c r="H100" s="119"/>
      <c r="I100" s="119"/>
      <c r="J100" s="121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25">
        <f t="shared" si="1"/>
        <v>0</v>
      </c>
      <c r="X100" s="119"/>
      <c r="Y100" s="119"/>
      <c r="Z100" s="127">
        <f t="shared" si="2"/>
        <v>0</v>
      </c>
      <c r="AA100" s="141"/>
      <c r="AB100" s="142"/>
      <c r="AC100" s="133">
        <f t="shared" si="4"/>
        <v>0</v>
      </c>
      <c r="AD100" s="142"/>
      <c r="AE100" s="142"/>
      <c r="AF100" s="142"/>
      <c r="AG100" s="142"/>
      <c r="AH100" s="142"/>
      <c r="AI100" s="142"/>
      <c r="AJ100" s="142"/>
    </row>
    <row r="101" ht="22.5" hidden="1" customHeight="1">
      <c r="A101" s="4"/>
      <c r="B101" s="4"/>
      <c r="C101" s="131"/>
      <c r="D101" s="119"/>
      <c r="E101" s="119"/>
      <c r="F101" s="119"/>
      <c r="G101" s="119"/>
      <c r="H101" s="119"/>
      <c r="I101" s="119"/>
      <c r="J101" s="121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25">
        <f t="shared" si="1"/>
        <v>0</v>
      </c>
      <c r="X101" s="119"/>
      <c r="Y101" s="119"/>
      <c r="Z101" s="127">
        <f t="shared" si="2"/>
        <v>0</v>
      </c>
      <c r="AA101" s="141"/>
      <c r="AB101" s="142"/>
      <c r="AC101" s="133">
        <f t="shared" si="4"/>
        <v>0</v>
      </c>
      <c r="AD101" s="142"/>
      <c r="AE101" s="142"/>
      <c r="AF101" s="142"/>
      <c r="AG101" s="142"/>
      <c r="AH101" s="142"/>
      <c r="AI101" s="142"/>
      <c r="AJ101" s="142"/>
    </row>
    <row r="102" ht="22.5" hidden="1" customHeight="1">
      <c r="A102" s="4"/>
      <c r="B102" s="4"/>
      <c r="C102" s="131"/>
      <c r="D102" s="119"/>
      <c r="E102" s="119"/>
      <c r="F102" s="119"/>
      <c r="G102" s="119"/>
      <c r="H102" s="119"/>
      <c r="I102" s="119"/>
      <c r="J102" s="121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25">
        <f t="shared" si="1"/>
        <v>0</v>
      </c>
      <c r="X102" s="119"/>
      <c r="Y102" s="119"/>
      <c r="Z102" s="127">
        <f t="shared" si="2"/>
        <v>0</v>
      </c>
      <c r="AA102" s="141"/>
      <c r="AB102" s="142"/>
      <c r="AC102" s="133">
        <f t="shared" si="4"/>
        <v>0</v>
      </c>
      <c r="AD102" s="142"/>
      <c r="AE102" s="142"/>
      <c r="AF102" s="142"/>
      <c r="AG102" s="142"/>
      <c r="AH102" s="142"/>
      <c r="AI102" s="142"/>
      <c r="AJ102" s="142"/>
    </row>
    <row r="103" ht="22.5" hidden="1" customHeight="1">
      <c r="A103" s="4"/>
      <c r="B103" s="4"/>
      <c r="C103" s="131"/>
      <c r="D103" s="119"/>
      <c r="E103" s="119"/>
      <c r="F103" s="119"/>
      <c r="G103" s="119"/>
      <c r="H103" s="119"/>
      <c r="I103" s="119"/>
      <c r="J103" s="121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25">
        <f t="shared" si="1"/>
        <v>0</v>
      </c>
      <c r="X103" s="119"/>
      <c r="Y103" s="119"/>
      <c r="Z103" s="127">
        <f t="shared" si="2"/>
        <v>0</v>
      </c>
      <c r="AA103" s="141"/>
      <c r="AB103" s="142"/>
      <c r="AC103" s="133">
        <f t="shared" si="4"/>
        <v>0</v>
      </c>
      <c r="AD103" s="142"/>
      <c r="AE103" s="142"/>
      <c r="AF103" s="142"/>
      <c r="AG103" s="142"/>
      <c r="AH103" s="142"/>
      <c r="AI103" s="142"/>
      <c r="AJ103" s="142"/>
    </row>
    <row r="104" ht="22.5" hidden="1" customHeight="1">
      <c r="A104" s="4"/>
      <c r="B104" s="4"/>
      <c r="C104" s="131"/>
      <c r="D104" s="119"/>
      <c r="E104" s="119"/>
      <c r="F104" s="119"/>
      <c r="G104" s="119"/>
      <c r="H104" s="119"/>
      <c r="I104" s="119"/>
      <c r="J104" s="121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25">
        <f t="shared" si="1"/>
        <v>0</v>
      </c>
      <c r="X104" s="119"/>
      <c r="Y104" s="119"/>
      <c r="Z104" s="127">
        <f t="shared" si="2"/>
        <v>0</v>
      </c>
      <c r="AA104" s="141"/>
      <c r="AB104" s="142"/>
      <c r="AC104" s="133">
        <f t="shared" si="4"/>
        <v>0</v>
      </c>
      <c r="AD104" s="142"/>
      <c r="AE104" s="142"/>
      <c r="AF104" s="142"/>
      <c r="AG104" s="142"/>
      <c r="AH104" s="142"/>
      <c r="AI104" s="142"/>
      <c r="AJ104" s="142"/>
    </row>
    <row r="105" ht="22.5" hidden="1" customHeight="1">
      <c r="A105" s="4"/>
      <c r="B105" s="4"/>
      <c r="C105" s="131"/>
      <c r="D105" s="119"/>
      <c r="E105" s="119"/>
      <c r="F105" s="119"/>
      <c r="G105" s="119"/>
      <c r="H105" s="119"/>
      <c r="I105" s="119"/>
      <c r="J105" s="121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25">
        <f t="shared" si="1"/>
        <v>0</v>
      </c>
      <c r="X105" s="119"/>
      <c r="Y105" s="119"/>
      <c r="Z105" s="127">
        <f t="shared" si="2"/>
        <v>0</v>
      </c>
      <c r="AA105" s="141"/>
      <c r="AB105" s="142"/>
      <c r="AC105" s="133">
        <f t="shared" si="4"/>
        <v>0</v>
      </c>
      <c r="AD105" s="142"/>
      <c r="AE105" s="142"/>
      <c r="AF105" s="142"/>
      <c r="AG105" s="142"/>
      <c r="AH105" s="142"/>
      <c r="AI105" s="142"/>
      <c r="AJ105" s="142"/>
    </row>
    <row r="106" ht="22.5" hidden="1" customHeight="1">
      <c r="A106" s="4"/>
      <c r="B106" s="4"/>
      <c r="C106" s="131"/>
      <c r="D106" s="119"/>
      <c r="E106" s="119"/>
      <c r="F106" s="119"/>
      <c r="G106" s="119"/>
      <c r="H106" s="119"/>
      <c r="I106" s="119"/>
      <c r="J106" s="121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25">
        <f t="shared" si="1"/>
        <v>0</v>
      </c>
      <c r="X106" s="119"/>
      <c r="Y106" s="119"/>
      <c r="Z106" s="127">
        <f t="shared" si="2"/>
        <v>0</v>
      </c>
      <c r="AA106" s="141"/>
      <c r="AB106" s="142"/>
      <c r="AC106" s="133">
        <f t="shared" si="4"/>
        <v>0</v>
      </c>
      <c r="AD106" s="142"/>
      <c r="AE106" s="142"/>
      <c r="AF106" s="142"/>
      <c r="AG106" s="142"/>
      <c r="AH106" s="142"/>
      <c r="AI106" s="142"/>
      <c r="AJ106" s="142"/>
    </row>
    <row r="107" ht="22.5" hidden="1" customHeight="1">
      <c r="A107" s="4"/>
      <c r="B107" s="4"/>
      <c r="C107" s="131"/>
      <c r="D107" s="119"/>
      <c r="E107" s="119"/>
      <c r="F107" s="119"/>
      <c r="G107" s="119"/>
      <c r="H107" s="119"/>
      <c r="I107" s="119"/>
      <c r="J107" s="121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25">
        <f t="shared" si="1"/>
        <v>0</v>
      </c>
      <c r="X107" s="119"/>
      <c r="Y107" s="119"/>
      <c r="Z107" s="127">
        <f t="shared" si="2"/>
        <v>0</v>
      </c>
      <c r="AA107" s="141"/>
      <c r="AB107" s="142"/>
      <c r="AC107" s="133">
        <f t="shared" si="4"/>
        <v>0</v>
      </c>
      <c r="AD107" s="142"/>
      <c r="AE107" s="142"/>
      <c r="AF107" s="142"/>
      <c r="AG107" s="142"/>
      <c r="AH107" s="142"/>
      <c r="AI107" s="142"/>
      <c r="AJ107" s="142"/>
    </row>
    <row r="108" ht="22.5" hidden="1" customHeight="1">
      <c r="A108" s="4"/>
      <c r="B108" s="4"/>
      <c r="C108" s="131"/>
      <c r="D108" s="119"/>
      <c r="E108" s="119"/>
      <c r="F108" s="119"/>
      <c r="G108" s="119"/>
      <c r="H108" s="119"/>
      <c r="I108" s="119"/>
      <c r="J108" s="121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25">
        <f t="shared" si="1"/>
        <v>0</v>
      </c>
      <c r="X108" s="119"/>
      <c r="Y108" s="119"/>
      <c r="Z108" s="127">
        <f t="shared" si="2"/>
        <v>0</v>
      </c>
      <c r="AA108" s="141"/>
      <c r="AB108" s="142"/>
      <c r="AC108" s="133">
        <f t="shared" si="4"/>
        <v>0</v>
      </c>
      <c r="AD108" s="142"/>
      <c r="AE108" s="142"/>
      <c r="AF108" s="142"/>
      <c r="AG108" s="142"/>
      <c r="AH108" s="142"/>
      <c r="AI108" s="142"/>
      <c r="AJ108" s="142"/>
    </row>
    <row r="109" ht="22.5" customHeight="1">
      <c r="A109" s="4"/>
      <c r="B109" s="4"/>
      <c r="C109" s="131"/>
      <c r="D109" s="119"/>
      <c r="E109" s="119"/>
      <c r="F109" s="119"/>
      <c r="G109" s="119"/>
      <c r="H109" s="119"/>
      <c r="I109" s="119"/>
      <c r="J109" s="121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25">
        <f t="shared" si="1"/>
        <v>0</v>
      </c>
      <c r="X109" s="119"/>
      <c r="Y109" s="119"/>
      <c r="Z109" s="127">
        <f t="shared" si="2"/>
        <v>0</v>
      </c>
      <c r="AA109" s="141"/>
      <c r="AB109" s="142"/>
      <c r="AC109" s="133">
        <f t="shared" si="4"/>
        <v>0</v>
      </c>
      <c r="AD109" s="142"/>
      <c r="AE109" s="142"/>
      <c r="AF109" s="142"/>
      <c r="AG109" s="142"/>
      <c r="AH109" s="142"/>
      <c r="AI109" s="142"/>
      <c r="AJ109" s="142"/>
    </row>
    <row r="110" ht="22.5" customHeight="1">
      <c r="A110" s="115" t="s">
        <v>109</v>
      </c>
      <c r="B110" s="143"/>
      <c r="C110" s="136"/>
      <c r="D110" s="136">
        <f t="shared" ref="D110:V110" si="5">SUM(D3:D109)</f>
        <v>280000</v>
      </c>
      <c r="E110" s="136">
        <f t="shared" si="5"/>
        <v>35000</v>
      </c>
      <c r="F110" s="136">
        <f t="shared" si="5"/>
        <v>35000</v>
      </c>
      <c r="G110" s="136">
        <f t="shared" si="5"/>
        <v>14000</v>
      </c>
      <c r="H110" s="136">
        <f t="shared" si="5"/>
        <v>70000</v>
      </c>
      <c r="I110" s="136">
        <f t="shared" si="5"/>
        <v>142890</v>
      </c>
      <c r="J110" s="144">
        <f t="shared" si="5"/>
        <v>-116350</v>
      </c>
      <c r="K110" s="136">
        <f t="shared" si="5"/>
        <v>25047</v>
      </c>
      <c r="L110" s="136">
        <f t="shared" si="5"/>
        <v>5767</v>
      </c>
      <c r="M110" s="136">
        <f t="shared" si="5"/>
        <v>30000</v>
      </c>
      <c r="N110" s="136">
        <f t="shared" si="5"/>
        <v>0</v>
      </c>
      <c r="O110" s="136">
        <f t="shared" si="5"/>
        <v>0</v>
      </c>
      <c r="P110" s="136">
        <f t="shared" si="5"/>
        <v>0</v>
      </c>
      <c r="Q110" s="136">
        <f t="shared" si="5"/>
        <v>17456</v>
      </c>
      <c r="R110" s="136">
        <f t="shared" si="5"/>
        <v>0</v>
      </c>
      <c r="S110" s="136">
        <f t="shared" si="5"/>
        <v>0</v>
      </c>
      <c r="T110" s="136">
        <f t="shared" si="5"/>
        <v>0</v>
      </c>
      <c r="U110" s="136">
        <f t="shared" si="5"/>
        <v>0</v>
      </c>
      <c r="V110" s="136">
        <f t="shared" si="5"/>
        <v>0</v>
      </c>
      <c r="W110" s="125">
        <f t="shared" si="1"/>
        <v>538810</v>
      </c>
      <c r="X110" s="136">
        <f t="shared" ref="X110:Z110" si="6">SUM(X3:X109)</f>
        <v>101177</v>
      </c>
      <c r="Y110" s="136">
        <f t="shared" si="6"/>
        <v>12130</v>
      </c>
      <c r="Z110" s="136">
        <f t="shared" si="6"/>
        <v>652117</v>
      </c>
      <c r="AA110" s="145"/>
      <c r="AC110" s="146"/>
    </row>
    <row r="111">
      <c r="A111" s="117"/>
      <c r="B111" s="11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</row>
    <row r="112">
      <c r="A112" s="117"/>
      <c r="B112" s="117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</row>
    <row r="113">
      <c r="A113" s="117"/>
      <c r="B113" s="11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</row>
    <row r="114">
      <c r="A114" s="117"/>
      <c r="B114" s="11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</row>
    <row r="115">
      <c r="A115" s="117"/>
      <c r="B115" s="11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</row>
    <row r="116">
      <c r="A116" s="117"/>
      <c r="B116" s="11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</row>
    <row r="117">
      <c r="A117" s="117"/>
      <c r="B117" s="11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</row>
    <row r="118">
      <c r="A118" s="117"/>
      <c r="B118" s="11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</row>
    <row r="119">
      <c r="A119" s="117"/>
      <c r="B119" s="11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</row>
    <row r="120">
      <c r="A120" s="117"/>
      <c r="B120" s="11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</row>
    <row r="121">
      <c r="A121" s="117"/>
      <c r="B121" s="11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</row>
    <row r="122">
      <c r="A122" s="117"/>
      <c r="B122" s="11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</row>
    <row r="123">
      <c r="A123" s="117"/>
      <c r="B123" s="11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</row>
    <row r="124">
      <c r="A124" s="117"/>
      <c r="B124" s="11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</row>
    <row r="125">
      <c r="A125" s="117"/>
      <c r="B125" s="11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</row>
    <row r="126">
      <c r="A126" s="117"/>
      <c r="B126" s="11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</row>
    <row r="127">
      <c r="A127" s="117"/>
      <c r="B127" s="117"/>
    </row>
    <row r="128">
      <c r="A128" s="117"/>
      <c r="B128" s="117"/>
    </row>
    <row r="129">
      <c r="A129" s="117"/>
      <c r="B129" s="117"/>
    </row>
    <row r="130">
      <c r="A130" s="117"/>
      <c r="B130" s="117"/>
    </row>
    <row r="131">
      <c r="A131" s="117"/>
      <c r="B131" s="117"/>
    </row>
    <row r="132">
      <c r="A132" s="117"/>
      <c r="B132" s="117"/>
    </row>
    <row r="133">
      <c r="A133" s="117"/>
      <c r="B133" s="117"/>
    </row>
    <row r="134">
      <c r="A134" s="117"/>
      <c r="B134" s="117"/>
    </row>
    <row r="135">
      <c r="A135" s="117"/>
      <c r="B135" s="117"/>
    </row>
    <row r="136">
      <c r="A136" s="117"/>
      <c r="B136" s="117"/>
    </row>
    <row r="137">
      <c r="A137" s="117"/>
      <c r="B137" s="117"/>
    </row>
    <row r="138">
      <c r="A138" s="117"/>
      <c r="B138" s="117"/>
    </row>
    <row r="139">
      <c r="A139" s="117"/>
      <c r="B139" s="117"/>
    </row>
    <row r="140">
      <c r="A140" s="117"/>
      <c r="B140" s="117"/>
    </row>
    <row r="141">
      <c r="A141" s="117"/>
      <c r="B141" s="117"/>
    </row>
    <row r="142">
      <c r="A142" s="117"/>
      <c r="B142" s="117"/>
    </row>
    <row r="143">
      <c r="A143" s="117"/>
      <c r="B143" s="117"/>
    </row>
    <row r="144">
      <c r="A144" s="117"/>
      <c r="B144" s="117"/>
    </row>
    <row r="145">
      <c r="A145" s="117"/>
      <c r="B145" s="117"/>
    </row>
    <row r="146">
      <c r="A146" s="117"/>
      <c r="B146" s="117"/>
    </row>
    <row r="147">
      <c r="A147" s="117"/>
      <c r="B147" s="117"/>
    </row>
    <row r="148">
      <c r="A148" s="117"/>
      <c r="B148" s="117"/>
    </row>
    <row r="149">
      <c r="A149" s="117"/>
      <c r="B149" s="117"/>
    </row>
    <row r="150">
      <c r="A150" s="117"/>
      <c r="B150" s="117"/>
    </row>
    <row r="151">
      <c r="A151" s="117"/>
      <c r="B151" s="117"/>
    </row>
    <row r="152">
      <c r="A152" s="117"/>
      <c r="B152" s="117"/>
    </row>
    <row r="153">
      <c r="A153" s="117"/>
      <c r="B153" s="117"/>
    </row>
    <row r="154">
      <c r="A154" s="117"/>
      <c r="B154" s="117"/>
    </row>
    <row r="155">
      <c r="A155" s="117"/>
      <c r="B155" s="117"/>
    </row>
    <row r="156">
      <c r="A156" s="117"/>
      <c r="B156" s="117"/>
    </row>
    <row r="157">
      <c r="A157" s="117"/>
      <c r="B157" s="117"/>
    </row>
    <row r="158">
      <c r="A158" s="117"/>
      <c r="B158" s="117"/>
    </row>
    <row r="159">
      <c r="A159" s="117"/>
      <c r="B159" s="117"/>
    </row>
    <row r="160">
      <c r="A160" s="117"/>
      <c r="B160" s="117"/>
    </row>
    <row r="161">
      <c r="A161" s="117"/>
      <c r="B161" s="117"/>
    </row>
    <row r="162">
      <c r="A162" s="117"/>
      <c r="B162" s="117"/>
    </row>
    <row r="163">
      <c r="A163" s="117"/>
      <c r="B163" s="117"/>
    </row>
    <row r="164">
      <c r="A164" s="117"/>
      <c r="B164" s="117"/>
    </row>
    <row r="165">
      <c r="A165" s="117"/>
      <c r="B165" s="117"/>
    </row>
    <row r="166">
      <c r="A166" s="117"/>
      <c r="B166" s="117"/>
    </row>
    <row r="167">
      <c r="A167" s="117"/>
      <c r="B167" s="117"/>
    </row>
    <row r="168">
      <c r="A168" s="117"/>
      <c r="B168" s="117"/>
    </row>
    <row r="169">
      <c r="A169" s="117"/>
      <c r="B169" s="117"/>
    </row>
    <row r="170">
      <c r="A170" s="117"/>
      <c r="B170" s="117"/>
    </row>
    <row r="171">
      <c r="A171" s="117"/>
      <c r="B171" s="117"/>
    </row>
    <row r="172">
      <c r="A172" s="117"/>
      <c r="B172" s="117"/>
    </row>
    <row r="173">
      <c r="A173" s="117"/>
      <c r="B173" s="117"/>
    </row>
    <row r="174">
      <c r="A174" s="117"/>
      <c r="B174" s="117"/>
    </row>
    <row r="175">
      <c r="A175" s="117"/>
      <c r="B175" s="117"/>
    </row>
    <row r="176">
      <c r="A176" s="117"/>
      <c r="B176" s="117"/>
    </row>
    <row r="177">
      <c r="A177" s="117"/>
      <c r="B177" s="117"/>
    </row>
    <row r="178">
      <c r="A178" s="117"/>
      <c r="B178" s="117"/>
    </row>
    <row r="179">
      <c r="A179" s="117"/>
      <c r="B179" s="117"/>
    </row>
    <row r="180">
      <c r="A180" s="117"/>
      <c r="B180" s="117"/>
    </row>
    <row r="181">
      <c r="A181" s="117"/>
      <c r="B181" s="117"/>
    </row>
    <row r="182">
      <c r="A182" s="117"/>
      <c r="B182" s="117"/>
    </row>
    <row r="183">
      <c r="A183" s="117"/>
      <c r="B183" s="117"/>
    </row>
    <row r="184">
      <c r="A184" s="117"/>
      <c r="B184" s="117"/>
    </row>
    <row r="185">
      <c r="A185" s="117"/>
      <c r="B185" s="117"/>
    </row>
    <row r="186">
      <c r="A186" s="117"/>
      <c r="B186" s="117"/>
    </row>
    <row r="187">
      <c r="A187" s="117"/>
      <c r="B187" s="117"/>
    </row>
    <row r="188">
      <c r="A188" s="117"/>
      <c r="B188" s="117"/>
    </row>
    <row r="189">
      <c r="A189" s="117"/>
      <c r="B189" s="117"/>
    </row>
    <row r="190">
      <c r="A190" s="117"/>
      <c r="B190" s="117"/>
    </row>
    <row r="191">
      <c r="A191" s="117"/>
      <c r="B191" s="117"/>
    </row>
    <row r="192">
      <c r="A192" s="117"/>
      <c r="B192" s="117"/>
    </row>
    <row r="193">
      <c r="A193" s="117"/>
      <c r="B193" s="117"/>
    </row>
    <row r="194">
      <c r="A194" s="117"/>
      <c r="B194" s="117"/>
    </row>
    <row r="195">
      <c r="A195" s="117"/>
      <c r="B195" s="117"/>
    </row>
    <row r="196">
      <c r="A196" s="117"/>
      <c r="B196" s="117"/>
    </row>
    <row r="197">
      <c r="A197" s="117"/>
      <c r="B197" s="117"/>
    </row>
    <row r="198">
      <c r="A198" s="117"/>
      <c r="B198" s="117"/>
    </row>
    <row r="199">
      <c r="A199" s="117"/>
      <c r="B199" s="117"/>
    </row>
    <row r="200">
      <c r="A200" s="117"/>
      <c r="B200" s="117"/>
    </row>
    <row r="201">
      <c r="A201" s="117"/>
      <c r="B201" s="117"/>
    </row>
    <row r="202">
      <c r="A202" s="117"/>
      <c r="B202" s="117"/>
    </row>
    <row r="203">
      <c r="A203" s="117"/>
      <c r="B203" s="117"/>
    </row>
    <row r="204">
      <c r="A204" s="117"/>
      <c r="B204" s="117"/>
    </row>
    <row r="205">
      <c r="A205" s="117"/>
      <c r="B205" s="117"/>
    </row>
    <row r="206">
      <c r="A206" s="117"/>
      <c r="B206" s="117"/>
    </row>
    <row r="207">
      <c r="A207" s="117"/>
      <c r="B207" s="117"/>
    </row>
    <row r="208">
      <c r="A208" s="117"/>
      <c r="B208" s="117"/>
    </row>
    <row r="209">
      <c r="A209" s="117"/>
      <c r="B209" s="117"/>
    </row>
    <row r="210">
      <c r="A210" s="117"/>
      <c r="B210" s="117"/>
    </row>
    <row r="211">
      <c r="A211" s="117"/>
      <c r="B211" s="117"/>
    </row>
    <row r="212">
      <c r="A212" s="117"/>
      <c r="B212" s="117"/>
    </row>
    <row r="213">
      <c r="A213" s="117"/>
      <c r="B213" s="117"/>
    </row>
    <row r="214">
      <c r="A214" s="117"/>
      <c r="B214" s="117"/>
    </row>
    <row r="215">
      <c r="A215" s="117"/>
      <c r="B215" s="117"/>
    </row>
    <row r="216">
      <c r="A216" s="117"/>
      <c r="B216" s="117"/>
    </row>
    <row r="217">
      <c r="A217" s="117"/>
      <c r="B217" s="117"/>
    </row>
    <row r="218">
      <c r="A218" s="117"/>
      <c r="B218" s="117"/>
    </row>
    <row r="219">
      <c r="A219" s="117"/>
      <c r="B219" s="117"/>
    </row>
    <row r="220">
      <c r="A220" s="117"/>
      <c r="B220" s="117"/>
    </row>
    <row r="221">
      <c r="A221" s="117"/>
      <c r="B221" s="117"/>
    </row>
    <row r="222">
      <c r="A222" s="117"/>
      <c r="B222" s="117"/>
    </row>
    <row r="223">
      <c r="A223" s="117"/>
      <c r="B223" s="117"/>
    </row>
    <row r="224">
      <c r="A224" s="117"/>
      <c r="B224" s="117"/>
    </row>
    <row r="225">
      <c r="A225" s="117"/>
      <c r="B225" s="117"/>
    </row>
    <row r="226">
      <c r="A226" s="117"/>
      <c r="B226" s="117"/>
    </row>
    <row r="227">
      <c r="A227" s="117"/>
      <c r="B227" s="117"/>
    </row>
    <row r="228">
      <c r="A228" s="117"/>
      <c r="B228" s="117"/>
    </row>
    <row r="229">
      <c r="A229" s="117"/>
      <c r="B229" s="117"/>
    </row>
    <row r="230">
      <c r="A230" s="117"/>
      <c r="B230" s="117"/>
    </row>
    <row r="231">
      <c r="A231" s="117"/>
      <c r="B231" s="117"/>
    </row>
    <row r="232">
      <c r="A232" s="117"/>
      <c r="B232" s="117"/>
    </row>
    <row r="233">
      <c r="A233" s="117"/>
      <c r="B233" s="117"/>
    </row>
    <row r="234">
      <c r="A234" s="117"/>
      <c r="B234" s="117"/>
    </row>
    <row r="235">
      <c r="A235" s="117"/>
      <c r="B235" s="117"/>
    </row>
    <row r="236">
      <c r="A236" s="117"/>
      <c r="B236" s="117"/>
    </row>
    <row r="237">
      <c r="A237" s="117"/>
      <c r="B237" s="117"/>
    </row>
    <row r="238">
      <c r="A238" s="117"/>
      <c r="B238" s="117"/>
    </row>
    <row r="239">
      <c r="A239" s="117"/>
      <c r="B239" s="117"/>
    </row>
    <row r="240">
      <c r="A240" s="117"/>
      <c r="B240" s="117"/>
    </row>
    <row r="241">
      <c r="A241" s="117"/>
      <c r="B241" s="117"/>
    </row>
    <row r="242">
      <c r="A242" s="117"/>
      <c r="B242" s="117"/>
    </row>
    <row r="243">
      <c r="A243" s="117"/>
      <c r="B243" s="117"/>
    </row>
    <row r="244">
      <c r="A244" s="117"/>
      <c r="B244" s="117"/>
    </row>
    <row r="245">
      <c r="A245" s="117"/>
      <c r="B245" s="117"/>
    </row>
    <row r="246">
      <c r="A246" s="117"/>
      <c r="B246" s="117"/>
    </row>
    <row r="247">
      <c r="A247" s="117"/>
      <c r="B247" s="117"/>
    </row>
    <row r="248">
      <c r="A248" s="117"/>
      <c r="B248" s="117"/>
    </row>
    <row r="249">
      <c r="A249" s="117"/>
      <c r="B249" s="117"/>
    </row>
    <row r="250">
      <c r="A250" s="117"/>
      <c r="B250" s="117"/>
    </row>
    <row r="251">
      <c r="A251" s="117"/>
      <c r="B251" s="117"/>
    </row>
    <row r="252">
      <c r="A252" s="117"/>
      <c r="B252" s="117"/>
    </row>
    <row r="253">
      <c r="A253" s="117"/>
      <c r="B253" s="117"/>
    </row>
    <row r="254">
      <c r="A254" s="117"/>
      <c r="B254" s="117"/>
    </row>
    <row r="255">
      <c r="A255" s="117"/>
      <c r="B255" s="117"/>
    </row>
    <row r="256">
      <c r="A256" s="117"/>
      <c r="B256" s="117"/>
    </row>
    <row r="257">
      <c r="A257" s="117"/>
      <c r="B257" s="117"/>
    </row>
    <row r="258">
      <c r="A258" s="117"/>
      <c r="B258" s="117"/>
    </row>
    <row r="259">
      <c r="A259" s="117"/>
      <c r="B259" s="117"/>
    </row>
    <row r="260">
      <c r="A260" s="117"/>
      <c r="B260" s="117"/>
    </row>
    <row r="261">
      <c r="A261" s="117"/>
      <c r="B261" s="117"/>
    </row>
    <row r="262">
      <c r="A262" s="117"/>
      <c r="B262" s="117"/>
    </row>
    <row r="263">
      <c r="A263" s="117"/>
      <c r="B263" s="117"/>
    </row>
    <row r="264">
      <c r="A264" s="117"/>
      <c r="B264" s="117"/>
    </row>
    <row r="265">
      <c r="A265" s="117"/>
      <c r="B265" s="117"/>
    </row>
    <row r="266">
      <c r="A266" s="117"/>
      <c r="B266" s="117"/>
    </row>
    <row r="267">
      <c r="A267" s="117"/>
      <c r="B267" s="117"/>
    </row>
    <row r="268">
      <c r="A268" s="117"/>
      <c r="B268" s="117"/>
    </row>
    <row r="269">
      <c r="A269" s="117"/>
      <c r="B269" s="117"/>
    </row>
    <row r="270">
      <c r="A270" s="117"/>
      <c r="B270" s="117"/>
    </row>
    <row r="271">
      <c r="A271" s="117"/>
      <c r="B271" s="117"/>
    </row>
    <row r="272">
      <c r="A272" s="117"/>
      <c r="B272" s="117"/>
    </row>
    <row r="273">
      <c r="A273" s="117"/>
      <c r="B273" s="117"/>
    </row>
    <row r="274">
      <c r="A274" s="117"/>
      <c r="B274" s="117"/>
    </row>
    <row r="275">
      <c r="A275" s="117"/>
      <c r="B275" s="117"/>
    </row>
    <row r="276">
      <c r="A276" s="117"/>
      <c r="B276" s="117"/>
    </row>
    <row r="277">
      <c r="A277" s="117"/>
      <c r="B277" s="117"/>
    </row>
    <row r="278">
      <c r="A278" s="117"/>
      <c r="B278" s="117"/>
    </row>
    <row r="279">
      <c r="A279" s="117"/>
      <c r="B279" s="117"/>
    </row>
    <row r="280">
      <c r="A280" s="117"/>
      <c r="B280" s="117"/>
    </row>
    <row r="281">
      <c r="A281" s="117"/>
      <c r="B281" s="117"/>
    </row>
    <row r="282">
      <c r="A282" s="117"/>
      <c r="B282" s="117"/>
    </row>
    <row r="283">
      <c r="A283" s="117"/>
      <c r="B283" s="117"/>
    </row>
    <row r="284">
      <c r="A284" s="117"/>
      <c r="B284" s="117"/>
    </row>
    <row r="285">
      <c r="A285" s="117"/>
      <c r="B285" s="117"/>
    </row>
    <row r="286">
      <c r="A286" s="117"/>
      <c r="B286" s="117"/>
    </row>
    <row r="287">
      <c r="A287" s="117"/>
      <c r="B287" s="117"/>
    </row>
    <row r="288">
      <c r="A288" s="117"/>
      <c r="B288" s="117"/>
    </row>
    <row r="289">
      <c r="A289" s="117"/>
      <c r="B289" s="117"/>
    </row>
    <row r="290">
      <c r="A290" s="117"/>
      <c r="B290" s="117"/>
    </row>
    <row r="291">
      <c r="A291" s="117"/>
      <c r="B291" s="117"/>
    </row>
    <row r="292">
      <c r="A292" s="117"/>
      <c r="B292" s="117"/>
    </row>
    <row r="293">
      <c r="A293" s="117"/>
      <c r="B293" s="117"/>
    </row>
    <row r="294">
      <c r="A294" s="117"/>
      <c r="B294" s="117"/>
    </row>
    <row r="295">
      <c r="A295" s="117"/>
      <c r="B295" s="117"/>
    </row>
    <row r="296">
      <c r="A296" s="117"/>
      <c r="B296" s="117"/>
    </row>
    <row r="297">
      <c r="A297" s="117"/>
      <c r="B297" s="117"/>
    </row>
    <row r="298">
      <c r="A298" s="117"/>
      <c r="B298" s="117"/>
    </row>
    <row r="299">
      <c r="A299" s="117"/>
      <c r="B299" s="117"/>
    </row>
    <row r="300">
      <c r="A300" s="117"/>
      <c r="B300" s="117"/>
    </row>
    <row r="301">
      <c r="A301" s="117"/>
      <c r="B301" s="117"/>
    </row>
    <row r="302">
      <c r="A302" s="117"/>
      <c r="B302" s="117"/>
    </row>
    <row r="303">
      <c r="A303" s="117"/>
      <c r="B303" s="117"/>
    </row>
    <row r="304">
      <c r="A304" s="117"/>
      <c r="B304" s="117"/>
    </row>
    <row r="305">
      <c r="A305" s="117"/>
      <c r="B305" s="117"/>
    </row>
    <row r="306">
      <c r="A306" s="117"/>
      <c r="B306" s="117"/>
    </row>
    <row r="307">
      <c r="A307" s="117"/>
      <c r="B307" s="117"/>
    </row>
    <row r="308">
      <c r="A308" s="117"/>
      <c r="B308" s="117"/>
    </row>
    <row r="309">
      <c r="A309" s="117"/>
      <c r="B309" s="117"/>
    </row>
    <row r="310">
      <c r="A310" s="117"/>
      <c r="B310" s="117"/>
    </row>
    <row r="311">
      <c r="A311" s="117"/>
      <c r="B311" s="117"/>
    </row>
    <row r="312">
      <c r="A312" s="117"/>
      <c r="B312" s="117"/>
    </row>
    <row r="313">
      <c r="A313" s="117"/>
      <c r="B313" s="117"/>
    </row>
    <row r="314">
      <c r="A314" s="117"/>
      <c r="B314" s="117"/>
    </row>
    <row r="315">
      <c r="A315" s="117"/>
      <c r="B315" s="117"/>
    </row>
    <row r="316">
      <c r="A316" s="117"/>
      <c r="B316" s="117"/>
    </row>
    <row r="317">
      <c r="A317" s="117"/>
      <c r="B317" s="117"/>
    </row>
    <row r="318">
      <c r="A318" s="117"/>
      <c r="B318" s="117"/>
    </row>
    <row r="319">
      <c r="A319" s="117"/>
      <c r="B319" s="117"/>
    </row>
    <row r="320">
      <c r="A320" s="117"/>
      <c r="B320" s="117"/>
    </row>
    <row r="321">
      <c r="A321" s="117"/>
      <c r="B321" s="117"/>
    </row>
    <row r="322">
      <c r="A322" s="117"/>
      <c r="B322" s="117"/>
    </row>
    <row r="323">
      <c r="A323" s="117"/>
      <c r="B323" s="117"/>
    </row>
    <row r="324">
      <c r="A324" s="117"/>
      <c r="B324" s="117"/>
    </row>
    <row r="325">
      <c r="A325" s="117"/>
      <c r="B325" s="117"/>
    </row>
    <row r="326">
      <c r="A326" s="117"/>
      <c r="B326" s="117"/>
    </row>
    <row r="327">
      <c r="A327" s="117"/>
      <c r="B327" s="117"/>
    </row>
    <row r="328">
      <c r="A328" s="117"/>
      <c r="B328" s="117"/>
    </row>
    <row r="329">
      <c r="A329" s="117"/>
      <c r="B329" s="117"/>
    </row>
    <row r="330">
      <c r="A330" s="117"/>
      <c r="B330" s="117"/>
    </row>
    <row r="331">
      <c r="A331" s="117"/>
      <c r="B331" s="117"/>
    </row>
    <row r="332">
      <c r="A332" s="117"/>
      <c r="B332" s="117"/>
    </row>
    <row r="333">
      <c r="A333" s="117"/>
      <c r="B333" s="117"/>
    </row>
    <row r="334">
      <c r="A334" s="117"/>
      <c r="B334" s="117"/>
    </row>
    <row r="335">
      <c r="A335" s="117"/>
      <c r="B335" s="117"/>
    </row>
    <row r="336">
      <c r="A336" s="117"/>
      <c r="B336" s="117"/>
    </row>
    <row r="337">
      <c r="A337" s="117"/>
      <c r="B337" s="117"/>
    </row>
    <row r="338">
      <c r="A338" s="117"/>
      <c r="B338" s="117"/>
    </row>
    <row r="339">
      <c r="A339" s="117"/>
      <c r="B339" s="117"/>
    </row>
    <row r="340">
      <c r="A340" s="117"/>
      <c r="B340" s="117"/>
    </row>
    <row r="341">
      <c r="A341" s="117"/>
      <c r="B341" s="117"/>
    </row>
    <row r="342">
      <c r="A342" s="117"/>
      <c r="B342" s="117"/>
    </row>
    <row r="343">
      <c r="A343" s="117"/>
      <c r="B343" s="117"/>
    </row>
    <row r="344">
      <c r="A344" s="117"/>
      <c r="B344" s="117"/>
    </row>
    <row r="345">
      <c r="A345" s="117"/>
      <c r="B345" s="117"/>
    </row>
    <row r="346">
      <c r="A346" s="117"/>
      <c r="B346" s="117"/>
    </row>
    <row r="347">
      <c r="A347" s="117"/>
      <c r="B347" s="117"/>
    </row>
    <row r="348">
      <c r="A348" s="117"/>
      <c r="B348" s="117"/>
    </row>
    <row r="349">
      <c r="A349" s="117"/>
      <c r="B349" s="117"/>
    </row>
    <row r="350">
      <c r="A350" s="117"/>
      <c r="B350" s="117"/>
    </row>
    <row r="351">
      <c r="A351" s="117"/>
      <c r="B351" s="117"/>
    </row>
    <row r="352">
      <c r="A352" s="117"/>
      <c r="B352" s="117"/>
    </row>
    <row r="353">
      <c r="A353" s="117"/>
      <c r="B353" s="117"/>
    </row>
    <row r="354">
      <c r="A354" s="117"/>
      <c r="B354" s="117"/>
    </row>
    <row r="355">
      <c r="A355" s="117"/>
      <c r="B355" s="117"/>
    </row>
    <row r="356">
      <c r="A356" s="117"/>
      <c r="B356" s="117"/>
    </row>
    <row r="357">
      <c r="A357" s="117"/>
      <c r="B357" s="117"/>
    </row>
    <row r="358">
      <c r="A358" s="117"/>
      <c r="B358" s="117"/>
    </row>
    <row r="359">
      <c r="A359" s="117"/>
      <c r="B359" s="117"/>
    </row>
    <row r="360">
      <c r="A360" s="117"/>
      <c r="B360" s="117"/>
    </row>
    <row r="361">
      <c r="A361" s="117"/>
      <c r="B361" s="117"/>
    </row>
    <row r="362">
      <c r="A362" s="117"/>
      <c r="B362" s="117"/>
    </row>
    <row r="363">
      <c r="A363" s="117"/>
      <c r="B363" s="117"/>
    </row>
    <row r="364">
      <c r="A364" s="117"/>
      <c r="B364" s="117"/>
    </row>
    <row r="365">
      <c r="A365" s="117"/>
      <c r="B365" s="117"/>
    </row>
    <row r="366">
      <c r="A366" s="117"/>
      <c r="B366" s="117"/>
    </row>
    <row r="367">
      <c r="A367" s="117"/>
      <c r="B367" s="117"/>
    </row>
    <row r="368">
      <c r="A368" s="117"/>
      <c r="B368" s="117"/>
    </row>
    <row r="369">
      <c r="A369" s="117"/>
      <c r="B369" s="117"/>
    </row>
    <row r="370">
      <c r="A370" s="117"/>
      <c r="B370" s="117"/>
    </row>
    <row r="371">
      <c r="A371" s="117"/>
      <c r="B371" s="117"/>
    </row>
    <row r="372">
      <c r="A372" s="117"/>
      <c r="B372" s="117"/>
    </row>
    <row r="373">
      <c r="A373" s="117"/>
      <c r="B373" s="117"/>
    </row>
    <row r="374">
      <c r="A374" s="117"/>
      <c r="B374" s="117"/>
    </row>
    <row r="375">
      <c r="A375" s="117"/>
      <c r="B375" s="117"/>
    </row>
    <row r="376">
      <c r="A376" s="117"/>
      <c r="B376" s="117"/>
    </row>
    <row r="377">
      <c r="A377" s="117"/>
      <c r="B377" s="117"/>
    </row>
    <row r="378">
      <c r="A378" s="117"/>
      <c r="B378" s="117"/>
    </row>
    <row r="379">
      <c r="A379" s="117"/>
      <c r="B379" s="117"/>
    </row>
    <row r="380">
      <c r="A380" s="117"/>
      <c r="B380" s="117"/>
    </row>
    <row r="381">
      <c r="A381" s="117"/>
      <c r="B381" s="117"/>
    </row>
    <row r="382">
      <c r="A382" s="117"/>
      <c r="B382" s="117"/>
    </row>
    <row r="383">
      <c r="A383" s="117"/>
      <c r="B383" s="117"/>
    </row>
    <row r="384">
      <c r="A384" s="117"/>
      <c r="B384" s="117"/>
    </row>
    <row r="385">
      <c r="A385" s="117"/>
      <c r="B385" s="117"/>
    </row>
    <row r="386">
      <c r="A386" s="117"/>
      <c r="B386" s="117"/>
    </row>
    <row r="387">
      <c r="A387" s="117"/>
      <c r="B387" s="117"/>
    </row>
    <row r="388">
      <c r="A388" s="117"/>
      <c r="B388" s="117"/>
    </row>
    <row r="389">
      <c r="A389" s="117"/>
      <c r="B389" s="117"/>
    </row>
    <row r="390">
      <c r="A390" s="117"/>
      <c r="B390" s="117"/>
    </row>
    <row r="391">
      <c r="A391" s="117"/>
      <c r="B391" s="117"/>
    </row>
    <row r="392">
      <c r="A392" s="117"/>
      <c r="B392" s="117"/>
    </row>
    <row r="393">
      <c r="A393" s="117"/>
      <c r="B393" s="117"/>
    </row>
    <row r="394">
      <c r="A394" s="117"/>
      <c r="B394" s="117"/>
    </row>
    <row r="395">
      <c r="A395" s="117"/>
      <c r="B395" s="117"/>
    </row>
    <row r="396">
      <c r="A396" s="117"/>
      <c r="B396" s="117"/>
    </row>
    <row r="397">
      <c r="A397" s="117"/>
      <c r="B397" s="117"/>
    </row>
    <row r="398">
      <c r="A398" s="117"/>
      <c r="B398" s="117"/>
    </row>
    <row r="399">
      <c r="A399" s="117"/>
      <c r="B399" s="117"/>
    </row>
    <row r="400">
      <c r="A400" s="117"/>
      <c r="B400" s="117"/>
    </row>
    <row r="401">
      <c r="A401" s="117"/>
      <c r="B401" s="117"/>
    </row>
    <row r="402">
      <c r="A402" s="117"/>
      <c r="B402" s="117"/>
    </row>
    <row r="403">
      <c r="A403" s="117"/>
      <c r="B403" s="117"/>
    </row>
    <row r="404">
      <c r="A404" s="117"/>
      <c r="B404" s="117"/>
    </row>
    <row r="405">
      <c r="A405" s="117"/>
      <c r="B405" s="117"/>
    </row>
    <row r="406">
      <c r="A406" s="117"/>
      <c r="B406" s="117"/>
    </row>
    <row r="407">
      <c r="A407" s="117"/>
      <c r="B407" s="117"/>
    </row>
    <row r="408">
      <c r="A408" s="117"/>
      <c r="B408" s="117"/>
    </row>
    <row r="409">
      <c r="A409" s="117"/>
      <c r="B409" s="117"/>
    </row>
    <row r="410">
      <c r="A410" s="117"/>
      <c r="B410" s="117"/>
    </row>
    <row r="411">
      <c r="A411" s="117"/>
      <c r="B411" s="117"/>
    </row>
    <row r="412">
      <c r="A412" s="117"/>
      <c r="B412" s="117"/>
    </row>
    <row r="413">
      <c r="A413" s="117"/>
      <c r="B413" s="117"/>
    </row>
    <row r="414">
      <c r="A414" s="117"/>
      <c r="B414" s="117"/>
    </row>
    <row r="415">
      <c r="A415" s="117"/>
      <c r="B415" s="117"/>
    </row>
    <row r="416">
      <c r="A416" s="117"/>
      <c r="B416" s="117"/>
    </row>
    <row r="417">
      <c r="A417" s="117"/>
      <c r="B417" s="117"/>
    </row>
    <row r="418">
      <c r="A418" s="117"/>
      <c r="B418" s="117"/>
    </row>
    <row r="419">
      <c r="A419" s="117"/>
      <c r="B419" s="117"/>
    </row>
    <row r="420">
      <c r="A420" s="117"/>
      <c r="B420" s="117"/>
    </row>
    <row r="421">
      <c r="A421" s="117"/>
      <c r="B421" s="117"/>
    </row>
    <row r="422">
      <c r="A422" s="117"/>
      <c r="B422" s="117"/>
    </row>
    <row r="423">
      <c r="A423" s="117"/>
      <c r="B423" s="117"/>
    </row>
    <row r="424">
      <c r="A424" s="117"/>
      <c r="B424" s="117"/>
    </row>
    <row r="425">
      <c r="A425" s="117"/>
      <c r="B425" s="117"/>
    </row>
    <row r="426">
      <c r="A426" s="117"/>
      <c r="B426" s="117"/>
    </row>
    <row r="427">
      <c r="A427" s="117"/>
      <c r="B427" s="117"/>
    </row>
    <row r="428">
      <c r="A428" s="117"/>
      <c r="B428" s="117"/>
    </row>
    <row r="429">
      <c r="A429" s="117"/>
      <c r="B429" s="117"/>
    </row>
    <row r="430">
      <c r="A430" s="117"/>
      <c r="B430" s="117"/>
    </row>
    <row r="431">
      <c r="A431" s="117"/>
      <c r="B431" s="117"/>
    </row>
    <row r="432">
      <c r="A432" s="117"/>
      <c r="B432" s="117"/>
    </row>
    <row r="433">
      <c r="A433" s="117"/>
      <c r="B433" s="117"/>
    </row>
    <row r="434">
      <c r="A434" s="117"/>
      <c r="B434" s="117"/>
    </row>
    <row r="435">
      <c r="A435" s="117"/>
      <c r="B435" s="117"/>
    </row>
    <row r="436">
      <c r="A436" s="117"/>
      <c r="B436" s="117"/>
    </row>
    <row r="437">
      <c r="A437" s="117"/>
      <c r="B437" s="117"/>
    </row>
    <row r="438">
      <c r="A438" s="117"/>
      <c r="B438" s="117"/>
    </row>
    <row r="439">
      <c r="A439" s="117"/>
      <c r="B439" s="117"/>
    </row>
    <row r="440">
      <c r="A440" s="117"/>
      <c r="B440" s="117"/>
    </row>
    <row r="441">
      <c r="A441" s="117"/>
      <c r="B441" s="117"/>
    </row>
    <row r="442">
      <c r="A442" s="117"/>
      <c r="B442" s="117"/>
    </row>
    <row r="443">
      <c r="A443" s="117"/>
      <c r="B443" s="117"/>
    </row>
    <row r="444">
      <c r="A444" s="117"/>
      <c r="B444" s="117"/>
    </row>
    <row r="445">
      <c r="A445" s="117"/>
      <c r="B445" s="117"/>
    </row>
    <row r="446">
      <c r="A446" s="117"/>
      <c r="B446" s="117"/>
    </row>
    <row r="447">
      <c r="A447" s="117"/>
      <c r="B447" s="117"/>
    </row>
    <row r="448">
      <c r="A448" s="117"/>
      <c r="B448" s="117"/>
    </row>
    <row r="449">
      <c r="A449" s="117"/>
      <c r="B449" s="117"/>
    </row>
    <row r="450">
      <c r="A450" s="117"/>
      <c r="B450" s="117"/>
    </row>
    <row r="451">
      <c r="A451" s="117"/>
      <c r="B451" s="117"/>
    </row>
    <row r="452">
      <c r="A452" s="117"/>
      <c r="B452" s="117"/>
    </row>
    <row r="453">
      <c r="A453" s="117"/>
      <c r="B453" s="117"/>
    </row>
    <row r="454">
      <c r="A454" s="117"/>
      <c r="B454" s="117"/>
    </row>
    <row r="455">
      <c r="A455" s="117"/>
      <c r="B455" s="117"/>
    </row>
    <row r="456">
      <c r="A456" s="117"/>
      <c r="B456" s="117"/>
    </row>
    <row r="457">
      <c r="A457" s="117"/>
      <c r="B457" s="117"/>
    </row>
    <row r="458">
      <c r="A458" s="117"/>
      <c r="B458" s="117"/>
    </row>
    <row r="459">
      <c r="A459" s="117"/>
      <c r="B459" s="117"/>
    </row>
    <row r="460">
      <c r="A460" s="117"/>
      <c r="B460" s="117"/>
    </row>
    <row r="461">
      <c r="A461" s="117"/>
      <c r="B461" s="117"/>
    </row>
    <row r="462">
      <c r="A462" s="117"/>
      <c r="B462" s="117"/>
    </row>
    <row r="463">
      <c r="A463" s="117"/>
      <c r="B463" s="117"/>
    </row>
    <row r="464">
      <c r="A464" s="117"/>
      <c r="B464" s="117"/>
    </row>
    <row r="465">
      <c r="A465" s="117"/>
      <c r="B465" s="117"/>
    </row>
    <row r="466">
      <c r="A466" s="117"/>
      <c r="B466" s="117"/>
    </row>
    <row r="467">
      <c r="A467" s="117"/>
      <c r="B467" s="117"/>
    </row>
    <row r="468">
      <c r="A468" s="117"/>
      <c r="B468" s="117"/>
    </row>
    <row r="469">
      <c r="A469" s="117"/>
      <c r="B469" s="117"/>
    </row>
    <row r="470">
      <c r="A470" s="117"/>
      <c r="B470" s="117"/>
    </row>
    <row r="471">
      <c r="A471" s="117"/>
      <c r="B471" s="117"/>
    </row>
    <row r="472">
      <c r="A472" s="117"/>
      <c r="B472" s="117"/>
    </row>
    <row r="473">
      <c r="A473" s="117"/>
      <c r="B473" s="117"/>
    </row>
    <row r="474">
      <c r="A474" s="117"/>
      <c r="B474" s="117"/>
    </row>
    <row r="475">
      <c r="A475" s="117"/>
      <c r="B475" s="117"/>
    </row>
    <row r="476">
      <c r="A476" s="117"/>
      <c r="B476" s="117"/>
    </row>
    <row r="477">
      <c r="A477" s="117"/>
      <c r="B477" s="117"/>
    </row>
    <row r="478">
      <c r="A478" s="117"/>
      <c r="B478" s="117"/>
    </row>
    <row r="479">
      <c r="A479" s="117"/>
      <c r="B479" s="117"/>
    </row>
    <row r="480">
      <c r="A480" s="117"/>
      <c r="B480" s="117"/>
    </row>
    <row r="481">
      <c r="A481" s="117"/>
      <c r="B481" s="117"/>
    </row>
    <row r="482">
      <c r="A482" s="117"/>
      <c r="B482" s="117"/>
    </row>
    <row r="483">
      <c r="A483" s="117"/>
      <c r="B483" s="117"/>
    </row>
    <row r="484">
      <c r="A484" s="117"/>
      <c r="B484" s="117"/>
    </row>
    <row r="485">
      <c r="A485" s="117"/>
      <c r="B485" s="117"/>
    </row>
    <row r="486">
      <c r="A486" s="117"/>
      <c r="B486" s="117"/>
    </row>
    <row r="487">
      <c r="A487" s="117"/>
      <c r="B487" s="117"/>
    </row>
    <row r="488">
      <c r="A488" s="117"/>
      <c r="B488" s="117"/>
    </row>
    <row r="489">
      <c r="A489" s="117"/>
      <c r="B489" s="117"/>
    </row>
    <row r="490">
      <c r="A490" s="117"/>
      <c r="B490" s="117"/>
    </row>
    <row r="491">
      <c r="A491" s="117"/>
      <c r="B491" s="117"/>
    </row>
    <row r="492">
      <c r="A492" s="117"/>
      <c r="B492" s="117"/>
    </row>
    <row r="493">
      <c r="A493" s="117"/>
      <c r="B493" s="117"/>
    </row>
    <row r="494">
      <c r="A494" s="117"/>
      <c r="B494" s="117"/>
    </row>
    <row r="495">
      <c r="A495" s="117"/>
      <c r="B495" s="117"/>
    </row>
    <row r="496">
      <c r="A496" s="117"/>
      <c r="B496" s="117"/>
    </row>
    <row r="497">
      <c r="A497" s="117"/>
      <c r="B497" s="117"/>
    </row>
    <row r="498">
      <c r="A498" s="117"/>
      <c r="B498" s="117"/>
    </row>
    <row r="499">
      <c r="A499" s="117"/>
      <c r="B499" s="117"/>
    </row>
    <row r="500">
      <c r="A500" s="117"/>
      <c r="B500" s="117"/>
    </row>
    <row r="501">
      <c r="A501" s="117"/>
      <c r="B501" s="117"/>
    </row>
    <row r="502">
      <c r="A502" s="117"/>
      <c r="B502" s="117"/>
    </row>
    <row r="503">
      <c r="A503" s="117"/>
      <c r="B503" s="117"/>
    </row>
    <row r="504">
      <c r="A504" s="117"/>
      <c r="B504" s="117"/>
    </row>
    <row r="505">
      <c r="A505" s="117"/>
      <c r="B505" s="117"/>
    </row>
    <row r="506">
      <c r="A506" s="117"/>
      <c r="B506" s="117"/>
    </row>
    <row r="507">
      <c r="A507" s="117"/>
      <c r="B507" s="117"/>
    </row>
    <row r="508">
      <c r="A508" s="117"/>
      <c r="B508" s="117"/>
    </row>
    <row r="509">
      <c r="A509" s="117"/>
      <c r="B509" s="117"/>
    </row>
    <row r="510">
      <c r="A510" s="117"/>
      <c r="B510" s="117"/>
    </row>
    <row r="511">
      <c r="A511" s="117"/>
      <c r="B511" s="117"/>
    </row>
    <row r="512">
      <c r="A512" s="117"/>
      <c r="B512" s="117"/>
    </row>
    <row r="513">
      <c r="A513" s="117"/>
      <c r="B513" s="117"/>
    </row>
    <row r="514">
      <c r="A514" s="117"/>
      <c r="B514" s="117"/>
    </row>
    <row r="515">
      <c r="A515" s="117"/>
      <c r="B515" s="117"/>
    </row>
    <row r="516">
      <c r="A516" s="117"/>
      <c r="B516" s="117"/>
    </row>
    <row r="517">
      <c r="A517" s="117"/>
      <c r="B517" s="117"/>
    </row>
    <row r="518">
      <c r="A518" s="117"/>
      <c r="B518" s="117"/>
    </row>
    <row r="519">
      <c r="A519" s="117"/>
      <c r="B519" s="117"/>
    </row>
    <row r="520">
      <c r="A520" s="117"/>
      <c r="B520" s="117"/>
    </row>
    <row r="521">
      <c r="A521" s="117"/>
      <c r="B521" s="117"/>
    </row>
    <row r="522">
      <c r="A522" s="117"/>
      <c r="B522" s="117"/>
    </row>
    <row r="523">
      <c r="A523" s="117"/>
      <c r="B523" s="117"/>
    </row>
    <row r="524">
      <c r="A524" s="117"/>
      <c r="B524" s="117"/>
    </row>
    <row r="525">
      <c r="A525" s="117"/>
      <c r="B525" s="117"/>
    </row>
    <row r="526">
      <c r="A526" s="117"/>
      <c r="B526" s="117"/>
    </row>
    <row r="527">
      <c r="A527" s="117"/>
      <c r="B527" s="117"/>
    </row>
    <row r="528">
      <c r="A528" s="117"/>
      <c r="B528" s="117"/>
    </row>
    <row r="529">
      <c r="A529" s="117"/>
      <c r="B529" s="117"/>
    </row>
    <row r="530">
      <c r="A530" s="117"/>
      <c r="B530" s="117"/>
    </row>
    <row r="531">
      <c r="A531" s="117"/>
      <c r="B531" s="117"/>
    </row>
    <row r="532">
      <c r="A532" s="117"/>
      <c r="B532" s="117"/>
    </row>
    <row r="533">
      <c r="A533" s="117"/>
      <c r="B533" s="117"/>
    </row>
    <row r="534">
      <c r="A534" s="117"/>
      <c r="B534" s="117"/>
    </row>
    <row r="535">
      <c r="A535" s="117"/>
      <c r="B535" s="117"/>
    </row>
    <row r="536">
      <c r="A536" s="117"/>
      <c r="B536" s="117"/>
    </row>
    <row r="537">
      <c r="A537" s="117"/>
      <c r="B537" s="117"/>
    </row>
    <row r="538">
      <c r="A538" s="117"/>
      <c r="B538" s="117"/>
    </row>
    <row r="539">
      <c r="A539" s="117"/>
      <c r="B539" s="117"/>
    </row>
    <row r="540">
      <c r="A540" s="117"/>
      <c r="B540" s="117"/>
    </row>
    <row r="541">
      <c r="A541" s="117"/>
      <c r="B541" s="117"/>
    </row>
    <row r="542">
      <c r="A542" s="117"/>
      <c r="B542" s="117"/>
    </row>
    <row r="543">
      <c r="A543" s="117"/>
      <c r="B543" s="117"/>
    </row>
    <row r="544">
      <c r="A544" s="117"/>
      <c r="B544" s="117"/>
    </row>
    <row r="545">
      <c r="A545" s="117"/>
      <c r="B545" s="117"/>
    </row>
    <row r="546">
      <c r="A546" s="117"/>
      <c r="B546" s="117"/>
    </row>
    <row r="547">
      <c r="A547" s="117"/>
      <c r="B547" s="117"/>
    </row>
    <row r="548">
      <c r="A548" s="117"/>
      <c r="B548" s="117"/>
    </row>
    <row r="549">
      <c r="A549" s="117"/>
      <c r="B549" s="117"/>
    </row>
    <row r="550">
      <c r="A550" s="117"/>
      <c r="B550" s="117"/>
    </row>
    <row r="551">
      <c r="A551" s="117"/>
      <c r="B551" s="117"/>
    </row>
    <row r="552">
      <c r="A552" s="117"/>
      <c r="B552" s="117"/>
    </row>
    <row r="553">
      <c r="A553" s="117"/>
      <c r="B553" s="117"/>
    </row>
    <row r="554">
      <c r="A554" s="117"/>
      <c r="B554" s="117"/>
    </row>
    <row r="555">
      <c r="A555" s="117"/>
      <c r="B555" s="117"/>
    </row>
    <row r="556">
      <c r="A556" s="117"/>
      <c r="B556" s="117"/>
    </row>
    <row r="557">
      <c r="A557" s="117"/>
      <c r="B557" s="117"/>
    </row>
    <row r="558">
      <c r="A558" s="117"/>
      <c r="B558" s="117"/>
    </row>
    <row r="559">
      <c r="A559" s="117"/>
      <c r="B559" s="117"/>
    </row>
    <row r="560">
      <c r="A560" s="117"/>
      <c r="B560" s="117"/>
    </row>
    <row r="561">
      <c r="A561" s="117"/>
      <c r="B561" s="117"/>
    </row>
    <row r="562">
      <c r="A562" s="117"/>
      <c r="B562" s="117"/>
    </row>
    <row r="563">
      <c r="A563" s="117"/>
      <c r="B563" s="117"/>
    </row>
    <row r="564">
      <c r="A564" s="117"/>
      <c r="B564" s="117"/>
    </row>
    <row r="565">
      <c r="A565" s="117"/>
      <c r="B565" s="117"/>
    </row>
    <row r="566">
      <c r="A566" s="117"/>
      <c r="B566" s="117"/>
    </row>
    <row r="567">
      <c r="A567" s="117"/>
      <c r="B567" s="117"/>
    </row>
    <row r="568">
      <c r="A568" s="117"/>
      <c r="B568" s="117"/>
    </row>
    <row r="569">
      <c r="A569" s="117"/>
      <c r="B569" s="117"/>
    </row>
    <row r="570">
      <c r="A570" s="117"/>
      <c r="B570" s="117"/>
    </row>
    <row r="571">
      <c r="A571" s="117"/>
      <c r="B571" s="117"/>
    </row>
    <row r="572">
      <c r="A572" s="117"/>
      <c r="B572" s="117"/>
    </row>
    <row r="573">
      <c r="A573" s="117"/>
      <c r="B573" s="117"/>
    </row>
    <row r="574">
      <c r="A574" s="117"/>
      <c r="B574" s="117"/>
    </row>
    <row r="575">
      <c r="A575" s="117"/>
      <c r="B575" s="117"/>
    </row>
    <row r="576">
      <c r="A576" s="117"/>
      <c r="B576" s="117"/>
    </row>
    <row r="577">
      <c r="A577" s="117"/>
      <c r="B577" s="117"/>
    </row>
    <row r="578">
      <c r="A578" s="117"/>
      <c r="B578" s="117"/>
    </row>
    <row r="579">
      <c r="A579" s="117"/>
      <c r="B579" s="117"/>
    </row>
    <row r="580">
      <c r="A580" s="117"/>
      <c r="B580" s="117"/>
    </row>
    <row r="581">
      <c r="A581" s="117"/>
      <c r="B581" s="117"/>
    </row>
    <row r="582">
      <c r="A582" s="117"/>
      <c r="B582" s="117"/>
    </row>
    <row r="583">
      <c r="A583" s="117"/>
      <c r="B583" s="117"/>
    </row>
    <row r="584">
      <c r="A584" s="117"/>
      <c r="B584" s="117"/>
    </row>
    <row r="585">
      <c r="A585" s="117"/>
      <c r="B585" s="117"/>
    </row>
    <row r="586">
      <c r="A586" s="117"/>
      <c r="B586" s="117"/>
    </row>
    <row r="587">
      <c r="A587" s="117"/>
      <c r="B587" s="117"/>
    </row>
    <row r="588">
      <c r="A588" s="117"/>
      <c r="B588" s="117"/>
    </row>
    <row r="589">
      <c r="A589" s="117"/>
      <c r="B589" s="117"/>
    </row>
    <row r="590">
      <c r="A590" s="117"/>
      <c r="B590" s="117"/>
    </row>
    <row r="591">
      <c r="A591" s="117"/>
      <c r="B591" s="117"/>
    </row>
    <row r="592">
      <c r="A592" s="117"/>
      <c r="B592" s="117"/>
    </row>
    <row r="593">
      <c r="A593" s="117"/>
      <c r="B593" s="117"/>
    </row>
    <row r="594">
      <c r="A594" s="117"/>
      <c r="B594" s="117"/>
    </row>
    <row r="595">
      <c r="A595" s="117"/>
      <c r="B595" s="117"/>
    </row>
    <row r="596">
      <c r="A596" s="117"/>
      <c r="B596" s="117"/>
    </row>
    <row r="597">
      <c r="A597" s="117"/>
      <c r="B597" s="117"/>
    </row>
    <row r="598">
      <c r="A598" s="117"/>
      <c r="B598" s="117"/>
    </row>
    <row r="599">
      <c r="A599" s="117"/>
      <c r="B599" s="117"/>
    </row>
    <row r="600">
      <c r="A600" s="117"/>
      <c r="B600" s="117"/>
    </row>
    <row r="601">
      <c r="A601" s="117"/>
      <c r="B601" s="117"/>
    </row>
    <row r="602">
      <c r="A602" s="117"/>
      <c r="B602" s="117"/>
    </row>
    <row r="603">
      <c r="A603" s="117"/>
      <c r="B603" s="117"/>
    </row>
    <row r="604">
      <c r="A604" s="117"/>
      <c r="B604" s="117"/>
    </row>
    <row r="605">
      <c r="A605" s="117"/>
      <c r="B605" s="117"/>
    </row>
    <row r="606">
      <c r="A606" s="117"/>
      <c r="B606" s="117"/>
    </row>
    <row r="607">
      <c r="A607" s="117"/>
      <c r="B607" s="117"/>
    </row>
    <row r="608">
      <c r="A608" s="117"/>
      <c r="B608" s="117"/>
    </row>
    <row r="609">
      <c r="A609" s="117"/>
      <c r="B609" s="117"/>
    </row>
    <row r="610">
      <c r="A610" s="117"/>
      <c r="B610" s="117"/>
    </row>
    <row r="611">
      <c r="A611" s="117"/>
      <c r="B611" s="117"/>
    </row>
    <row r="612">
      <c r="A612" s="117"/>
      <c r="B612" s="117"/>
    </row>
    <row r="613">
      <c r="A613" s="117"/>
      <c r="B613" s="117"/>
    </row>
    <row r="614">
      <c r="A614" s="117"/>
      <c r="B614" s="117"/>
    </row>
    <row r="615">
      <c r="A615" s="117"/>
      <c r="B615" s="117"/>
    </row>
    <row r="616">
      <c r="A616" s="117"/>
      <c r="B616" s="117"/>
    </row>
    <row r="617">
      <c r="A617" s="117"/>
      <c r="B617" s="117"/>
    </row>
    <row r="618">
      <c r="A618" s="117"/>
      <c r="B618" s="117"/>
    </row>
    <row r="619">
      <c r="A619" s="117"/>
      <c r="B619" s="117"/>
    </row>
    <row r="620">
      <c r="A620" s="117"/>
      <c r="B620" s="117"/>
    </row>
    <row r="621">
      <c r="A621" s="117"/>
      <c r="B621" s="117"/>
    </row>
    <row r="622">
      <c r="A622" s="117"/>
      <c r="B622" s="117"/>
    </row>
    <row r="623">
      <c r="A623" s="117"/>
      <c r="B623" s="117"/>
    </row>
    <row r="624">
      <c r="A624" s="117"/>
      <c r="B624" s="117"/>
    </row>
    <row r="625">
      <c r="A625" s="117"/>
      <c r="B625" s="117"/>
    </row>
    <row r="626">
      <c r="A626" s="117"/>
      <c r="B626" s="117"/>
    </row>
    <row r="627">
      <c r="A627" s="117"/>
      <c r="B627" s="117"/>
    </row>
    <row r="628">
      <c r="A628" s="117"/>
      <c r="B628" s="117"/>
    </row>
    <row r="629">
      <c r="A629" s="117"/>
      <c r="B629" s="117"/>
    </row>
    <row r="630">
      <c r="A630" s="117"/>
      <c r="B630" s="117"/>
    </row>
    <row r="631">
      <c r="A631" s="117"/>
      <c r="B631" s="117"/>
    </row>
    <row r="632">
      <c r="A632" s="117"/>
      <c r="B632" s="117"/>
    </row>
    <row r="633">
      <c r="A633" s="117"/>
      <c r="B633" s="117"/>
    </row>
    <row r="634">
      <c r="A634" s="117"/>
      <c r="B634" s="117"/>
    </row>
    <row r="635">
      <c r="A635" s="117"/>
      <c r="B635" s="117"/>
    </row>
    <row r="636">
      <c r="A636" s="117"/>
      <c r="B636" s="117"/>
    </row>
    <row r="637">
      <c r="A637" s="117"/>
      <c r="B637" s="117"/>
    </row>
    <row r="638">
      <c r="A638" s="117"/>
      <c r="B638" s="117"/>
    </row>
    <row r="639">
      <c r="A639" s="117"/>
      <c r="B639" s="117"/>
    </row>
    <row r="640">
      <c r="A640" s="117"/>
      <c r="B640" s="117"/>
    </row>
    <row r="641">
      <c r="A641" s="117"/>
      <c r="B641" s="117"/>
    </row>
    <row r="642">
      <c r="A642" s="117"/>
      <c r="B642" s="117"/>
    </row>
    <row r="643">
      <c r="A643" s="117"/>
      <c r="B643" s="117"/>
    </row>
    <row r="644">
      <c r="A644" s="117"/>
      <c r="B644" s="117"/>
    </row>
    <row r="645">
      <c r="A645" s="117"/>
      <c r="B645" s="117"/>
    </row>
    <row r="646">
      <c r="A646" s="117"/>
      <c r="B646" s="117"/>
    </row>
    <row r="647">
      <c r="A647" s="117"/>
      <c r="B647" s="117"/>
    </row>
    <row r="648">
      <c r="A648" s="117"/>
      <c r="B648" s="117"/>
    </row>
    <row r="649">
      <c r="A649" s="117"/>
      <c r="B649" s="117"/>
    </row>
    <row r="650">
      <c r="A650" s="117"/>
      <c r="B650" s="117"/>
    </row>
    <row r="651">
      <c r="A651" s="117"/>
      <c r="B651" s="117"/>
    </row>
    <row r="652">
      <c r="A652" s="117"/>
      <c r="B652" s="117"/>
    </row>
    <row r="653">
      <c r="A653" s="117"/>
      <c r="B653" s="117"/>
    </row>
    <row r="654">
      <c r="A654" s="117"/>
      <c r="B654" s="117"/>
    </row>
    <row r="655">
      <c r="A655" s="117"/>
      <c r="B655" s="117"/>
    </row>
    <row r="656">
      <c r="A656" s="117"/>
      <c r="B656" s="117"/>
    </row>
    <row r="657">
      <c r="A657" s="117"/>
      <c r="B657" s="117"/>
    </row>
    <row r="658">
      <c r="A658" s="117"/>
      <c r="B658" s="117"/>
    </row>
    <row r="659">
      <c r="A659" s="117"/>
      <c r="B659" s="117"/>
    </row>
    <row r="660">
      <c r="A660" s="117"/>
      <c r="B660" s="117"/>
    </row>
    <row r="661">
      <c r="A661" s="117"/>
      <c r="B661" s="117"/>
    </row>
    <row r="662">
      <c r="A662" s="117"/>
      <c r="B662" s="117"/>
    </row>
    <row r="663">
      <c r="A663" s="117"/>
      <c r="B663" s="117"/>
    </row>
    <row r="664">
      <c r="A664" s="117"/>
      <c r="B664" s="117"/>
    </row>
    <row r="665">
      <c r="A665" s="117"/>
      <c r="B665" s="117"/>
    </row>
    <row r="666">
      <c r="A666" s="117"/>
      <c r="B666" s="117"/>
    </row>
    <row r="667">
      <c r="A667" s="117"/>
      <c r="B667" s="117"/>
    </row>
    <row r="668">
      <c r="A668" s="117"/>
      <c r="B668" s="117"/>
    </row>
    <row r="669">
      <c r="A669" s="117"/>
      <c r="B669" s="117"/>
    </row>
    <row r="670">
      <c r="A670" s="117"/>
      <c r="B670" s="117"/>
    </row>
    <row r="671">
      <c r="A671" s="117"/>
      <c r="B671" s="117"/>
    </row>
    <row r="672">
      <c r="A672" s="117"/>
      <c r="B672" s="117"/>
    </row>
    <row r="673">
      <c r="A673" s="117"/>
      <c r="B673" s="117"/>
    </row>
    <row r="674">
      <c r="A674" s="117"/>
      <c r="B674" s="117"/>
    </row>
    <row r="675">
      <c r="A675" s="117"/>
      <c r="B675" s="117"/>
    </row>
    <row r="676">
      <c r="A676" s="117"/>
      <c r="B676" s="117"/>
    </row>
    <row r="677">
      <c r="A677" s="117"/>
      <c r="B677" s="117"/>
    </row>
    <row r="678">
      <c r="A678" s="117"/>
      <c r="B678" s="117"/>
    </row>
    <row r="679">
      <c r="A679" s="117"/>
      <c r="B679" s="117"/>
    </row>
    <row r="680">
      <c r="A680" s="117"/>
      <c r="B680" s="117"/>
    </row>
    <row r="681">
      <c r="A681" s="117"/>
      <c r="B681" s="117"/>
    </row>
    <row r="682">
      <c r="A682" s="117"/>
      <c r="B682" s="117"/>
    </row>
    <row r="683">
      <c r="A683" s="117"/>
      <c r="B683" s="117"/>
    </row>
    <row r="684">
      <c r="A684" s="117"/>
      <c r="B684" s="117"/>
    </row>
    <row r="685">
      <c r="A685" s="117"/>
      <c r="B685" s="117"/>
    </row>
    <row r="686">
      <c r="A686" s="117"/>
      <c r="B686" s="117"/>
    </row>
    <row r="687">
      <c r="A687" s="117"/>
      <c r="B687" s="117"/>
    </row>
    <row r="688">
      <c r="A688" s="117"/>
      <c r="B688" s="117"/>
    </row>
    <row r="689">
      <c r="A689" s="117"/>
      <c r="B689" s="117"/>
    </row>
    <row r="690">
      <c r="A690" s="117"/>
      <c r="B690" s="117"/>
    </row>
    <row r="691">
      <c r="A691" s="117"/>
      <c r="B691" s="117"/>
    </row>
    <row r="692">
      <c r="A692" s="117"/>
      <c r="B692" s="117"/>
    </row>
    <row r="693">
      <c r="A693" s="117"/>
      <c r="B693" s="117"/>
    </row>
    <row r="694">
      <c r="A694" s="117"/>
      <c r="B694" s="117"/>
    </row>
    <row r="695">
      <c r="A695" s="117"/>
      <c r="B695" s="117"/>
    </row>
    <row r="696">
      <c r="A696" s="117"/>
      <c r="B696" s="117"/>
    </row>
    <row r="697">
      <c r="A697" s="117"/>
      <c r="B697" s="117"/>
    </row>
    <row r="698">
      <c r="A698" s="117"/>
      <c r="B698" s="117"/>
    </row>
    <row r="699">
      <c r="A699" s="117"/>
      <c r="B699" s="117"/>
    </row>
    <row r="700">
      <c r="A700" s="117"/>
      <c r="B700" s="117"/>
    </row>
    <row r="701">
      <c r="A701" s="117"/>
      <c r="B701" s="117"/>
    </row>
    <row r="702">
      <c r="A702" s="117"/>
      <c r="B702" s="117"/>
    </row>
    <row r="703">
      <c r="A703" s="117"/>
      <c r="B703" s="117"/>
    </row>
    <row r="704">
      <c r="A704" s="117"/>
      <c r="B704" s="117"/>
    </row>
    <row r="705">
      <c r="A705" s="117"/>
      <c r="B705" s="117"/>
    </row>
    <row r="706">
      <c r="A706" s="117"/>
      <c r="B706" s="117"/>
    </row>
    <row r="707">
      <c r="A707" s="117"/>
      <c r="B707" s="117"/>
    </row>
    <row r="708">
      <c r="A708" s="117"/>
      <c r="B708" s="117"/>
    </row>
    <row r="709">
      <c r="A709" s="117"/>
      <c r="B709" s="117"/>
    </row>
    <row r="710">
      <c r="A710" s="117"/>
      <c r="B710" s="117"/>
    </row>
    <row r="711">
      <c r="A711" s="117"/>
      <c r="B711" s="117"/>
    </row>
    <row r="712">
      <c r="A712" s="117"/>
      <c r="B712" s="117"/>
    </row>
    <row r="713">
      <c r="A713" s="117"/>
      <c r="B713" s="117"/>
    </row>
    <row r="714">
      <c r="A714" s="117"/>
      <c r="B714" s="117"/>
    </row>
    <row r="715">
      <c r="A715" s="117"/>
      <c r="B715" s="117"/>
    </row>
    <row r="716">
      <c r="A716" s="117"/>
      <c r="B716" s="117"/>
    </row>
    <row r="717">
      <c r="A717" s="117"/>
      <c r="B717" s="117"/>
    </row>
    <row r="718">
      <c r="A718" s="117"/>
      <c r="B718" s="117"/>
    </row>
    <row r="719">
      <c r="A719" s="117"/>
      <c r="B719" s="117"/>
    </row>
    <row r="720">
      <c r="A720" s="117"/>
      <c r="B720" s="117"/>
    </row>
    <row r="721">
      <c r="A721" s="117"/>
      <c r="B721" s="117"/>
    </row>
    <row r="722">
      <c r="A722" s="117"/>
      <c r="B722" s="117"/>
    </row>
    <row r="723">
      <c r="A723" s="117"/>
      <c r="B723" s="117"/>
    </row>
    <row r="724">
      <c r="A724" s="117"/>
      <c r="B724" s="117"/>
    </row>
    <row r="725">
      <c r="A725" s="117"/>
      <c r="B725" s="117"/>
    </row>
    <row r="726">
      <c r="A726" s="117"/>
      <c r="B726" s="117"/>
    </row>
    <row r="727">
      <c r="A727" s="117"/>
      <c r="B727" s="117"/>
    </row>
    <row r="728">
      <c r="A728" s="117"/>
      <c r="B728" s="117"/>
    </row>
    <row r="729">
      <c r="A729" s="117"/>
      <c r="B729" s="117"/>
    </row>
    <row r="730">
      <c r="A730" s="117"/>
      <c r="B730" s="117"/>
    </row>
    <row r="731">
      <c r="A731" s="117"/>
      <c r="B731" s="117"/>
    </row>
    <row r="732">
      <c r="A732" s="117"/>
      <c r="B732" s="117"/>
    </row>
    <row r="733">
      <c r="A733" s="117"/>
      <c r="B733" s="117"/>
    </row>
    <row r="734">
      <c r="A734" s="117"/>
      <c r="B734" s="117"/>
    </row>
    <row r="735">
      <c r="A735" s="117"/>
      <c r="B735" s="117"/>
    </row>
    <row r="736">
      <c r="A736" s="117"/>
      <c r="B736" s="117"/>
    </row>
    <row r="737">
      <c r="A737" s="117"/>
      <c r="B737" s="117"/>
    </row>
    <row r="738">
      <c r="A738" s="117"/>
      <c r="B738" s="117"/>
    </row>
    <row r="739">
      <c r="A739" s="117"/>
      <c r="B739" s="117"/>
    </row>
    <row r="740">
      <c r="A740" s="117"/>
      <c r="B740" s="117"/>
    </row>
    <row r="741">
      <c r="A741" s="117"/>
      <c r="B741" s="117"/>
    </row>
    <row r="742">
      <c r="A742" s="117"/>
      <c r="B742" s="117"/>
    </row>
    <row r="743">
      <c r="A743" s="117"/>
      <c r="B743" s="117"/>
    </row>
    <row r="744">
      <c r="A744" s="117"/>
      <c r="B744" s="117"/>
    </row>
    <row r="745">
      <c r="A745" s="117"/>
      <c r="B745" s="117"/>
    </row>
    <row r="746">
      <c r="A746" s="117"/>
      <c r="B746" s="117"/>
    </row>
    <row r="747">
      <c r="A747" s="117"/>
      <c r="B747" s="117"/>
    </row>
    <row r="748">
      <c r="A748" s="117"/>
      <c r="B748" s="117"/>
    </row>
    <row r="749">
      <c r="A749" s="117"/>
      <c r="B749" s="117"/>
    </row>
    <row r="750">
      <c r="A750" s="117"/>
      <c r="B750" s="117"/>
    </row>
    <row r="751">
      <c r="A751" s="117"/>
      <c r="B751" s="117"/>
    </row>
    <row r="752">
      <c r="A752" s="117"/>
      <c r="B752" s="117"/>
    </row>
    <row r="753">
      <c r="A753" s="117"/>
      <c r="B753" s="117"/>
    </row>
    <row r="754">
      <c r="A754" s="117"/>
      <c r="B754" s="117"/>
    </row>
    <row r="755">
      <c r="A755" s="117"/>
      <c r="B755" s="117"/>
    </row>
    <row r="756">
      <c r="A756" s="117"/>
      <c r="B756" s="117"/>
    </row>
    <row r="757">
      <c r="A757" s="117"/>
      <c r="B757" s="117"/>
    </row>
    <row r="758">
      <c r="A758" s="117"/>
      <c r="B758" s="117"/>
    </row>
    <row r="759">
      <c r="A759" s="117"/>
      <c r="B759" s="117"/>
    </row>
    <row r="760">
      <c r="A760" s="117"/>
      <c r="B760" s="117"/>
    </row>
    <row r="761">
      <c r="A761" s="117"/>
      <c r="B761" s="117"/>
    </row>
    <row r="762">
      <c r="A762" s="117"/>
      <c r="B762" s="117"/>
    </row>
    <row r="763">
      <c r="A763" s="117"/>
      <c r="B763" s="117"/>
    </row>
    <row r="764">
      <c r="A764" s="117"/>
      <c r="B764" s="117"/>
    </row>
    <row r="765">
      <c r="A765" s="117"/>
      <c r="B765" s="117"/>
    </row>
    <row r="766">
      <c r="A766" s="117"/>
      <c r="B766" s="117"/>
    </row>
    <row r="767">
      <c r="A767" s="117"/>
      <c r="B767" s="117"/>
    </row>
    <row r="768">
      <c r="A768" s="117"/>
      <c r="B768" s="117"/>
    </row>
    <row r="769">
      <c r="A769" s="117"/>
      <c r="B769" s="117"/>
    </row>
    <row r="770">
      <c r="A770" s="117"/>
      <c r="B770" s="117"/>
    </row>
    <row r="771">
      <c r="A771" s="117"/>
      <c r="B771" s="117"/>
    </row>
    <row r="772">
      <c r="A772" s="117"/>
      <c r="B772" s="117"/>
    </row>
    <row r="773">
      <c r="A773" s="117"/>
      <c r="B773" s="117"/>
    </row>
    <row r="774">
      <c r="A774" s="117"/>
      <c r="B774" s="117"/>
    </row>
    <row r="775">
      <c r="A775" s="117"/>
      <c r="B775" s="117"/>
    </row>
    <row r="776">
      <c r="A776" s="117"/>
      <c r="B776" s="117"/>
    </row>
    <row r="777">
      <c r="A777" s="117"/>
      <c r="B777" s="117"/>
    </row>
    <row r="778">
      <c r="A778" s="117"/>
      <c r="B778" s="117"/>
    </row>
    <row r="779">
      <c r="A779" s="117"/>
      <c r="B779" s="117"/>
    </row>
    <row r="780">
      <c r="A780" s="117"/>
      <c r="B780" s="117"/>
    </row>
    <row r="781">
      <c r="A781" s="117"/>
      <c r="B781" s="117"/>
    </row>
    <row r="782">
      <c r="A782" s="117"/>
      <c r="B782" s="117"/>
    </row>
    <row r="783">
      <c r="A783" s="117"/>
      <c r="B783" s="117"/>
    </row>
    <row r="784">
      <c r="A784" s="117"/>
      <c r="B784" s="117"/>
    </row>
    <row r="785">
      <c r="A785" s="117"/>
      <c r="B785" s="117"/>
    </row>
    <row r="786">
      <c r="A786" s="117"/>
      <c r="B786" s="117"/>
    </row>
    <row r="787">
      <c r="A787" s="117"/>
      <c r="B787" s="117"/>
    </row>
    <row r="788">
      <c r="A788" s="117"/>
      <c r="B788" s="117"/>
    </row>
    <row r="789">
      <c r="A789" s="117"/>
      <c r="B789" s="117"/>
    </row>
    <row r="790">
      <c r="A790" s="117"/>
      <c r="B790" s="117"/>
    </row>
    <row r="791">
      <c r="A791" s="117"/>
      <c r="B791" s="117"/>
    </row>
    <row r="792">
      <c r="A792" s="117"/>
      <c r="B792" s="117"/>
    </row>
    <row r="793">
      <c r="A793" s="117"/>
      <c r="B793" s="117"/>
    </row>
    <row r="794">
      <c r="A794" s="117"/>
      <c r="B794" s="117"/>
    </row>
    <row r="795">
      <c r="A795" s="117"/>
      <c r="B795" s="117"/>
    </row>
    <row r="796">
      <c r="A796" s="117"/>
      <c r="B796" s="117"/>
    </row>
    <row r="797">
      <c r="A797" s="117"/>
      <c r="B797" s="117"/>
    </row>
    <row r="798">
      <c r="A798" s="117"/>
      <c r="B798" s="117"/>
    </row>
    <row r="799">
      <c r="A799" s="117"/>
      <c r="B799" s="117"/>
    </row>
    <row r="800">
      <c r="A800" s="117"/>
      <c r="B800" s="117"/>
    </row>
    <row r="801">
      <c r="A801" s="117"/>
      <c r="B801" s="117"/>
    </row>
    <row r="802">
      <c r="A802" s="117"/>
      <c r="B802" s="117"/>
    </row>
    <row r="803">
      <c r="A803" s="117"/>
      <c r="B803" s="117"/>
    </row>
    <row r="804">
      <c r="A804" s="117"/>
      <c r="B804" s="117"/>
    </row>
    <row r="805">
      <c r="A805" s="117"/>
      <c r="B805" s="117"/>
    </row>
    <row r="806">
      <c r="A806" s="117"/>
      <c r="B806" s="117"/>
    </row>
    <row r="807">
      <c r="A807" s="117"/>
      <c r="B807" s="117"/>
    </row>
    <row r="808">
      <c r="A808" s="117"/>
      <c r="B808" s="117"/>
    </row>
    <row r="809">
      <c r="A809" s="117"/>
      <c r="B809" s="117"/>
    </row>
    <row r="810">
      <c r="A810" s="117"/>
      <c r="B810" s="117"/>
    </row>
    <row r="811">
      <c r="A811" s="117"/>
      <c r="B811" s="117"/>
    </row>
    <row r="812">
      <c r="A812" s="117"/>
      <c r="B812" s="117"/>
    </row>
    <row r="813">
      <c r="A813" s="117"/>
      <c r="B813" s="117"/>
    </row>
    <row r="814">
      <c r="A814" s="117"/>
      <c r="B814" s="117"/>
    </row>
    <row r="815">
      <c r="A815" s="117"/>
      <c r="B815" s="117"/>
    </row>
    <row r="816">
      <c r="A816" s="117"/>
      <c r="B816" s="117"/>
    </row>
    <row r="817">
      <c r="A817" s="117"/>
      <c r="B817" s="117"/>
    </row>
    <row r="818">
      <c r="A818" s="117"/>
      <c r="B818" s="117"/>
    </row>
    <row r="819">
      <c r="A819" s="117"/>
      <c r="B819" s="117"/>
    </row>
    <row r="820">
      <c r="A820" s="117"/>
      <c r="B820" s="117"/>
    </row>
    <row r="821">
      <c r="A821" s="117"/>
      <c r="B821" s="117"/>
    </row>
    <row r="822">
      <c r="A822" s="117"/>
      <c r="B822" s="117"/>
    </row>
    <row r="823">
      <c r="A823" s="117"/>
      <c r="B823" s="117"/>
    </row>
    <row r="824">
      <c r="A824" s="117"/>
      <c r="B824" s="117"/>
    </row>
    <row r="825">
      <c r="A825" s="117"/>
      <c r="B825" s="117"/>
    </row>
    <row r="826">
      <c r="A826" s="117"/>
      <c r="B826" s="117"/>
    </row>
    <row r="827">
      <c r="A827" s="117"/>
      <c r="B827" s="117"/>
    </row>
    <row r="828">
      <c r="A828" s="117"/>
      <c r="B828" s="117"/>
    </row>
    <row r="829">
      <c r="A829" s="117"/>
      <c r="B829" s="117"/>
    </row>
    <row r="830">
      <c r="A830" s="117"/>
      <c r="B830" s="117"/>
    </row>
    <row r="831">
      <c r="A831" s="117"/>
      <c r="B831" s="117"/>
    </row>
    <row r="832">
      <c r="A832" s="117"/>
      <c r="B832" s="117"/>
    </row>
    <row r="833">
      <c r="A833" s="117"/>
      <c r="B833" s="117"/>
    </row>
    <row r="834">
      <c r="A834" s="117"/>
      <c r="B834" s="117"/>
    </row>
    <row r="835">
      <c r="A835" s="117"/>
      <c r="B835" s="117"/>
    </row>
    <row r="836">
      <c r="A836" s="117"/>
      <c r="B836" s="117"/>
    </row>
    <row r="837">
      <c r="A837" s="117"/>
      <c r="B837" s="117"/>
    </row>
    <row r="838">
      <c r="A838" s="117"/>
      <c r="B838" s="117"/>
    </row>
    <row r="839">
      <c r="A839" s="117"/>
      <c r="B839" s="117"/>
    </row>
    <row r="840">
      <c r="A840" s="117"/>
      <c r="B840" s="117"/>
    </row>
    <row r="841">
      <c r="A841" s="117"/>
      <c r="B841" s="117"/>
    </row>
    <row r="842">
      <c r="A842" s="117"/>
      <c r="B842" s="117"/>
    </row>
    <row r="843">
      <c r="A843" s="117"/>
      <c r="B843" s="117"/>
    </row>
    <row r="844">
      <c r="A844" s="117"/>
      <c r="B844" s="117"/>
    </row>
    <row r="845">
      <c r="A845" s="117"/>
      <c r="B845" s="117"/>
    </row>
    <row r="846">
      <c r="A846" s="117"/>
      <c r="B846" s="117"/>
    </row>
    <row r="847">
      <c r="A847" s="117"/>
      <c r="B847" s="117"/>
    </row>
    <row r="848">
      <c r="A848" s="117"/>
      <c r="B848" s="117"/>
    </row>
    <row r="849">
      <c r="A849" s="117"/>
      <c r="B849" s="117"/>
    </row>
    <row r="850">
      <c r="A850" s="117"/>
      <c r="B850" s="117"/>
    </row>
    <row r="851">
      <c r="A851" s="117"/>
      <c r="B851" s="117"/>
    </row>
    <row r="852">
      <c r="A852" s="117"/>
      <c r="B852" s="117"/>
    </row>
    <row r="853">
      <c r="A853" s="117"/>
      <c r="B853" s="117"/>
    </row>
    <row r="854">
      <c r="A854" s="117"/>
      <c r="B854" s="117"/>
    </row>
    <row r="855">
      <c r="A855" s="117"/>
      <c r="B855" s="117"/>
    </row>
    <row r="856">
      <c r="A856" s="117"/>
      <c r="B856" s="117"/>
    </row>
    <row r="857">
      <c r="A857" s="117"/>
      <c r="B857" s="117"/>
    </row>
    <row r="858">
      <c r="A858" s="117"/>
      <c r="B858" s="117"/>
    </row>
    <row r="859">
      <c r="A859" s="117"/>
      <c r="B859" s="117"/>
    </row>
    <row r="860">
      <c r="A860" s="117"/>
      <c r="B860" s="117"/>
    </row>
    <row r="861">
      <c r="A861" s="117"/>
      <c r="B861" s="117"/>
    </row>
    <row r="862">
      <c r="A862" s="117"/>
      <c r="B862" s="117"/>
    </row>
    <row r="863">
      <c r="A863" s="117"/>
      <c r="B863" s="117"/>
    </row>
    <row r="864">
      <c r="A864" s="117"/>
      <c r="B864" s="117"/>
    </row>
    <row r="865">
      <c r="A865" s="117"/>
      <c r="B865" s="117"/>
    </row>
    <row r="866">
      <c r="A866" s="117"/>
      <c r="B866" s="117"/>
    </row>
    <row r="867">
      <c r="A867" s="117"/>
      <c r="B867" s="117"/>
    </row>
    <row r="868">
      <c r="A868" s="117"/>
      <c r="B868" s="117"/>
    </row>
    <row r="869">
      <c r="A869" s="117"/>
      <c r="B869" s="117"/>
    </row>
    <row r="870">
      <c r="A870" s="117"/>
      <c r="B870" s="117"/>
    </row>
    <row r="871">
      <c r="A871" s="117"/>
      <c r="B871" s="117"/>
    </row>
    <row r="872">
      <c r="A872" s="117"/>
      <c r="B872" s="117"/>
    </row>
    <row r="873">
      <c r="A873" s="117"/>
      <c r="B873" s="117"/>
    </row>
    <row r="874">
      <c r="A874" s="117"/>
      <c r="B874" s="117"/>
    </row>
    <row r="875">
      <c r="A875" s="117"/>
      <c r="B875" s="117"/>
    </row>
    <row r="876">
      <c r="A876" s="117"/>
      <c r="B876" s="117"/>
    </row>
    <row r="877">
      <c r="A877" s="117"/>
      <c r="B877" s="117"/>
    </row>
    <row r="878">
      <c r="A878" s="117"/>
      <c r="B878" s="117"/>
    </row>
    <row r="879">
      <c r="A879" s="117"/>
      <c r="B879" s="117"/>
    </row>
    <row r="880">
      <c r="A880" s="117"/>
      <c r="B880" s="117"/>
    </row>
    <row r="881">
      <c r="A881" s="117"/>
      <c r="B881" s="117"/>
    </row>
    <row r="882">
      <c r="A882" s="117"/>
      <c r="B882" s="117"/>
    </row>
    <row r="883">
      <c r="A883" s="117"/>
      <c r="B883" s="117"/>
    </row>
    <row r="884">
      <c r="A884" s="117"/>
      <c r="B884" s="117"/>
    </row>
    <row r="885">
      <c r="A885" s="117"/>
      <c r="B885" s="117"/>
    </row>
    <row r="886">
      <c r="A886" s="117"/>
      <c r="B886" s="117"/>
    </row>
    <row r="887">
      <c r="A887" s="117"/>
      <c r="B887" s="117"/>
    </row>
    <row r="888">
      <c r="A888" s="117"/>
      <c r="B888" s="117"/>
    </row>
    <row r="889">
      <c r="A889" s="117"/>
      <c r="B889" s="117"/>
    </row>
    <row r="890">
      <c r="A890" s="117"/>
      <c r="B890" s="117"/>
    </row>
    <row r="891">
      <c r="A891" s="117"/>
      <c r="B891" s="117"/>
    </row>
    <row r="892">
      <c r="A892" s="117"/>
      <c r="B892" s="117"/>
    </row>
    <row r="893">
      <c r="A893" s="117"/>
      <c r="B893" s="117"/>
    </row>
    <row r="894">
      <c r="A894" s="117"/>
      <c r="B894" s="117"/>
    </row>
    <row r="895">
      <c r="A895" s="117"/>
      <c r="B895" s="117"/>
    </row>
    <row r="896">
      <c r="A896" s="117"/>
      <c r="B896" s="117"/>
    </row>
    <row r="897">
      <c r="A897" s="117"/>
      <c r="B897" s="117"/>
    </row>
    <row r="898">
      <c r="A898" s="117"/>
      <c r="B898" s="117"/>
    </row>
    <row r="899">
      <c r="A899" s="117"/>
      <c r="B899" s="117"/>
    </row>
    <row r="900">
      <c r="A900" s="117"/>
      <c r="B900" s="117"/>
    </row>
    <row r="901">
      <c r="A901" s="117"/>
      <c r="B901" s="117"/>
    </row>
    <row r="902">
      <c r="A902" s="117"/>
      <c r="B902" s="117"/>
    </row>
    <row r="903">
      <c r="A903" s="117"/>
      <c r="B903" s="117"/>
    </row>
    <row r="904">
      <c r="A904" s="117"/>
      <c r="B904" s="117"/>
    </row>
    <row r="905">
      <c r="A905" s="117"/>
      <c r="B905" s="117"/>
    </row>
    <row r="906">
      <c r="A906" s="117"/>
      <c r="B906" s="117"/>
    </row>
    <row r="907">
      <c r="A907" s="117"/>
      <c r="B907" s="117"/>
    </row>
    <row r="908">
      <c r="A908" s="117"/>
      <c r="B908" s="117"/>
    </row>
    <row r="909">
      <c r="A909" s="117"/>
      <c r="B909" s="117"/>
    </row>
    <row r="910">
      <c r="A910" s="117"/>
      <c r="B910" s="117"/>
    </row>
    <row r="911">
      <c r="A911" s="117"/>
      <c r="B911" s="117"/>
    </row>
    <row r="912">
      <c r="A912" s="117"/>
      <c r="B912" s="117"/>
    </row>
    <row r="913">
      <c r="A913" s="117"/>
      <c r="B913" s="117"/>
    </row>
    <row r="914">
      <c r="A914" s="117"/>
      <c r="B914" s="117"/>
    </row>
    <row r="915">
      <c r="A915" s="117"/>
      <c r="B915" s="117"/>
    </row>
    <row r="916">
      <c r="A916" s="117"/>
      <c r="B916" s="117"/>
    </row>
    <row r="917">
      <c r="A917" s="117"/>
      <c r="B917" s="117"/>
    </row>
    <row r="918">
      <c r="A918" s="117"/>
      <c r="B918" s="117"/>
    </row>
    <row r="919">
      <c r="A919" s="117"/>
      <c r="B919" s="117"/>
    </row>
    <row r="920">
      <c r="A920" s="117"/>
      <c r="B920" s="117"/>
    </row>
    <row r="921">
      <c r="A921" s="117"/>
      <c r="B921" s="117"/>
    </row>
    <row r="922">
      <c r="A922" s="117"/>
      <c r="B922" s="117"/>
    </row>
    <row r="923">
      <c r="A923" s="117"/>
      <c r="B923" s="117"/>
    </row>
    <row r="924">
      <c r="A924" s="117"/>
      <c r="B924" s="117"/>
    </row>
    <row r="925">
      <c r="A925" s="117"/>
      <c r="B925" s="117"/>
    </row>
    <row r="926">
      <c r="A926" s="117"/>
      <c r="B926" s="117"/>
    </row>
    <row r="927">
      <c r="A927" s="117"/>
      <c r="B927" s="117"/>
    </row>
    <row r="928">
      <c r="A928" s="117"/>
      <c r="B928" s="117"/>
    </row>
    <row r="929">
      <c r="A929" s="117"/>
      <c r="B929" s="117"/>
    </row>
    <row r="930">
      <c r="A930" s="117"/>
      <c r="B930" s="117"/>
    </row>
    <row r="931">
      <c r="A931" s="117"/>
      <c r="B931" s="117"/>
    </row>
    <row r="932">
      <c r="A932" s="117"/>
      <c r="B932" s="117"/>
    </row>
    <row r="933">
      <c r="A933" s="117"/>
      <c r="B933" s="117"/>
    </row>
    <row r="934">
      <c r="A934" s="117"/>
      <c r="B934" s="117"/>
    </row>
    <row r="935">
      <c r="A935" s="117"/>
      <c r="B935" s="117"/>
    </row>
    <row r="936">
      <c r="A936" s="117"/>
      <c r="B936" s="117"/>
    </row>
    <row r="937">
      <c r="A937" s="117"/>
      <c r="B937" s="117"/>
    </row>
    <row r="938">
      <c r="A938" s="117"/>
      <c r="B938" s="117"/>
    </row>
    <row r="939">
      <c r="A939" s="117"/>
      <c r="B939" s="117"/>
    </row>
    <row r="940">
      <c r="A940" s="117"/>
      <c r="B940" s="117"/>
    </row>
    <row r="941">
      <c r="A941" s="117"/>
      <c r="B941" s="117"/>
    </row>
    <row r="942">
      <c r="A942" s="117"/>
      <c r="B942" s="117"/>
    </row>
    <row r="943">
      <c r="A943" s="117"/>
      <c r="B943" s="117"/>
    </row>
    <row r="944">
      <c r="A944" s="117"/>
      <c r="B944" s="117"/>
    </row>
    <row r="945">
      <c r="A945" s="117"/>
      <c r="B945" s="117"/>
    </row>
    <row r="946">
      <c r="A946" s="117"/>
      <c r="B946" s="117"/>
    </row>
    <row r="947">
      <c r="A947" s="117"/>
      <c r="B947" s="117"/>
    </row>
    <row r="948">
      <c r="A948" s="117"/>
      <c r="B948" s="117"/>
    </row>
    <row r="949">
      <c r="A949" s="117"/>
      <c r="B949" s="117"/>
    </row>
    <row r="950">
      <c r="A950" s="117"/>
      <c r="B950" s="117"/>
    </row>
    <row r="951">
      <c r="A951" s="117"/>
      <c r="B951" s="117"/>
    </row>
    <row r="952">
      <c r="A952" s="117"/>
      <c r="B952" s="117"/>
    </row>
    <row r="953">
      <c r="A953" s="117"/>
      <c r="B953" s="117"/>
    </row>
    <row r="954">
      <c r="A954" s="117"/>
      <c r="B954" s="117"/>
    </row>
    <row r="955">
      <c r="A955" s="117"/>
      <c r="B955" s="117"/>
    </row>
    <row r="956">
      <c r="A956" s="117"/>
      <c r="B956" s="117"/>
    </row>
    <row r="957">
      <c r="A957" s="117"/>
      <c r="B957" s="117"/>
    </row>
    <row r="958">
      <c r="A958" s="117"/>
      <c r="B958" s="117"/>
    </row>
    <row r="959">
      <c r="A959" s="117"/>
      <c r="B959" s="117"/>
    </row>
    <row r="960">
      <c r="A960" s="117"/>
      <c r="B960" s="117"/>
    </row>
    <row r="961">
      <c r="A961" s="117"/>
      <c r="B961" s="117"/>
    </row>
    <row r="962">
      <c r="A962" s="117"/>
      <c r="B962" s="117"/>
    </row>
    <row r="963">
      <c r="A963" s="117"/>
      <c r="B963" s="117"/>
    </row>
    <row r="964">
      <c r="A964" s="117"/>
      <c r="B964" s="117"/>
    </row>
    <row r="965">
      <c r="A965" s="117"/>
      <c r="B965" s="117"/>
    </row>
    <row r="966">
      <c r="A966" s="117"/>
      <c r="B966" s="117"/>
    </row>
    <row r="967">
      <c r="A967" s="117"/>
      <c r="B967" s="117"/>
    </row>
    <row r="968">
      <c r="A968" s="117"/>
      <c r="B968" s="117"/>
    </row>
    <row r="969">
      <c r="A969" s="117"/>
      <c r="B969" s="117"/>
    </row>
    <row r="970">
      <c r="A970" s="117"/>
      <c r="B970" s="117"/>
    </row>
    <row r="971">
      <c r="A971" s="117"/>
      <c r="B971" s="117"/>
    </row>
    <row r="972">
      <c r="A972" s="117"/>
      <c r="B972" s="117"/>
    </row>
    <row r="973">
      <c r="A973" s="117"/>
      <c r="B973" s="117"/>
    </row>
    <row r="974">
      <c r="A974" s="117"/>
      <c r="B974" s="117"/>
    </row>
    <row r="975">
      <c r="A975" s="117"/>
      <c r="B975" s="117"/>
    </row>
    <row r="976">
      <c r="A976" s="117"/>
      <c r="B976" s="117"/>
    </row>
    <row r="977">
      <c r="A977" s="117"/>
      <c r="B977" s="117"/>
    </row>
    <row r="978">
      <c r="A978" s="117"/>
      <c r="B978" s="117"/>
    </row>
    <row r="979">
      <c r="A979" s="117"/>
      <c r="B979" s="117"/>
    </row>
    <row r="980">
      <c r="A980" s="117"/>
      <c r="B980" s="117"/>
    </row>
    <row r="981">
      <c r="A981" s="117"/>
      <c r="B981" s="117"/>
    </row>
    <row r="982">
      <c r="A982" s="117"/>
      <c r="B982" s="117"/>
    </row>
    <row r="983">
      <c r="A983" s="117"/>
      <c r="B983" s="117"/>
    </row>
    <row r="984">
      <c r="A984" s="117"/>
      <c r="B984" s="117"/>
    </row>
    <row r="985">
      <c r="A985" s="117"/>
      <c r="B985" s="117"/>
    </row>
    <row r="986">
      <c r="A986" s="117"/>
      <c r="B986" s="117"/>
    </row>
    <row r="987">
      <c r="A987" s="117"/>
      <c r="B987" s="117"/>
    </row>
    <row r="988">
      <c r="A988" s="117"/>
      <c r="B988" s="117"/>
    </row>
    <row r="989">
      <c r="A989" s="117"/>
      <c r="B989" s="117"/>
    </row>
    <row r="990">
      <c r="A990" s="117"/>
      <c r="B990" s="117"/>
    </row>
    <row r="991">
      <c r="A991" s="117"/>
      <c r="B991" s="117"/>
    </row>
    <row r="992">
      <c r="A992" s="117"/>
      <c r="B992" s="117"/>
    </row>
    <row r="993">
      <c r="A993" s="117"/>
      <c r="B993" s="117"/>
    </row>
    <row r="994">
      <c r="A994" s="117"/>
      <c r="B994" s="117"/>
    </row>
    <row r="995">
      <c r="A995" s="117"/>
      <c r="B995" s="117"/>
    </row>
    <row r="996">
      <c r="A996" s="117"/>
      <c r="B996" s="117"/>
    </row>
    <row r="997">
      <c r="A997" s="117"/>
      <c r="B997" s="117"/>
    </row>
    <row r="998">
      <c r="A998" s="117"/>
      <c r="B998" s="117"/>
    </row>
    <row r="999">
      <c r="A999" s="117"/>
      <c r="B999" s="117"/>
    </row>
    <row r="1000">
      <c r="A1000" s="117"/>
      <c r="B1000" s="117"/>
    </row>
    <row r="1001">
      <c r="A1001" s="117"/>
      <c r="B1001" s="117"/>
    </row>
    <row r="1002">
      <c r="A1002" s="117"/>
      <c r="B1002" s="117"/>
    </row>
    <row r="1003">
      <c r="A1003" s="117"/>
      <c r="B1003" s="117"/>
    </row>
    <row r="1004">
      <c r="A1004" s="117"/>
      <c r="B1004" s="117"/>
    </row>
    <row r="1005">
      <c r="A1005" s="117"/>
      <c r="B1005" s="117"/>
    </row>
    <row r="1006">
      <c r="A1006" s="117"/>
      <c r="B1006" s="117"/>
    </row>
    <row r="1007">
      <c r="A1007" s="117"/>
      <c r="B1007" s="117"/>
    </row>
    <row r="1008">
      <c r="A1008" s="117"/>
      <c r="B1008" s="117"/>
    </row>
    <row r="1009">
      <c r="A1009" s="117"/>
      <c r="B1009" s="117"/>
    </row>
    <row r="1010">
      <c r="A1010" s="117"/>
      <c r="B1010" s="117"/>
    </row>
    <row r="1011">
      <c r="A1011" s="117"/>
      <c r="B1011" s="117"/>
    </row>
    <row r="1012">
      <c r="A1012" s="117"/>
      <c r="B1012" s="117"/>
    </row>
    <row r="1013">
      <c r="A1013" s="117"/>
      <c r="B1013" s="117"/>
    </row>
    <row r="1014">
      <c r="A1014" s="117"/>
      <c r="B1014" s="117"/>
    </row>
    <row r="1015">
      <c r="A1015" s="117"/>
      <c r="B1015" s="117"/>
    </row>
    <row r="1016">
      <c r="A1016" s="117"/>
      <c r="B1016" s="117"/>
    </row>
    <row r="1017">
      <c r="A1017" s="117"/>
      <c r="B1017" s="117"/>
    </row>
    <row r="1018">
      <c r="A1018" s="117"/>
      <c r="B1018" s="117"/>
    </row>
    <row r="1019">
      <c r="A1019" s="117"/>
      <c r="B1019" s="117"/>
    </row>
    <row r="1020">
      <c r="A1020" s="117"/>
      <c r="B1020" s="117"/>
    </row>
    <row r="1021">
      <c r="A1021" s="117"/>
      <c r="B1021" s="117"/>
    </row>
    <row r="1022">
      <c r="A1022" s="117"/>
      <c r="B1022" s="117"/>
    </row>
    <row r="1023">
      <c r="A1023" s="117"/>
      <c r="B1023" s="117"/>
    </row>
    <row r="1024">
      <c r="A1024" s="117"/>
      <c r="B1024" s="117"/>
    </row>
    <row r="1025">
      <c r="A1025" s="117"/>
      <c r="B1025" s="117"/>
    </row>
    <row r="1026">
      <c r="A1026" s="117"/>
      <c r="B1026" s="117"/>
    </row>
    <row r="1027">
      <c r="A1027" s="117"/>
      <c r="B1027" s="117"/>
    </row>
    <row r="1028">
      <c r="A1028" s="117"/>
      <c r="B1028" s="117"/>
    </row>
    <row r="1029">
      <c r="A1029" s="117"/>
      <c r="B1029" s="117"/>
    </row>
    <row r="1030">
      <c r="A1030" s="117"/>
      <c r="B1030" s="117"/>
    </row>
    <row r="1031">
      <c r="A1031" s="117"/>
      <c r="B1031" s="117"/>
    </row>
    <row r="1032">
      <c r="A1032" s="117"/>
      <c r="B1032" s="117"/>
    </row>
    <row r="1033">
      <c r="A1033" s="117"/>
      <c r="B1033" s="117"/>
    </row>
    <row r="1034">
      <c r="A1034" s="117"/>
      <c r="B1034" s="117"/>
    </row>
    <row r="1035">
      <c r="A1035" s="117"/>
      <c r="B1035" s="117"/>
    </row>
    <row r="1036">
      <c r="A1036" s="117"/>
      <c r="B1036" s="117"/>
    </row>
    <row r="1037">
      <c r="A1037" s="117"/>
      <c r="B1037" s="117"/>
    </row>
    <row r="1038">
      <c r="A1038" s="117"/>
      <c r="B1038" s="117"/>
    </row>
    <row r="1039">
      <c r="A1039" s="117"/>
      <c r="B1039" s="117"/>
    </row>
    <row r="1040">
      <c r="A1040" s="117"/>
      <c r="B1040" s="117"/>
    </row>
    <row r="1041">
      <c r="A1041" s="117"/>
      <c r="B1041" s="117"/>
    </row>
    <row r="1042">
      <c r="A1042" s="117"/>
      <c r="B1042" s="117"/>
    </row>
    <row r="1043">
      <c r="A1043" s="117"/>
      <c r="B1043" s="117"/>
    </row>
    <row r="1044">
      <c r="A1044" s="117"/>
      <c r="B1044" s="117"/>
    </row>
    <row r="1045">
      <c r="A1045" s="117"/>
      <c r="B1045" s="117"/>
    </row>
    <row r="1046">
      <c r="A1046" s="117"/>
      <c r="B1046" s="117"/>
    </row>
    <row r="1047">
      <c r="A1047" s="117"/>
      <c r="B1047" s="117"/>
    </row>
    <row r="1048">
      <c r="A1048" s="117"/>
      <c r="B1048" s="117"/>
    </row>
    <row r="1049">
      <c r="A1049" s="117"/>
      <c r="B1049" s="117"/>
    </row>
    <row r="1050">
      <c r="A1050" s="117"/>
      <c r="B1050" s="117"/>
    </row>
    <row r="1051">
      <c r="A1051" s="117"/>
      <c r="B1051" s="117"/>
    </row>
    <row r="1052">
      <c r="A1052" s="117"/>
      <c r="B1052" s="117"/>
    </row>
    <row r="1053">
      <c r="A1053" s="117"/>
      <c r="B1053" s="117"/>
    </row>
    <row r="1054">
      <c r="A1054" s="117"/>
      <c r="B1054" s="117"/>
    </row>
    <row r="1055">
      <c r="A1055" s="117"/>
      <c r="B1055" s="117"/>
    </row>
    <row r="1056">
      <c r="A1056" s="117"/>
      <c r="B1056" s="117"/>
    </row>
    <row r="1057">
      <c r="A1057" s="117"/>
      <c r="B1057" s="117"/>
    </row>
    <row r="1058">
      <c r="A1058" s="117"/>
      <c r="B1058" s="117"/>
    </row>
    <row r="1059">
      <c r="A1059" s="117"/>
      <c r="B1059" s="117"/>
    </row>
    <row r="1060">
      <c r="A1060" s="117"/>
      <c r="B1060" s="117"/>
    </row>
    <row r="1061">
      <c r="A1061" s="117"/>
      <c r="B1061" s="117"/>
    </row>
    <row r="1062">
      <c r="A1062" s="117"/>
      <c r="B1062" s="117"/>
    </row>
    <row r="1063">
      <c r="A1063" s="117"/>
      <c r="B1063" s="117"/>
    </row>
    <row r="1064">
      <c r="A1064" s="117"/>
      <c r="B1064" s="117"/>
    </row>
    <row r="1065">
      <c r="A1065" s="117"/>
      <c r="B1065" s="117"/>
    </row>
    <row r="1066">
      <c r="A1066" s="117"/>
      <c r="B1066" s="117"/>
    </row>
    <row r="1067">
      <c r="A1067" s="117"/>
      <c r="B1067" s="117"/>
    </row>
    <row r="1068">
      <c r="A1068" s="117"/>
      <c r="B1068" s="117"/>
    </row>
    <row r="1069">
      <c r="A1069" s="117"/>
      <c r="B1069" s="117"/>
    </row>
    <row r="1070">
      <c r="A1070" s="117"/>
      <c r="B1070" s="117"/>
    </row>
    <row r="1071">
      <c r="A1071" s="117"/>
      <c r="B1071" s="117"/>
    </row>
    <row r="1072">
      <c r="A1072" s="117"/>
      <c r="B1072" s="117"/>
    </row>
    <row r="1073">
      <c r="A1073" s="117"/>
      <c r="B1073" s="117"/>
    </row>
    <row r="1074">
      <c r="A1074" s="117"/>
      <c r="B1074" s="117"/>
    </row>
    <row r="1075">
      <c r="A1075" s="117"/>
      <c r="B1075" s="117"/>
    </row>
    <row r="1076">
      <c r="A1076" s="117"/>
      <c r="B1076" s="117"/>
    </row>
    <row r="1077">
      <c r="A1077" s="117"/>
      <c r="B1077" s="117"/>
    </row>
    <row r="1078">
      <c r="A1078" s="117"/>
      <c r="B1078" s="117"/>
    </row>
    <row r="1079">
      <c r="A1079" s="117"/>
      <c r="B1079" s="117"/>
    </row>
    <row r="1080">
      <c r="A1080" s="117"/>
      <c r="B1080" s="117"/>
    </row>
    <row r="1081">
      <c r="A1081" s="117"/>
      <c r="B1081" s="117"/>
    </row>
    <row r="1082">
      <c r="A1082" s="117"/>
      <c r="B1082" s="117"/>
    </row>
    <row r="1083">
      <c r="A1083" s="117"/>
      <c r="B1083" s="117"/>
    </row>
    <row r="1084">
      <c r="A1084" s="117"/>
      <c r="B1084" s="11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08">
        <v>45900.0</v>
      </c>
      <c r="C1" s="109" t="s">
        <v>62</v>
      </c>
      <c r="D1" s="110" t="s">
        <v>63</v>
      </c>
      <c r="E1" s="110" t="s">
        <v>64</v>
      </c>
      <c r="F1" s="110" t="s">
        <v>65</v>
      </c>
      <c r="G1" s="110" t="s">
        <v>66</v>
      </c>
      <c r="H1" s="110" t="s">
        <v>67</v>
      </c>
      <c r="I1" s="110" t="s">
        <v>68</v>
      </c>
      <c r="J1" s="110" t="s">
        <v>69</v>
      </c>
      <c r="K1" s="110" t="s">
        <v>70</v>
      </c>
      <c r="L1" s="110" t="s">
        <v>71</v>
      </c>
      <c r="M1" s="110" t="s">
        <v>72</v>
      </c>
      <c r="N1" s="110" t="s">
        <v>73</v>
      </c>
      <c r="O1" s="110" t="s">
        <v>74</v>
      </c>
      <c r="P1" s="110" t="s">
        <v>75</v>
      </c>
      <c r="Q1" s="110" t="s">
        <v>76</v>
      </c>
      <c r="R1" s="110" t="s">
        <v>77</v>
      </c>
      <c r="S1" s="110" t="s">
        <v>78</v>
      </c>
      <c r="T1" s="110" t="s">
        <v>79</v>
      </c>
      <c r="U1" s="110" t="s">
        <v>80</v>
      </c>
      <c r="V1" s="110" t="s">
        <v>81</v>
      </c>
      <c r="W1" s="110" t="s">
        <v>82</v>
      </c>
      <c r="X1" s="110" t="s">
        <v>83</v>
      </c>
      <c r="Y1" s="110" t="s">
        <v>84</v>
      </c>
      <c r="Z1" s="110" t="s">
        <v>85</v>
      </c>
      <c r="AA1" s="110" t="s">
        <v>86</v>
      </c>
      <c r="AB1" s="110" t="s">
        <v>87</v>
      </c>
    </row>
    <row r="2" ht="22.5" customHeight="1">
      <c r="A2" s="1" t="s">
        <v>0</v>
      </c>
      <c r="B2" s="1" t="s">
        <v>1</v>
      </c>
      <c r="C2" s="4" t="s">
        <v>88</v>
      </c>
      <c r="D2" s="111" t="s">
        <v>89</v>
      </c>
      <c r="E2" s="111" t="s">
        <v>90</v>
      </c>
      <c r="F2" s="111" t="s">
        <v>91</v>
      </c>
      <c r="G2" s="111" t="s">
        <v>92</v>
      </c>
      <c r="H2" s="112" t="s">
        <v>93</v>
      </c>
      <c r="I2" s="112" t="s">
        <v>94</v>
      </c>
      <c r="J2" s="113" t="s">
        <v>95</v>
      </c>
      <c r="K2" s="112" t="s">
        <v>96</v>
      </c>
      <c r="L2" s="112" t="s">
        <v>97</v>
      </c>
      <c r="M2" s="112" t="s">
        <v>98</v>
      </c>
      <c r="N2" s="112" t="s">
        <v>99</v>
      </c>
      <c r="O2" s="112" t="s">
        <v>100</v>
      </c>
      <c r="P2" s="111" t="s">
        <v>101</v>
      </c>
      <c r="Q2" s="111" t="s">
        <v>102</v>
      </c>
      <c r="R2" s="111" t="s">
        <v>103</v>
      </c>
      <c r="S2" s="111" t="s">
        <v>104</v>
      </c>
      <c r="T2" s="111" t="s">
        <v>105</v>
      </c>
      <c r="U2" s="111"/>
      <c r="V2" s="111"/>
      <c r="W2" s="114" t="s">
        <v>106</v>
      </c>
      <c r="X2" s="4" t="s">
        <v>107</v>
      </c>
      <c r="Y2" s="4" t="s">
        <v>108</v>
      </c>
      <c r="Z2" s="115" t="s">
        <v>109</v>
      </c>
      <c r="AA2" s="116" t="s">
        <v>24</v>
      </c>
      <c r="AB2" s="116" t="s">
        <v>110</v>
      </c>
      <c r="AC2" s="1" t="s">
        <v>111</v>
      </c>
      <c r="AD2" s="117"/>
      <c r="AE2" s="117"/>
      <c r="AF2" s="117"/>
      <c r="AG2" s="117"/>
      <c r="AH2" s="117"/>
      <c r="AI2" s="117"/>
      <c r="AJ2" s="117"/>
    </row>
    <row r="3" ht="22.5" customHeight="1">
      <c r="A3" s="1">
        <v>608.0</v>
      </c>
      <c r="B3" s="4" t="s">
        <v>2</v>
      </c>
      <c r="C3" s="119"/>
      <c r="D3" s="120">
        <v>40000.0</v>
      </c>
      <c r="E3" s="120">
        <v>5000.0</v>
      </c>
      <c r="F3" s="120">
        <v>5000.0</v>
      </c>
      <c r="G3" s="120">
        <v>2000.0</v>
      </c>
      <c r="H3" s="120">
        <v>10000.0</v>
      </c>
      <c r="I3" s="120">
        <v>0.0</v>
      </c>
      <c r="J3" s="121">
        <v>-2618.0</v>
      </c>
      <c r="K3" s="122">
        <v>0.0</v>
      </c>
      <c r="L3" s="122">
        <v>0.0</v>
      </c>
      <c r="M3" s="120">
        <v>0.0</v>
      </c>
      <c r="N3" s="119"/>
      <c r="O3" s="119"/>
      <c r="P3" s="119"/>
      <c r="Q3" s="120">
        <v>3386.0</v>
      </c>
      <c r="R3" s="123"/>
      <c r="S3" s="123"/>
      <c r="T3" s="124">
        <v>16500.0</v>
      </c>
      <c r="U3" s="123"/>
      <c r="V3" s="123"/>
      <c r="W3" s="125">
        <f t="shared" ref="W3:W110" si="1">SUM(D3:V3)</f>
        <v>79268</v>
      </c>
      <c r="X3" s="126">
        <v>23872.0</v>
      </c>
      <c r="Y3" s="126"/>
      <c r="Z3" s="127">
        <f>SUM(W3:Y3)</f>
        <v>103140</v>
      </c>
      <c r="AA3" s="128"/>
      <c r="AB3" s="129" t="s">
        <v>112</v>
      </c>
      <c r="AC3" s="130">
        <f t="shared" ref="AC3:AC109" si="2">C3-M3</f>
        <v>0</v>
      </c>
    </row>
    <row r="4" ht="22.5" customHeight="1">
      <c r="A4" s="1">
        <v>703.0</v>
      </c>
      <c r="B4" s="4"/>
      <c r="C4" s="131"/>
      <c r="D4" s="119"/>
      <c r="E4" s="119"/>
      <c r="F4" s="119"/>
      <c r="G4" s="119"/>
      <c r="H4" s="119"/>
      <c r="I4" s="119"/>
      <c r="J4" s="121"/>
      <c r="K4" s="119"/>
      <c r="L4" s="119"/>
      <c r="M4" s="119"/>
      <c r="N4" s="119"/>
      <c r="O4" s="119"/>
      <c r="P4" s="119"/>
      <c r="Q4" s="119"/>
      <c r="R4" s="119"/>
      <c r="S4" s="119"/>
      <c r="T4" s="119">
        <v>0.0</v>
      </c>
      <c r="U4" s="119"/>
      <c r="V4" s="119"/>
      <c r="W4" s="125">
        <f t="shared" si="1"/>
        <v>0</v>
      </c>
      <c r="X4" s="126"/>
      <c r="Y4" s="126"/>
      <c r="Z4" s="127">
        <f t="shared" ref="Z4:Z109" si="3">SUM(D4:R4)</f>
        <v>0</v>
      </c>
      <c r="AA4" s="128"/>
      <c r="AB4" s="129" t="s">
        <v>112</v>
      </c>
      <c r="AC4" s="133">
        <f t="shared" si="2"/>
        <v>0</v>
      </c>
    </row>
    <row r="5" ht="22.5" customHeight="1">
      <c r="A5" s="1">
        <v>801.0</v>
      </c>
      <c r="B5" s="4" t="s">
        <v>10</v>
      </c>
      <c r="C5" s="131"/>
      <c r="D5" s="120">
        <v>40000.0</v>
      </c>
      <c r="E5" s="120">
        <v>5000.0</v>
      </c>
      <c r="F5" s="120">
        <v>5000.0</v>
      </c>
      <c r="G5" s="120">
        <v>2000.0</v>
      </c>
      <c r="H5" s="120">
        <v>10000.0</v>
      </c>
      <c r="I5" s="119">
        <v>41030.0</v>
      </c>
      <c r="J5" s="121">
        <v>-16546.0</v>
      </c>
      <c r="K5" s="119">
        <f>363*31</f>
        <v>11253</v>
      </c>
      <c r="L5" s="120">
        <f>73*31</f>
        <v>2263</v>
      </c>
      <c r="M5" s="119">
        <v>10000.0</v>
      </c>
      <c r="N5" s="119"/>
      <c r="O5" s="119"/>
      <c r="P5" s="119"/>
      <c r="Q5" s="119"/>
      <c r="R5" s="119"/>
      <c r="S5" s="119"/>
      <c r="T5" s="119">
        <v>0.0</v>
      </c>
      <c r="U5" s="119"/>
      <c r="V5" s="119"/>
      <c r="W5" s="125">
        <f t="shared" si="1"/>
        <v>110000</v>
      </c>
      <c r="X5" s="126"/>
      <c r="Y5" s="126"/>
      <c r="Z5" s="127">
        <f t="shared" si="3"/>
        <v>110000</v>
      </c>
      <c r="AA5" s="128" t="s">
        <v>121</v>
      </c>
      <c r="AB5" s="129" t="s">
        <v>112</v>
      </c>
      <c r="AC5" s="133">
        <f t="shared" si="2"/>
        <v>-10000</v>
      </c>
    </row>
    <row r="6" ht="22.5" customHeight="1">
      <c r="A6" s="1">
        <v>813.0</v>
      </c>
      <c r="B6" s="4"/>
      <c r="C6" s="131"/>
      <c r="D6" s="119"/>
      <c r="E6" s="119"/>
      <c r="F6" s="119"/>
      <c r="G6" s="119"/>
      <c r="H6" s="119"/>
      <c r="I6" s="119"/>
      <c r="J6" s="121"/>
      <c r="K6" s="119"/>
      <c r="L6" s="119"/>
      <c r="M6" s="119"/>
      <c r="N6" s="119"/>
      <c r="O6" s="119"/>
      <c r="P6" s="119"/>
      <c r="Q6" s="119"/>
      <c r="R6" s="119"/>
      <c r="S6" s="119"/>
      <c r="T6" s="119">
        <v>0.0</v>
      </c>
      <c r="U6" s="119"/>
      <c r="V6" s="119"/>
      <c r="W6" s="125">
        <f t="shared" si="1"/>
        <v>0</v>
      </c>
      <c r="X6" s="126"/>
      <c r="Y6" s="126"/>
      <c r="Z6" s="127">
        <f t="shared" si="3"/>
        <v>0</v>
      </c>
      <c r="AA6" s="128"/>
      <c r="AB6" s="129" t="s">
        <v>112</v>
      </c>
      <c r="AC6" s="133">
        <f t="shared" si="2"/>
        <v>0</v>
      </c>
    </row>
    <row r="7" ht="22.5" customHeight="1">
      <c r="A7" s="1">
        <v>906.0</v>
      </c>
      <c r="B7" s="4"/>
      <c r="C7" s="131"/>
      <c r="D7" s="119"/>
      <c r="E7" s="119"/>
      <c r="F7" s="119"/>
      <c r="G7" s="119"/>
      <c r="H7" s="119"/>
      <c r="I7" s="119"/>
      <c r="J7" s="121"/>
      <c r="K7" s="119"/>
      <c r="L7" s="119"/>
      <c r="M7" s="119"/>
      <c r="N7" s="119"/>
      <c r="O7" s="119"/>
      <c r="P7" s="119"/>
      <c r="Q7" s="119"/>
      <c r="R7" s="137"/>
      <c r="S7" s="137"/>
      <c r="T7" s="137"/>
      <c r="U7" s="137"/>
      <c r="V7" s="137"/>
      <c r="W7" s="125">
        <f t="shared" si="1"/>
        <v>0</v>
      </c>
      <c r="X7" s="138"/>
      <c r="Y7" s="138"/>
      <c r="Z7" s="127">
        <f t="shared" si="3"/>
        <v>0</v>
      </c>
      <c r="AA7" s="128"/>
      <c r="AB7" s="129" t="s">
        <v>112</v>
      </c>
      <c r="AC7" s="133">
        <f t="shared" si="2"/>
        <v>0</v>
      </c>
    </row>
    <row r="8" ht="22.5" customHeight="1">
      <c r="A8" s="1">
        <v>913.0</v>
      </c>
      <c r="B8" s="4" t="s">
        <v>117</v>
      </c>
      <c r="C8" s="131">
        <v>87000.0</v>
      </c>
      <c r="D8" s="120">
        <v>40000.0</v>
      </c>
      <c r="E8" s="120">
        <v>5000.0</v>
      </c>
      <c r="F8" s="120">
        <v>5000.0</v>
      </c>
      <c r="G8" s="120">
        <v>2000.0</v>
      </c>
      <c r="H8" s="120">
        <v>10000.0</v>
      </c>
      <c r="I8" s="119">
        <v>42130.0</v>
      </c>
      <c r="J8" s="121">
        <v>-17646.0</v>
      </c>
      <c r="K8" s="119">
        <f>363*31</f>
        <v>11253</v>
      </c>
      <c r="L8" s="119">
        <f t="shared" ref="L8:L9" si="4">73*31</f>
        <v>2263</v>
      </c>
      <c r="M8" s="119">
        <v>10000.0</v>
      </c>
      <c r="N8" s="119"/>
      <c r="O8" s="119"/>
      <c r="P8" s="119"/>
      <c r="Q8" s="119"/>
      <c r="R8" s="137"/>
      <c r="S8" s="137"/>
      <c r="T8" s="137"/>
      <c r="U8" s="137"/>
      <c r="V8" s="137"/>
      <c r="W8" s="125">
        <f t="shared" si="1"/>
        <v>110000</v>
      </c>
      <c r="X8" s="138"/>
      <c r="Y8" s="138"/>
      <c r="Z8" s="127">
        <f t="shared" si="3"/>
        <v>110000</v>
      </c>
      <c r="AA8" s="128" t="s">
        <v>118</v>
      </c>
      <c r="AB8" s="129" t="s">
        <v>112</v>
      </c>
      <c r="AC8" s="133">
        <f t="shared" si="2"/>
        <v>77000</v>
      </c>
    </row>
    <row r="9" ht="22.5" customHeight="1">
      <c r="A9" s="1">
        <v>915.0</v>
      </c>
      <c r="B9" s="4" t="s">
        <v>7</v>
      </c>
      <c r="C9" s="131">
        <v>150000.0</v>
      </c>
      <c r="D9" s="120">
        <v>40000.0</v>
      </c>
      <c r="E9" s="120">
        <v>5000.0</v>
      </c>
      <c r="F9" s="120">
        <v>5000.0</v>
      </c>
      <c r="G9" s="120">
        <v>2000.0</v>
      </c>
      <c r="H9" s="120">
        <v>10000.0</v>
      </c>
      <c r="I9" s="119">
        <v>44330.0</v>
      </c>
      <c r="J9" s="121"/>
      <c r="K9" s="119">
        <f>242*31</f>
        <v>7502</v>
      </c>
      <c r="L9" s="119">
        <f t="shared" si="4"/>
        <v>2263</v>
      </c>
      <c r="M9" s="119">
        <v>10000.0</v>
      </c>
      <c r="N9" s="119"/>
      <c r="O9" s="119"/>
      <c r="P9" s="119"/>
      <c r="Q9" s="119"/>
      <c r="R9" s="119"/>
      <c r="S9" s="119"/>
      <c r="T9" s="119">
        <v>0.0</v>
      </c>
      <c r="U9" s="119"/>
      <c r="V9" s="119"/>
      <c r="W9" s="125">
        <f t="shared" si="1"/>
        <v>126095</v>
      </c>
      <c r="X9" s="126"/>
      <c r="Y9" s="126"/>
      <c r="Z9" s="127">
        <f t="shared" si="3"/>
        <v>126095</v>
      </c>
      <c r="AA9" s="128"/>
      <c r="AB9" s="129" t="s">
        <v>112</v>
      </c>
      <c r="AC9" s="133">
        <f t="shared" si="2"/>
        <v>140000</v>
      </c>
    </row>
    <row r="10" ht="22.5" customHeight="1">
      <c r="A10" s="1">
        <v>1005.0</v>
      </c>
      <c r="B10" s="4"/>
      <c r="C10" s="131"/>
      <c r="D10" s="120"/>
      <c r="E10" s="120"/>
      <c r="F10" s="120"/>
      <c r="G10" s="120"/>
      <c r="H10" s="120"/>
      <c r="I10" s="119"/>
      <c r="J10" s="121"/>
      <c r="K10" s="119"/>
      <c r="L10" s="119"/>
      <c r="M10" s="119"/>
      <c r="N10" s="119"/>
      <c r="O10" s="119"/>
      <c r="P10" s="119"/>
      <c r="Q10" s="119"/>
      <c r="R10" s="119"/>
      <c r="S10" s="119"/>
      <c r="T10" s="119">
        <v>0.0</v>
      </c>
      <c r="U10" s="119"/>
      <c r="V10" s="119"/>
      <c r="W10" s="125">
        <f t="shared" si="1"/>
        <v>0</v>
      </c>
      <c r="X10" s="140"/>
      <c r="Y10" s="140"/>
      <c r="Z10" s="127">
        <f t="shared" si="3"/>
        <v>0</v>
      </c>
      <c r="AA10" s="128" t="s">
        <v>119</v>
      </c>
      <c r="AB10" s="129" t="s">
        <v>112</v>
      </c>
      <c r="AC10" s="133">
        <f t="shared" si="2"/>
        <v>0</v>
      </c>
    </row>
    <row r="11" ht="22.5" customHeight="1">
      <c r="A11" s="1">
        <v>1006.0</v>
      </c>
      <c r="B11" s="4" t="s">
        <v>8</v>
      </c>
      <c r="C11" s="131">
        <v>160000.0</v>
      </c>
      <c r="D11" s="120">
        <v>40000.0</v>
      </c>
      <c r="E11" s="120">
        <v>5000.0</v>
      </c>
      <c r="F11" s="120">
        <v>5000.0</v>
      </c>
      <c r="G11" s="120">
        <v>2000.0</v>
      </c>
      <c r="H11" s="120">
        <v>10000.0</v>
      </c>
      <c r="I11" s="119">
        <v>4400.0</v>
      </c>
      <c r="J11" s="121"/>
      <c r="K11" s="152">
        <v>0.0</v>
      </c>
      <c r="L11" s="152">
        <v>0.0</v>
      </c>
      <c r="M11" s="136">
        <v>10000.0</v>
      </c>
      <c r="N11" s="119">
        <v>1500.0</v>
      </c>
      <c r="O11" s="119"/>
      <c r="P11" s="119"/>
      <c r="Q11" s="119"/>
      <c r="R11" s="119"/>
      <c r="S11" s="119"/>
      <c r="T11" s="119">
        <v>0.0</v>
      </c>
      <c r="U11" s="119"/>
      <c r="V11" s="119"/>
      <c r="W11" s="125">
        <f t="shared" si="1"/>
        <v>77900</v>
      </c>
      <c r="X11" s="126"/>
      <c r="Y11" s="126"/>
      <c r="Z11" s="127">
        <f t="shared" si="3"/>
        <v>77900</v>
      </c>
      <c r="AA11" s="128"/>
      <c r="AB11" s="129" t="s">
        <v>112</v>
      </c>
      <c r="AC11" s="133">
        <f t="shared" si="2"/>
        <v>150000</v>
      </c>
    </row>
    <row r="12" ht="22.5" customHeight="1">
      <c r="A12" s="1">
        <v>1012.0</v>
      </c>
      <c r="B12" s="4"/>
      <c r="C12" s="131"/>
      <c r="D12" s="120"/>
      <c r="E12" s="120"/>
      <c r="F12" s="120"/>
      <c r="G12" s="120"/>
      <c r="H12" s="120"/>
      <c r="I12" s="119"/>
      <c r="J12" s="121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25">
        <f t="shared" si="1"/>
        <v>0</v>
      </c>
      <c r="X12" s="140"/>
      <c r="Y12" s="140"/>
      <c r="Z12" s="127">
        <f t="shared" si="3"/>
        <v>0</v>
      </c>
      <c r="AA12" s="128" t="s">
        <v>122</v>
      </c>
      <c r="AB12" s="129" t="s">
        <v>112</v>
      </c>
      <c r="AC12" s="133">
        <f t="shared" si="2"/>
        <v>0</v>
      </c>
    </row>
    <row r="13" ht="22.5" customHeight="1">
      <c r="A13" s="1"/>
      <c r="B13" s="4"/>
      <c r="C13" s="131"/>
      <c r="D13" s="119"/>
      <c r="E13" s="119"/>
      <c r="F13" s="119"/>
      <c r="G13" s="119"/>
      <c r="H13" s="119"/>
      <c r="I13" s="119"/>
      <c r="J13" s="121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25">
        <f t="shared" si="1"/>
        <v>0</v>
      </c>
      <c r="X13" s="140"/>
      <c r="Y13" s="140"/>
      <c r="Z13" s="127">
        <f t="shared" si="3"/>
        <v>0</v>
      </c>
      <c r="AA13" s="128"/>
      <c r="AB13" s="129" t="s">
        <v>112</v>
      </c>
      <c r="AC13" s="133">
        <f t="shared" si="2"/>
        <v>0</v>
      </c>
    </row>
    <row r="14" ht="22.5" customHeight="1">
      <c r="A14" s="1"/>
      <c r="B14" s="4"/>
      <c r="C14" s="131"/>
      <c r="D14" s="119"/>
      <c r="E14" s="119"/>
      <c r="F14" s="119"/>
      <c r="G14" s="119"/>
      <c r="H14" s="119"/>
      <c r="I14" s="119"/>
      <c r="J14" s="121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25">
        <f t="shared" si="1"/>
        <v>0</v>
      </c>
      <c r="X14" s="119"/>
      <c r="Y14" s="119"/>
      <c r="Z14" s="127">
        <f t="shared" si="3"/>
        <v>0</v>
      </c>
      <c r="AA14" s="141"/>
      <c r="AB14" s="142"/>
      <c r="AC14" s="133">
        <f t="shared" si="2"/>
        <v>0</v>
      </c>
      <c r="AD14" s="142"/>
      <c r="AE14" s="142"/>
      <c r="AF14" s="142"/>
      <c r="AG14" s="142"/>
      <c r="AH14" s="142"/>
      <c r="AI14" s="142"/>
      <c r="AJ14" s="142"/>
    </row>
    <row r="15" ht="22.5" customHeight="1">
      <c r="A15" s="4"/>
      <c r="B15" s="4"/>
      <c r="C15" s="131"/>
      <c r="D15" s="119"/>
      <c r="E15" s="119"/>
      <c r="F15" s="119"/>
      <c r="G15" s="119"/>
      <c r="H15" s="119"/>
      <c r="I15" s="119"/>
      <c r="J15" s="121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25">
        <f t="shared" si="1"/>
        <v>0</v>
      </c>
      <c r="X15" s="119"/>
      <c r="Y15" s="119"/>
      <c r="Z15" s="127">
        <f t="shared" si="3"/>
        <v>0</v>
      </c>
      <c r="AA15" s="141"/>
      <c r="AB15" s="142"/>
      <c r="AC15" s="133">
        <f t="shared" si="2"/>
        <v>0</v>
      </c>
      <c r="AD15" s="142"/>
      <c r="AE15" s="142"/>
      <c r="AF15" s="142"/>
      <c r="AG15" s="142"/>
      <c r="AH15" s="142"/>
      <c r="AI15" s="142"/>
      <c r="AJ15" s="142"/>
    </row>
    <row r="16" ht="22.5" customHeight="1">
      <c r="A16" s="4"/>
      <c r="B16" s="4"/>
      <c r="C16" s="131"/>
      <c r="D16" s="119"/>
      <c r="E16" s="119"/>
      <c r="F16" s="119"/>
      <c r="G16" s="119"/>
      <c r="H16" s="119"/>
      <c r="I16" s="119"/>
      <c r="J16" s="121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25">
        <f t="shared" si="1"/>
        <v>0</v>
      </c>
      <c r="X16" s="119"/>
      <c r="Y16" s="119"/>
      <c r="Z16" s="127">
        <f t="shared" si="3"/>
        <v>0</v>
      </c>
      <c r="AA16" s="141"/>
      <c r="AB16" s="142"/>
      <c r="AC16" s="133">
        <f t="shared" si="2"/>
        <v>0</v>
      </c>
      <c r="AD16" s="142"/>
      <c r="AE16" s="142"/>
      <c r="AF16" s="142"/>
      <c r="AG16" s="142"/>
      <c r="AH16" s="142"/>
      <c r="AI16" s="142"/>
      <c r="AJ16" s="142"/>
    </row>
    <row r="17" ht="22.5" customHeight="1">
      <c r="A17" s="4"/>
      <c r="B17" s="4"/>
      <c r="C17" s="131"/>
      <c r="D17" s="119"/>
      <c r="E17" s="119"/>
      <c r="F17" s="119"/>
      <c r="G17" s="119"/>
      <c r="H17" s="119"/>
      <c r="I17" s="119"/>
      <c r="J17" s="121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25">
        <f t="shared" si="1"/>
        <v>0</v>
      </c>
      <c r="X17" s="119"/>
      <c r="Y17" s="119"/>
      <c r="Z17" s="127">
        <f t="shared" si="3"/>
        <v>0</v>
      </c>
      <c r="AA17" s="141"/>
      <c r="AB17" s="142"/>
      <c r="AC17" s="133">
        <f t="shared" si="2"/>
        <v>0</v>
      </c>
      <c r="AD17" s="142"/>
      <c r="AE17" s="142"/>
      <c r="AF17" s="142"/>
      <c r="AG17" s="142"/>
      <c r="AH17" s="142"/>
      <c r="AI17" s="142"/>
      <c r="AJ17" s="142"/>
    </row>
    <row r="18" ht="22.5" customHeight="1">
      <c r="A18" s="4"/>
      <c r="B18" s="4"/>
      <c r="C18" s="131"/>
      <c r="D18" s="119"/>
      <c r="E18" s="119"/>
      <c r="F18" s="119"/>
      <c r="G18" s="119"/>
      <c r="H18" s="119"/>
      <c r="I18" s="119"/>
      <c r="J18" s="121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25">
        <f t="shared" si="1"/>
        <v>0</v>
      </c>
      <c r="X18" s="119"/>
      <c r="Y18" s="119"/>
      <c r="Z18" s="127">
        <f t="shared" si="3"/>
        <v>0</v>
      </c>
      <c r="AA18" s="141"/>
      <c r="AB18" s="142"/>
      <c r="AC18" s="133">
        <f t="shared" si="2"/>
        <v>0</v>
      </c>
      <c r="AD18" s="142"/>
      <c r="AE18" s="142"/>
      <c r="AF18" s="142"/>
      <c r="AG18" s="142"/>
      <c r="AH18" s="142"/>
      <c r="AI18" s="142"/>
      <c r="AJ18" s="142"/>
    </row>
    <row r="19" ht="22.5" customHeight="1">
      <c r="A19" s="4"/>
      <c r="B19" s="4"/>
      <c r="C19" s="131"/>
      <c r="D19" s="119"/>
      <c r="E19" s="119"/>
      <c r="F19" s="119"/>
      <c r="G19" s="119"/>
      <c r="H19" s="119"/>
      <c r="I19" s="119"/>
      <c r="J19" s="121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25">
        <f t="shared" si="1"/>
        <v>0</v>
      </c>
      <c r="X19" s="119"/>
      <c r="Y19" s="119"/>
      <c r="Z19" s="127">
        <f t="shared" si="3"/>
        <v>0</v>
      </c>
      <c r="AA19" s="141"/>
      <c r="AB19" s="142"/>
      <c r="AC19" s="133">
        <f t="shared" si="2"/>
        <v>0</v>
      </c>
      <c r="AD19" s="142"/>
      <c r="AE19" s="142"/>
      <c r="AF19" s="142"/>
      <c r="AG19" s="142"/>
      <c r="AH19" s="142"/>
      <c r="AI19" s="142"/>
      <c r="AJ19" s="142"/>
    </row>
    <row r="20" ht="22.5" customHeight="1">
      <c r="A20" s="4"/>
      <c r="B20" s="4"/>
      <c r="C20" s="131"/>
      <c r="D20" s="119"/>
      <c r="E20" s="119"/>
      <c r="F20" s="119"/>
      <c r="G20" s="119"/>
      <c r="H20" s="119"/>
      <c r="I20" s="119"/>
      <c r="J20" s="121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25">
        <f t="shared" si="1"/>
        <v>0</v>
      </c>
      <c r="X20" s="119"/>
      <c r="Y20" s="119"/>
      <c r="Z20" s="127">
        <f t="shared" si="3"/>
        <v>0</v>
      </c>
      <c r="AA20" s="141"/>
      <c r="AB20" s="142"/>
      <c r="AC20" s="133">
        <f t="shared" si="2"/>
        <v>0</v>
      </c>
      <c r="AD20" s="142"/>
      <c r="AE20" s="142"/>
      <c r="AF20" s="142"/>
      <c r="AG20" s="142"/>
      <c r="AH20" s="142"/>
      <c r="AI20" s="142"/>
      <c r="AJ20" s="142"/>
    </row>
    <row r="21" ht="22.5" customHeight="1">
      <c r="A21" s="4"/>
      <c r="B21" s="4"/>
      <c r="C21" s="131"/>
      <c r="D21" s="119"/>
      <c r="E21" s="119"/>
      <c r="F21" s="119"/>
      <c r="G21" s="119"/>
      <c r="H21" s="119"/>
      <c r="I21" s="119"/>
      <c r="J21" s="121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25">
        <f t="shared" si="1"/>
        <v>0</v>
      </c>
      <c r="X21" s="119"/>
      <c r="Y21" s="119"/>
      <c r="Z21" s="127">
        <f t="shared" si="3"/>
        <v>0</v>
      </c>
      <c r="AA21" s="141"/>
      <c r="AB21" s="142"/>
      <c r="AC21" s="133">
        <f t="shared" si="2"/>
        <v>0</v>
      </c>
      <c r="AD21" s="142"/>
      <c r="AE21" s="142"/>
      <c r="AF21" s="142"/>
      <c r="AG21" s="142"/>
      <c r="AH21" s="142"/>
      <c r="AI21" s="142"/>
      <c r="AJ21" s="142"/>
    </row>
    <row r="22" ht="22.5" hidden="1" customHeight="1">
      <c r="A22" s="4"/>
      <c r="B22" s="4"/>
      <c r="C22" s="131"/>
      <c r="D22" s="119"/>
      <c r="E22" s="119"/>
      <c r="F22" s="119"/>
      <c r="G22" s="119"/>
      <c r="H22" s="119"/>
      <c r="I22" s="119"/>
      <c r="J22" s="121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25">
        <f t="shared" si="1"/>
        <v>0</v>
      </c>
      <c r="X22" s="119"/>
      <c r="Y22" s="119"/>
      <c r="Z22" s="127">
        <f t="shared" si="3"/>
        <v>0</v>
      </c>
      <c r="AA22" s="141"/>
      <c r="AB22" s="142"/>
      <c r="AC22" s="133">
        <f t="shared" si="2"/>
        <v>0</v>
      </c>
      <c r="AD22" s="142"/>
      <c r="AE22" s="142"/>
      <c r="AF22" s="142"/>
      <c r="AG22" s="142"/>
      <c r="AH22" s="142"/>
      <c r="AI22" s="142"/>
      <c r="AJ22" s="142"/>
    </row>
    <row r="23" ht="22.5" hidden="1" customHeight="1">
      <c r="A23" s="4"/>
      <c r="B23" s="4"/>
      <c r="C23" s="131"/>
      <c r="D23" s="119"/>
      <c r="E23" s="119"/>
      <c r="F23" s="119"/>
      <c r="G23" s="119"/>
      <c r="H23" s="119"/>
      <c r="I23" s="119"/>
      <c r="J23" s="121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25">
        <f t="shared" si="1"/>
        <v>0</v>
      </c>
      <c r="X23" s="119"/>
      <c r="Y23" s="119"/>
      <c r="Z23" s="127">
        <f t="shared" si="3"/>
        <v>0</v>
      </c>
      <c r="AA23" s="141"/>
      <c r="AB23" s="142"/>
      <c r="AC23" s="133">
        <f t="shared" si="2"/>
        <v>0</v>
      </c>
      <c r="AD23" s="142"/>
      <c r="AE23" s="142"/>
      <c r="AF23" s="142"/>
      <c r="AG23" s="142"/>
      <c r="AH23" s="142"/>
      <c r="AI23" s="142"/>
      <c r="AJ23" s="142"/>
    </row>
    <row r="24" ht="22.5" hidden="1" customHeight="1">
      <c r="A24" s="4"/>
      <c r="B24" s="4"/>
      <c r="C24" s="131"/>
      <c r="D24" s="119"/>
      <c r="E24" s="119"/>
      <c r="F24" s="119"/>
      <c r="G24" s="119"/>
      <c r="H24" s="119"/>
      <c r="I24" s="119"/>
      <c r="J24" s="121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25">
        <f t="shared" si="1"/>
        <v>0</v>
      </c>
      <c r="X24" s="119"/>
      <c r="Y24" s="119"/>
      <c r="Z24" s="127">
        <f t="shared" si="3"/>
        <v>0</v>
      </c>
      <c r="AA24" s="141"/>
      <c r="AB24" s="142"/>
      <c r="AC24" s="133">
        <f t="shared" si="2"/>
        <v>0</v>
      </c>
      <c r="AD24" s="142"/>
      <c r="AE24" s="142"/>
      <c r="AF24" s="142"/>
      <c r="AG24" s="142"/>
      <c r="AH24" s="142"/>
      <c r="AI24" s="142"/>
      <c r="AJ24" s="142"/>
    </row>
    <row r="25" ht="22.5" hidden="1" customHeight="1">
      <c r="A25" s="4"/>
      <c r="B25" s="4"/>
      <c r="C25" s="131"/>
      <c r="D25" s="119"/>
      <c r="E25" s="119"/>
      <c r="F25" s="119"/>
      <c r="G25" s="119"/>
      <c r="H25" s="119"/>
      <c r="I25" s="119"/>
      <c r="J25" s="121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25">
        <f t="shared" si="1"/>
        <v>0</v>
      </c>
      <c r="X25" s="119"/>
      <c r="Y25" s="119"/>
      <c r="Z25" s="127">
        <f t="shared" si="3"/>
        <v>0</v>
      </c>
      <c r="AA25" s="141"/>
      <c r="AB25" s="142"/>
      <c r="AC25" s="133">
        <f t="shared" si="2"/>
        <v>0</v>
      </c>
      <c r="AD25" s="142"/>
      <c r="AE25" s="142"/>
      <c r="AF25" s="142"/>
      <c r="AG25" s="142"/>
      <c r="AH25" s="142"/>
      <c r="AI25" s="142"/>
      <c r="AJ25" s="142"/>
    </row>
    <row r="26" ht="22.5" hidden="1" customHeight="1">
      <c r="A26" s="4"/>
      <c r="B26" s="4"/>
      <c r="C26" s="131"/>
      <c r="D26" s="119"/>
      <c r="E26" s="119"/>
      <c r="F26" s="119"/>
      <c r="G26" s="119"/>
      <c r="H26" s="119"/>
      <c r="I26" s="119"/>
      <c r="J26" s="121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25">
        <f t="shared" si="1"/>
        <v>0</v>
      </c>
      <c r="X26" s="119"/>
      <c r="Y26" s="119"/>
      <c r="Z26" s="127">
        <f t="shared" si="3"/>
        <v>0</v>
      </c>
      <c r="AA26" s="141"/>
      <c r="AB26" s="142"/>
      <c r="AC26" s="133">
        <f t="shared" si="2"/>
        <v>0</v>
      </c>
      <c r="AD26" s="142"/>
      <c r="AE26" s="142"/>
      <c r="AF26" s="142"/>
      <c r="AG26" s="142"/>
      <c r="AH26" s="142"/>
      <c r="AI26" s="142"/>
      <c r="AJ26" s="142"/>
    </row>
    <row r="27" ht="22.5" hidden="1" customHeight="1">
      <c r="A27" s="4"/>
      <c r="B27" s="4"/>
      <c r="C27" s="131"/>
      <c r="D27" s="119"/>
      <c r="E27" s="119"/>
      <c r="F27" s="119"/>
      <c r="G27" s="119"/>
      <c r="H27" s="119"/>
      <c r="I27" s="119"/>
      <c r="J27" s="121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25">
        <f t="shared" si="1"/>
        <v>0</v>
      </c>
      <c r="X27" s="119"/>
      <c r="Y27" s="119"/>
      <c r="Z27" s="127">
        <f t="shared" si="3"/>
        <v>0</v>
      </c>
      <c r="AA27" s="141"/>
      <c r="AB27" s="142"/>
      <c r="AC27" s="133">
        <f t="shared" si="2"/>
        <v>0</v>
      </c>
      <c r="AD27" s="142"/>
      <c r="AE27" s="142"/>
      <c r="AF27" s="142"/>
      <c r="AG27" s="142"/>
      <c r="AH27" s="142"/>
      <c r="AI27" s="142"/>
      <c r="AJ27" s="142"/>
    </row>
    <row r="28" ht="22.5" hidden="1" customHeight="1">
      <c r="A28" s="4"/>
      <c r="B28" s="4"/>
      <c r="C28" s="131"/>
      <c r="D28" s="119"/>
      <c r="E28" s="119"/>
      <c r="F28" s="119"/>
      <c r="G28" s="119"/>
      <c r="H28" s="119"/>
      <c r="I28" s="119"/>
      <c r="J28" s="121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25">
        <f t="shared" si="1"/>
        <v>0</v>
      </c>
      <c r="X28" s="119"/>
      <c r="Y28" s="119"/>
      <c r="Z28" s="127">
        <f t="shared" si="3"/>
        <v>0</v>
      </c>
      <c r="AA28" s="141"/>
      <c r="AB28" s="142"/>
      <c r="AC28" s="133">
        <f t="shared" si="2"/>
        <v>0</v>
      </c>
      <c r="AD28" s="142"/>
      <c r="AE28" s="142"/>
      <c r="AF28" s="142"/>
      <c r="AG28" s="142"/>
      <c r="AH28" s="142"/>
      <c r="AI28" s="142"/>
      <c r="AJ28" s="142"/>
    </row>
    <row r="29" ht="22.5" hidden="1" customHeight="1">
      <c r="A29" s="4"/>
      <c r="B29" s="4"/>
      <c r="C29" s="131"/>
      <c r="D29" s="119"/>
      <c r="E29" s="119"/>
      <c r="F29" s="119"/>
      <c r="G29" s="119"/>
      <c r="H29" s="119"/>
      <c r="I29" s="119"/>
      <c r="J29" s="121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25">
        <f t="shared" si="1"/>
        <v>0</v>
      </c>
      <c r="X29" s="119"/>
      <c r="Y29" s="119"/>
      <c r="Z29" s="127">
        <f t="shared" si="3"/>
        <v>0</v>
      </c>
      <c r="AA29" s="141"/>
      <c r="AB29" s="142"/>
      <c r="AC29" s="133">
        <f t="shared" si="2"/>
        <v>0</v>
      </c>
      <c r="AD29" s="142"/>
      <c r="AE29" s="142"/>
      <c r="AF29" s="142"/>
      <c r="AG29" s="142"/>
      <c r="AH29" s="142"/>
      <c r="AI29" s="142"/>
      <c r="AJ29" s="142"/>
    </row>
    <row r="30" ht="22.5" hidden="1" customHeight="1">
      <c r="A30" s="4"/>
      <c r="B30" s="4"/>
      <c r="C30" s="131"/>
      <c r="D30" s="119"/>
      <c r="E30" s="119"/>
      <c r="F30" s="119"/>
      <c r="G30" s="119"/>
      <c r="H30" s="119"/>
      <c r="I30" s="119"/>
      <c r="J30" s="121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25">
        <f t="shared" si="1"/>
        <v>0</v>
      </c>
      <c r="X30" s="119"/>
      <c r="Y30" s="119"/>
      <c r="Z30" s="127">
        <f t="shared" si="3"/>
        <v>0</v>
      </c>
      <c r="AA30" s="141"/>
      <c r="AB30" s="142"/>
      <c r="AC30" s="133">
        <f t="shared" si="2"/>
        <v>0</v>
      </c>
      <c r="AD30" s="142"/>
      <c r="AE30" s="142"/>
      <c r="AF30" s="142"/>
      <c r="AG30" s="142"/>
      <c r="AH30" s="142"/>
      <c r="AI30" s="142"/>
      <c r="AJ30" s="142"/>
    </row>
    <row r="31" ht="22.5" hidden="1" customHeight="1">
      <c r="A31" s="4"/>
      <c r="B31" s="4"/>
      <c r="C31" s="131"/>
      <c r="D31" s="119"/>
      <c r="E31" s="119"/>
      <c r="F31" s="119"/>
      <c r="G31" s="119"/>
      <c r="H31" s="119"/>
      <c r="I31" s="119"/>
      <c r="J31" s="121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25">
        <f t="shared" si="1"/>
        <v>0</v>
      </c>
      <c r="X31" s="119"/>
      <c r="Y31" s="119"/>
      <c r="Z31" s="127">
        <f t="shared" si="3"/>
        <v>0</v>
      </c>
      <c r="AA31" s="141"/>
      <c r="AB31" s="142"/>
      <c r="AC31" s="133">
        <f t="shared" si="2"/>
        <v>0</v>
      </c>
      <c r="AD31" s="142"/>
      <c r="AE31" s="142"/>
      <c r="AF31" s="142"/>
      <c r="AG31" s="142"/>
      <c r="AH31" s="142"/>
      <c r="AI31" s="142"/>
      <c r="AJ31" s="142"/>
    </row>
    <row r="32" ht="22.5" hidden="1" customHeight="1">
      <c r="A32" s="4"/>
      <c r="B32" s="4"/>
      <c r="C32" s="131"/>
      <c r="D32" s="119"/>
      <c r="E32" s="119"/>
      <c r="F32" s="119"/>
      <c r="G32" s="119"/>
      <c r="H32" s="119"/>
      <c r="I32" s="119"/>
      <c r="J32" s="121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25">
        <f t="shared" si="1"/>
        <v>0</v>
      </c>
      <c r="X32" s="119"/>
      <c r="Y32" s="119"/>
      <c r="Z32" s="127">
        <f t="shared" si="3"/>
        <v>0</v>
      </c>
      <c r="AA32" s="141"/>
      <c r="AB32" s="142"/>
      <c r="AC32" s="133">
        <f t="shared" si="2"/>
        <v>0</v>
      </c>
      <c r="AD32" s="142"/>
      <c r="AE32" s="142"/>
      <c r="AF32" s="142"/>
      <c r="AG32" s="142"/>
      <c r="AH32" s="142"/>
      <c r="AI32" s="142"/>
      <c r="AJ32" s="142"/>
    </row>
    <row r="33" ht="22.5" hidden="1" customHeight="1">
      <c r="A33" s="4"/>
      <c r="B33" s="4"/>
      <c r="C33" s="131"/>
      <c r="D33" s="119"/>
      <c r="E33" s="119"/>
      <c r="F33" s="119"/>
      <c r="G33" s="119"/>
      <c r="H33" s="119"/>
      <c r="I33" s="119"/>
      <c r="J33" s="121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25">
        <f t="shared" si="1"/>
        <v>0</v>
      </c>
      <c r="X33" s="119"/>
      <c r="Y33" s="119"/>
      <c r="Z33" s="127">
        <f t="shared" si="3"/>
        <v>0</v>
      </c>
      <c r="AA33" s="141"/>
      <c r="AB33" s="142"/>
      <c r="AC33" s="133">
        <f t="shared" si="2"/>
        <v>0</v>
      </c>
      <c r="AD33" s="142"/>
      <c r="AE33" s="142"/>
      <c r="AF33" s="142"/>
      <c r="AG33" s="142"/>
      <c r="AH33" s="142"/>
      <c r="AI33" s="142"/>
      <c r="AJ33" s="142"/>
    </row>
    <row r="34" ht="22.5" hidden="1" customHeight="1">
      <c r="A34" s="4"/>
      <c r="B34" s="4"/>
      <c r="C34" s="131"/>
      <c r="D34" s="119"/>
      <c r="E34" s="119"/>
      <c r="F34" s="119"/>
      <c r="G34" s="119"/>
      <c r="H34" s="119"/>
      <c r="I34" s="119"/>
      <c r="J34" s="121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25">
        <f t="shared" si="1"/>
        <v>0</v>
      </c>
      <c r="X34" s="119"/>
      <c r="Y34" s="119"/>
      <c r="Z34" s="127">
        <f t="shared" si="3"/>
        <v>0</v>
      </c>
      <c r="AA34" s="141"/>
      <c r="AB34" s="142"/>
      <c r="AC34" s="133">
        <f t="shared" si="2"/>
        <v>0</v>
      </c>
      <c r="AD34" s="142"/>
      <c r="AE34" s="142"/>
      <c r="AF34" s="142"/>
      <c r="AG34" s="142"/>
      <c r="AH34" s="142"/>
      <c r="AI34" s="142"/>
      <c r="AJ34" s="142"/>
    </row>
    <row r="35" ht="22.5" hidden="1" customHeight="1">
      <c r="A35" s="4"/>
      <c r="B35" s="4"/>
      <c r="C35" s="131"/>
      <c r="D35" s="119"/>
      <c r="E35" s="119"/>
      <c r="F35" s="119"/>
      <c r="G35" s="119"/>
      <c r="H35" s="119"/>
      <c r="I35" s="119"/>
      <c r="J35" s="121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25">
        <f t="shared" si="1"/>
        <v>0</v>
      </c>
      <c r="X35" s="119"/>
      <c r="Y35" s="119"/>
      <c r="Z35" s="127">
        <f t="shared" si="3"/>
        <v>0</v>
      </c>
      <c r="AA35" s="141"/>
      <c r="AB35" s="142"/>
      <c r="AC35" s="133">
        <f t="shared" si="2"/>
        <v>0</v>
      </c>
      <c r="AD35" s="142"/>
      <c r="AE35" s="142"/>
      <c r="AF35" s="142"/>
      <c r="AG35" s="142"/>
      <c r="AH35" s="142"/>
      <c r="AI35" s="142"/>
      <c r="AJ35" s="142"/>
    </row>
    <row r="36" ht="22.5" hidden="1" customHeight="1">
      <c r="A36" s="4"/>
      <c r="B36" s="4"/>
      <c r="C36" s="131"/>
      <c r="D36" s="119"/>
      <c r="E36" s="119"/>
      <c r="F36" s="119"/>
      <c r="G36" s="119"/>
      <c r="H36" s="119"/>
      <c r="I36" s="119"/>
      <c r="J36" s="121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25">
        <f t="shared" si="1"/>
        <v>0</v>
      </c>
      <c r="X36" s="119"/>
      <c r="Y36" s="119"/>
      <c r="Z36" s="127">
        <f t="shared" si="3"/>
        <v>0</v>
      </c>
      <c r="AA36" s="141"/>
      <c r="AB36" s="142"/>
      <c r="AC36" s="133">
        <f t="shared" si="2"/>
        <v>0</v>
      </c>
      <c r="AD36" s="142"/>
      <c r="AE36" s="142"/>
      <c r="AF36" s="142"/>
      <c r="AG36" s="142"/>
      <c r="AH36" s="142"/>
      <c r="AI36" s="142"/>
      <c r="AJ36" s="142"/>
    </row>
    <row r="37" ht="22.5" hidden="1" customHeight="1">
      <c r="A37" s="4"/>
      <c r="B37" s="4"/>
      <c r="C37" s="131"/>
      <c r="D37" s="119"/>
      <c r="E37" s="119"/>
      <c r="F37" s="119"/>
      <c r="G37" s="119"/>
      <c r="H37" s="119"/>
      <c r="I37" s="119"/>
      <c r="J37" s="121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25">
        <f t="shared" si="1"/>
        <v>0</v>
      </c>
      <c r="X37" s="119"/>
      <c r="Y37" s="119"/>
      <c r="Z37" s="127">
        <f t="shared" si="3"/>
        <v>0</v>
      </c>
      <c r="AA37" s="141"/>
      <c r="AB37" s="142"/>
      <c r="AC37" s="133">
        <f t="shared" si="2"/>
        <v>0</v>
      </c>
      <c r="AD37" s="142"/>
      <c r="AE37" s="142"/>
      <c r="AF37" s="142"/>
      <c r="AG37" s="142"/>
      <c r="AH37" s="142"/>
      <c r="AI37" s="142"/>
      <c r="AJ37" s="142"/>
    </row>
    <row r="38" ht="22.5" hidden="1" customHeight="1">
      <c r="A38" s="4"/>
      <c r="B38" s="4"/>
      <c r="C38" s="131"/>
      <c r="D38" s="119"/>
      <c r="E38" s="119"/>
      <c r="F38" s="119"/>
      <c r="G38" s="119"/>
      <c r="H38" s="119"/>
      <c r="I38" s="119"/>
      <c r="J38" s="121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25">
        <f t="shared" si="1"/>
        <v>0</v>
      </c>
      <c r="X38" s="119"/>
      <c r="Y38" s="119"/>
      <c r="Z38" s="127">
        <f t="shared" si="3"/>
        <v>0</v>
      </c>
      <c r="AA38" s="141"/>
      <c r="AB38" s="142"/>
      <c r="AC38" s="133">
        <f t="shared" si="2"/>
        <v>0</v>
      </c>
      <c r="AD38" s="142"/>
      <c r="AE38" s="142"/>
      <c r="AF38" s="142"/>
      <c r="AG38" s="142"/>
      <c r="AH38" s="142"/>
      <c r="AI38" s="142"/>
      <c r="AJ38" s="142"/>
    </row>
    <row r="39" ht="22.5" hidden="1" customHeight="1">
      <c r="A39" s="4"/>
      <c r="B39" s="4"/>
      <c r="C39" s="131"/>
      <c r="D39" s="119"/>
      <c r="E39" s="119"/>
      <c r="F39" s="119"/>
      <c r="G39" s="119"/>
      <c r="H39" s="119"/>
      <c r="I39" s="119"/>
      <c r="J39" s="121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25">
        <f t="shared" si="1"/>
        <v>0</v>
      </c>
      <c r="X39" s="119"/>
      <c r="Y39" s="119"/>
      <c r="Z39" s="127">
        <f t="shared" si="3"/>
        <v>0</v>
      </c>
      <c r="AA39" s="141"/>
      <c r="AB39" s="142"/>
      <c r="AC39" s="133">
        <f t="shared" si="2"/>
        <v>0</v>
      </c>
      <c r="AD39" s="142"/>
      <c r="AE39" s="142"/>
      <c r="AF39" s="142"/>
      <c r="AG39" s="142"/>
      <c r="AH39" s="142"/>
      <c r="AI39" s="142"/>
      <c r="AJ39" s="142"/>
    </row>
    <row r="40" ht="22.5" hidden="1" customHeight="1">
      <c r="A40" s="4"/>
      <c r="B40" s="4"/>
      <c r="C40" s="131"/>
      <c r="D40" s="119"/>
      <c r="E40" s="119"/>
      <c r="F40" s="119"/>
      <c r="G40" s="119"/>
      <c r="H40" s="119"/>
      <c r="I40" s="119"/>
      <c r="J40" s="121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25">
        <f t="shared" si="1"/>
        <v>0</v>
      </c>
      <c r="X40" s="119"/>
      <c r="Y40" s="119"/>
      <c r="Z40" s="127">
        <f t="shared" si="3"/>
        <v>0</v>
      </c>
      <c r="AA40" s="141"/>
      <c r="AB40" s="142"/>
      <c r="AC40" s="133">
        <f t="shared" si="2"/>
        <v>0</v>
      </c>
      <c r="AD40" s="142"/>
      <c r="AE40" s="142"/>
      <c r="AF40" s="142"/>
      <c r="AG40" s="142"/>
      <c r="AH40" s="142"/>
      <c r="AI40" s="142"/>
      <c r="AJ40" s="142"/>
    </row>
    <row r="41" ht="22.5" hidden="1" customHeight="1">
      <c r="A41" s="4"/>
      <c r="B41" s="4"/>
      <c r="C41" s="131"/>
      <c r="D41" s="119"/>
      <c r="E41" s="119"/>
      <c r="F41" s="119"/>
      <c r="G41" s="119"/>
      <c r="H41" s="119"/>
      <c r="I41" s="119"/>
      <c r="J41" s="121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25">
        <f t="shared" si="1"/>
        <v>0</v>
      </c>
      <c r="X41" s="119"/>
      <c r="Y41" s="119"/>
      <c r="Z41" s="127">
        <f t="shared" si="3"/>
        <v>0</v>
      </c>
      <c r="AA41" s="141"/>
      <c r="AB41" s="142"/>
      <c r="AC41" s="133">
        <f t="shared" si="2"/>
        <v>0</v>
      </c>
      <c r="AD41" s="142"/>
      <c r="AE41" s="142"/>
      <c r="AF41" s="142"/>
      <c r="AG41" s="142"/>
      <c r="AH41" s="142"/>
      <c r="AI41" s="142"/>
      <c r="AJ41" s="142"/>
    </row>
    <row r="42" ht="22.5" hidden="1" customHeight="1">
      <c r="A42" s="4"/>
      <c r="B42" s="4"/>
      <c r="C42" s="131"/>
      <c r="D42" s="119"/>
      <c r="E42" s="119"/>
      <c r="F42" s="119"/>
      <c r="G42" s="119"/>
      <c r="H42" s="119"/>
      <c r="I42" s="119"/>
      <c r="J42" s="121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25">
        <f t="shared" si="1"/>
        <v>0</v>
      </c>
      <c r="X42" s="119"/>
      <c r="Y42" s="119"/>
      <c r="Z42" s="127">
        <f t="shared" si="3"/>
        <v>0</v>
      </c>
      <c r="AA42" s="141"/>
      <c r="AB42" s="142"/>
      <c r="AC42" s="133">
        <f t="shared" si="2"/>
        <v>0</v>
      </c>
      <c r="AD42" s="142"/>
      <c r="AE42" s="142"/>
      <c r="AF42" s="142"/>
      <c r="AG42" s="142"/>
      <c r="AH42" s="142"/>
      <c r="AI42" s="142"/>
      <c r="AJ42" s="142"/>
    </row>
    <row r="43" ht="22.5" hidden="1" customHeight="1">
      <c r="A43" s="4"/>
      <c r="B43" s="4"/>
      <c r="C43" s="131"/>
      <c r="D43" s="119"/>
      <c r="E43" s="119"/>
      <c r="F43" s="119"/>
      <c r="G43" s="119"/>
      <c r="H43" s="119"/>
      <c r="I43" s="119"/>
      <c r="J43" s="121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25">
        <f t="shared" si="1"/>
        <v>0</v>
      </c>
      <c r="X43" s="119"/>
      <c r="Y43" s="119"/>
      <c r="Z43" s="127">
        <f t="shared" si="3"/>
        <v>0</v>
      </c>
      <c r="AA43" s="141"/>
      <c r="AB43" s="142"/>
      <c r="AC43" s="133">
        <f t="shared" si="2"/>
        <v>0</v>
      </c>
      <c r="AD43" s="142"/>
      <c r="AE43" s="142"/>
      <c r="AF43" s="142"/>
      <c r="AG43" s="142"/>
      <c r="AH43" s="142"/>
      <c r="AI43" s="142"/>
      <c r="AJ43" s="142"/>
    </row>
    <row r="44" ht="22.5" hidden="1" customHeight="1">
      <c r="A44" s="4"/>
      <c r="B44" s="4"/>
      <c r="C44" s="131"/>
      <c r="D44" s="119"/>
      <c r="E44" s="119"/>
      <c r="F44" s="119"/>
      <c r="G44" s="119"/>
      <c r="H44" s="119"/>
      <c r="I44" s="119"/>
      <c r="J44" s="121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25">
        <f t="shared" si="1"/>
        <v>0</v>
      </c>
      <c r="X44" s="119"/>
      <c r="Y44" s="119"/>
      <c r="Z44" s="127">
        <f t="shared" si="3"/>
        <v>0</v>
      </c>
      <c r="AA44" s="141"/>
      <c r="AB44" s="142"/>
      <c r="AC44" s="133">
        <f t="shared" si="2"/>
        <v>0</v>
      </c>
      <c r="AD44" s="142"/>
      <c r="AE44" s="142"/>
      <c r="AF44" s="142"/>
      <c r="AG44" s="142"/>
      <c r="AH44" s="142"/>
      <c r="AI44" s="142"/>
      <c r="AJ44" s="142"/>
    </row>
    <row r="45" ht="22.5" hidden="1" customHeight="1">
      <c r="A45" s="4"/>
      <c r="B45" s="4"/>
      <c r="C45" s="131"/>
      <c r="D45" s="119"/>
      <c r="E45" s="119"/>
      <c r="F45" s="119"/>
      <c r="G45" s="119"/>
      <c r="H45" s="119"/>
      <c r="I45" s="119"/>
      <c r="J45" s="121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25">
        <f t="shared" si="1"/>
        <v>0</v>
      </c>
      <c r="X45" s="119"/>
      <c r="Y45" s="119"/>
      <c r="Z45" s="127">
        <f t="shared" si="3"/>
        <v>0</v>
      </c>
      <c r="AA45" s="141"/>
      <c r="AB45" s="142"/>
      <c r="AC45" s="133">
        <f t="shared" si="2"/>
        <v>0</v>
      </c>
      <c r="AD45" s="142"/>
      <c r="AE45" s="142"/>
      <c r="AF45" s="142"/>
      <c r="AG45" s="142"/>
      <c r="AH45" s="142"/>
      <c r="AI45" s="142"/>
      <c r="AJ45" s="142"/>
    </row>
    <row r="46" ht="22.5" hidden="1" customHeight="1">
      <c r="A46" s="4"/>
      <c r="B46" s="4"/>
      <c r="C46" s="131"/>
      <c r="D46" s="119"/>
      <c r="E46" s="119"/>
      <c r="F46" s="119"/>
      <c r="G46" s="119"/>
      <c r="H46" s="119"/>
      <c r="I46" s="119"/>
      <c r="J46" s="121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25">
        <f t="shared" si="1"/>
        <v>0</v>
      </c>
      <c r="X46" s="119"/>
      <c r="Y46" s="119"/>
      <c r="Z46" s="127">
        <f t="shared" si="3"/>
        <v>0</v>
      </c>
      <c r="AA46" s="141"/>
      <c r="AB46" s="142"/>
      <c r="AC46" s="133">
        <f t="shared" si="2"/>
        <v>0</v>
      </c>
      <c r="AD46" s="142"/>
      <c r="AE46" s="142"/>
      <c r="AF46" s="142"/>
      <c r="AG46" s="142"/>
      <c r="AH46" s="142"/>
      <c r="AI46" s="142"/>
      <c r="AJ46" s="142"/>
    </row>
    <row r="47" ht="22.5" hidden="1" customHeight="1">
      <c r="A47" s="4"/>
      <c r="B47" s="4"/>
      <c r="C47" s="131"/>
      <c r="D47" s="119"/>
      <c r="E47" s="119"/>
      <c r="F47" s="119"/>
      <c r="G47" s="119"/>
      <c r="H47" s="119"/>
      <c r="I47" s="119"/>
      <c r="J47" s="121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25">
        <f t="shared" si="1"/>
        <v>0</v>
      </c>
      <c r="X47" s="119"/>
      <c r="Y47" s="119"/>
      <c r="Z47" s="127">
        <f t="shared" si="3"/>
        <v>0</v>
      </c>
      <c r="AA47" s="141"/>
      <c r="AB47" s="142"/>
      <c r="AC47" s="133">
        <f t="shared" si="2"/>
        <v>0</v>
      </c>
      <c r="AD47" s="142"/>
      <c r="AE47" s="142"/>
      <c r="AF47" s="142"/>
      <c r="AG47" s="142"/>
      <c r="AH47" s="142"/>
      <c r="AI47" s="142"/>
      <c r="AJ47" s="142"/>
    </row>
    <row r="48" ht="22.5" hidden="1" customHeight="1">
      <c r="A48" s="4"/>
      <c r="B48" s="4"/>
      <c r="C48" s="131"/>
      <c r="D48" s="119"/>
      <c r="E48" s="119"/>
      <c r="F48" s="119"/>
      <c r="G48" s="119"/>
      <c r="H48" s="119"/>
      <c r="I48" s="119"/>
      <c r="J48" s="121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25">
        <f t="shared" si="1"/>
        <v>0</v>
      </c>
      <c r="X48" s="119"/>
      <c r="Y48" s="119"/>
      <c r="Z48" s="127">
        <f t="shared" si="3"/>
        <v>0</v>
      </c>
      <c r="AA48" s="141"/>
      <c r="AB48" s="142"/>
      <c r="AC48" s="133">
        <f t="shared" si="2"/>
        <v>0</v>
      </c>
      <c r="AD48" s="142"/>
      <c r="AE48" s="142"/>
      <c r="AF48" s="142"/>
      <c r="AG48" s="142"/>
      <c r="AH48" s="142"/>
      <c r="AI48" s="142"/>
      <c r="AJ48" s="142"/>
    </row>
    <row r="49" ht="22.5" hidden="1" customHeight="1">
      <c r="A49" s="4"/>
      <c r="B49" s="4"/>
      <c r="C49" s="131"/>
      <c r="D49" s="119"/>
      <c r="E49" s="119"/>
      <c r="F49" s="119"/>
      <c r="G49" s="119"/>
      <c r="H49" s="119"/>
      <c r="I49" s="119"/>
      <c r="J49" s="121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25">
        <f t="shared" si="1"/>
        <v>0</v>
      </c>
      <c r="X49" s="119"/>
      <c r="Y49" s="119"/>
      <c r="Z49" s="127">
        <f t="shared" si="3"/>
        <v>0</v>
      </c>
      <c r="AA49" s="141"/>
      <c r="AB49" s="142"/>
      <c r="AC49" s="133">
        <f t="shared" si="2"/>
        <v>0</v>
      </c>
      <c r="AD49" s="142"/>
      <c r="AE49" s="142"/>
      <c r="AF49" s="142"/>
      <c r="AG49" s="142"/>
      <c r="AH49" s="142"/>
      <c r="AI49" s="142"/>
      <c r="AJ49" s="142"/>
    </row>
    <row r="50" ht="22.5" hidden="1" customHeight="1">
      <c r="A50" s="4"/>
      <c r="B50" s="4"/>
      <c r="C50" s="131"/>
      <c r="D50" s="119"/>
      <c r="E50" s="119"/>
      <c r="F50" s="119"/>
      <c r="G50" s="119"/>
      <c r="H50" s="119"/>
      <c r="I50" s="119"/>
      <c r="J50" s="121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25">
        <f t="shared" si="1"/>
        <v>0</v>
      </c>
      <c r="X50" s="119"/>
      <c r="Y50" s="119"/>
      <c r="Z50" s="127">
        <f t="shared" si="3"/>
        <v>0</v>
      </c>
      <c r="AA50" s="141"/>
      <c r="AB50" s="142"/>
      <c r="AC50" s="133">
        <f t="shared" si="2"/>
        <v>0</v>
      </c>
      <c r="AD50" s="142"/>
      <c r="AE50" s="142"/>
      <c r="AF50" s="142"/>
      <c r="AG50" s="142"/>
      <c r="AH50" s="142"/>
      <c r="AI50" s="142"/>
      <c r="AJ50" s="142"/>
    </row>
    <row r="51" ht="22.5" hidden="1" customHeight="1">
      <c r="A51" s="4"/>
      <c r="B51" s="4"/>
      <c r="C51" s="131"/>
      <c r="D51" s="119"/>
      <c r="E51" s="119"/>
      <c r="F51" s="119"/>
      <c r="G51" s="119"/>
      <c r="H51" s="119"/>
      <c r="I51" s="119"/>
      <c r="J51" s="121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25">
        <f t="shared" si="1"/>
        <v>0</v>
      </c>
      <c r="X51" s="119"/>
      <c r="Y51" s="119"/>
      <c r="Z51" s="127">
        <f t="shared" si="3"/>
        <v>0</v>
      </c>
      <c r="AA51" s="141"/>
      <c r="AB51" s="142"/>
      <c r="AC51" s="133">
        <f t="shared" si="2"/>
        <v>0</v>
      </c>
      <c r="AD51" s="142"/>
      <c r="AE51" s="142"/>
      <c r="AF51" s="142"/>
      <c r="AG51" s="142"/>
      <c r="AH51" s="142"/>
      <c r="AI51" s="142"/>
      <c r="AJ51" s="142"/>
    </row>
    <row r="52" ht="22.5" hidden="1" customHeight="1">
      <c r="A52" s="4"/>
      <c r="B52" s="4"/>
      <c r="C52" s="131"/>
      <c r="D52" s="119"/>
      <c r="E52" s="119"/>
      <c r="F52" s="119"/>
      <c r="G52" s="119"/>
      <c r="H52" s="119"/>
      <c r="I52" s="119"/>
      <c r="J52" s="121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25">
        <f t="shared" si="1"/>
        <v>0</v>
      </c>
      <c r="X52" s="119"/>
      <c r="Y52" s="119"/>
      <c r="Z52" s="127">
        <f t="shared" si="3"/>
        <v>0</v>
      </c>
      <c r="AA52" s="141"/>
      <c r="AB52" s="142"/>
      <c r="AC52" s="133">
        <f t="shared" si="2"/>
        <v>0</v>
      </c>
      <c r="AD52" s="142"/>
      <c r="AE52" s="142"/>
      <c r="AF52" s="142"/>
      <c r="AG52" s="142"/>
      <c r="AH52" s="142"/>
      <c r="AI52" s="142"/>
      <c r="AJ52" s="142"/>
    </row>
    <row r="53" ht="22.5" hidden="1" customHeight="1">
      <c r="A53" s="4"/>
      <c r="B53" s="4"/>
      <c r="C53" s="131"/>
      <c r="D53" s="119"/>
      <c r="E53" s="119"/>
      <c r="F53" s="119"/>
      <c r="G53" s="119"/>
      <c r="H53" s="119"/>
      <c r="I53" s="119"/>
      <c r="J53" s="121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25">
        <f t="shared" si="1"/>
        <v>0</v>
      </c>
      <c r="X53" s="119"/>
      <c r="Y53" s="119"/>
      <c r="Z53" s="127">
        <f t="shared" si="3"/>
        <v>0</v>
      </c>
      <c r="AA53" s="141"/>
      <c r="AB53" s="142"/>
      <c r="AC53" s="133">
        <f t="shared" si="2"/>
        <v>0</v>
      </c>
      <c r="AD53" s="142"/>
      <c r="AE53" s="142"/>
      <c r="AF53" s="142"/>
      <c r="AG53" s="142"/>
      <c r="AH53" s="142"/>
      <c r="AI53" s="142"/>
      <c r="AJ53" s="142"/>
    </row>
    <row r="54" ht="22.5" hidden="1" customHeight="1">
      <c r="A54" s="4"/>
      <c r="B54" s="4"/>
      <c r="C54" s="131"/>
      <c r="D54" s="119"/>
      <c r="E54" s="119"/>
      <c r="F54" s="119"/>
      <c r="G54" s="119"/>
      <c r="H54" s="119"/>
      <c r="I54" s="119"/>
      <c r="J54" s="121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25">
        <f t="shared" si="1"/>
        <v>0</v>
      </c>
      <c r="X54" s="119"/>
      <c r="Y54" s="119"/>
      <c r="Z54" s="127">
        <f t="shared" si="3"/>
        <v>0</v>
      </c>
      <c r="AA54" s="141"/>
      <c r="AB54" s="142"/>
      <c r="AC54" s="133">
        <f t="shared" si="2"/>
        <v>0</v>
      </c>
      <c r="AD54" s="142"/>
      <c r="AE54" s="142"/>
      <c r="AF54" s="142"/>
      <c r="AG54" s="142"/>
      <c r="AH54" s="142"/>
      <c r="AI54" s="142"/>
      <c r="AJ54" s="142"/>
    </row>
    <row r="55" ht="22.5" hidden="1" customHeight="1">
      <c r="A55" s="4"/>
      <c r="B55" s="4"/>
      <c r="C55" s="131"/>
      <c r="D55" s="119"/>
      <c r="E55" s="119"/>
      <c r="F55" s="119"/>
      <c r="G55" s="119"/>
      <c r="H55" s="119"/>
      <c r="I55" s="119"/>
      <c r="J55" s="121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25">
        <f t="shared" si="1"/>
        <v>0</v>
      </c>
      <c r="X55" s="119"/>
      <c r="Y55" s="119"/>
      <c r="Z55" s="127">
        <f t="shared" si="3"/>
        <v>0</v>
      </c>
      <c r="AA55" s="141"/>
      <c r="AB55" s="142"/>
      <c r="AC55" s="133">
        <f t="shared" si="2"/>
        <v>0</v>
      </c>
      <c r="AD55" s="142"/>
      <c r="AE55" s="142"/>
      <c r="AF55" s="142"/>
      <c r="AG55" s="142"/>
      <c r="AH55" s="142"/>
      <c r="AI55" s="142"/>
      <c r="AJ55" s="142"/>
    </row>
    <row r="56" ht="22.5" hidden="1" customHeight="1">
      <c r="A56" s="4"/>
      <c r="B56" s="4"/>
      <c r="C56" s="131"/>
      <c r="D56" s="119"/>
      <c r="E56" s="119"/>
      <c r="F56" s="119"/>
      <c r="G56" s="119"/>
      <c r="H56" s="119"/>
      <c r="I56" s="119"/>
      <c r="J56" s="121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25">
        <f t="shared" si="1"/>
        <v>0</v>
      </c>
      <c r="X56" s="119"/>
      <c r="Y56" s="119"/>
      <c r="Z56" s="127">
        <f t="shared" si="3"/>
        <v>0</v>
      </c>
      <c r="AA56" s="141"/>
      <c r="AB56" s="142"/>
      <c r="AC56" s="133">
        <f t="shared" si="2"/>
        <v>0</v>
      </c>
      <c r="AD56" s="142"/>
      <c r="AE56" s="142"/>
      <c r="AF56" s="142"/>
      <c r="AG56" s="142"/>
      <c r="AH56" s="142"/>
      <c r="AI56" s="142"/>
      <c r="AJ56" s="142"/>
    </row>
    <row r="57" ht="22.5" hidden="1" customHeight="1">
      <c r="A57" s="4"/>
      <c r="B57" s="4"/>
      <c r="C57" s="131"/>
      <c r="D57" s="119"/>
      <c r="E57" s="119"/>
      <c r="F57" s="119"/>
      <c r="G57" s="119"/>
      <c r="H57" s="119"/>
      <c r="I57" s="119"/>
      <c r="J57" s="121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25">
        <f t="shared" si="1"/>
        <v>0</v>
      </c>
      <c r="X57" s="119"/>
      <c r="Y57" s="119"/>
      <c r="Z57" s="127">
        <f t="shared" si="3"/>
        <v>0</v>
      </c>
      <c r="AA57" s="141"/>
      <c r="AB57" s="142"/>
      <c r="AC57" s="133">
        <f t="shared" si="2"/>
        <v>0</v>
      </c>
      <c r="AD57" s="142"/>
      <c r="AE57" s="142"/>
      <c r="AF57" s="142"/>
      <c r="AG57" s="142"/>
      <c r="AH57" s="142"/>
      <c r="AI57" s="142"/>
      <c r="AJ57" s="142"/>
    </row>
    <row r="58" ht="22.5" hidden="1" customHeight="1">
      <c r="A58" s="4"/>
      <c r="B58" s="4"/>
      <c r="C58" s="131"/>
      <c r="D58" s="119"/>
      <c r="E58" s="119"/>
      <c r="F58" s="119"/>
      <c r="G58" s="119"/>
      <c r="H58" s="119"/>
      <c r="I58" s="119"/>
      <c r="J58" s="121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25">
        <f t="shared" si="1"/>
        <v>0</v>
      </c>
      <c r="X58" s="119"/>
      <c r="Y58" s="119"/>
      <c r="Z58" s="127">
        <f t="shared" si="3"/>
        <v>0</v>
      </c>
      <c r="AA58" s="141"/>
      <c r="AB58" s="142"/>
      <c r="AC58" s="133">
        <f t="shared" si="2"/>
        <v>0</v>
      </c>
      <c r="AD58" s="142"/>
      <c r="AE58" s="142"/>
      <c r="AF58" s="142"/>
      <c r="AG58" s="142"/>
      <c r="AH58" s="142"/>
      <c r="AI58" s="142"/>
      <c r="AJ58" s="142"/>
    </row>
    <row r="59" ht="22.5" hidden="1" customHeight="1">
      <c r="A59" s="4"/>
      <c r="B59" s="4"/>
      <c r="C59" s="131"/>
      <c r="D59" s="119"/>
      <c r="E59" s="119"/>
      <c r="F59" s="119"/>
      <c r="G59" s="119"/>
      <c r="H59" s="119"/>
      <c r="I59" s="119"/>
      <c r="J59" s="121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25">
        <f t="shared" si="1"/>
        <v>0</v>
      </c>
      <c r="X59" s="119"/>
      <c r="Y59" s="119"/>
      <c r="Z59" s="127">
        <f t="shared" si="3"/>
        <v>0</v>
      </c>
      <c r="AA59" s="141"/>
      <c r="AB59" s="142"/>
      <c r="AC59" s="133">
        <f t="shared" si="2"/>
        <v>0</v>
      </c>
      <c r="AD59" s="142"/>
      <c r="AE59" s="142"/>
      <c r="AF59" s="142"/>
      <c r="AG59" s="142"/>
      <c r="AH59" s="142"/>
      <c r="AI59" s="142"/>
      <c r="AJ59" s="142"/>
    </row>
    <row r="60" ht="22.5" hidden="1" customHeight="1">
      <c r="A60" s="4"/>
      <c r="B60" s="4"/>
      <c r="C60" s="131"/>
      <c r="D60" s="119"/>
      <c r="E60" s="119"/>
      <c r="F60" s="119"/>
      <c r="G60" s="119"/>
      <c r="H60" s="119"/>
      <c r="I60" s="119"/>
      <c r="J60" s="121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25">
        <f t="shared" si="1"/>
        <v>0</v>
      </c>
      <c r="X60" s="119"/>
      <c r="Y60" s="119"/>
      <c r="Z60" s="127">
        <f t="shared" si="3"/>
        <v>0</v>
      </c>
      <c r="AA60" s="141"/>
      <c r="AB60" s="142"/>
      <c r="AC60" s="133">
        <f t="shared" si="2"/>
        <v>0</v>
      </c>
      <c r="AD60" s="142"/>
      <c r="AE60" s="142"/>
      <c r="AF60" s="142"/>
      <c r="AG60" s="142"/>
      <c r="AH60" s="142"/>
      <c r="AI60" s="142"/>
      <c r="AJ60" s="142"/>
    </row>
    <row r="61" ht="22.5" hidden="1" customHeight="1">
      <c r="A61" s="4"/>
      <c r="B61" s="4"/>
      <c r="C61" s="131"/>
      <c r="D61" s="119"/>
      <c r="E61" s="119"/>
      <c r="F61" s="119"/>
      <c r="G61" s="119"/>
      <c r="H61" s="119"/>
      <c r="I61" s="119"/>
      <c r="J61" s="121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25">
        <f t="shared" si="1"/>
        <v>0</v>
      </c>
      <c r="X61" s="119"/>
      <c r="Y61" s="119"/>
      <c r="Z61" s="127">
        <f t="shared" si="3"/>
        <v>0</v>
      </c>
      <c r="AA61" s="141"/>
      <c r="AB61" s="142"/>
      <c r="AC61" s="133">
        <f t="shared" si="2"/>
        <v>0</v>
      </c>
      <c r="AD61" s="142"/>
      <c r="AE61" s="142"/>
      <c r="AF61" s="142"/>
      <c r="AG61" s="142"/>
      <c r="AH61" s="142"/>
      <c r="AI61" s="142"/>
      <c r="AJ61" s="142"/>
    </row>
    <row r="62" ht="22.5" hidden="1" customHeight="1">
      <c r="A62" s="4"/>
      <c r="B62" s="4"/>
      <c r="C62" s="131"/>
      <c r="D62" s="119"/>
      <c r="E62" s="119"/>
      <c r="F62" s="119"/>
      <c r="G62" s="119"/>
      <c r="H62" s="119"/>
      <c r="I62" s="119"/>
      <c r="J62" s="121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25">
        <f t="shared" si="1"/>
        <v>0</v>
      </c>
      <c r="X62" s="119"/>
      <c r="Y62" s="119"/>
      <c r="Z62" s="127">
        <f t="shared" si="3"/>
        <v>0</v>
      </c>
      <c r="AA62" s="141"/>
      <c r="AB62" s="142"/>
      <c r="AC62" s="133">
        <f t="shared" si="2"/>
        <v>0</v>
      </c>
      <c r="AD62" s="142"/>
      <c r="AE62" s="142"/>
      <c r="AF62" s="142"/>
      <c r="AG62" s="142"/>
      <c r="AH62" s="142"/>
      <c r="AI62" s="142"/>
      <c r="AJ62" s="142"/>
    </row>
    <row r="63" ht="22.5" hidden="1" customHeight="1">
      <c r="A63" s="4"/>
      <c r="B63" s="4"/>
      <c r="C63" s="131"/>
      <c r="D63" s="119"/>
      <c r="E63" s="119"/>
      <c r="F63" s="119"/>
      <c r="G63" s="119"/>
      <c r="H63" s="119"/>
      <c r="I63" s="119"/>
      <c r="J63" s="121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25">
        <f t="shared" si="1"/>
        <v>0</v>
      </c>
      <c r="X63" s="119"/>
      <c r="Y63" s="119"/>
      <c r="Z63" s="127">
        <f t="shared" si="3"/>
        <v>0</v>
      </c>
      <c r="AA63" s="141"/>
      <c r="AB63" s="142"/>
      <c r="AC63" s="133">
        <f t="shared" si="2"/>
        <v>0</v>
      </c>
      <c r="AD63" s="142"/>
      <c r="AE63" s="142"/>
      <c r="AF63" s="142"/>
      <c r="AG63" s="142"/>
      <c r="AH63" s="142"/>
      <c r="AI63" s="142"/>
      <c r="AJ63" s="142"/>
    </row>
    <row r="64" ht="22.5" hidden="1" customHeight="1">
      <c r="A64" s="4"/>
      <c r="B64" s="4"/>
      <c r="C64" s="131"/>
      <c r="D64" s="119"/>
      <c r="E64" s="119"/>
      <c r="F64" s="119"/>
      <c r="G64" s="119"/>
      <c r="H64" s="119"/>
      <c r="I64" s="119"/>
      <c r="J64" s="121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25">
        <f t="shared" si="1"/>
        <v>0</v>
      </c>
      <c r="X64" s="119"/>
      <c r="Y64" s="119"/>
      <c r="Z64" s="127">
        <f t="shared" si="3"/>
        <v>0</v>
      </c>
      <c r="AA64" s="141"/>
      <c r="AB64" s="142"/>
      <c r="AC64" s="133">
        <f t="shared" si="2"/>
        <v>0</v>
      </c>
      <c r="AD64" s="142"/>
      <c r="AE64" s="142"/>
      <c r="AF64" s="142"/>
      <c r="AG64" s="142"/>
      <c r="AH64" s="142"/>
      <c r="AI64" s="142"/>
      <c r="AJ64" s="142"/>
    </row>
    <row r="65" ht="22.5" hidden="1" customHeight="1">
      <c r="A65" s="4"/>
      <c r="B65" s="4"/>
      <c r="C65" s="131"/>
      <c r="D65" s="119"/>
      <c r="E65" s="119"/>
      <c r="F65" s="119"/>
      <c r="G65" s="119"/>
      <c r="H65" s="119"/>
      <c r="I65" s="119"/>
      <c r="J65" s="121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25">
        <f t="shared" si="1"/>
        <v>0</v>
      </c>
      <c r="X65" s="119"/>
      <c r="Y65" s="119"/>
      <c r="Z65" s="127">
        <f t="shared" si="3"/>
        <v>0</v>
      </c>
      <c r="AA65" s="141"/>
      <c r="AB65" s="142"/>
      <c r="AC65" s="133">
        <f t="shared" si="2"/>
        <v>0</v>
      </c>
      <c r="AD65" s="142"/>
      <c r="AE65" s="142"/>
      <c r="AF65" s="142"/>
      <c r="AG65" s="142"/>
      <c r="AH65" s="142"/>
      <c r="AI65" s="142"/>
      <c r="AJ65" s="142"/>
    </row>
    <row r="66" ht="22.5" hidden="1" customHeight="1">
      <c r="A66" s="4"/>
      <c r="B66" s="4"/>
      <c r="C66" s="131"/>
      <c r="D66" s="119"/>
      <c r="E66" s="119"/>
      <c r="F66" s="119"/>
      <c r="G66" s="119"/>
      <c r="H66" s="119"/>
      <c r="I66" s="119"/>
      <c r="J66" s="121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25">
        <f t="shared" si="1"/>
        <v>0</v>
      </c>
      <c r="X66" s="119"/>
      <c r="Y66" s="119"/>
      <c r="Z66" s="127">
        <f t="shared" si="3"/>
        <v>0</v>
      </c>
      <c r="AA66" s="141"/>
      <c r="AB66" s="142"/>
      <c r="AC66" s="133">
        <f t="shared" si="2"/>
        <v>0</v>
      </c>
      <c r="AD66" s="142"/>
      <c r="AE66" s="142"/>
      <c r="AF66" s="142"/>
      <c r="AG66" s="142"/>
      <c r="AH66" s="142"/>
      <c r="AI66" s="142"/>
      <c r="AJ66" s="142"/>
    </row>
    <row r="67" ht="22.5" hidden="1" customHeight="1">
      <c r="A67" s="4"/>
      <c r="B67" s="4"/>
      <c r="C67" s="131"/>
      <c r="D67" s="119"/>
      <c r="E67" s="119"/>
      <c r="F67" s="119"/>
      <c r="G67" s="119"/>
      <c r="H67" s="119"/>
      <c r="I67" s="119"/>
      <c r="J67" s="121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25">
        <f t="shared" si="1"/>
        <v>0</v>
      </c>
      <c r="X67" s="119"/>
      <c r="Y67" s="119"/>
      <c r="Z67" s="127">
        <f t="shared" si="3"/>
        <v>0</v>
      </c>
      <c r="AA67" s="141"/>
      <c r="AB67" s="142"/>
      <c r="AC67" s="133">
        <f t="shared" si="2"/>
        <v>0</v>
      </c>
      <c r="AD67" s="142"/>
      <c r="AE67" s="142"/>
      <c r="AF67" s="142"/>
      <c r="AG67" s="142"/>
      <c r="AH67" s="142"/>
      <c r="AI67" s="142"/>
      <c r="AJ67" s="142"/>
    </row>
    <row r="68" ht="22.5" hidden="1" customHeight="1">
      <c r="A68" s="4"/>
      <c r="B68" s="4"/>
      <c r="C68" s="131"/>
      <c r="D68" s="119"/>
      <c r="E68" s="119"/>
      <c r="F68" s="119"/>
      <c r="G68" s="119"/>
      <c r="H68" s="119"/>
      <c r="I68" s="119"/>
      <c r="J68" s="121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25">
        <f t="shared" si="1"/>
        <v>0</v>
      </c>
      <c r="X68" s="119"/>
      <c r="Y68" s="119"/>
      <c r="Z68" s="127">
        <f t="shared" si="3"/>
        <v>0</v>
      </c>
      <c r="AA68" s="141"/>
      <c r="AB68" s="142"/>
      <c r="AC68" s="133">
        <f t="shared" si="2"/>
        <v>0</v>
      </c>
      <c r="AD68" s="142"/>
      <c r="AE68" s="142"/>
      <c r="AF68" s="142"/>
      <c r="AG68" s="142"/>
      <c r="AH68" s="142"/>
      <c r="AI68" s="142"/>
      <c r="AJ68" s="142"/>
    </row>
    <row r="69" ht="22.5" hidden="1" customHeight="1">
      <c r="A69" s="4"/>
      <c r="B69" s="4"/>
      <c r="C69" s="131"/>
      <c r="D69" s="119"/>
      <c r="E69" s="119"/>
      <c r="F69" s="119"/>
      <c r="G69" s="119"/>
      <c r="H69" s="119"/>
      <c r="I69" s="119"/>
      <c r="J69" s="121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25">
        <f t="shared" si="1"/>
        <v>0</v>
      </c>
      <c r="X69" s="119"/>
      <c r="Y69" s="119"/>
      <c r="Z69" s="127">
        <f t="shared" si="3"/>
        <v>0</v>
      </c>
      <c r="AA69" s="141"/>
      <c r="AB69" s="142"/>
      <c r="AC69" s="133">
        <f t="shared" si="2"/>
        <v>0</v>
      </c>
      <c r="AD69" s="142"/>
      <c r="AE69" s="142"/>
      <c r="AF69" s="142"/>
      <c r="AG69" s="142"/>
      <c r="AH69" s="142"/>
      <c r="AI69" s="142"/>
      <c r="AJ69" s="142"/>
    </row>
    <row r="70" ht="22.5" hidden="1" customHeight="1">
      <c r="A70" s="4"/>
      <c r="B70" s="4"/>
      <c r="C70" s="131"/>
      <c r="D70" s="119"/>
      <c r="E70" s="119"/>
      <c r="F70" s="119"/>
      <c r="G70" s="119"/>
      <c r="H70" s="119"/>
      <c r="I70" s="119"/>
      <c r="J70" s="121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25">
        <f t="shared" si="1"/>
        <v>0</v>
      </c>
      <c r="X70" s="119"/>
      <c r="Y70" s="119"/>
      <c r="Z70" s="127">
        <f t="shared" si="3"/>
        <v>0</v>
      </c>
      <c r="AA70" s="141"/>
      <c r="AB70" s="142"/>
      <c r="AC70" s="133">
        <f t="shared" si="2"/>
        <v>0</v>
      </c>
      <c r="AD70" s="142"/>
      <c r="AE70" s="142"/>
      <c r="AF70" s="142"/>
      <c r="AG70" s="142"/>
      <c r="AH70" s="142"/>
      <c r="AI70" s="142"/>
      <c r="AJ70" s="142"/>
    </row>
    <row r="71" ht="22.5" hidden="1" customHeight="1">
      <c r="A71" s="4"/>
      <c r="B71" s="4"/>
      <c r="C71" s="131"/>
      <c r="D71" s="119"/>
      <c r="E71" s="119"/>
      <c r="F71" s="119"/>
      <c r="G71" s="119"/>
      <c r="H71" s="119"/>
      <c r="I71" s="119"/>
      <c r="J71" s="121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25">
        <f t="shared" si="1"/>
        <v>0</v>
      </c>
      <c r="X71" s="119"/>
      <c r="Y71" s="119"/>
      <c r="Z71" s="127">
        <f t="shared" si="3"/>
        <v>0</v>
      </c>
      <c r="AA71" s="141"/>
      <c r="AB71" s="142"/>
      <c r="AC71" s="133">
        <f t="shared" si="2"/>
        <v>0</v>
      </c>
      <c r="AD71" s="142"/>
      <c r="AE71" s="142"/>
      <c r="AF71" s="142"/>
      <c r="AG71" s="142"/>
      <c r="AH71" s="142"/>
      <c r="AI71" s="142"/>
      <c r="AJ71" s="142"/>
    </row>
    <row r="72" ht="22.5" hidden="1" customHeight="1">
      <c r="A72" s="4"/>
      <c r="B72" s="4"/>
      <c r="C72" s="131"/>
      <c r="D72" s="119"/>
      <c r="E72" s="119"/>
      <c r="F72" s="119"/>
      <c r="G72" s="119"/>
      <c r="H72" s="119"/>
      <c r="I72" s="119"/>
      <c r="J72" s="121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25">
        <f t="shared" si="1"/>
        <v>0</v>
      </c>
      <c r="X72" s="119"/>
      <c r="Y72" s="119"/>
      <c r="Z72" s="127">
        <f t="shared" si="3"/>
        <v>0</v>
      </c>
      <c r="AA72" s="141"/>
      <c r="AB72" s="142"/>
      <c r="AC72" s="133">
        <f t="shared" si="2"/>
        <v>0</v>
      </c>
      <c r="AD72" s="142"/>
      <c r="AE72" s="142"/>
      <c r="AF72" s="142"/>
      <c r="AG72" s="142"/>
      <c r="AH72" s="142"/>
      <c r="AI72" s="142"/>
      <c r="AJ72" s="142"/>
    </row>
    <row r="73" ht="22.5" hidden="1" customHeight="1">
      <c r="A73" s="4"/>
      <c r="B73" s="4"/>
      <c r="C73" s="131"/>
      <c r="D73" s="119"/>
      <c r="E73" s="119"/>
      <c r="F73" s="119"/>
      <c r="G73" s="119"/>
      <c r="H73" s="119"/>
      <c r="I73" s="119"/>
      <c r="J73" s="121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25">
        <f t="shared" si="1"/>
        <v>0</v>
      </c>
      <c r="X73" s="119"/>
      <c r="Y73" s="119"/>
      <c r="Z73" s="127">
        <f t="shared" si="3"/>
        <v>0</v>
      </c>
      <c r="AA73" s="141"/>
      <c r="AB73" s="142"/>
      <c r="AC73" s="133">
        <f t="shared" si="2"/>
        <v>0</v>
      </c>
      <c r="AD73" s="142"/>
      <c r="AE73" s="142"/>
      <c r="AF73" s="142"/>
      <c r="AG73" s="142"/>
      <c r="AH73" s="142"/>
      <c r="AI73" s="142"/>
      <c r="AJ73" s="142"/>
    </row>
    <row r="74" ht="22.5" hidden="1" customHeight="1">
      <c r="A74" s="4"/>
      <c r="B74" s="4"/>
      <c r="C74" s="131"/>
      <c r="D74" s="119"/>
      <c r="E74" s="119"/>
      <c r="F74" s="119"/>
      <c r="G74" s="119"/>
      <c r="H74" s="119"/>
      <c r="I74" s="119"/>
      <c r="J74" s="121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25">
        <f t="shared" si="1"/>
        <v>0</v>
      </c>
      <c r="X74" s="119"/>
      <c r="Y74" s="119"/>
      <c r="Z74" s="127">
        <f t="shared" si="3"/>
        <v>0</v>
      </c>
      <c r="AA74" s="141"/>
      <c r="AB74" s="142"/>
      <c r="AC74" s="133">
        <f t="shared" si="2"/>
        <v>0</v>
      </c>
      <c r="AD74" s="142"/>
      <c r="AE74" s="142"/>
      <c r="AF74" s="142"/>
      <c r="AG74" s="142"/>
      <c r="AH74" s="142"/>
      <c r="AI74" s="142"/>
      <c r="AJ74" s="142"/>
    </row>
    <row r="75" ht="22.5" hidden="1" customHeight="1">
      <c r="A75" s="4"/>
      <c r="B75" s="4"/>
      <c r="C75" s="131"/>
      <c r="D75" s="119"/>
      <c r="E75" s="119"/>
      <c r="F75" s="119"/>
      <c r="G75" s="119"/>
      <c r="H75" s="119"/>
      <c r="I75" s="119"/>
      <c r="J75" s="121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25">
        <f t="shared" si="1"/>
        <v>0</v>
      </c>
      <c r="X75" s="119"/>
      <c r="Y75" s="119"/>
      <c r="Z75" s="127">
        <f t="shared" si="3"/>
        <v>0</v>
      </c>
      <c r="AA75" s="141"/>
      <c r="AB75" s="142"/>
      <c r="AC75" s="133">
        <f t="shared" si="2"/>
        <v>0</v>
      </c>
      <c r="AD75" s="142"/>
      <c r="AE75" s="142"/>
      <c r="AF75" s="142"/>
      <c r="AG75" s="142"/>
      <c r="AH75" s="142"/>
      <c r="AI75" s="142"/>
      <c r="AJ75" s="142"/>
    </row>
    <row r="76" ht="22.5" hidden="1" customHeight="1">
      <c r="A76" s="4"/>
      <c r="B76" s="4"/>
      <c r="C76" s="131"/>
      <c r="D76" s="119"/>
      <c r="E76" s="119"/>
      <c r="F76" s="119"/>
      <c r="G76" s="119"/>
      <c r="H76" s="119"/>
      <c r="I76" s="119"/>
      <c r="J76" s="121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25">
        <f t="shared" si="1"/>
        <v>0</v>
      </c>
      <c r="X76" s="119"/>
      <c r="Y76" s="119"/>
      <c r="Z76" s="127">
        <f t="shared" si="3"/>
        <v>0</v>
      </c>
      <c r="AA76" s="141"/>
      <c r="AB76" s="142"/>
      <c r="AC76" s="133">
        <f t="shared" si="2"/>
        <v>0</v>
      </c>
      <c r="AD76" s="142"/>
      <c r="AE76" s="142"/>
      <c r="AF76" s="142"/>
      <c r="AG76" s="142"/>
      <c r="AH76" s="142"/>
      <c r="AI76" s="142"/>
      <c r="AJ76" s="142"/>
    </row>
    <row r="77" ht="22.5" hidden="1" customHeight="1">
      <c r="A77" s="4"/>
      <c r="B77" s="4"/>
      <c r="C77" s="131"/>
      <c r="D77" s="119"/>
      <c r="E77" s="119"/>
      <c r="F77" s="119"/>
      <c r="G77" s="119"/>
      <c r="H77" s="119"/>
      <c r="I77" s="119"/>
      <c r="J77" s="121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25">
        <f t="shared" si="1"/>
        <v>0</v>
      </c>
      <c r="X77" s="119"/>
      <c r="Y77" s="119"/>
      <c r="Z77" s="127">
        <f t="shared" si="3"/>
        <v>0</v>
      </c>
      <c r="AA77" s="141"/>
      <c r="AB77" s="142"/>
      <c r="AC77" s="133">
        <f t="shared" si="2"/>
        <v>0</v>
      </c>
      <c r="AD77" s="142"/>
      <c r="AE77" s="142"/>
      <c r="AF77" s="142"/>
      <c r="AG77" s="142"/>
      <c r="AH77" s="142"/>
      <c r="AI77" s="142"/>
      <c r="AJ77" s="142"/>
    </row>
    <row r="78" ht="22.5" hidden="1" customHeight="1">
      <c r="A78" s="4"/>
      <c r="B78" s="4"/>
      <c r="C78" s="131"/>
      <c r="D78" s="119"/>
      <c r="E78" s="119"/>
      <c r="F78" s="119"/>
      <c r="G78" s="119"/>
      <c r="H78" s="119"/>
      <c r="I78" s="119"/>
      <c r="J78" s="121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25">
        <f t="shared" si="1"/>
        <v>0</v>
      </c>
      <c r="X78" s="119"/>
      <c r="Y78" s="119"/>
      <c r="Z78" s="127">
        <f t="shared" si="3"/>
        <v>0</v>
      </c>
      <c r="AA78" s="141"/>
      <c r="AB78" s="142"/>
      <c r="AC78" s="133">
        <f t="shared" si="2"/>
        <v>0</v>
      </c>
      <c r="AD78" s="142"/>
      <c r="AE78" s="142"/>
      <c r="AF78" s="142"/>
      <c r="AG78" s="142"/>
      <c r="AH78" s="142"/>
      <c r="AI78" s="142"/>
      <c r="AJ78" s="142"/>
    </row>
    <row r="79" ht="22.5" hidden="1" customHeight="1">
      <c r="A79" s="4"/>
      <c r="B79" s="4"/>
      <c r="C79" s="131"/>
      <c r="D79" s="119"/>
      <c r="E79" s="119"/>
      <c r="F79" s="119"/>
      <c r="G79" s="119"/>
      <c r="H79" s="119"/>
      <c r="I79" s="119"/>
      <c r="J79" s="121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25">
        <f t="shared" si="1"/>
        <v>0</v>
      </c>
      <c r="X79" s="119"/>
      <c r="Y79" s="119"/>
      <c r="Z79" s="127">
        <f t="shared" si="3"/>
        <v>0</v>
      </c>
      <c r="AA79" s="141"/>
      <c r="AB79" s="142"/>
      <c r="AC79" s="133">
        <f t="shared" si="2"/>
        <v>0</v>
      </c>
      <c r="AD79" s="142"/>
      <c r="AE79" s="142"/>
      <c r="AF79" s="142"/>
      <c r="AG79" s="142"/>
      <c r="AH79" s="142"/>
      <c r="AI79" s="142"/>
      <c r="AJ79" s="142"/>
    </row>
    <row r="80" ht="22.5" hidden="1" customHeight="1">
      <c r="A80" s="4"/>
      <c r="B80" s="4"/>
      <c r="C80" s="131"/>
      <c r="D80" s="119"/>
      <c r="E80" s="119"/>
      <c r="F80" s="119"/>
      <c r="G80" s="119"/>
      <c r="H80" s="119"/>
      <c r="I80" s="119"/>
      <c r="J80" s="121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25">
        <f t="shared" si="1"/>
        <v>0</v>
      </c>
      <c r="X80" s="119"/>
      <c r="Y80" s="119"/>
      <c r="Z80" s="127">
        <f t="shared" si="3"/>
        <v>0</v>
      </c>
      <c r="AA80" s="141"/>
      <c r="AB80" s="142"/>
      <c r="AC80" s="133">
        <f t="shared" si="2"/>
        <v>0</v>
      </c>
      <c r="AD80" s="142"/>
      <c r="AE80" s="142"/>
      <c r="AF80" s="142"/>
      <c r="AG80" s="142"/>
      <c r="AH80" s="142"/>
      <c r="AI80" s="142"/>
      <c r="AJ80" s="142"/>
    </row>
    <row r="81" ht="22.5" hidden="1" customHeight="1">
      <c r="A81" s="4"/>
      <c r="B81" s="4"/>
      <c r="C81" s="131"/>
      <c r="D81" s="119"/>
      <c r="E81" s="119"/>
      <c r="F81" s="119"/>
      <c r="G81" s="119"/>
      <c r="H81" s="119"/>
      <c r="I81" s="119"/>
      <c r="J81" s="121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25">
        <f t="shared" si="1"/>
        <v>0</v>
      </c>
      <c r="X81" s="119"/>
      <c r="Y81" s="119"/>
      <c r="Z81" s="127">
        <f t="shared" si="3"/>
        <v>0</v>
      </c>
      <c r="AA81" s="141"/>
      <c r="AB81" s="142"/>
      <c r="AC81" s="133">
        <f t="shared" si="2"/>
        <v>0</v>
      </c>
      <c r="AD81" s="142"/>
      <c r="AE81" s="142"/>
      <c r="AF81" s="142"/>
      <c r="AG81" s="142"/>
      <c r="AH81" s="142"/>
      <c r="AI81" s="142"/>
      <c r="AJ81" s="142"/>
    </row>
    <row r="82" ht="22.5" hidden="1" customHeight="1">
      <c r="A82" s="4"/>
      <c r="B82" s="4"/>
      <c r="C82" s="131"/>
      <c r="D82" s="119"/>
      <c r="E82" s="119"/>
      <c r="F82" s="119"/>
      <c r="G82" s="119"/>
      <c r="H82" s="119"/>
      <c r="I82" s="119"/>
      <c r="J82" s="121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25">
        <f t="shared" si="1"/>
        <v>0</v>
      </c>
      <c r="X82" s="119"/>
      <c r="Y82" s="119"/>
      <c r="Z82" s="127">
        <f t="shared" si="3"/>
        <v>0</v>
      </c>
      <c r="AA82" s="141"/>
      <c r="AB82" s="142"/>
      <c r="AC82" s="133">
        <f t="shared" si="2"/>
        <v>0</v>
      </c>
      <c r="AD82" s="142"/>
      <c r="AE82" s="142"/>
      <c r="AF82" s="142"/>
      <c r="AG82" s="142"/>
      <c r="AH82" s="142"/>
      <c r="AI82" s="142"/>
      <c r="AJ82" s="142"/>
    </row>
    <row r="83" ht="22.5" hidden="1" customHeight="1">
      <c r="A83" s="4"/>
      <c r="B83" s="4"/>
      <c r="C83" s="131"/>
      <c r="D83" s="119"/>
      <c r="E83" s="119"/>
      <c r="F83" s="119"/>
      <c r="G83" s="119"/>
      <c r="H83" s="119"/>
      <c r="I83" s="119"/>
      <c r="J83" s="121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25">
        <f t="shared" si="1"/>
        <v>0</v>
      </c>
      <c r="X83" s="119"/>
      <c r="Y83" s="119"/>
      <c r="Z83" s="127">
        <f t="shared" si="3"/>
        <v>0</v>
      </c>
      <c r="AA83" s="141"/>
      <c r="AB83" s="142"/>
      <c r="AC83" s="133">
        <f t="shared" si="2"/>
        <v>0</v>
      </c>
      <c r="AD83" s="142"/>
      <c r="AE83" s="142"/>
      <c r="AF83" s="142"/>
      <c r="AG83" s="142"/>
      <c r="AH83" s="142"/>
      <c r="AI83" s="142"/>
      <c r="AJ83" s="142"/>
    </row>
    <row r="84" ht="22.5" hidden="1" customHeight="1">
      <c r="A84" s="4"/>
      <c r="B84" s="4"/>
      <c r="C84" s="131"/>
      <c r="D84" s="119"/>
      <c r="E84" s="119"/>
      <c r="F84" s="119"/>
      <c r="G84" s="119"/>
      <c r="H84" s="119"/>
      <c r="I84" s="119"/>
      <c r="J84" s="121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25">
        <f t="shared" si="1"/>
        <v>0</v>
      </c>
      <c r="X84" s="119"/>
      <c r="Y84" s="119"/>
      <c r="Z84" s="127">
        <f t="shared" si="3"/>
        <v>0</v>
      </c>
      <c r="AA84" s="141"/>
      <c r="AB84" s="142"/>
      <c r="AC84" s="133">
        <f t="shared" si="2"/>
        <v>0</v>
      </c>
      <c r="AD84" s="142"/>
      <c r="AE84" s="142"/>
      <c r="AF84" s="142"/>
      <c r="AG84" s="142"/>
      <c r="AH84" s="142"/>
      <c r="AI84" s="142"/>
      <c r="AJ84" s="142"/>
    </row>
    <row r="85" ht="22.5" hidden="1" customHeight="1">
      <c r="A85" s="4"/>
      <c r="B85" s="4"/>
      <c r="C85" s="131"/>
      <c r="D85" s="119"/>
      <c r="E85" s="119"/>
      <c r="F85" s="119"/>
      <c r="G85" s="119"/>
      <c r="H85" s="119"/>
      <c r="I85" s="119"/>
      <c r="J85" s="121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25">
        <f t="shared" si="1"/>
        <v>0</v>
      </c>
      <c r="X85" s="119"/>
      <c r="Y85" s="119"/>
      <c r="Z85" s="127">
        <f t="shared" si="3"/>
        <v>0</v>
      </c>
      <c r="AA85" s="141"/>
      <c r="AB85" s="142"/>
      <c r="AC85" s="133">
        <f t="shared" si="2"/>
        <v>0</v>
      </c>
      <c r="AD85" s="142"/>
      <c r="AE85" s="142"/>
      <c r="AF85" s="142"/>
      <c r="AG85" s="142"/>
      <c r="AH85" s="142"/>
      <c r="AI85" s="142"/>
      <c r="AJ85" s="142"/>
    </row>
    <row r="86" ht="22.5" hidden="1" customHeight="1">
      <c r="A86" s="4"/>
      <c r="B86" s="4"/>
      <c r="C86" s="131"/>
      <c r="D86" s="119"/>
      <c r="E86" s="119"/>
      <c r="F86" s="119"/>
      <c r="G86" s="119"/>
      <c r="H86" s="119"/>
      <c r="I86" s="119"/>
      <c r="J86" s="121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25">
        <f t="shared" si="1"/>
        <v>0</v>
      </c>
      <c r="X86" s="119"/>
      <c r="Y86" s="119"/>
      <c r="Z86" s="127">
        <f t="shared" si="3"/>
        <v>0</v>
      </c>
      <c r="AA86" s="141"/>
      <c r="AB86" s="142"/>
      <c r="AC86" s="133">
        <f t="shared" si="2"/>
        <v>0</v>
      </c>
      <c r="AD86" s="142"/>
      <c r="AE86" s="142"/>
      <c r="AF86" s="142"/>
      <c r="AG86" s="142"/>
      <c r="AH86" s="142"/>
      <c r="AI86" s="142"/>
      <c r="AJ86" s="142"/>
    </row>
    <row r="87" ht="22.5" hidden="1" customHeight="1">
      <c r="A87" s="4"/>
      <c r="B87" s="4"/>
      <c r="C87" s="131"/>
      <c r="D87" s="119"/>
      <c r="E87" s="119"/>
      <c r="F87" s="119"/>
      <c r="G87" s="119"/>
      <c r="H87" s="119"/>
      <c r="I87" s="119"/>
      <c r="J87" s="121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25">
        <f t="shared" si="1"/>
        <v>0</v>
      </c>
      <c r="X87" s="119"/>
      <c r="Y87" s="119"/>
      <c r="Z87" s="127">
        <f t="shared" si="3"/>
        <v>0</v>
      </c>
      <c r="AA87" s="141"/>
      <c r="AB87" s="142"/>
      <c r="AC87" s="133">
        <f t="shared" si="2"/>
        <v>0</v>
      </c>
      <c r="AD87" s="142"/>
      <c r="AE87" s="142"/>
      <c r="AF87" s="142"/>
      <c r="AG87" s="142"/>
      <c r="AH87" s="142"/>
      <c r="AI87" s="142"/>
      <c r="AJ87" s="142"/>
    </row>
    <row r="88" ht="22.5" hidden="1" customHeight="1">
      <c r="A88" s="4"/>
      <c r="B88" s="4"/>
      <c r="C88" s="131"/>
      <c r="D88" s="119"/>
      <c r="E88" s="119"/>
      <c r="F88" s="119"/>
      <c r="G88" s="119"/>
      <c r="H88" s="119"/>
      <c r="I88" s="119"/>
      <c r="J88" s="121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25">
        <f t="shared" si="1"/>
        <v>0</v>
      </c>
      <c r="X88" s="119"/>
      <c r="Y88" s="119"/>
      <c r="Z88" s="127">
        <f t="shared" si="3"/>
        <v>0</v>
      </c>
      <c r="AA88" s="141"/>
      <c r="AB88" s="142"/>
      <c r="AC88" s="133">
        <f t="shared" si="2"/>
        <v>0</v>
      </c>
      <c r="AD88" s="142"/>
      <c r="AE88" s="142"/>
      <c r="AF88" s="142"/>
      <c r="AG88" s="142"/>
      <c r="AH88" s="142"/>
      <c r="AI88" s="142"/>
      <c r="AJ88" s="142"/>
    </row>
    <row r="89" ht="22.5" hidden="1" customHeight="1">
      <c r="A89" s="4"/>
      <c r="B89" s="4"/>
      <c r="C89" s="131"/>
      <c r="D89" s="119"/>
      <c r="E89" s="119"/>
      <c r="F89" s="119"/>
      <c r="G89" s="119"/>
      <c r="H89" s="119"/>
      <c r="I89" s="119"/>
      <c r="J89" s="121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25">
        <f t="shared" si="1"/>
        <v>0</v>
      </c>
      <c r="X89" s="119"/>
      <c r="Y89" s="119"/>
      <c r="Z89" s="127">
        <f t="shared" si="3"/>
        <v>0</v>
      </c>
      <c r="AA89" s="141"/>
      <c r="AB89" s="142"/>
      <c r="AC89" s="133">
        <f t="shared" si="2"/>
        <v>0</v>
      </c>
      <c r="AD89" s="142"/>
      <c r="AE89" s="142"/>
      <c r="AF89" s="142"/>
      <c r="AG89" s="142"/>
      <c r="AH89" s="142"/>
      <c r="AI89" s="142"/>
      <c r="AJ89" s="142"/>
    </row>
    <row r="90" ht="22.5" hidden="1" customHeight="1">
      <c r="A90" s="4"/>
      <c r="B90" s="4"/>
      <c r="C90" s="131"/>
      <c r="D90" s="119"/>
      <c r="E90" s="119"/>
      <c r="F90" s="119"/>
      <c r="G90" s="119"/>
      <c r="H90" s="119"/>
      <c r="I90" s="119"/>
      <c r="J90" s="121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25">
        <f t="shared" si="1"/>
        <v>0</v>
      </c>
      <c r="X90" s="119"/>
      <c r="Y90" s="119"/>
      <c r="Z90" s="127">
        <f t="shared" si="3"/>
        <v>0</v>
      </c>
      <c r="AA90" s="141"/>
      <c r="AB90" s="142"/>
      <c r="AC90" s="133">
        <f t="shared" si="2"/>
        <v>0</v>
      </c>
      <c r="AD90" s="142"/>
      <c r="AE90" s="142"/>
      <c r="AF90" s="142"/>
      <c r="AG90" s="142"/>
      <c r="AH90" s="142"/>
      <c r="AI90" s="142"/>
      <c r="AJ90" s="142"/>
    </row>
    <row r="91" ht="22.5" hidden="1" customHeight="1">
      <c r="A91" s="4"/>
      <c r="B91" s="4"/>
      <c r="C91" s="131"/>
      <c r="D91" s="119"/>
      <c r="E91" s="119"/>
      <c r="F91" s="119"/>
      <c r="G91" s="119"/>
      <c r="H91" s="119"/>
      <c r="I91" s="119"/>
      <c r="J91" s="121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25">
        <f t="shared" si="1"/>
        <v>0</v>
      </c>
      <c r="X91" s="119"/>
      <c r="Y91" s="119"/>
      <c r="Z91" s="127">
        <f t="shared" si="3"/>
        <v>0</v>
      </c>
      <c r="AA91" s="141"/>
      <c r="AB91" s="142"/>
      <c r="AC91" s="133">
        <f t="shared" si="2"/>
        <v>0</v>
      </c>
      <c r="AD91" s="142"/>
      <c r="AE91" s="142"/>
      <c r="AF91" s="142"/>
      <c r="AG91" s="142"/>
      <c r="AH91" s="142"/>
      <c r="AI91" s="142"/>
      <c r="AJ91" s="142"/>
    </row>
    <row r="92" ht="22.5" hidden="1" customHeight="1">
      <c r="A92" s="4"/>
      <c r="B92" s="4"/>
      <c r="C92" s="131"/>
      <c r="D92" s="119"/>
      <c r="E92" s="119"/>
      <c r="F92" s="119"/>
      <c r="G92" s="119"/>
      <c r="H92" s="119"/>
      <c r="I92" s="119"/>
      <c r="J92" s="121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25">
        <f t="shared" si="1"/>
        <v>0</v>
      </c>
      <c r="X92" s="119"/>
      <c r="Y92" s="119"/>
      <c r="Z92" s="127">
        <f t="shared" si="3"/>
        <v>0</v>
      </c>
      <c r="AA92" s="141"/>
      <c r="AB92" s="142"/>
      <c r="AC92" s="133">
        <f t="shared" si="2"/>
        <v>0</v>
      </c>
      <c r="AD92" s="142"/>
      <c r="AE92" s="142"/>
      <c r="AF92" s="142"/>
      <c r="AG92" s="142"/>
      <c r="AH92" s="142"/>
      <c r="AI92" s="142"/>
      <c r="AJ92" s="142"/>
    </row>
    <row r="93" ht="22.5" hidden="1" customHeight="1">
      <c r="A93" s="4"/>
      <c r="B93" s="4"/>
      <c r="C93" s="131"/>
      <c r="D93" s="119"/>
      <c r="E93" s="119"/>
      <c r="F93" s="119"/>
      <c r="G93" s="119"/>
      <c r="H93" s="119"/>
      <c r="I93" s="119"/>
      <c r="J93" s="121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25">
        <f t="shared" si="1"/>
        <v>0</v>
      </c>
      <c r="X93" s="119"/>
      <c r="Y93" s="119"/>
      <c r="Z93" s="127">
        <f t="shared" si="3"/>
        <v>0</v>
      </c>
      <c r="AA93" s="141"/>
      <c r="AB93" s="142"/>
      <c r="AC93" s="133">
        <f t="shared" si="2"/>
        <v>0</v>
      </c>
      <c r="AD93" s="142"/>
      <c r="AE93" s="142"/>
      <c r="AF93" s="142"/>
      <c r="AG93" s="142"/>
      <c r="AH93" s="142"/>
      <c r="AI93" s="142"/>
      <c r="AJ93" s="142"/>
    </row>
    <row r="94" ht="22.5" hidden="1" customHeight="1">
      <c r="A94" s="4"/>
      <c r="B94" s="4"/>
      <c r="C94" s="131"/>
      <c r="D94" s="119"/>
      <c r="E94" s="119"/>
      <c r="F94" s="119"/>
      <c r="G94" s="119"/>
      <c r="H94" s="119"/>
      <c r="I94" s="119"/>
      <c r="J94" s="121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25">
        <f t="shared" si="1"/>
        <v>0</v>
      </c>
      <c r="X94" s="119"/>
      <c r="Y94" s="119"/>
      <c r="Z94" s="127">
        <f t="shared" si="3"/>
        <v>0</v>
      </c>
      <c r="AA94" s="141"/>
      <c r="AB94" s="142"/>
      <c r="AC94" s="133">
        <f t="shared" si="2"/>
        <v>0</v>
      </c>
      <c r="AD94" s="142"/>
      <c r="AE94" s="142"/>
      <c r="AF94" s="142"/>
      <c r="AG94" s="142"/>
      <c r="AH94" s="142"/>
      <c r="AI94" s="142"/>
      <c r="AJ94" s="142"/>
    </row>
    <row r="95" ht="22.5" hidden="1" customHeight="1">
      <c r="A95" s="4"/>
      <c r="B95" s="4"/>
      <c r="C95" s="131"/>
      <c r="D95" s="119"/>
      <c r="E95" s="119"/>
      <c r="F95" s="119"/>
      <c r="G95" s="119"/>
      <c r="H95" s="119"/>
      <c r="I95" s="119"/>
      <c r="J95" s="121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25">
        <f t="shared" si="1"/>
        <v>0</v>
      </c>
      <c r="X95" s="119"/>
      <c r="Y95" s="119"/>
      <c r="Z95" s="127">
        <f t="shared" si="3"/>
        <v>0</v>
      </c>
      <c r="AA95" s="141"/>
      <c r="AB95" s="142"/>
      <c r="AC95" s="133">
        <f t="shared" si="2"/>
        <v>0</v>
      </c>
      <c r="AD95" s="142"/>
      <c r="AE95" s="142"/>
      <c r="AF95" s="142"/>
      <c r="AG95" s="142"/>
      <c r="AH95" s="142"/>
      <c r="AI95" s="142"/>
      <c r="AJ95" s="142"/>
    </row>
    <row r="96" ht="22.5" hidden="1" customHeight="1">
      <c r="A96" s="4"/>
      <c r="B96" s="4"/>
      <c r="C96" s="131"/>
      <c r="D96" s="119"/>
      <c r="E96" s="119"/>
      <c r="F96" s="119"/>
      <c r="G96" s="119"/>
      <c r="H96" s="119"/>
      <c r="I96" s="119"/>
      <c r="J96" s="121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25">
        <f t="shared" si="1"/>
        <v>0</v>
      </c>
      <c r="X96" s="119"/>
      <c r="Y96" s="119"/>
      <c r="Z96" s="127">
        <f t="shared" si="3"/>
        <v>0</v>
      </c>
      <c r="AA96" s="141"/>
      <c r="AB96" s="142"/>
      <c r="AC96" s="133">
        <f t="shared" si="2"/>
        <v>0</v>
      </c>
      <c r="AD96" s="142"/>
      <c r="AE96" s="142"/>
      <c r="AF96" s="142"/>
      <c r="AG96" s="142"/>
      <c r="AH96" s="142"/>
      <c r="AI96" s="142"/>
      <c r="AJ96" s="142"/>
    </row>
    <row r="97" ht="22.5" hidden="1" customHeight="1">
      <c r="A97" s="4"/>
      <c r="B97" s="4"/>
      <c r="C97" s="131"/>
      <c r="D97" s="119"/>
      <c r="E97" s="119"/>
      <c r="F97" s="119"/>
      <c r="G97" s="119"/>
      <c r="H97" s="119"/>
      <c r="I97" s="119"/>
      <c r="J97" s="121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25">
        <f t="shared" si="1"/>
        <v>0</v>
      </c>
      <c r="X97" s="119"/>
      <c r="Y97" s="119"/>
      <c r="Z97" s="127">
        <f t="shared" si="3"/>
        <v>0</v>
      </c>
      <c r="AA97" s="141"/>
      <c r="AB97" s="142"/>
      <c r="AC97" s="133">
        <f t="shared" si="2"/>
        <v>0</v>
      </c>
      <c r="AD97" s="142"/>
      <c r="AE97" s="142"/>
      <c r="AF97" s="142"/>
      <c r="AG97" s="142"/>
      <c r="AH97" s="142"/>
      <c r="AI97" s="142"/>
      <c r="AJ97" s="142"/>
    </row>
    <row r="98" ht="22.5" hidden="1" customHeight="1">
      <c r="A98" s="4"/>
      <c r="B98" s="4"/>
      <c r="C98" s="131"/>
      <c r="D98" s="119"/>
      <c r="E98" s="119"/>
      <c r="F98" s="119"/>
      <c r="G98" s="119"/>
      <c r="H98" s="119"/>
      <c r="I98" s="119"/>
      <c r="J98" s="121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25">
        <f t="shared" si="1"/>
        <v>0</v>
      </c>
      <c r="X98" s="119"/>
      <c r="Y98" s="119"/>
      <c r="Z98" s="127">
        <f t="shared" si="3"/>
        <v>0</v>
      </c>
      <c r="AA98" s="141"/>
      <c r="AB98" s="142"/>
      <c r="AC98" s="133">
        <f t="shared" si="2"/>
        <v>0</v>
      </c>
      <c r="AD98" s="142"/>
      <c r="AE98" s="142"/>
      <c r="AF98" s="142"/>
      <c r="AG98" s="142"/>
      <c r="AH98" s="142"/>
      <c r="AI98" s="142"/>
      <c r="AJ98" s="142"/>
    </row>
    <row r="99" ht="22.5" hidden="1" customHeight="1">
      <c r="A99" s="4"/>
      <c r="B99" s="4"/>
      <c r="C99" s="131"/>
      <c r="D99" s="119"/>
      <c r="E99" s="119"/>
      <c r="F99" s="119"/>
      <c r="G99" s="119"/>
      <c r="H99" s="119"/>
      <c r="I99" s="119"/>
      <c r="J99" s="121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25">
        <f t="shared" si="1"/>
        <v>0</v>
      </c>
      <c r="X99" s="119"/>
      <c r="Y99" s="119"/>
      <c r="Z99" s="127">
        <f t="shared" si="3"/>
        <v>0</v>
      </c>
      <c r="AA99" s="141"/>
      <c r="AB99" s="142"/>
      <c r="AC99" s="133">
        <f t="shared" si="2"/>
        <v>0</v>
      </c>
      <c r="AD99" s="142"/>
      <c r="AE99" s="142"/>
      <c r="AF99" s="142"/>
      <c r="AG99" s="142"/>
      <c r="AH99" s="142"/>
      <c r="AI99" s="142"/>
      <c r="AJ99" s="142"/>
    </row>
    <row r="100" ht="22.5" hidden="1" customHeight="1">
      <c r="A100" s="4"/>
      <c r="B100" s="4"/>
      <c r="C100" s="131"/>
      <c r="D100" s="119"/>
      <c r="E100" s="119"/>
      <c r="F100" s="119"/>
      <c r="G100" s="119"/>
      <c r="H100" s="119"/>
      <c r="I100" s="119"/>
      <c r="J100" s="121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25">
        <f t="shared" si="1"/>
        <v>0</v>
      </c>
      <c r="X100" s="119"/>
      <c r="Y100" s="119"/>
      <c r="Z100" s="127">
        <f t="shared" si="3"/>
        <v>0</v>
      </c>
      <c r="AA100" s="141"/>
      <c r="AB100" s="142"/>
      <c r="AC100" s="133">
        <f t="shared" si="2"/>
        <v>0</v>
      </c>
      <c r="AD100" s="142"/>
      <c r="AE100" s="142"/>
      <c r="AF100" s="142"/>
      <c r="AG100" s="142"/>
      <c r="AH100" s="142"/>
      <c r="AI100" s="142"/>
      <c r="AJ100" s="142"/>
    </row>
    <row r="101" ht="22.5" hidden="1" customHeight="1">
      <c r="A101" s="4"/>
      <c r="B101" s="4"/>
      <c r="C101" s="131"/>
      <c r="D101" s="119"/>
      <c r="E101" s="119"/>
      <c r="F101" s="119"/>
      <c r="G101" s="119"/>
      <c r="H101" s="119"/>
      <c r="I101" s="119"/>
      <c r="J101" s="121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25">
        <f t="shared" si="1"/>
        <v>0</v>
      </c>
      <c r="X101" s="119"/>
      <c r="Y101" s="119"/>
      <c r="Z101" s="127">
        <f t="shared" si="3"/>
        <v>0</v>
      </c>
      <c r="AA101" s="141"/>
      <c r="AB101" s="142"/>
      <c r="AC101" s="133">
        <f t="shared" si="2"/>
        <v>0</v>
      </c>
      <c r="AD101" s="142"/>
      <c r="AE101" s="142"/>
      <c r="AF101" s="142"/>
      <c r="AG101" s="142"/>
      <c r="AH101" s="142"/>
      <c r="AI101" s="142"/>
      <c r="AJ101" s="142"/>
    </row>
    <row r="102" ht="22.5" hidden="1" customHeight="1">
      <c r="A102" s="4"/>
      <c r="B102" s="4"/>
      <c r="C102" s="131"/>
      <c r="D102" s="119"/>
      <c r="E102" s="119"/>
      <c r="F102" s="119"/>
      <c r="G102" s="119"/>
      <c r="H102" s="119"/>
      <c r="I102" s="119"/>
      <c r="J102" s="121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25">
        <f t="shared" si="1"/>
        <v>0</v>
      </c>
      <c r="X102" s="119"/>
      <c r="Y102" s="119"/>
      <c r="Z102" s="127">
        <f t="shared" si="3"/>
        <v>0</v>
      </c>
      <c r="AA102" s="141"/>
      <c r="AB102" s="142"/>
      <c r="AC102" s="133">
        <f t="shared" si="2"/>
        <v>0</v>
      </c>
      <c r="AD102" s="142"/>
      <c r="AE102" s="142"/>
      <c r="AF102" s="142"/>
      <c r="AG102" s="142"/>
      <c r="AH102" s="142"/>
      <c r="AI102" s="142"/>
      <c r="AJ102" s="142"/>
    </row>
    <row r="103" ht="22.5" hidden="1" customHeight="1">
      <c r="A103" s="4"/>
      <c r="B103" s="4"/>
      <c r="C103" s="131"/>
      <c r="D103" s="119"/>
      <c r="E103" s="119"/>
      <c r="F103" s="119"/>
      <c r="G103" s="119"/>
      <c r="H103" s="119"/>
      <c r="I103" s="119"/>
      <c r="J103" s="121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25">
        <f t="shared" si="1"/>
        <v>0</v>
      </c>
      <c r="X103" s="119"/>
      <c r="Y103" s="119"/>
      <c r="Z103" s="127">
        <f t="shared" si="3"/>
        <v>0</v>
      </c>
      <c r="AA103" s="141"/>
      <c r="AB103" s="142"/>
      <c r="AC103" s="133">
        <f t="shared" si="2"/>
        <v>0</v>
      </c>
      <c r="AD103" s="142"/>
      <c r="AE103" s="142"/>
      <c r="AF103" s="142"/>
      <c r="AG103" s="142"/>
      <c r="AH103" s="142"/>
      <c r="AI103" s="142"/>
      <c r="AJ103" s="142"/>
    </row>
    <row r="104" ht="22.5" hidden="1" customHeight="1">
      <c r="A104" s="4"/>
      <c r="B104" s="4"/>
      <c r="C104" s="131"/>
      <c r="D104" s="119"/>
      <c r="E104" s="119"/>
      <c r="F104" s="119"/>
      <c r="G104" s="119"/>
      <c r="H104" s="119"/>
      <c r="I104" s="119"/>
      <c r="J104" s="121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25">
        <f t="shared" si="1"/>
        <v>0</v>
      </c>
      <c r="X104" s="119"/>
      <c r="Y104" s="119"/>
      <c r="Z104" s="127">
        <f t="shared" si="3"/>
        <v>0</v>
      </c>
      <c r="AA104" s="141"/>
      <c r="AB104" s="142"/>
      <c r="AC104" s="133">
        <f t="shared" si="2"/>
        <v>0</v>
      </c>
      <c r="AD104" s="142"/>
      <c r="AE104" s="142"/>
      <c r="AF104" s="142"/>
      <c r="AG104" s="142"/>
      <c r="AH104" s="142"/>
      <c r="AI104" s="142"/>
      <c r="AJ104" s="142"/>
    </row>
    <row r="105" ht="22.5" hidden="1" customHeight="1">
      <c r="A105" s="4"/>
      <c r="B105" s="4"/>
      <c r="C105" s="131"/>
      <c r="D105" s="119"/>
      <c r="E105" s="119"/>
      <c r="F105" s="119"/>
      <c r="G105" s="119"/>
      <c r="H105" s="119"/>
      <c r="I105" s="119"/>
      <c r="J105" s="121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25">
        <f t="shared" si="1"/>
        <v>0</v>
      </c>
      <c r="X105" s="119"/>
      <c r="Y105" s="119"/>
      <c r="Z105" s="127">
        <f t="shared" si="3"/>
        <v>0</v>
      </c>
      <c r="AA105" s="141"/>
      <c r="AB105" s="142"/>
      <c r="AC105" s="133">
        <f t="shared" si="2"/>
        <v>0</v>
      </c>
      <c r="AD105" s="142"/>
      <c r="AE105" s="142"/>
      <c r="AF105" s="142"/>
      <c r="AG105" s="142"/>
      <c r="AH105" s="142"/>
      <c r="AI105" s="142"/>
      <c r="AJ105" s="142"/>
    </row>
    <row r="106" ht="22.5" hidden="1" customHeight="1">
      <c r="A106" s="4"/>
      <c r="B106" s="4"/>
      <c r="C106" s="131"/>
      <c r="D106" s="119"/>
      <c r="E106" s="119"/>
      <c r="F106" s="119"/>
      <c r="G106" s="119"/>
      <c r="H106" s="119"/>
      <c r="I106" s="119"/>
      <c r="J106" s="121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25">
        <f t="shared" si="1"/>
        <v>0</v>
      </c>
      <c r="X106" s="119"/>
      <c r="Y106" s="119"/>
      <c r="Z106" s="127">
        <f t="shared" si="3"/>
        <v>0</v>
      </c>
      <c r="AA106" s="141"/>
      <c r="AB106" s="142"/>
      <c r="AC106" s="133">
        <f t="shared" si="2"/>
        <v>0</v>
      </c>
      <c r="AD106" s="142"/>
      <c r="AE106" s="142"/>
      <c r="AF106" s="142"/>
      <c r="AG106" s="142"/>
      <c r="AH106" s="142"/>
      <c r="AI106" s="142"/>
      <c r="AJ106" s="142"/>
    </row>
    <row r="107" ht="22.5" hidden="1" customHeight="1">
      <c r="A107" s="4"/>
      <c r="B107" s="4"/>
      <c r="C107" s="131"/>
      <c r="D107" s="119"/>
      <c r="E107" s="119"/>
      <c r="F107" s="119"/>
      <c r="G107" s="119"/>
      <c r="H107" s="119"/>
      <c r="I107" s="119"/>
      <c r="J107" s="121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25">
        <f t="shared" si="1"/>
        <v>0</v>
      </c>
      <c r="X107" s="119"/>
      <c r="Y107" s="119"/>
      <c r="Z107" s="127">
        <f t="shared" si="3"/>
        <v>0</v>
      </c>
      <c r="AA107" s="141"/>
      <c r="AB107" s="142"/>
      <c r="AC107" s="133">
        <f t="shared" si="2"/>
        <v>0</v>
      </c>
      <c r="AD107" s="142"/>
      <c r="AE107" s="142"/>
      <c r="AF107" s="142"/>
      <c r="AG107" s="142"/>
      <c r="AH107" s="142"/>
      <c r="AI107" s="142"/>
      <c r="AJ107" s="142"/>
    </row>
    <row r="108" ht="22.5" hidden="1" customHeight="1">
      <c r="A108" s="4"/>
      <c r="B108" s="4"/>
      <c r="C108" s="131"/>
      <c r="D108" s="119"/>
      <c r="E108" s="119"/>
      <c r="F108" s="119"/>
      <c r="G108" s="119"/>
      <c r="H108" s="119"/>
      <c r="I108" s="119"/>
      <c r="J108" s="121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25">
        <f t="shared" si="1"/>
        <v>0</v>
      </c>
      <c r="X108" s="119"/>
      <c r="Y108" s="119"/>
      <c r="Z108" s="127">
        <f t="shared" si="3"/>
        <v>0</v>
      </c>
      <c r="AA108" s="141"/>
      <c r="AB108" s="142"/>
      <c r="AC108" s="133">
        <f t="shared" si="2"/>
        <v>0</v>
      </c>
      <c r="AD108" s="142"/>
      <c r="AE108" s="142"/>
      <c r="AF108" s="142"/>
      <c r="AG108" s="142"/>
      <c r="AH108" s="142"/>
      <c r="AI108" s="142"/>
      <c r="AJ108" s="142"/>
    </row>
    <row r="109" ht="22.5" customHeight="1">
      <c r="A109" s="4"/>
      <c r="B109" s="4"/>
      <c r="C109" s="131"/>
      <c r="D109" s="119"/>
      <c r="E109" s="119"/>
      <c r="F109" s="119"/>
      <c r="G109" s="119"/>
      <c r="H109" s="119"/>
      <c r="I109" s="119"/>
      <c r="J109" s="121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25">
        <f t="shared" si="1"/>
        <v>0</v>
      </c>
      <c r="X109" s="119"/>
      <c r="Y109" s="119"/>
      <c r="Z109" s="127">
        <f t="shared" si="3"/>
        <v>0</v>
      </c>
      <c r="AA109" s="141"/>
      <c r="AB109" s="142"/>
      <c r="AC109" s="133">
        <f t="shared" si="2"/>
        <v>0</v>
      </c>
      <c r="AD109" s="142"/>
      <c r="AE109" s="142"/>
      <c r="AF109" s="142"/>
      <c r="AG109" s="142"/>
      <c r="AH109" s="142"/>
      <c r="AI109" s="142"/>
      <c r="AJ109" s="142"/>
    </row>
    <row r="110" ht="22.5" customHeight="1">
      <c r="A110" s="115" t="s">
        <v>109</v>
      </c>
      <c r="B110" s="143"/>
      <c r="C110" s="136"/>
      <c r="D110" s="136">
        <f t="shared" ref="D110:V110" si="5">SUM(D3:D109)</f>
        <v>200000</v>
      </c>
      <c r="E110" s="136">
        <f t="shared" si="5"/>
        <v>25000</v>
      </c>
      <c r="F110" s="136">
        <f t="shared" si="5"/>
        <v>25000</v>
      </c>
      <c r="G110" s="136">
        <f t="shared" si="5"/>
        <v>10000</v>
      </c>
      <c r="H110" s="136">
        <f t="shared" si="5"/>
        <v>50000</v>
      </c>
      <c r="I110" s="136">
        <f t="shared" si="5"/>
        <v>131890</v>
      </c>
      <c r="J110" s="144">
        <f t="shared" si="5"/>
        <v>-36810</v>
      </c>
      <c r="K110" s="136">
        <f t="shared" si="5"/>
        <v>30008</v>
      </c>
      <c r="L110" s="136">
        <f t="shared" si="5"/>
        <v>6789</v>
      </c>
      <c r="M110" s="136">
        <f t="shared" si="5"/>
        <v>40000</v>
      </c>
      <c r="N110" s="136">
        <f t="shared" si="5"/>
        <v>1500</v>
      </c>
      <c r="O110" s="136">
        <f t="shared" si="5"/>
        <v>0</v>
      </c>
      <c r="P110" s="136">
        <f t="shared" si="5"/>
        <v>0</v>
      </c>
      <c r="Q110" s="136">
        <f t="shared" si="5"/>
        <v>3386</v>
      </c>
      <c r="R110" s="136">
        <f t="shared" si="5"/>
        <v>0</v>
      </c>
      <c r="S110" s="136">
        <f t="shared" si="5"/>
        <v>0</v>
      </c>
      <c r="T110" s="136">
        <f t="shared" si="5"/>
        <v>16500</v>
      </c>
      <c r="U110" s="136">
        <f t="shared" si="5"/>
        <v>0</v>
      </c>
      <c r="V110" s="136">
        <f t="shared" si="5"/>
        <v>0</v>
      </c>
      <c r="W110" s="125">
        <f t="shared" si="1"/>
        <v>503263</v>
      </c>
      <c r="X110" s="136">
        <f t="shared" ref="X110:Z110" si="6">SUM(X3:X109)</f>
        <v>23872</v>
      </c>
      <c r="Y110" s="136">
        <f t="shared" si="6"/>
        <v>0</v>
      </c>
      <c r="Z110" s="136">
        <f t="shared" si="6"/>
        <v>527135</v>
      </c>
      <c r="AA110" s="145"/>
      <c r="AC110" s="146"/>
    </row>
    <row r="111">
      <c r="A111" s="117"/>
      <c r="B111" s="11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</row>
    <row r="112">
      <c r="A112" s="117"/>
      <c r="B112" s="117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</row>
    <row r="113">
      <c r="A113" s="117"/>
      <c r="B113" s="11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</row>
    <row r="114">
      <c r="A114" s="117"/>
      <c r="B114" s="11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</row>
    <row r="115">
      <c r="A115" s="117"/>
      <c r="B115" s="11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</row>
    <row r="116">
      <c r="A116" s="117"/>
      <c r="B116" s="11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</row>
    <row r="117">
      <c r="A117" s="117"/>
      <c r="B117" s="11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</row>
    <row r="118">
      <c r="A118" s="117"/>
      <c r="B118" s="11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</row>
    <row r="119">
      <c r="A119" s="117"/>
      <c r="B119" s="11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</row>
    <row r="120">
      <c r="A120" s="117"/>
      <c r="B120" s="11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</row>
    <row r="121">
      <c r="A121" s="117"/>
      <c r="B121" s="11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</row>
    <row r="122">
      <c r="A122" s="117"/>
      <c r="B122" s="11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</row>
    <row r="123">
      <c r="A123" s="117"/>
      <c r="B123" s="11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</row>
    <row r="124">
      <c r="A124" s="117"/>
      <c r="B124" s="11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</row>
    <row r="125">
      <c r="A125" s="117"/>
      <c r="B125" s="11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</row>
    <row r="126">
      <c r="A126" s="117"/>
      <c r="B126" s="11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</row>
    <row r="127">
      <c r="A127" s="117"/>
      <c r="B127" s="117"/>
    </row>
    <row r="128">
      <c r="A128" s="117"/>
      <c r="B128" s="117"/>
    </row>
    <row r="129">
      <c r="A129" s="117"/>
      <c r="B129" s="117"/>
    </row>
    <row r="130">
      <c r="A130" s="117"/>
      <c r="B130" s="117"/>
    </row>
    <row r="131">
      <c r="A131" s="117"/>
      <c r="B131" s="117"/>
    </row>
    <row r="132">
      <c r="A132" s="117"/>
      <c r="B132" s="117"/>
    </row>
    <row r="133">
      <c r="A133" s="117"/>
      <c r="B133" s="117"/>
    </row>
    <row r="134">
      <c r="A134" s="117"/>
      <c r="B134" s="117"/>
    </row>
    <row r="135">
      <c r="A135" s="117"/>
      <c r="B135" s="117"/>
    </row>
    <row r="136">
      <c r="A136" s="117"/>
      <c r="B136" s="117"/>
    </row>
    <row r="137">
      <c r="A137" s="117"/>
      <c r="B137" s="117"/>
    </row>
    <row r="138">
      <c r="A138" s="117"/>
      <c r="B138" s="117"/>
    </row>
    <row r="139">
      <c r="A139" s="117"/>
      <c r="B139" s="117"/>
    </row>
    <row r="140">
      <c r="A140" s="117"/>
      <c r="B140" s="117"/>
    </row>
    <row r="141">
      <c r="A141" s="117"/>
      <c r="B141" s="117"/>
    </row>
    <row r="142">
      <c r="A142" s="117"/>
      <c r="B142" s="117"/>
    </row>
    <row r="143">
      <c r="A143" s="117"/>
      <c r="B143" s="117"/>
    </row>
    <row r="144">
      <c r="A144" s="117"/>
      <c r="B144" s="117"/>
    </row>
    <row r="145">
      <c r="A145" s="117"/>
      <c r="B145" s="117"/>
    </row>
    <row r="146">
      <c r="A146" s="117"/>
      <c r="B146" s="117"/>
    </row>
    <row r="147">
      <c r="A147" s="117"/>
      <c r="B147" s="117"/>
    </row>
    <row r="148">
      <c r="A148" s="117"/>
      <c r="B148" s="117"/>
    </row>
    <row r="149">
      <c r="A149" s="117"/>
      <c r="B149" s="117"/>
    </row>
    <row r="150">
      <c r="A150" s="117"/>
      <c r="B150" s="117"/>
    </row>
    <row r="151">
      <c r="A151" s="117"/>
      <c r="B151" s="117"/>
    </row>
    <row r="152">
      <c r="A152" s="117"/>
      <c r="B152" s="117"/>
    </row>
    <row r="153">
      <c r="A153" s="117"/>
      <c r="B153" s="117"/>
    </row>
    <row r="154">
      <c r="A154" s="117"/>
      <c r="B154" s="117"/>
    </row>
    <row r="155">
      <c r="A155" s="117"/>
      <c r="B155" s="117"/>
    </row>
    <row r="156">
      <c r="A156" s="117"/>
      <c r="B156" s="117"/>
    </row>
    <row r="157">
      <c r="A157" s="117"/>
      <c r="B157" s="117"/>
    </row>
    <row r="158">
      <c r="A158" s="117"/>
      <c r="B158" s="117"/>
    </row>
    <row r="159">
      <c r="A159" s="117"/>
      <c r="B159" s="117"/>
    </row>
    <row r="160">
      <c r="A160" s="117"/>
      <c r="B160" s="117"/>
    </row>
    <row r="161">
      <c r="A161" s="117"/>
      <c r="B161" s="117"/>
    </row>
    <row r="162">
      <c r="A162" s="117"/>
      <c r="B162" s="117"/>
    </row>
    <row r="163">
      <c r="A163" s="117"/>
      <c r="B163" s="117"/>
    </row>
    <row r="164">
      <c r="A164" s="117"/>
      <c r="B164" s="117"/>
    </row>
    <row r="165">
      <c r="A165" s="117"/>
      <c r="B165" s="117"/>
    </row>
    <row r="166">
      <c r="A166" s="117"/>
      <c r="B166" s="117"/>
    </row>
    <row r="167">
      <c r="A167" s="117"/>
      <c r="B167" s="117"/>
    </row>
    <row r="168">
      <c r="A168" s="117"/>
      <c r="B168" s="117"/>
    </row>
    <row r="169">
      <c r="A169" s="117"/>
      <c r="B169" s="117"/>
    </row>
    <row r="170">
      <c r="A170" s="117"/>
      <c r="B170" s="117"/>
    </row>
    <row r="171">
      <c r="A171" s="117"/>
      <c r="B171" s="117"/>
    </row>
    <row r="172">
      <c r="A172" s="117"/>
      <c r="B172" s="117"/>
    </row>
    <row r="173">
      <c r="A173" s="117"/>
      <c r="B173" s="117"/>
    </row>
    <row r="174">
      <c r="A174" s="117"/>
      <c r="B174" s="117"/>
    </row>
    <row r="175">
      <c r="A175" s="117"/>
      <c r="B175" s="117"/>
    </row>
    <row r="176">
      <c r="A176" s="117"/>
      <c r="B176" s="117"/>
    </row>
    <row r="177">
      <c r="A177" s="117"/>
      <c r="B177" s="117"/>
    </row>
    <row r="178">
      <c r="A178" s="117"/>
      <c r="B178" s="117"/>
    </row>
    <row r="179">
      <c r="A179" s="117"/>
      <c r="B179" s="117"/>
    </row>
    <row r="180">
      <c r="A180" s="117"/>
      <c r="B180" s="117"/>
    </row>
    <row r="181">
      <c r="A181" s="117"/>
      <c r="B181" s="117"/>
    </row>
    <row r="182">
      <c r="A182" s="117"/>
      <c r="B182" s="117"/>
    </row>
    <row r="183">
      <c r="A183" s="117"/>
      <c r="B183" s="117"/>
    </row>
    <row r="184">
      <c r="A184" s="117"/>
      <c r="B184" s="117"/>
    </row>
    <row r="185">
      <c r="A185" s="117"/>
      <c r="B185" s="117"/>
    </row>
    <row r="186">
      <c r="A186" s="117"/>
      <c r="B186" s="117"/>
    </row>
    <row r="187">
      <c r="A187" s="117"/>
      <c r="B187" s="117"/>
    </row>
    <row r="188">
      <c r="A188" s="117"/>
      <c r="B188" s="117"/>
    </row>
    <row r="189">
      <c r="A189" s="117"/>
      <c r="B189" s="117"/>
    </row>
    <row r="190">
      <c r="A190" s="117"/>
      <c r="B190" s="117"/>
    </row>
    <row r="191">
      <c r="A191" s="117"/>
      <c r="B191" s="117"/>
    </row>
    <row r="192">
      <c r="A192" s="117"/>
      <c r="B192" s="117"/>
    </row>
    <row r="193">
      <c r="A193" s="117"/>
      <c r="B193" s="117"/>
    </row>
    <row r="194">
      <c r="A194" s="117"/>
      <c r="B194" s="117"/>
    </row>
    <row r="195">
      <c r="A195" s="117"/>
      <c r="B195" s="117"/>
    </row>
    <row r="196">
      <c r="A196" s="117"/>
      <c r="B196" s="117"/>
    </row>
    <row r="197">
      <c r="A197" s="117"/>
      <c r="B197" s="117"/>
    </row>
    <row r="198">
      <c r="A198" s="117"/>
      <c r="B198" s="117"/>
    </row>
    <row r="199">
      <c r="A199" s="117"/>
      <c r="B199" s="117"/>
    </row>
    <row r="200">
      <c r="A200" s="117"/>
      <c r="B200" s="117"/>
    </row>
    <row r="201">
      <c r="A201" s="117"/>
      <c r="B201" s="117"/>
    </row>
    <row r="202">
      <c r="A202" s="117"/>
      <c r="B202" s="117"/>
    </row>
    <row r="203">
      <c r="A203" s="117"/>
      <c r="B203" s="117"/>
    </row>
    <row r="204">
      <c r="A204" s="117"/>
      <c r="B204" s="117"/>
    </row>
    <row r="205">
      <c r="A205" s="117"/>
      <c r="B205" s="117"/>
    </row>
    <row r="206">
      <c r="A206" s="117"/>
      <c r="B206" s="117"/>
    </row>
    <row r="207">
      <c r="A207" s="117"/>
      <c r="B207" s="117"/>
    </row>
    <row r="208">
      <c r="A208" s="117"/>
      <c r="B208" s="117"/>
    </row>
    <row r="209">
      <c r="A209" s="117"/>
      <c r="B209" s="117"/>
    </row>
    <row r="210">
      <c r="A210" s="117"/>
      <c r="B210" s="117"/>
    </row>
    <row r="211">
      <c r="A211" s="117"/>
      <c r="B211" s="117"/>
    </row>
    <row r="212">
      <c r="A212" s="117"/>
      <c r="B212" s="117"/>
    </row>
    <row r="213">
      <c r="A213" s="117"/>
      <c r="B213" s="117"/>
    </row>
    <row r="214">
      <c r="A214" s="117"/>
      <c r="B214" s="117"/>
    </row>
    <row r="215">
      <c r="A215" s="117"/>
      <c r="B215" s="117"/>
    </row>
    <row r="216">
      <c r="A216" s="117"/>
      <c r="B216" s="117"/>
    </row>
    <row r="217">
      <c r="A217" s="117"/>
      <c r="B217" s="117"/>
    </row>
    <row r="218">
      <c r="A218" s="117"/>
      <c r="B218" s="117"/>
    </row>
    <row r="219">
      <c r="A219" s="117"/>
      <c r="B219" s="117"/>
    </row>
    <row r="220">
      <c r="A220" s="117"/>
      <c r="B220" s="117"/>
    </row>
    <row r="221">
      <c r="A221" s="117"/>
      <c r="B221" s="117"/>
    </row>
    <row r="222">
      <c r="A222" s="117"/>
      <c r="B222" s="117"/>
    </row>
    <row r="223">
      <c r="A223" s="117"/>
      <c r="B223" s="117"/>
    </row>
    <row r="224">
      <c r="A224" s="117"/>
      <c r="B224" s="117"/>
    </row>
    <row r="225">
      <c r="A225" s="117"/>
      <c r="B225" s="117"/>
    </row>
    <row r="226">
      <c r="A226" s="117"/>
      <c r="B226" s="117"/>
    </row>
    <row r="227">
      <c r="A227" s="117"/>
      <c r="B227" s="117"/>
    </row>
    <row r="228">
      <c r="A228" s="117"/>
      <c r="B228" s="117"/>
    </row>
    <row r="229">
      <c r="A229" s="117"/>
      <c r="B229" s="117"/>
    </row>
    <row r="230">
      <c r="A230" s="117"/>
      <c r="B230" s="117"/>
    </row>
    <row r="231">
      <c r="A231" s="117"/>
      <c r="B231" s="117"/>
    </row>
    <row r="232">
      <c r="A232" s="117"/>
      <c r="B232" s="117"/>
    </row>
    <row r="233">
      <c r="A233" s="117"/>
      <c r="B233" s="117"/>
    </row>
    <row r="234">
      <c r="A234" s="117"/>
      <c r="B234" s="117"/>
    </row>
    <row r="235">
      <c r="A235" s="117"/>
      <c r="B235" s="117"/>
    </row>
    <row r="236">
      <c r="A236" s="117"/>
      <c r="B236" s="117"/>
    </row>
    <row r="237">
      <c r="A237" s="117"/>
      <c r="B237" s="117"/>
    </row>
    <row r="238">
      <c r="A238" s="117"/>
      <c r="B238" s="117"/>
    </row>
    <row r="239">
      <c r="A239" s="117"/>
      <c r="B239" s="117"/>
    </row>
    <row r="240">
      <c r="A240" s="117"/>
      <c r="B240" s="117"/>
    </row>
    <row r="241">
      <c r="A241" s="117"/>
      <c r="B241" s="117"/>
    </row>
    <row r="242">
      <c r="A242" s="117"/>
      <c r="B242" s="117"/>
    </row>
    <row r="243">
      <c r="A243" s="117"/>
      <c r="B243" s="117"/>
    </row>
    <row r="244">
      <c r="A244" s="117"/>
      <c r="B244" s="117"/>
    </row>
    <row r="245">
      <c r="A245" s="117"/>
      <c r="B245" s="117"/>
    </row>
    <row r="246">
      <c r="A246" s="117"/>
      <c r="B246" s="117"/>
    </row>
    <row r="247">
      <c r="A247" s="117"/>
      <c r="B247" s="117"/>
    </row>
    <row r="248">
      <c r="A248" s="117"/>
      <c r="B248" s="117"/>
    </row>
    <row r="249">
      <c r="A249" s="117"/>
      <c r="B249" s="117"/>
    </row>
    <row r="250">
      <c r="A250" s="117"/>
      <c r="B250" s="117"/>
    </row>
    <row r="251">
      <c r="A251" s="117"/>
      <c r="B251" s="117"/>
    </row>
    <row r="252">
      <c r="A252" s="117"/>
      <c r="B252" s="117"/>
    </row>
    <row r="253">
      <c r="A253" s="117"/>
      <c r="B253" s="117"/>
    </row>
    <row r="254">
      <c r="A254" s="117"/>
      <c r="B254" s="117"/>
    </row>
    <row r="255">
      <c r="A255" s="117"/>
      <c r="B255" s="117"/>
    </row>
    <row r="256">
      <c r="A256" s="117"/>
      <c r="B256" s="117"/>
    </row>
    <row r="257">
      <c r="A257" s="117"/>
      <c r="B257" s="117"/>
    </row>
    <row r="258">
      <c r="A258" s="117"/>
      <c r="B258" s="117"/>
    </row>
    <row r="259">
      <c r="A259" s="117"/>
      <c r="B259" s="117"/>
    </row>
    <row r="260">
      <c r="A260" s="117"/>
      <c r="B260" s="117"/>
    </row>
    <row r="261">
      <c r="A261" s="117"/>
      <c r="B261" s="117"/>
    </row>
    <row r="262">
      <c r="A262" s="117"/>
      <c r="B262" s="117"/>
    </row>
    <row r="263">
      <c r="A263" s="117"/>
      <c r="B263" s="117"/>
    </row>
    <row r="264">
      <c r="A264" s="117"/>
      <c r="B264" s="117"/>
    </row>
    <row r="265">
      <c r="A265" s="117"/>
      <c r="B265" s="117"/>
    </row>
    <row r="266">
      <c r="A266" s="117"/>
      <c r="B266" s="117"/>
    </row>
    <row r="267">
      <c r="A267" s="117"/>
      <c r="B267" s="117"/>
    </row>
    <row r="268">
      <c r="A268" s="117"/>
      <c r="B268" s="117"/>
    </row>
    <row r="269">
      <c r="A269" s="117"/>
      <c r="B269" s="117"/>
    </row>
    <row r="270">
      <c r="A270" s="117"/>
      <c r="B270" s="117"/>
    </row>
    <row r="271">
      <c r="A271" s="117"/>
      <c r="B271" s="117"/>
    </row>
    <row r="272">
      <c r="A272" s="117"/>
      <c r="B272" s="117"/>
    </row>
    <row r="273">
      <c r="A273" s="117"/>
      <c r="B273" s="117"/>
    </row>
    <row r="274">
      <c r="A274" s="117"/>
      <c r="B274" s="117"/>
    </row>
    <row r="275">
      <c r="A275" s="117"/>
      <c r="B275" s="117"/>
    </row>
    <row r="276">
      <c r="A276" s="117"/>
      <c r="B276" s="117"/>
    </row>
    <row r="277">
      <c r="A277" s="117"/>
      <c r="B277" s="117"/>
    </row>
    <row r="278">
      <c r="A278" s="117"/>
      <c r="B278" s="117"/>
    </row>
    <row r="279">
      <c r="A279" s="117"/>
      <c r="B279" s="117"/>
    </row>
    <row r="280">
      <c r="A280" s="117"/>
      <c r="B280" s="117"/>
    </row>
    <row r="281">
      <c r="A281" s="117"/>
      <c r="B281" s="117"/>
    </row>
    <row r="282">
      <c r="A282" s="117"/>
      <c r="B282" s="117"/>
    </row>
    <row r="283">
      <c r="A283" s="117"/>
      <c r="B283" s="117"/>
    </row>
    <row r="284">
      <c r="A284" s="117"/>
      <c r="B284" s="117"/>
    </row>
    <row r="285">
      <c r="A285" s="117"/>
      <c r="B285" s="117"/>
    </row>
    <row r="286">
      <c r="A286" s="117"/>
      <c r="B286" s="117"/>
    </row>
    <row r="287">
      <c r="A287" s="117"/>
      <c r="B287" s="117"/>
    </row>
    <row r="288">
      <c r="A288" s="117"/>
      <c r="B288" s="117"/>
    </row>
    <row r="289">
      <c r="A289" s="117"/>
      <c r="B289" s="117"/>
    </row>
    <row r="290">
      <c r="A290" s="117"/>
      <c r="B290" s="117"/>
    </row>
    <row r="291">
      <c r="A291" s="117"/>
      <c r="B291" s="117"/>
    </row>
    <row r="292">
      <c r="A292" s="117"/>
      <c r="B292" s="117"/>
    </row>
    <row r="293">
      <c r="A293" s="117"/>
      <c r="B293" s="117"/>
    </row>
    <row r="294">
      <c r="A294" s="117"/>
      <c r="B294" s="117"/>
    </row>
    <row r="295">
      <c r="A295" s="117"/>
      <c r="B295" s="117"/>
    </row>
    <row r="296">
      <c r="A296" s="117"/>
      <c r="B296" s="117"/>
    </row>
    <row r="297">
      <c r="A297" s="117"/>
      <c r="B297" s="117"/>
    </row>
    <row r="298">
      <c r="A298" s="117"/>
      <c r="B298" s="117"/>
    </row>
    <row r="299">
      <c r="A299" s="117"/>
      <c r="B299" s="117"/>
    </row>
    <row r="300">
      <c r="A300" s="117"/>
      <c r="B300" s="117"/>
    </row>
    <row r="301">
      <c r="A301" s="117"/>
      <c r="B301" s="117"/>
    </row>
    <row r="302">
      <c r="A302" s="117"/>
      <c r="B302" s="117"/>
    </row>
    <row r="303">
      <c r="A303" s="117"/>
      <c r="B303" s="117"/>
    </row>
    <row r="304">
      <c r="A304" s="117"/>
      <c r="B304" s="117"/>
    </row>
    <row r="305">
      <c r="A305" s="117"/>
      <c r="B305" s="117"/>
    </row>
    <row r="306">
      <c r="A306" s="117"/>
      <c r="B306" s="117"/>
    </row>
    <row r="307">
      <c r="A307" s="117"/>
      <c r="B307" s="117"/>
    </row>
    <row r="308">
      <c r="A308" s="117"/>
      <c r="B308" s="117"/>
    </row>
    <row r="309">
      <c r="A309" s="117"/>
      <c r="B309" s="117"/>
    </row>
    <row r="310">
      <c r="A310" s="117"/>
      <c r="B310" s="117"/>
    </row>
    <row r="311">
      <c r="A311" s="117"/>
      <c r="B311" s="117"/>
    </row>
    <row r="312">
      <c r="A312" s="117"/>
      <c r="B312" s="117"/>
    </row>
    <row r="313">
      <c r="A313" s="117"/>
      <c r="B313" s="117"/>
    </row>
    <row r="314">
      <c r="A314" s="117"/>
      <c r="B314" s="117"/>
    </row>
    <row r="315">
      <c r="A315" s="117"/>
      <c r="B315" s="117"/>
    </row>
    <row r="316">
      <c r="A316" s="117"/>
      <c r="B316" s="117"/>
    </row>
    <row r="317">
      <c r="A317" s="117"/>
      <c r="B317" s="117"/>
    </row>
    <row r="318">
      <c r="A318" s="117"/>
      <c r="B318" s="117"/>
    </row>
    <row r="319">
      <c r="A319" s="117"/>
      <c r="B319" s="117"/>
    </row>
    <row r="320">
      <c r="A320" s="117"/>
      <c r="B320" s="117"/>
    </row>
    <row r="321">
      <c r="A321" s="117"/>
      <c r="B321" s="117"/>
    </row>
    <row r="322">
      <c r="A322" s="117"/>
      <c r="B322" s="117"/>
    </row>
    <row r="323">
      <c r="A323" s="117"/>
      <c r="B323" s="117"/>
    </row>
    <row r="324">
      <c r="A324" s="117"/>
      <c r="B324" s="117"/>
    </row>
    <row r="325">
      <c r="A325" s="117"/>
      <c r="B325" s="117"/>
    </row>
    <row r="326">
      <c r="A326" s="117"/>
      <c r="B326" s="117"/>
    </row>
    <row r="327">
      <c r="A327" s="117"/>
      <c r="B327" s="117"/>
    </row>
    <row r="328">
      <c r="A328" s="117"/>
      <c r="B328" s="117"/>
    </row>
    <row r="329">
      <c r="A329" s="117"/>
      <c r="B329" s="117"/>
    </row>
    <row r="330">
      <c r="A330" s="117"/>
      <c r="B330" s="117"/>
    </row>
    <row r="331">
      <c r="A331" s="117"/>
      <c r="B331" s="117"/>
    </row>
    <row r="332">
      <c r="A332" s="117"/>
      <c r="B332" s="117"/>
    </row>
    <row r="333">
      <c r="A333" s="117"/>
      <c r="B333" s="117"/>
    </row>
    <row r="334">
      <c r="A334" s="117"/>
      <c r="B334" s="117"/>
    </row>
    <row r="335">
      <c r="A335" s="117"/>
      <c r="B335" s="117"/>
    </row>
    <row r="336">
      <c r="A336" s="117"/>
      <c r="B336" s="117"/>
    </row>
    <row r="337">
      <c r="A337" s="117"/>
      <c r="B337" s="117"/>
    </row>
    <row r="338">
      <c r="A338" s="117"/>
      <c r="B338" s="117"/>
    </row>
    <row r="339">
      <c r="A339" s="117"/>
      <c r="B339" s="117"/>
    </row>
    <row r="340">
      <c r="A340" s="117"/>
      <c r="B340" s="117"/>
    </row>
    <row r="341">
      <c r="A341" s="117"/>
      <c r="B341" s="117"/>
    </row>
    <row r="342">
      <c r="A342" s="117"/>
      <c r="B342" s="117"/>
    </row>
    <row r="343">
      <c r="A343" s="117"/>
      <c r="B343" s="117"/>
    </row>
    <row r="344">
      <c r="A344" s="117"/>
      <c r="B344" s="117"/>
    </row>
    <row r="345">
      <c r="A345" s="117"/>
      <c r="B345" s="117"/>
    </row>
    <row r="346">
      <c r="A346" s="117"/>
      <c r="B346" s="117"/>
    </row>
    <row r="347">
      <c r="A347" s="117"/>
      <c r="B347" s="117"/>
    </row>
    <row r="348">
      <c r="A348" s="117"/>
      <c r="B348" s="117"/>
    </row>
    <row r="349">
      <c r="A349" s="117"/>
      <c r="B349" s="117"/>
    </row>
    <row r="350">
      <c r="A350" s="117"/>
      <c r="B350" s="117"/>
    </row>
    <row r="351">
      <c r="A351" s="117"/>
      <c r="B351" s="117"/>
    </row>
    <row r="352">
      <c r="A352" s="117"/>
      <c r="B352" s="117"/>
    </row>
    <row r="353">
      <c r="A353" s="117"/>
      <c r="B353" s="117"/>
    </row>
    <row r="354">
      <c r="A354" s="117"/>
      <c r="B354" s="117"/>
    </row>
    <row r="355">
      <c r="A355" s="117"/>
      <c r="B355" s="117"/>
    </row>
    <row r="356">
      <c r="A356" s="117"/>
      <c r="B356" s="117"/>
    </row>
    <row r="357">
      <c r="A357" s="117"/>
      <c r="B357" s="117"/>
    </row>
    <row r="358">
      <c r="A358" s="117"/>
      <c r="B358" s="117"/>
    </row>
    <row r="359">
      <c r="A359" s="117"/>
      <c r="B359" s="117"/>
    </row>
    <row r="360">
      <c r="A360" s="117"/>
      <c r="B360" s="117"/>
    </row>
    <row r="361">
      <c r="A361" s="117"/>
      <c r="B361" s="117"/>
    </row>
    <row r="362">
      <c r="A362" s="117"/>
      <c r="B362" s="117"/>
    </row>
    <row r="363">
      <c r="A363" s="117"/>
      <c r="B363" s="117"/>
    </row>
    <row r="364">
      <c r="A364" s="117"/>
      <c r="B364" s="117"/>
    </row>
    <row r="365">
      <c r="A365" s="117"/>
      <c r="B365" s="117"/>
    </row>
    <row r="366">
      <c r="A366" s="117"/>
      <c r="B366" s="117"/>
    </row>
    <row r="367">
      <c r="A367" s="117"/>
      <c r="B367" s="117"/>
    </row>
    <row r="368">
      <c r="A368" s="117"/>
      <c r="B368" s="117"/>
    </row>
    <row r="369">
      <c r="A369" s="117"/>
      <c r="B369" s="117"/>
    </row>
    <row r="370">
      <c r="A370" s="117"/>
      <c r="B370" s="117"/>
    </row>
    <row r="371">
      <c r="A371" s="117"/>
      <c r="B371" s="117"/>
    </row>
    <row r="372">
      <c r="A372" s="117"/>
      <c r="B372" s="117"/>
    </row>
    <row r="373">
      <c r="A373" s="117"/>
      <c r="B373" s="117"/>
    </row>
    <row r="374">
      <c r="A374" s="117"/>
      <c r="B374" s="117"/>
    </row>
    <row r="375">
      <c r="A375" s="117"/>
      <c r="B375" s="117"/>
    </row>
    <row r="376">
      <c r="A376" s="117"/>
      <c r="B376" s="117"/>
    </row>
    <row r="377">
      <c r="A377" s="117"/>
      <c r="B377" s="117"/>
    </row>
    <row r="378">
      <c r="A378" s="117"/>
      <c r="B378" s="117"/>
    </row>
    <row r="379">
      <c r="A379" s="117"/>
      <c r="B379" s="117"/>
    </row>
    <row r="380">
      <c r="A380" s="117"/>
      <c r="B380" s="117"/>
    </row>
    <row r="381">
      <c r="A381" s="117"/>
      <c r="B381" s="117"/>
    </row>
    <row r="382">
      <c r="A382" s="117"/>
      <c r="B382" s="117"/>
    </row>
    <row r="383">
      <c r="A383" s="117"/>
      <c r="B383" s="117"/>
    </row>
    <row r="384">
      <c r="A384" s="117"/>
      <c r="B384" s="117"/>
    </row>
    <row r="385">
      <c r="A385" s="117"/>
      <c r="B385" s="117"/>
    </row>
    <row r="386">
      <c r="A386" s="117"/>
      <c r="B386" s="117"/>
    </row>
    <row r="387">
      <c r="A387" s="117"/>
      <c r="B387" s="117"/>
    </row>
    <row r="388">
      <c r="A388" s="117"/>
      <c r="B388" s="117"/>
    </row>
    <row r="389">
      <c r="A389" s="117"/>
      <c r="B389" s="117"/>
    </row>
    <row r="390">
      <c r="A390" s="117"/>
      <c r="B390" s="117"/>
    </row>
    <row r="391">
      <c r="A391" s="117"/>
      <c r="B391" s="117"/>
    </row>
    <row r="392">
      <c r="A392" s="117"/>
      <c r="B392" s="117"/>
    </row>
    <row r="393">
      <c r="A393" s="117"/>
      <c r="B393" s="117"/>
    </row>
    <row r="394">
      <c r="A394" s="117"/>
      <c r="B394" s="117"/>
    </row>
    <row r="395">
      <c r="A395" s="117"/>
      <c r="B395" s="117"/>
    </row>
    <row r="396">
      <c r="A396" s="117"/>
      <c r="B396" s="117"/>
    </row>
    <row r="397">
      <c r="A397" s="117"/>
      <c r="B397" s="117"/>
    </row>
    <row r="398">
      <c r="A398" s="117"/>
      <c r="B398" s="117"/>
    </row>
    <row r="399">
      <c r="A399" s="117"/>
      <c r="B399" s="117"/>
    </row>
    <row r="400">
      <c r="A400" s="117"/>
      <c r="B400" s="117"/>
    </row>
    <row r="401">
      <c r="A401" s="117"/>
      <c r="B401" s="117"/>
    </row>
    <row r="402">
      <c r="A402" s="117"/>
      <c r="B402" s="117"/>
    </row>
    <row r="403">
      <c r="A403" s="117"/>
      <c r="B403" s="117"/>
    </row>
    <row r="404">
      <c r="A404" s="117"/>
      <c r="B404" s="117"/>
    </row>
    <row r="405">
      <c r="A405" s="117"/>
      <c r="B405" s="117"/>
    </row>
    <row r="406">
      <c r="A406" s="117"/>
      <c r="B406" s="117"/>
    </row>
    <row r="407">
      <c r="A407" s="117"/>
      <c r="B407" s="117"/>
    </row>
    <row r="408">
      <c r="A408" s="117"/>
      <c r="B408" s="117"/>
    </row>
    <row r="409">
      <c r="A409" s="117"/>
      <c r="B409" s="117"/>
    </row>
    <row r="410">
      <c r="A410" s="117"/>
      <c r="B410" s="117"/>
    </row>
    <row r="411">
      <c r="A411" s="117"/>
      <c r="B411" s="117"/>
    </row>
    <row r="412">
      <c r="A412" s="117"/>
      <c r="B412" s="117"/>
    </row>
    <row r="413">
      <c r="A413" s="117"/>
      <c r="B413" s="117"/>
    </row>
    <row r="414">
      <c r="A414" s="117"/>
      <c r="B414" s="117"/>
    </row>
    <row r="415">
      <c r="A415" s="117"/>
      <c r="B415" s="117"/>
    </row>
    <row r="416">
      <c r="A416" s="117"/>
      <c r="B416" s="117"/>
    </row>
    <row r="417">
      <c r="A417" s="117"/>
      <c r="B417" s="117"/>
    </row>
    <row r="418">
      <c r="A418" s="117"/>
      <c r="B418" s="117"/>
    </row>
    <row r="419">
      <c r="A419" s="117"/>
      <c r="B419" s="117"/>
    </row>
    <row r="420">
      <c r="A420" s="117"/>
      <c r="B420" s="117"/>
    </row>
    <row r="421">
      <c r="A421" s="117"/>
      <c r="B421" s="117"/>
    </row>
    <row r="422">
      <c r="A422" s="117"/>
      <c r="B422" s="117"/>
    </row>
    <row r="423">
      <c r="A423" s="117"/>
      <c r="B423" s="117"/>
    </row>
    <row r="424">
      <c r="A424" s="117"/>
      <c r="B424" s="117"/>
    </row>
    <row r="425">
      <c r="A425" s="117"/>
      <c r="B425" s="117"/>
    </row>
    <row r="426">
      <c r="A426" s="117"/>
      <c r="B426" s="117"/>
    </row>
    <row r="427">
      <c r="A427" s="117"/>
      <c r="B427" s="117"/>
    </row>
    <row r="428">
      <c r="A428" s="117"/>
      <c r="B428" s="117"/>
    </row>
    <row r="429">
      <c r="A429" s="117"/>
      <c r="B429" s="117"/>
    </row>
    <row r="430">
      <c r="A430" s="117"/>
      <c r="B430" s="117"/>
    </row>
    <row r="431">
      <c r="A431" s="117"/>
      <c r="B431" s="117"/>
    </row>
    <row r="432">
      <c r="A432" s="117"/>
      <c r="B432" s="117"/>
    </row>
    <row r="433">
      <c r="A433" s="117"/>
      <c r="B433" s="117"/>
    </row>
    <row r="434">
      <c r="A434" s="117"/>
      <c r="B434" s="117"/>
    </row>
    <row r="435">
      <c r="A435" s="117"/>
      <c r="B435" s="117"/>
    </row>
    <row r="436">
      <c r="A436" s="117"/>
      <c r="B436" s="117"/>
    </row>
    <row r="437">
      <c r="A437" s="117"/>
      <c r="B437" s="117"/>
    </row>
    <row r="438">
      <c r="A438" s="117"/>
      <c r="B438" s="117"/>
    </row>
    <row r="439">
      <c r="A439" s="117"/>
      <c r="B439" s="117"/>
    </row>
    <row r="440">
      <c r="A440" s="117"/>
      <c r="B440" s="117"/>
    </row>
    <row r="441">
      <c r="A441" s="117"/>
      <c r="B441" s="117"/>
    </row>
    <row r="442">
      <c r="A442" s="117"/>
      <c r="B442" s="117"/>
    </row>
    <row r="443">
      <c r="A443" s="117"/>
      <c r="B443" s="117"/>
    </row>
    <row r="444">
      <c r="A444" s="117"/>
      <c r="B444" s="117"/>
    </row>
    <row r="445">
      <c r="A445" s="117"/>
      <c r="B445" s="117"/>
    </row>
    <row r="446">
      <c r="A446" s="117"/>
      <c r="B446" s="117"/>
    </row>
    <row r="447">
      <c r="A447" s="117"/>
      <c r="B447" s="117"/>
    </row>
    <row r="448">
      <c r="A448" s="117"/>
      <c r="B448" s="117"/>
    </row>
    <row r="449">
      <c r="A449" s="117"/>
      <c r="B449" s="117"/>
    </row>
    <row r="450">
      <c r="A450" s="117"/>
      <c r="B450" s="117"/>
    </row>
    <row r="451">
      <c r="A451" s="117"/>
      <c r="B451" s="117"/>
    </row>
    <row r="452">
      <c r="A452" s="117"/>
      <c r="B452" s="117"/>
    </row>
    <row r="453">
      <c r="A453" s="117"/>
      <c r="B453" s="117"/>
    </row>
    <row r="454">
      <c r="A454" s="117"/>
      <c r="B454" s="117"/>
    </row>
    <row r="455">
      <c r="A455" s="117"/>
      <c r="B455" s="117"/>
    </row>
    <row r="456">
      <c r="A456" s="117"/>
      <c r="B456" s="117"/>
    </row>
    <row r="457">
      <c r="A457" s="117"/>
      <c r="B457" s="117"/>
    </row>
    <row r="458">
      <c r="A458" s="117"/>
      <c r="B458" s="117"/>
    </row>
    <row r="459">
      <c r="A459" s="117"/>
      <c r="B459" s="117"/>
    </row>
    <row r="460">
      <c r="A460" s="117"/>
      <c r="B460" s="117"/>
    </row>
    <row r="461">
      <c r="A461" s="117"/>
      <c r="B461" s="117"/>
    </row>
    <row r="462">
      <c r="A462" s="117"/>
      <c r="B462" s="117"/>
    </row>
    <row r="463">
      <c r="A463" s="117"/>
      <c r="B463" s="117"/>
    </row>
    <row r="464">
      <c r="A464" s="117"/>
      <c r="B464" s="117"/>
    </row>
    <row r="465">
      <c r="A465" s="117"/>
      <c r="B465" s="117"/>
    </row>
    <row r="466">
      <c r="A466" s="117"/>
      <c r="B466" s="117"/>
    </row>
    <row r="467">
      <c r="A467" s="117"/>
      <c r="B467" s="117"/>
    </row>
    <row r="468">
      <c r="A468" s="117"/>
      <c r="B468" s="117"/>
    </row>
    <row r="469">
      <c r="A469" s="117"/>
      <c r="B469" s="117"/>
    </row>
    <row r="470">
      <c r="A470" s="117"/>
      <c r="B470" s="117"/>
    </row>
    <row r="471">
      <c r="A471" s="117"/>
      <c r="B471" s="117"/>
    </row>
    <row r="472">
      <c r="A472" s="117"/>
      <c r="B472" s="117"/>
    </row>
    <row r="473">
      <c r="A473" s="117"/>
      <c r="B473" s="117"/>
    </row>
    <row r="474">
      <c r="A474" s="117"/>
      <c r="B474" s="117"/>
    </row>
    <row r="475">
      <c r="A475" s="117"/>
      <c r="B475" s="117"/>
    </row>
    <row r="476">
      <c r="A476" s="117"/>
      <c r="B476" s="117"/>
    </row>
    <row r="477">
      <c r="A477" s="117"/>
      <c r="B477" s="117"/>
    </row>
    <row r="478">
      <c r="A478" s="117"/>
      <c r="B478" s="117"/>
    </row>
    <row r="479">
      <c r="A479" s="117"/>
      <c r="B479" s="117"/>
    </row>
    <row r="480">
      <c r="A480" s="117"/>
      <c r="B480" s="117"/>
    </row>
    <row r="481">
      <c r="A481" s="117"/>
      <c r="B481" s="117"/>
    </row>
    <row r="482">
      <c r="A482" s="117"/>
      <c r="B482" s="117"/>
    </row>
    <row r="483">
      <c r="A483" s="117"/>
      <c r="B483" s="117"/>
    </row>
    <row r="484">
      <c r="A484" s="117"/>
      <c r="B484" s="117"/>
    </row>
    <row r="485">
      <c r="A485" s="117"/>
      <c r="B485" s="117"/>
    </row>
    <row r="486">
      <c r="A486" s="117"/>
      <c r="B486" s="117"/>
    </row>
    <row r="487">
      <c r="A487" s="117"/>
      <c r="B487" s="117"/>
    </row>
    <row r="488">
      <c r="A488" s="117"/>
      <c r="B488" s="117"/>
    </row>
    <row r="489">
      <c r="A489" s="117"/>
      <c r="B489" s="117"/>
    </row>
    <row r="490">
      <c r="A490" s="117"/>
      <c r="B490" s="117"/>
    </row>
    <row r="491">
      <c r="A491" s="117"/>
      <c r="B491" s="117"/>
    </row>
    <row r="492">
      <c r="A492" s="117"/>
      <c r="B492" s="117"/>
    </row>
    <row r="493">
      <c r="A493" s="117"/>
      <c r="B493" s="117"/>
    </row>
    <row r="494">
      <c r="A494" s="117"/>
      <c r="B494" s="117"/>
    </row>
    <row r="495">
      <c r="A495" s="117"/>
      <c r="B495" s="117"/>
    </row>
    <row r="496">
      <c r="A496" s="117"/>
      <c r="B496" s="117"/>
    </row>
    <row r="497">
      <c r="A497" s="117"/>
      <c r="B497" s="117"/>
    </row>
    <row r="498">
      <c r="A498" s="117"/>
      <c r="B498" s="117"/>
    </row>
    <row r="499">
      <c r="A499" s="117"/>
      <c r="B499" s="117"/>
    </row>
    <row r="500">
      <c r="A500" s="117"/>
      <c r="B500" s="117"/>
    </row>
    <row r="501">
      <c r="A501" s="117"/>
      <c r="B501" s="117"/>
    </row>
    <row r="502">
      <c r="A502" s="117"/>
      <c r="B502" s="117"/>
    </row>
    <row r="503">
      <c r="A503" s="117"/>
      <c r="B503" s="117"/>
    </row>
    <row r="504">
      <c r="A504" s="117"/>
      <c r="B504" s="117"/>
    </row>
    <row r="505">
      <c r="A505" s="117"/>
      <c r="B505" s="117"/>
    </row>
    <row r="506">
      <c r="A506" s="117"/>
      <c r="B506" s="117"/>
    </row>
    <row r="507">
      <c r="A507" s="117"/>
      <c r="B507" s="117"/>
    </row>
    <row r="508">
      <c r="A508" s="117"/>
      <c r="B508" s="117"/>
    </row>
    <row r="509">
      <c r="A509" s="117"/>
      <c r="B509" s="117"/>
    </row>
    <row r="510">
      <c r="A510" s="117"/>
      <c r="B510" s="117"/>
    </row>
    <row r="511">
      <c r="A511" s="117"/>
      <c r="B511" s="117"/>
    </row>
    <row r="512">
      <c r="A512" s="117"/>
      <c r="B512" s="117"/>
    </row>
    <row r="513">
      <c r="A513" s="117"/>
      <c r="B513" s="117"/>
    </row>
    <row r="514">
      <c r="A514" s="117"/>
      <c r="B514" s="117"/>
    </row>
    <row r="515">
      <c r="A515" s="117"/>
      <c r="B515" s="117"/>
    </row>
    <row r="516">
      <c r="A516" s="117"/>
      <c r="B516" s="117"/>
    </row>
    <row r="517">
      <c r="A517" s="117"/>
      <c r="B517" s="117"/>
    </row>
    <row r="518">
      <c r="A518" s="117"/>
      <c r="B518" s="117"/>
    </row>
    <row r="519">
      <c r="A519" s="117"/>
      <c r="B519" s="117"/>
    </row>
    <row r="520">
      <c r="A520" s="117"/>
      <c r="B520" s="117"/>
    </row>
    <row r="521">
      <c r="A521" s="117"/>
      <c r="B521" s="117"/>
    </row>
    <row r="522">
      <c r="A522" s="117"/>
      <c r="B522" s="117"/>
    </row>
    <row r="523">
      <c r="A523" s="117"/>
      <c r="B523" s="117"/>
    </row>
    <row r="524">
      <c r="A524" s="117"/>
      <c r="B524" s="117"/>
    </row>
    <row r="525">
      <c r="A525" s="117"/>
      <c r="B525" s="117"/>
    </row>
    <row r="526">
      <c r="A526" s="117"/>
      <c r="B526" s="117"/>
    </row>
    <row r="527">
      <c r="A527" s="117"/>
      <c r="B527" s="117"/>
    </row>
    <row r="528">
      <c r="A528" s="117"/>
      <c r="B528" s="117"/>
    </row>
    <row r="529">
      <c r="A529" s="117"/>
      <c r="B529" s="117"/>
    </row>
    <row r="530">
      <c r="A530" s="117"/>
      <c r="B530" s="117"/>
    </row>
    <row r="531">
      <c r="A531" s="117"/>
      <c r="B531" s="117"/>
    </row>
    <row r="532">
      <c r="A532" s="117"/>
      <c r="B532" s="117"/>
    </row>
    <row r="533">
      <c r="A533" s="117"/>
      <c r="B533" s="117"/>
    </row>
    <row r="534">
      <c r="A534" s="117"/>
      <c r="B534" s="117"/>
    </row>
    <row r="535">
      <c r="A535" s="117"/>
      <c r="B535" s="117"/>
    </row>
    <row r="536">
      <c r="A536" s="117"/>
      <c r="B536" s="117"/>
    </row>
    <row r="537">
      <c r="A537" s="117"/>
      <c r="B537" s="117"/>
    </row>
    <row r="538">
      <c r="A538" s="117"/>
      <c r="B538" s="117"/>
    </row>
    <row r="539">
      <c r="A539" s="117"/>
      <c r="B539" s="117"/>
    </row>
    <row r="540">
      <c r="A540" s="117"/>
      <c r="B540" s="117"/>
    </row>
    <row r="541">
      <c r="A541" s="117"/>
      <c r="B541" s="117"/>
    </row>
    <row r="542">
      <c r="A542" s="117"/>
      <c r="B542" s="117"/>
    </row>
    <row r="543">
      <c r="A543" s="117"/>
      <c r="B543" s="117"/>
    </row>
    <row r="544">
      <c r="A544" s="117"/>
      <c r="B544" s="117"/>
    </row>
    <row r="545">
      <c r="A545" s="117"/>
      <c r="B545" s="117"/>
    </row>
    <row r="546">
      <c r="A546" s="117"/>
      <c r="B546" s="117"/>
    </row>
    <row r="547">
      <c r="A547" s="117"/>
      <c r="B547" s="117"/>
    </row>
    <row r="548">
      <c r="A548" s="117"/>
      <c r="B548" s="117"/>
    </row>
    <row r="549">
      <c r="A549" s="117"/>
      <c r="B549" s="117"/>
    </row>
    <row r="550">
      <c r="A550" s="117"/>
      <c r="B550" s="117"/>
    </row>
    <row r="551">
      <c r="A551" s="117"/>
      <c r="B551" s="117"/>
    </row>
    <row r="552">
      <c r="A552" s="117"/>
      <c r="B552" s="117"/>
    </row>
    <row r="553">
      <c r="A553" s="117"/>
      <c r="B553" s="117"/>
    </row>
    <row r="554">
      <c r="A554" s="117"/>
      <c r="B554" s="117"/>
    </row>
    <row r="555">
      <c r="A555" s="117"/>
      <c r="B555" s="117"/>
    </row>
    <row r="556">
      <c r="A556" s="117"/>
      <c r="B556" s="117"/>
    </row>
    <row r="557">
      <c r="A557" s="117"/>
      <c r="B557" s="117"/>
    </row>
    <row r="558">
      <c r="A558" s="117"/>
      <c r="B558" s="117"/>
    </row>
    <row r="559">
      <c r="A559" s="117"/>
      <c r="B559" s="117"/>
    </row>
    <row r="560">
      <c r="A560" s="117"/>
      <c r="B560" s="117"/>
    </row>
    <row r="561">
      <c r="A561" s="117"/>
      <c r="B561" s="117"/>
    </row>
    <row r="562">
      <c r="A562" s="117"/>
      <c r="B562" s="117"/>
    </row>
    <row r="563">
      <c r="A563" s="117"/>
      <c r="B563" s="117"/>
    </row>
    <row r="564">
      <c r="A564" s="117"/>
      <c r="B564" s="117"/>
    </row>
    <row r="565">
      <c r="A565" s="117"/>
      <c r="B565" s="117"/>
    </row>
    <row r="566">
      <c r="A566" s="117"/>
      <c r="B566" s="117"/>
    </row>
    <row r="567">
      <c r="A567" s="117"/>
      <c r="B567" s="117"/>
    </row>
    <row r="568">
      <c r="A568" s="117"/>
      <c r="B568" s="117"/>
    </row>
    <row r="569">
      <c r="A569" s="117"/>
      <c r="B569" s="117"/>
    </row>
    <row r="570">
      <c r="A570" s="117"/>
      <c r="B570" s="117"/>
    </row>
    <row r="571">
      <c r="A571" s="117"/>
      <c r="B571" s="117"/>
    </row>
    <row r="572">
      <c r="A572" s="117"/>
      <c r="B572" s="117"/>
    </row>
    <row r="573">
      <c r="A573" s="117"/>
      <c r="B573" s="117"/>
    </row>
    <row r="574">
      <c r="A574" s="117"/>
      <c r="B574" s="117"/>
    </row>
    <row r="575">
      <c r="A575" s="117"/>
      <c r="B575" s="117"/>
    </row>
    <row r="576">
      <c r="A576" s="117"/>
      <c r="B576" s="117"/>
    </row>
    <row r="577">
      <c r="A577" s="117"/>
      <c r="B577" s="117"/>
    </row>
    <row r="578">
      <c r="A578" s="117"/>
      <c r="B578" s="117"/>
    </row>
    <row r="579">
      <c r="A579" s="117"/>
      <c r="B579" s="117"/>
    </row>
    <row r="580">
      <c r="A580" s="117"/>
      <c r="B580" s="117"/>
    </row>
    <row r="581">
      <c r="A581" s="117"/>
      <c r="B581" s="117"/>
    </row>
    <row r="582">
      <c r="A582" s="117"/>
      <c r="B582" s="117"/>
    </row>
    <row r="583">
      <c r="A583" s="117"/>
      <c r="B583" s="117"/>
    </row>
    <row r="584">
      <c r="A584" s="117"/>
      <c r="B584" s="117"/>
    </row>
    <row r="585">
      <c r="A585" s="117"/>
      <c r="B585" s="117"/>
    </row>
    <row r="586">
      <c r="A586" s="117"/>
      <c r="B586" s="117"/>
    </row>
    <row r="587">
      <c r="A587" s="117"/>
      <c r="B587" s="117"/>
    </row>
    <row r="588">
      <c r="A588" s="117"/>
      <c r="B588" s="117"/>
    </row>
    <row r="589">
      <c r="A589" s="117"/>
      <c r="B589" s="117"/>
    </row>
    <row r="590">
      <c r="A590" s="117"/>
      <c r="B590" s="117"/>
    </row>
    <row r="591">
      <c r="A591" s="117"/>
      <c r="B591" s="117"/>
    </row>
    <row r="592">
      <c r="A592" s="117"/>
      <c r="B592" s="117"/>
    </row>
    <row r="593">
      <c r="A593" s="117"/>
      <c r="B593" s="117"/>
    </row>
    <row r="594">
      <c r="A594" s="117"/>
      <c r="B594" s="117"/>
    </row>
    <row r="595">
      <c r="A595" s="117"/>
      <c r="B595" s="117"/>
    </row>
    <row r="596">
      <c r="A596" s="117"/>
      <c r="B596" s="117"/>
    </row>
    <row r="597">
      <c r="A597" s="117"/>
      <c r="B597" s="117"/>
    </row>
    <row r="598">
      <c r="A598" s="117"/>
      <c r="B598" s="117"/>
    </row>
    <row r="599">
      <c r="A599" s="117"/>
      <c r="B599" s="117"/>
    </row>
    <row r="600">
      <c r="A600" s="117"/>
      <c r="B600" s="117"/>
    </row>
    <row r="601">
      <c r="A601" s="117"/>
      <c r="B601" s="117"/>
    </row>
    <row r="602">
      <c r="A602" s="117"/>
      <c r="B602" s="117"/>
    </row>
    <row r="603">
      <c r="A603" s="117"/>
      <c r="B603" s="117"/>
    </row>
    <row r="604">
      <c r="A604" s="117"/>
      <c r="B604" s="117"/>
    </row>
    <row r="605">
      <c r="A605" s="117"/>
      <c r="B605" s="117"/>
    </row>
    <row r="606">
      <c r="A606" s="117"/>
      <c r="B606" s="117"/>
    </row>
    <row r="607">
      <c r="A607" s="117"/>
      <c r="B607" s="117"/>
    </row>
    <row r="608">
      <c r="A608" s="117"/>
      <c r="B608" s="117"/>
    </row>
    <row r="609">
      <c r="A609" s="117"/>
      <c r="B609" s="117"/>
    </row>
    <row r="610">
      <c r="A610" s="117"/>
      <c r="B610" s="117"/>
    </row>
    <row r="611">
      <c r="A611" s="117"/>
      <c r="B611" s="117"/>
    </row>
    <row r="612">
      <c r="A612" s="117"/>
      <c r="B612" s="117"/>
    </row>
    <row r="613">
      <c r="A613" s="117"/>
      <c r="B613" s="117"/>
    </row>
    <row r="614">
      <c r="A614" s="117"/>
      <c r="B614" s="117"/>
    </row>
    <row r="615">
      <c r="A615" s="117"/>
      <c r="B615" s="117"/>
    </row>
    <row r="616">
      <c r="A616" s="117"/>
      <c r="B616" s="117"/>
    </row>
    <row r="617">
      <c r="A617" s="117"/>
      <c r="B617" s="117"/>
    </row>
    <row r="618">
      <c r="A618" s="117"/>
      <c r="B618" s="117"/>
    </row>
    <row r="619">
      <c r="A619" s="117"/>
      <c r="B619" s="117"/>
    </row>
    <row r="620">
      <c r="A620" s="117"/>
      <c r="B620" s="117"/>
    </row>
    <row r="621">
      <c r="A621" s="117"/>
      <c r="B621" s="117"/>
    </row>
    <row r="622">
      <c r="A622" s="117"/>
      <c r="B622" s="117"/>
    </row>
    <row r="623">
      <c r="A623" s="117"/>
      <c r="B623" s="117"/>
    </row>
    <row r="624">
      <c r="A624" s="117"/>
      <c r="B624" s="117"/>
    </row>
    <row r="625">
      <c r="A625" s="117"/>
      <c r="B625" s="117"/>
    </row>
    <row r="626">
      <c r="A626" s="117"/>
      <c r="B626" s="117"/>
    </row>
    <row r="627">
      <c r="A627" s="117"/>
      <c r="B627" s="117"/>
    </row>
    <row r="628">
      <c r="A628" s="117"/>
      <c r="B628" s="117"/>
    </row>
    <row r="629">
      <c r="A629" s="117"/>
      <c r="B629" s="117"/>
    </row>
    <row r="630">
      <c r="A630" s="117"/>
      <c r="B630" s="117"/>
    </row>
    <row r="631">
      <c r="A631" s="117"/>
      <c r="B631" s="117"/>
    </row>
    <row r="632">
      <c r="A632" s="117"/>
      <c r="B632" s="117"/>
    </row>
    <row r="633">
      <c r="A633" s="117"/>
      <c r="B633" s="117"/>
    </row>
    <row r="634">
      <c r="A634" s="117"/>
      <c r="B634" s="117"/>
    </row>
    <row r="635">
      <c r="A635" s="117"/>
      <c r="B635" s="117"/>
    </row>
    <row r="636">
      <c r="A636" s="117"/>
      <c r="B636" s="117"/>
    </row>
    <row r="637">
      <c r="A637" s="117"/>
      <c r="B637" s="117"/>
    </row>
    <row r="638">
      <c r="A638" s="117"/>
      <c r="B638" s="117"/>
    </row>
    <row r="639">
      <c r="A639" s="117"/>
      <c r="B639" s="117"/>
    </row>
    <row r="640">
      <c r="A640" s="117"/>
      <c r="B640" s="117"/>
    </row>
    <row r="641">
      <c r="A641" s="117"/>
      <c r="B641" s="117"/>
    </row>
    <row r="642">
      <c r="A642" s="117"/>
      <c r="B642" s="117"/>
    </row>
    <row r="643">
      <c r="A643" s="117"/>
      <c r="B643" s="117"/>
    </row>
    <row r="644">
      <c r="A644" s="117"/>
      <c r="B644" s="117"/>
    </row>
    <row r="645">
      <c r="A645" s="117"/>
      <c r="B645" s="117"/>
    </row>
    <row r="646">
      <c r="A646" s="117"/>
      <c r="B646" s="117"/>
    </row>
    <row r="647">
      <c r="A647" s="117"/>
      <c r="B647" s="117"/>
    </row>
    <row r="648">
      <c r="A648" s="117"/>
      <c r="B648" s="117"/>
    </row>
    <row r="649">
      <c r="A649" s="117"/>
      <c r="B649" s="117"/>
    </row>
    <row r="650">
      <c r="A650" s="117"/>
      <c r="B650" s="117"/>
    </row>
    <row r="651">
      <c r="A651" s="117"/>
      <c r="B651" s="117"/>
    </row>
    <row r="652">
      <c r="A652" s="117"/>
      <c r="B652" s="117"/>
    </row>
    <row r="653">
      <c r="A653" s="117"/>
      <c r="B653" s="117"/>
    </row>
    <row r="654">
      <c r="A654" s="117"/>
      <c r="B654" s="117"/>
    </row>
    <row r="655">
      <c r="A655" s="117"/>
      <c r="B655" s="117"/>
    </row>
    <row r="656">
      <c r="A656" s="117"/>
      <c r="B656" s="117"/>
    </row>
    <row r="657">
      <c r="A657" s="117"/>
      <c r="B657" s="117"/>
    </row>
    <row r="658">
      <c r="A658" s="117"/>
      <c r="B658" s="117"/>
    </row>
    <row r="659">
      <c r="A659" s="117"/>
      <c r="B659" s="117"/>
    </row>
    <row r="660">
      <c r="A660" s="117"/>
      <c r="B660" s="117"/>
    </row>
    <row r="661">
      <c r="A661" s="117"/>
      <c r="B661" s="117"/>
    </row>
    <row r="662">
      <c r="A662" s="117"/>
      <c r="B662" s="117"/>
    </row>
    <row r="663">
      <c r="A663" s="117"/>
      <c r="B663" s="117"/>
    </row>
    <row r="664">
      <c r="A664" s="117"/>
      <c r="B664" s="117"/>
    </row>
    <row r="665">
      <c r="A665" s="117"/>
      <c r="B665" s="117"/>
    </row>
    <row r="666">
      <c r="A666" s="117"/>
      <c r="B666" s="117"/>
    </row>
    <row r="667">
      <c r="A667" s="117"/>
      <c r="B667" s="117"/>
    </row>
    <row r="668">
      <c r="A668" s="117"/>
      <c r="B668" s="117"/>
    </row>
    <row r="669">
      <c r="A669" s="117"/>
      <c r="B669" s="117"/>
    </row>
    <row r="670">
      <c r="A670" s="117"/>
      <c r="B670" s="117"/>
    </row>
    <row r="671">
      <c r="A671" s="117"/>
      <c r="B671" s="117"/>
    </row>
    <row r="672">
      <c r="A672" s="117"/>
      <c r="B672" s="117"/>
    </row>
    <row r="673">
      <c r="A673" s="117"/>
      <c r="B673" s="117"/>
    </row>
    <row r="674">
      <c r="A674" s="117"/>
      <c r="B674" s="117"/>
    </row>
    <row r="675">
      <c r="A675" s="117"/>
      <c r="B675" s="117"/>
    </row>
    <row r="676">
      <c r="A676" s="117"/>
      <c r="B676" s="117"/>
    </row>
    <row r="677">
      <c r="A677" s="117"/>
      <c r="B677" s="117"/>
    </row>
    <row r="678">
      <c r="A678" s="117"/>
      <c r="B678" s="117"/>
    </row>
    <row r="679">
      <c r="A679" s="117"/>
      <c r="B679" s="117"/>
    </row>
    <row r="680">
      <c r="A680" s="117"/>
      <c r="B680" s="117"/>
    </row>
    <row r="681">
      <c r="A681" s="117"/>
      <c r="B681" s="117"/>
    </row>
    <row r="682">
      <c r="A682" s="117"/>
      <c r="B682" s="117"/>
    </row>
    <row r="683">
      <c r="A683" s="117"/>
      <c r="B683" s="117"/>
    </row>
    <row r="684">
      <c r="A684" s="117"/>
      <c r="B684" s="117"/>
    </row>
    <row r="685">
      <c r="A685" s="117"/>
      <c r="B685" s="117"/>
    </row>
    <row r="686">
      <c r="A686" s="117"/>
      <c r="B686" s="117"/>
    </row>
    <row r="687">
      <c r="A687" s="117"/>
      <c r="B687" s="117"/>
    </row>
    <row r="688">
      <c r="A688" s="117"/>
      <c r="B688" s="117"/>
    </row>
    <row r="689">
      <c r="A689" s="117"/>
      <c r="B689" s="117"/>
    </row>
    <row r="690">
      <c r="A690" s="117"/>
      <c r="B690" s="117"/>
    </row>
    <row r="691">
      <c r="A691" s="117"/>
      <c r="B691" s="117"/>
    </row>
    <row r="692">
      <c r="A692" s="117"/>
      <c r="B692" s="117"/>
    </row>
    <row r="693">
      <c r="A693" s="117"/>
      <c r="B693" s="117"/>
    </row>
    <row r="694">
      <c r="A694" s="117"/>
      <c r="B694" s="117"/>
    </row>
    <row r="695">
      <c r="A695" s="117"/>
      <c r="B695" s="117"/>
    </row>
    <row r="696">
      <c r="A696" s="117"/>
      <c r="B696" s="117"/>
    </row>
    <row r="697">
      <c r="A697" s="117"/>
      <c r="B697" s="117"/>
    </row>
    <row r="698">
      <c r="A698" s="117"/>
      <c r="B698" s="117"/>
    </row>
    <row r="699">
      <c r="A699" s="117"/>
      <c r="B699" s="117"/>
    </row>
    <row r="700">
      <c r="A700" s="117"/>
      <c r="B700" s="117"/>
    </row>
    <row r="701">
      <c r="A701" s="117"/>
      <c r="B701" s="117"/>
    </row>
    <row r="702">
      <c r="A702" s="117"/>
      <c r="B702" s="117"/>
    </row>
    <row r="703">
      <c r="A703" s="117"/>
      <c r="B703" s="117"/>
    </row>
    <row r="704">
      <c r="A704" s="117"/>
      <c r="B704" s="117"/>
    </row>
    <row r="705">
      <c r="A705" s="117"/>
      <c r="B705" s="117"/>
    </row>
    <row r="706">
      <c r="A706" s="117"/>
      <c r="B706" s="117"/>
    </row>
    <row r="707">
      <c r="A707" s="117"/>
      <c r="B707" s="117"/>
    </row>
    <row r="708">
      <c r="A708" s="117"/>
      <c r="B708" s="117"/>
    </row>
    <row r="709">
      <c r="A709" s="117"/>
      <c r="B709" s="117"/>
    </row>
    <row r="710">
      <c r="A710" s="117"/>
      <c r="B710" s="117"/>
    </row>
    <row r="711">
      <c r="A711" s="117"/>
      <c r="B711" s="117"/>
    </row>
    <row r="712">
      <c r="A712" s="117"/>
      <c r="B712" s="117"/>
    </row>
    <row r="713">
      <c r="A713" s="117"/>
      <c r="B713" s="117"/>
    </row>
    <row r="714">
      <c r="A714" s="117"/>
      <c r="B714" s="117"/>
    </row>
    <row r="715">
      <c r="A715" s="117"/>
      <c r="B715" s="117"/>
    </row>
    <row r="716">
      <c r="A716" s="117"/>
      <c r="B716" s="117"/>
    </row>
    <row r="717">
      <c r="A717" s="117"/>
      <c r="B717" s="117"/>
    </row>
    <row r="718">
      <c r="A718" s="117"/>
      <c r="B718" s="117"/>
    </row>
    <row r="719">
      <c r="A719" s="117"/>
      <c r="B719" s="117"/>
    </row>
    <row r="720">
      <c r="A720" s="117"/>
      <c r="B720" s="117"/>
    </row>
    <row r="721">
      <c r="A721" s="117"/>
      <c r="B721" s="117"/>
    </row>
    <row r="722">
      <c r="A722" s="117"/>
      <c r="B722" s="117"/>
    </row>
    <row r="723">
      <c r="A723" s="117"/>
      <c r="B723" s="117"/>
    </row>
    <row r="724">
      <c r="A724" s="117"/>
      <c r="B724" s="117"/>
    </row>
    <row r="725">
      <c r="A725" s="117"/>
      <c r="B725" s="117"/>
    </row>
    <row r="726">
      <c r="A726" s="117"/>
      <c r="B726" s="117"/>
    </row>
    <row r="727">
      <c r="A727" s="117"/>
      <c r="B727" s="117"/>
    </row>
    <row r="728">
      <c r="A728" s="117"/>
      <c r="B728" s="117"/>
    </row>
    <row r="729">
      <c r="A729" s="117"/>
      <c r="B729" s="117"/>
    </row>
    <row r="730">
      <c r="A730" s="117"/>
      <c r="B730" s="117"/>
    </row>
    <row r="731">
      <c r="A731" s="117"/>
      <c r="B731" s="117"/>
    </row>
    <row r="732">
      <c r="A732" s="117"/>
      <c r="B732" s="117"/>
    </row>
    <row r="733">
      <c r="A733" s="117"/>
      <c r="B733" s="117"/>
    </row>
    <row r="734">
      <c r="A734" s="117"/>
      <c r="B734" s="117"/>
    </row>
    <row r="735">
      <c r="A735" s="117"/>
      <c r="B735" s="117"/>
    </row>
    <row r="736">
      <c r="A736" s="117"/>
      <c r="B736" s="117"/>
    </row>
    <row r="737">
      <c r="A737" s="117"/>
      <c r="B737" s="117"/>
    </row>
    <row r="738">
      <c r="A738" s="117"/>
      <c r="B738" s="117"/>
    </row>
    <row r="739">
      <c r="A739" s="117"/>
      <c r="B739" s="117"/>
    </row>
    <row r="740">
      <c r="A740" s="117"/>
      <c r="B740" s="117"/>
    </row>
    <row r="741">
      <c r="A741" s="117"/>
      <c r="B741" s="117"/>
    </row>
    <row r="742">
      <c r="A742" s="117"/>
      <c r="B742" s="117"/>
    </row>
    <row r="743">
      <c r="A743" s="117"/>
      <c r="B743" s="117"/>
    </row>
    <row r="744">
      <c r="A744" s="117"/>
      <c r="B744" s="117"/>
    </row>
    <row r="745">
      <c r="A745" s="117"/>
      <c r="B745" s="117"/>
    </row>
    <row r="746">
      <c r="A746" s="117"/>
      <c r="B746" s="117"/>
    </row>
    <row r="747">
      <c r="A747" s="117"/>
      <c r="B747" s="117"/>
    </row>
    <row r="748">
      <c r="A748" s="117"/>
      <c r="B748" s="117"/>
    </row>
    <row r="749">
      <c r="A749" s="117"/>
      <c r="B749" s="117"/>
    </row>
    <row r="750">
      <c r="A750" s="117"/>
      <c r="B750" s="117"/>
    </row>
    <row r="751">
      <c r="A751" s="117"/>
      <c r="B751" s="117"/>
    </row>
    <row r="752">
      <c r="A752" s="117"/>
      <c r="B752" s="117"/>
    </row>
    <row r="753">
      <c r="A753" s="117"/>
      <c r="B753" s="117"/>
    </row>
    <row r="754">
      <c r="A754" s="117"/>
      <c r="B754" s="117"/>
    </row>
    <row r="755">
      <c r="A755" s="117"/>
      <c r="B755" s="117"/>
    </row>
    <row r="756">
      <c r="A756" s="117"/>
      <c r="B756" s="117"/>
    </row>
    <row r="757">
      <c r="A757" s="117"/>
      <c r="B757" s="117"/>
    </row>
    <row r="758">
      <c r="A758" s="117"/>
      <c r="B758" s="117"/>
    </row>
    <row r="759">
      <c r="A759" s="117"/>
      <c r="B759" s="117"/>
    </row>
    <row r="760">
      <c r="A760" s="117"/>
      <c r="B760" s="117"/>
    </row>
    <row r="761">
      <c r="A761" s="117"/>
      <c r="B761" s="117"/>
    </row>
    <row r="762">
      <c r="A762" s="117"/>
      <c r="B762" s="117"/>
    </row>
    <row r="763">
      <c r="A763" s="117"/>
      <c r="B763" s="117"/>
    </row>
    <row r="764">
      <c r="A764" s="117"/>
      <c r="B764" s="117"/>
    </row>
    <row r="765">
      <c r="A765" s="117"/>
      <c r="B765" s="117"/>
    </row>
    <row r="766">
      <c r="A766" s="117"/>
      <c r="B766" s="117"/>
    </row>
    <row r="767">
      <c r="A767" s="117"/>
      <c r="B767" s="117"/>
    </row>
    <row r="768">
      <c r="A768" s="117"/>
      <c r="B768" s="117"/>
    </row>
    <row r="769">
      <c r="A769" s="117"/>
      <c r="B769" s="117"/>
    </row>
    <row r="770">
      <c r="A770" s="117"/>
      <c r="B770" s="117"/>
    </row>
    <row r="771">
      <c r="A771" s="117"/>
      <c r="B771" s="117"/>
    </row>
    <row r="772">
      <c r="A772" s="117"/>
      <c r="B772" s="117"/>
    </row>
    <row r="773">
      <c r="A773" s="117"/>
      <c r="B773" s="117"/>
    </row>
    <row r="774">
      <c r="A774" s="117"/>
      <c r="B774" s="117"/>
    </row>
    <row r="775">
      <c r="A775" s="117"/>
      <c r="B775" s="117"/>
    </row>
    <row r="776">
      <c r="A776" s="117"/>
      <c r="B776" s="117"/>
    </row>
    <row r="777">
      <c r="A777" s="117"/>
      <c r="B777" s="117"/>
    </row>
    <row r="778">
      <c r="A778" s="117"/>
      <c r="B778" s="117"/>
    </row>
    <row r="779">
      <c r="A779" s="117"/>
      <c r="B779" s="117"/>
    </row>
    <row r="780">
      <c r="A780" s="117"/>
      <c r="B780" s="117"/>
    </row>
    <row r="781">
      <c r="A781" s="117"/>
      <c r="B781" s="117"/>
    </row>
    <row r="782">
      <c r="A782" s="117"/>
      <c r="B782" s="117"/>
    </row>
    <row r="783">
      <c r="A783" s="117"/>
      <c r="B783" s="117"/>
    </row>
    <row r="784">
      <c r="A784" s="117"/>
      <c r="B784" s="117"/>
    </row>
    <row r="785">
      <c r="A785" s="117"/>
      <c r="B785" s="117"/>
    </row>
    <row r="786">
      <c r="A786" s="117"/>
      <c r="B786" s="117"/>
    </row>
    <row r="787">
      <c r="A787" s="117"/>
      <c r="B787" s="117"/>
    </row>
    <row r="788">
      <c r="A788" s="117"/>
      <c r="B788" s="117"/>
    </row>
    <row r="789">
      <c r="A789" s="117"/>
      <c r="B789" s="117"/>
    </row>
    <row r="790">
      <c r="A790" s="117"/>
      <c r="B790" s="117"/>
    </row>
    <row r="791">
      <c r="A791" s="117"/>
      <c r="B791" s="117"/>
    </row>
    <row r="792">
      <c r="A792" s="117"/>
      <c r="B792" s="117"/>
    </row>
    <row r="793">
      <c r="A793" s="117"/>
      <c r="B793" s="117"/>
    </row>
    <row r="794">
      <c r="A794" s="117"/>
      <c r="B794" s="117"/>
    </row>
    <row r="795">
      <c r="A795" s="117"/>
      <c r="B795" s="117"/>
    </row>
    <row r="796">
      <c r="A796" s="117"/>
      <c r="B796" s="117"/>
    </row>
    <row r="797">
      <c r="A797" s="117"/>
      <c r="B797" s="117"/>
    </row>
    <row r="798">
      <c r="A798" s="117"/>
      <c r="B798" s="117"/>
    </row>
    <row r="799">
      <c r="A799" s="117"/>
      <c r="B799" s="117"/>
    </row>
    <row r="800">
      <c r="A800" s="117"/>
      <c r="B800" s="117"/>
    </row>
    <row r="801">
      <c r="A801" s="117"/>
      <c r="B801" s="117"/>
    </row>
    <row r="802">
      <c r="A802" s="117"/>
      <c r="B802" s="117"/>
    </row>
    <row r="803">
      <c r="A803" s="117"/>
      <c r="B803" s="117"/>
    </row>
    <row r="804">
      <c r="A804" s="117"/>
      <c r="B804" s="117"/>
    </row>
    <row r="805">
      <c r="A805" s="117"/>
      <c r="B805" s="117"/>
    </row>
    <row r="806">
      <c r="A806" s="117"/>
      <c r="B806" s="117"/>
    </row>
    <row r="807">
      <c r="A807" s="117"/>
      <c r="B807" s="117"/>
    </row>
    <row r="808">
      <c r="A808" s="117"/>
      <c r="B808" s="117"/>
    </row>
    <row r="809">
      <c r="A809" s="117"/>
      <c r="B809" s="117"/>
    </row>
    <row r="810">
      <c r="A810" s="117"/>
      <c r="B810" s="117"/>
    </row>
    <row r="811">
      <c r="A811" s="117"/>
      <c r="B811" s="117"/>
    </row>
    <row r="812">
      <c r="A812" s="117"/>
      <c r="B812" s="117"/>
    </row>
    <row r="813">
      <c r="A813" s="117"/>
      <c r="B813" s="117"/>
    </row>
    <row r="814">
      <c r="A814" s="117"/>
      <c r="B814" s="117"/>
    </row>
    <row r="815">
      <c r="A815" s="117"/>
      <c r="B815" s="117"/>
    </row>
    <row r="816">
      <c r="A816" s="117"/>
      <c r="B816" s="117"/>
    </row>
    <row r="817">
      <c r="A817" s="117"/>
      <c r="B817" s="117"/>
    </row>
    <row r="818">
      <c r="A818" s="117"/>
      <c r="B818" s="117"/>
    </row>
    <row r="819">
      <c r="A819" s="117"/>
      <c r="B819" s="117"/>
    </row>
    <row r="820">
      <c r="A820" s="117"/>
      <c r="B820" s="117"/>
    </row>
    <row r="821">
      <c r="A821" s="117"/>
      <c r="B821" s="117"/>
    </row>
    <row r="822">
      <c r="A822" s="117"/>
      <c r="B822" s="117"/>
    </row>
    <row r="823">
      <c r="A823" s="117"/>
      <c r="B823" s="117"/>
    </row>
    <row r="824">
      <c r="A824" s="117"/>
      <c r="B824" s="117"/>
    </row>
    <row r="825">
      <c r="A825" s="117"/>
      <c r="B825" s="117"/>
    </row>
    <row r="826">
      <c r="A826" s="117"/>
      <c r="B826" s="117"/>
    </row>
    <row r="827">
      <c r="A827" s="117"/>
      <c r="B827" s="117"/>
    </row>
    <row r="828">
      <c r="A828" s="117"/>
      <c r="B828" s="117"/>
    </row>
    <row r="829">
      <c r="A829" s="117"/>
      <c r="B829" s="117"/>
    </row>
    <row r="830">
      <c r="A830" s="117"/>
      <c r="B830" s="117"/>
    </row>
    <row r="831">
      <c r="A831" s="117"/>
      <c r="B831" s="117"/>
    </row>
    <row r="832">
      <c r="A832" s="117"/>
      <c r="B832" s="117"/>
    </row>
    <row r="833">
      <c r="A833" s="117"/>
      <c r="B833" s="117"/>
    </row>
    <row r="834">
      <c r="A834" s="117"/>
      <c r="B834" s="117"/>
    </row>
    <row r="835">
      <c r="A835" s="117"/>
      <c r="B835" s="117"/>
    </row>
    <row r="836">
      <c r="A836" s="117"/>
      <c r="B836" s="117"/>
    </row>
    <row r="837">
      <c r="A837" s="117"/>
      <c r="B837" s="117"/>
    </row>
    <row r="838">
      <c r="A838" s="117"/>
      <c r="B838" s="117"/>
    </row>
    <row r="839">
      <c r="A839" s="117"/>
      <c r="B839" s="117"/>
    </row>
    <row r="840">
      <c r="A840" s="117"/>
      <c r="B840" s="117"/>
    </row>
    <row r="841">
      <c r="A841" s="117"/>
      <c r="B841" s="117"/>
    </row>
    <row r="842">
      <c r="A842" s="117"/>
      <c r="B842" s="117"/>
    </row>
    <row r="843">
      <c r="A843" s="117"/>
      <c r="B843" s="117"/>
    </row>
    <row r="844">
      <c r="A844" s="117"/>
      <c r="B844" s="117"/>
    </row>
    <row r="845">
      <c r="A845" s="117"/>
      <c r="B845" s="117"/>
    </row>
    <row r="846">
      <c r="A846" s="117"/>
      <c r="B846" s="117"/>
    </row>
    <row r="847">
      <c r="A847" s="117"/>
      <c r="B847" s="117"/>
    </row>
    <row r="848">
      <c r="A848" s="117"/>
      <c r="B848" s="117"/>
    </row>
    <row r="849">
      <c r="A849" s="117"/>
      <c r="B849" s="117"/>
    </row>
    <row r="850">
      <c r="A850" s="117"/>
      <c r="B850" s="117"/>
    </row>
    <row r="851">
      <c r="A851" s="117"/>
      <c r="B851" s="117"/>
    </row>
    <row r="852">
      <c r="A852" s="117"/>
      <c r="B852" s="117"/>
    </row>
    <row r="853">
      <c r="A853" s="117"/>
      <c r="B853" s="117"/>
    </row>
    <row r="854">
      <c r="A854" s="117"/>
      <c r="B854" s="117"/>
    </row>
    <row r="855">
      <c r="A855" s="117"/>
      <c r="B855" s="117"/>
    </row>
    <row r="856">
      <c r="A856" s="117"/>
      <c r="B856" s="117"/>
    </row>
    <row r="857">
      <c r="A857" s="117"/>
      <c r="B857" s="117"/>
    </row>
    <row r="858">
      <c r="A858" s="117"/>
      <c r="B858" s="117"/>
    </row>
    <row r="859">
      <c r="A859" s="117"/>
      <c r="B859" s="117"/>
    </row>
    <row r="860">
      <c r="A860" s="117"/>
      <c r="B860" s="117"/>
    </row>
    <row r="861">
      <c r="A861" s="117"/>
      <c r="B861" s="117"/>
    </row>
    <row r="862">
      <c r="A862" s="117"/>
      <c r="B862" s="117"/>
    </row>
    <row r="863">
      <c r="A863" s="117"/>
      <c r="B863" s="117"/>
    </row>
    <row r="864">
      <c r="A864" s="117"/>
      <c r="B864" s="117"/>
    </row>
    <row r="865">
      <c r="A865" s="117"/>
      <c r="B865" s="117"/>
    </row>
    <row r="866">
      <c r="A866" s="117"/>
      <c r="B866" s="117"/>
    </row>
    <row r="867">
      <c r="A867" s="117"/>
      <c r="B867" s="117"/>
    </row>
    <row r="868">
      <c r="A868" s="117"/>
      <c r="B868" s="117"/>
    </row>
    <row r="869">
      <c r="A869" s="117"/>
      <c r="B869" s="117"/>
    </row>
    <row r="870">
      <c r="A870" s="117"/>
      <c r="B870" s="117"/>
    </row>
    <row r="871">
      <c r="A871" s="117"/>
      <c r="B871" s="117"/>
    </row>
    <row r="872">
      <c r="A872" s="117"/>
      <c r="B872" s="117"/>
    </row>
    <row r="873">
      <c r="A873" s="117"/>
      <c r="B873" s="117"/>
    </row>
    <row r="874">
      <c r="A874" s="117"/>
      <c r="B874" s="117"/>
    </row>
    <row r="875">
      <c r="A875" s="117"/>
      <c r="B875" s="117"/>
    </row>
    <row r="876">
      <c r="A876" s="117"/>
      <c r="B876" s="117"/>
    </row>
    <row r="877">
      <c r="A877" s="117"/>
      <c r="B877" s="117"/>
    </row>
    <row r="878">
      <c r="A878" s="117"/>
      <c r="B878" s="117"/>
    </row>
    <row r="879">
      <c r="A879" s="117"/>
      <c r="B879" s="117"/>
    </row>
    <row r="880">
      <c r="A880" s="117"/>
      <c r="B880" s="117"/>
    </row>
    <row r="881">
      <c r="A881" s="117"/>
      <c r="B881" s="117"/>
    </row>
    <row r="882">
      <c r="A882" s="117"/>
      <c r="B882" s="117"/>
    </row>
    <row r="883">
      <c r="A883" s="117"/>
      <c r="B883" s="117"/>
    </row>
    <row r="884">
      <c r="A884" s="117"/>
      <c r="B884" s="117"/>
    </row>
    <row r="885">
      <c r="A885" s="117"/>
      <c r="B885" s="117"/>
    </row>
    <row r="886">
      <c r="A886" s="117"/>
      <c r="B886" s="117"/>
    </row>
    <row r="887">
      <c r="A887" s="117"/>
      <c r="B887" s="117"/>
    </row>
    <row r="888">
      <c r="A888" s="117"/>
      <c r="B888" s="117"/>
    </row>
    <row r="889">
      <c r="A889" s="117"/>
      <c r="B889" s="117"/>
    </row>
    <row r="890">
      <c r="A890" s="117"/>
      <c r="B890" s="117"/>
    </row>
    <row r="891">
      <c r="A891" s="117"/>
      <c r="B891" s="117"/>
    </row>
    <row r="892">
      <c r="A892" s="117"/>
      <c r="B892" s="117"/>
    </row>
    <row r="893">
      <c r="A893" s="117"/>
      <c r="B893" s="117"/>
    </row>
    <row r="894">
      <c r="A894" s="117"/>
      <c r="B894" s="117"/>
    </row>
    <row r="895">
      <c r="A895" s="117"/>
      <c r="B895" s="117"/>
    </row>
    <row r="896">
      <c r="A896" s="117"/>
      <c r="B896" s="117"/>
    </row>
    <row r="897">
      <c r="A897" s="117"/>
      <c r="B897" s="117"/>
    </row>
    <row r="898">
      <c r="A898" s="117"/>
      <c r="B898" s="117"/>
    </row>
    <row r="899">
      <c r="A899" s="117"/>
      <c r="B899" s="117"/>
    </row>
    <row r="900">
      <c r="A900" s="117"/>
      <c r="B900" s="117"/>
    </row>
    <row r="901">
      <c r="A901" s="117"/>
      <c r="B901" s="117"/>
    </row>
    <row r="902">
      <c r="A902" s="117"/>
      <c r="B902" s="117"/>
    </row>
    <row r="903">
      <c r="A903" s="117"/>
      <c r="B903" s="117"/>
    </row>
    <row r="904">
      <c r="A904" s="117"/>
      <c r="B904" s="117"/>
    </row>
    <row r="905">
      <c r="A905" s="117"/>
      <c r="B905" s="117"/>
    </row>
    <row r="906">
      <c r="A906" s="117"/>
      <c r="B906" s="117"/>
    </row>
    <row r="907">
      <c r="A907" s="117"/>
      <c r="B907" s="117"/>
    </row>
    <row r="908">
      <c r="A908" s="117"/>
      <c r="B908" s="117"/>
    </row>
    <row r="909">
      <c r="A909" s="117"/>
      <c r="B909" s="117"/>
    </row>
    <row r="910">
      <c r="A910" s="117"/>
      <c r="B910" s="117"/>
    </row>
    <row r="911">
      <c r="A911" s="117"/>
      <c r="B911" s="117"/>
    </row>
    <row r="912">
      <c r="A912" s="117"/>
      <c r="B912" s="117"/>
    </row>
    <row r="913">
      <c r="A913" s="117"/>
      <c r="B913" s="117"/>
    </row>
    <row r="914">
      <c r="A914" s="117"/>
      <c r="B914" s="117"/>
    </row>
    <row r="915">
      <c r="A915" s="117"/>
      <c r="B915" s="117"/>
    </row>
    <row r="916">
      <c r="A916" s="117"/>
      <c r="B916" s="117"/>
    </row>
    <row r="917">
      <c r="A917" s="117"/>
      <c r="B917" s="117"/>
    </row>
    <row r="918">
      <c r="A918" s="117"/>
      <c r="B918" s="117"/>
    </row>
    <row r="919">
      <c r="A919" s="117"/>
      <c r="B919" s="117"/>
    </row>
    <row r="920">
      <c r="A920" s="117"/>
      <c r="B920" s="117"/>
    </row>
    <row r="921">
      <c r="A921" s="117"/>
      <c r="B921" s="117"/>
    </row>
    <row r="922">
      <c r="A922" s="117"/>
      <c r="B922" s="117"/>
    </row>
    <row r="923">
      <c r="A923" s="117"/>
      <c r="B923" s="117"/>
    </row>
    <row r="924">
      <c r="A924" s="117"/>
      <c r="B924" s="117"/>
    </row>
    <row r="925">
      <c r="A925" s="117"/>
      <c r="B925" s="117"/>
    </row>
    <row r="926">
      <c r="A926" s="117"/>
      <c r="B926" s="117"/>
    </row>
    <row r="927">
      <c r="A927" s="117"/>
      <c r="B927" s="117"/>
    </row>
    <row r="928">
      <c r="A928" s="117"/>
      <c r="B928" s="117"/>
    </row>
    <row r="929">
      <c r="A929" s="117"/>
      <c r="B929" s="117"/>
    </row>
    <row r="930">
      <c r="A930" s="117"/>
      <c r="B930" s="117"/>
    </row>
    <row r="931">
      <c r="A931" s="117"/>
      <c r="B931" s="117"/>
    </row>
    <row r="932">
      <c r="A932" s="117"/>
      <c r="B932" s="117"/>
    </row>
    <row r="933">
      <c r="A933" s="117"/>
      <c r="B933" s="117"/>
    </row>
    <row r="934">
      <c r="A934" s="117"/>
      <c r="B934" s="117"/>
    </row>
    <row r="935">
      <c r="A935" s="117"/>
      <c r="B935" s="117"/>
    </row>
    <row r="936">
      <c r="A936" s="117"/>
      <c r="B936" s="117"/>
    </row>
    <row r="937">
      <c r="A937" s="117"/>
      <c r="B937" s="117"/>
    </row>
    <row r="938">
      <c r="A938" s="117"/>
      <c r="B938" s="117"/>
    </row>
    <row r="939">
      <c r="A939" s="117"/>
      <c r="B939" s="117"/>
    </row>
    <row r="940">
      <c r="A940" s="117"/>
      <c r="B940" s="117"/>
    </row>
    <row r="941">
      <c r="A941" s="117"/>
      <c r="B941" s="117"/>
    </row>
    <row r="942">
      <c r="A942" s="117"/>
      <c r="B942" s="117"/>
    </row>
    <row r="943">
      <c r="A943" s="117"/>
      <c r="B943" s="117"/>
    </row>
    <row r="944">
      <c r="A944" s="117"/>
      <c r="B944" s="117"/>
    </row>
    <row r="945">
      <c r="A945" s="117"/>
      <c r="B945" s="117"/>
    </row>
    <row r="946">
      <c r="A946" s="117"/>
      <c r="B946" s="117"/>
    </row>
    <row r="947">
      <c r="A947" s="117"/>
      <c r="B947" s="117"/>
    </row>
    <row r="948">
      <c r="A948" s="117"/>
      <c r="B948" s="117"/>
    </row>
    <row r="949">
      <c r="A949" s="117"/>
      <c r="B949" s="117"/>
    </row>
    <row r="950">
      <c r="A950" s="117"/>
      <c r="B950" s="117"/>
    </row>
    <row r="951">
      <c r="A951" s="117"/>
      <c r="B951" s="117"/>
    </row>
    <row r="952">
      <c r="A952" s="117"/>
      <c r="B952" s="117"/>
    </row>
    <row r="953">
      <c r="A953" s="117"/>
      <c r="B953" s="117"/>
    </row>
    <row r="954">
      <c r="A954" s="117"/>
      <c r="B954" s="117"/>
    </row>
    <row r="955">
      <c r="A955" s="117"/>
      <c r="B955" s="117"/>
    </row>
    <row r="956">
      <c r="A956" s="117"/>
      <c r="B956" s="117"/>
    </row>
    <row r="957">
      <c r="A957" s="117"/>
      <c r="B957" s="117"/>
    </row>
    <row r="958">
      <c r="A958" s="117"/>
      <c r="B958" s="117"/>
    </row>
    <row r="959">
      <c r="A959" s="117"/>
      <c r="B959" s="117"/>
    </row>
    <row r="960">
      <c r="A960" s="117"/>
      <c r="B960" s="117"/>
    </row>
    <row r="961">
      <c r="A961" s="117"/>
      <c r="B961" s="117"/>
    </row>
    <row r="962">
      <c r="A962" s="117"/>
      <c r="B962" s="117"/>
    </row>
    <row r="963">
      <c r="A963" s="117"/>
      <c r="B963" s="117"/>
    </row>
    <row r="964">
      <c r="A964" s="117"/>
      <c r="B964" s="117"/>
    </row>
    <row r="965">
      <c r="A965" s="117"/>
      <c r="B965" s="117"/>
    </row>
    <row r="966">
      <c r="A966" s="117"/>
      <c r="B966" s="117"/>
    </row>
    <row r="967">
      <c r="A967" s="117"/>
      <c r="B967" s="117"/>
    </row>
    <row r="968">
      <c r="A968" s="117"/>
      <c r="B968" s="117"/>
    </row>
    <row r="969">
      <c r="A969" s="117"/>
      <c r="B969" s="117"/>
    </row>
    <row r="970">
      <c r="A970" s="117"/>
      <c r="B970" s="117"/>
    </row>
    <row r="971">
      <c r="A971" s="117"/>
      <c r="B971" s="117"/>
    </row>
    <row r="972">
      <c r="A972" s="117"/>
      <c r="B972" s="117"/>
    </row>
    <row r="973">
      <c r="A973" s="117"/>
      <c r="B973" s="117"/>
    </row>
    <row r="974">
      <c r="A974" s="117"/>
      <c r="B974" s="117"/>
    </row>
    <row r="975">
      <c r="A975" s="117"/>
      <c r="B975" s="117"/>
    </row>
    <row r="976">
      <c r="A976" s="117"/>
      <c r="B976" s="117"/>
    </row>
    <row r="977">
      <c r="A977" s="117"/>
      <c r="B977" s="117"/>
    </row>
    <row r="978">
      <c r="A978" s="117"/>
      <c r="B978" s="117"/>
    </row>
    <row r="979">
      <c r="A979" s="117"/>
      <c r="B979" s="117"/>
    </row>
    <row r="980">
      <c r="A980" s="117"/>
      <c r="B980" s="117"/>
    </row>
    <row r="981">
      <c r="A981" s="117"/>
      <c r="B981" s="117"/>
    </row>
    <row r="982">
      <c r="A982" s="117"/>
      <c r="B982" s="117"/>
    </row>
    <row r="983">
      <c r="A983" s="117"/>
      <c r="B983" s="117"/>
    </row>
    <row r="984">
      <c r="A984" s="117"/>
      <c r="B984" s="117"/>
    </row>
    <row r="985">
      <c r="A985" s="117"/>
      <c r="B985" s="117"/>
    </row>
    <row r="986">
      <c r="A986" s="117"/>
      <c r="B986" s="117"/>
    </row>
    <row r="987">
      <c r="A987" s="117"/>
      <c r="B987" s="117"/>
    </row>
    <row r="988">
      <c r="A988" s="117"/>
      <c r="B988" s="117"/>
    </row>
    <row r="989">
      <c r="A989" s="117"/>
      <c r="B989" s="117"/>
    </row>
    <row r="990">
      <c r="A990" s="117"/>
      <c r="B990" s="117"/>
    </row>
    <row r="991">
      <c r="A991" s="117"/>
      <c r="B991" s="117"/>
    </row>
    <row r="992">
      <c r="A992" s="117"/>
      <c r="B992" s="117"/>
    </row>
    <row r="993">
      <c r="A993" s="117"/>
      <c r="B993" s="117"/>
    </row>
    <row r="994">
      <c r="A994" s="117"/>
      <c r="B994" s="117"/>
    </row>
    <row r="995">
      <c r="A995" s="117"/>
      <c r="B995" s="117"/>
    </row>
    <row r="996">
      <c r="A996" s="117"/>
      <c r="B996" s="117"/>
    </row>
    <row r="997">
      <c r="A997" s="117"/>
      <c r="B997" s="117"/>
    </row>
    <row r="998">
      <c r="A998" s="117"/>
      <c r="B998" s="117"/>
    </row>
    <row r="999">
      <c r="A999" s="117"/>
      <c r="B999" s="117"/>
    </row>
    <row r="1000">
      <c r="A1000" s="117"/>
      <c r="B1000" s="117"/>
    </row>
    <row r="1001">
      <c r="A1001" s="117"/>
      <c r="B1001" s="117"/>
    </row>
    <row r="1002">
      <c r="A1002" s="117"/>
      <c r="B1002" s="117"/>
    </row>
    <row r="1003">
      <c r="A1003" s="117"/>
      <c r="B1003" s="117"/>
    </row>
    <row r="1004">
      <c r="A1004" s="117"/>
      <c r="B1004" s="117"/>
    </row>
    <row r="1005">
      <c r="A1005" s="117"/>
      <c r="B1005" s="117"/>
    </row>
    <row r="1006">
      <c r="A1006" s="117"/>
      <c r="B1006" s="117"/>
    </row>
    <row r="1007">
      <c r="A1007" s="117"/>
      <c r="B1007" s="117"/>
    </row>
    <row r="1008">
      <c r="A1008" s="117"/>
      <c r="B1008" s="117"/>
    </row>
    <row r="1009">
      <c r="A1009" s="117"/>
      <c r="B1009" s="117"/>
    </row>
    <row r="1010">
      <c r="A1010" s="117"/>
      <c r="B1010" s="117"/>
    </row>
    <row r="1011">
      <c r="A1011" s="117"/>
      <c r="B1011" s="117"/>
    </row>
    <row r="1012">
      <c r="A1012" s="117"/>
      <c r="B1012" s="117"/>
    </row>
    <row r="1013">
      <c r="A1013" s="117"/>
      <c r="B1013" s="117"/>
    </row>
    <row r="1014">
      <c r="A1014" s="117"/>
      <c r="B1014" s="117"/>
    </row>
    <row r="1015">
      <c r="A1015" s="117"/>
      <c r="B1015" s="117"/>
    </row>
    <row r="1016">
      <c r="A1016" s="117"/>
      <c r="B1016" s="117"/>
    </row>
    <row r="1017">
      <c r="A1017" s="117"/>
      <c r="B1017" s="117"/>
    </row>
    <row r="1018">
      <c r="A1018" s="117"/>
      <c r="B1018" s="117"/>
    </row>
    <row r="1019">
      <c r="A1019" s="117"/>
      <c r="B1019" s="117"/>
    </row>
    <row r="1020">
      <c r="A1020" s="117"/>
      <c r="B1020" s="117"/>
    </row>
    <row r="1021">
      <c r="A1021" s="117"/>
      <c r="B1021" s="117"/>
    </row>
    <row r="1022">
      <c r="A1022" s="117"/>
      <c r="B1022" s="117"/>
    </row>
    <row r="1023">
      <c r="A1023" s="117"/>
      <c r="B1023" s="117"/>
    </row>
    <row r="1024">
      <c r="A1024" s="117"/>
      <c r="B1024" s="117"/>
    </row>
    <row r="1025">
      <c r="A1025" s="117"/>
      <c r="B1025" s="117"/>
    </row>
    <row r="1026">
      <c r="A1026" s="117"/>
      <c r="B1026" s="117"/>
    </row>
    <row r="1027">
      <c r="A1027" s="117"/>
      <c r="B1027" s="117"/>
    </row>
    <row r="1028">
      <c r="A1028" s="117"/>
      <c r="B1028" s="117"/>
    </row>
    <row r="1029">
      <c r="A1029" s="117"/>
      <c r="B1029" s="117"/>
    </row>
    <row r="1030">
      <c r="A1030" s="117"/>
      <c r="B1030" s="117"/>
    </row>
    <row r="1031">
      <c r="A1031" s="117"/>
      <c r="B1031" s="117"/>
    </row>
    <row r="1032">
      <c r="A1032" s="117"/>
      <c r="B1032" s="117"/>
    </row>
    <row r="1033">
      <c r="A1033" s="117"/>
      <c r="B1033" s="117"/>
    </row>
    <row r="1034">
      <c r="A1034" s="117"/>
      <c r="B1034" s="117"/>
    </row>
    <row r="1035">
      <c r="A1035" s="117"/>
      <c r="B1035" s="117"/>
    </row>
    <row r="1036">
      <c r="A1036" s="117"/>
      <c r="B1036" s="117"/>
    </row>
    <row r="1037">
      <c r="A1037" s="117"/>
      <c r="B1037" s="117"/>
    </row>
    <row r="1038">
      <c r="A1038" s="117"/>
      <c r="B1038" s="117"/>
    </row>
    <row r="1039">
      <c r="A1039" s="117"/>
      <c r="B1039" s="117"/>
    </row>
    <row r="1040">
      <c r="A1040" s="117"/>
      <c r="B1040" s="117"/>
    </row>
    <row r="1041">
      <c r="A1041" s="117"/>
      <c r="B1041" s="117"/>
    </row>
    <row r="1042">
      <c r="A1042" s="117"/>
      <c r="B1042" s="117"/>
    </row>
    <row r="1043">
      <c r="A1043" s="117"/>
      <c r="B1043" s="117"/>
    </row>
    <row r="1044">
      <c r="A1044" s="117"/>
      <c r="B1044" s="117"/>
    </row>
    <row r="1045">
      <c r="A1045" s="117"/>
      <c r="B1045" s="117"/>
    </row>
    <row r="1046">
      <c r="A1046" s="117"/>
      <c r="B1046" s="117"/>
    </row>
    <row r="1047">
      <c r="A1047" s="117"/>
      <c r="B1047" s="117"/>
    </row>
    <row r="1048">
      <c r="A1048" s="117"/>
      <c r="B1048" s="117"/>
    </row>
    <row r="1049">
      <c r="A1049" s="117"/>
      <c r="B1049" s="117"/>
    </row>
    <row r="1050">
      <c r="A1050" s="117"/>
      <c r="B1050" s="117"/>
    </row>
    <row r="1051">
      <c r="A1051" s="117"/>
      <c r="B1051" s="117"/>
    </row>
    <row r="1052">
      <c r="A1052" s="117"/>
      <c r="B1052" s="117"/>
    </row>
    <row r="1053">
      <c r="A1053" s="117"/>
      <c r="B1053" s="117"/>
    </row>
    <row r="1054">
      <c r="A1054" s="117"/>
      <c r="B1054" s="117"/>
    </row>
    <row r="1055">
      <c r="A1055" s="117"/>
      <c r="B1055" s="117"/>
    </row>
    <row r="1056">
      <c r="A1056" s="117"/>
      <c r="B1056" s="117"/>
    </row>
    <row r="1057">
      <c r="A1057" s="117"/>
      <c r="B1057" s="117"/>
    </row>
    <row r="1058">
      <c r="A1058" s="117"/>
      <c r="B1058" s="117"/>
    </row>
    <row r="1059">
      <c r="A1059" s="117"/>
      <c r="B1059" s="117"/>
    </row>
    <row r="1060">
      <c r="A1060" s="117"/>
      <c r="B1060" s="117"/>
    </row>
    <row r="1061">
      <c r="A1061" s="117"/>
      <c r="B1061" s="117"/>
    </row>
    <row r="1062">
      <c r="A1062" s="117"/>
      <c r="B1062" s="117"/>
    </row>
    <row r="1063">
      <c r="A1063" s="117"/>
      <c r="B1063" s="117"/>
    </row>
    <row r="1064">
      <c r="A1064" s="117"/>
      <c r="B1064" s="117"/>
    </row>
    <row r="1065">
      <c r="A1065" s="117"/>
      <c r="B1065" s="117"/>
    </row>
    <row r="1066">
      <c r="A1066" s="117"/>
      <c r="B1066" s="117"/>
    </row>
    <row r="1067">
      <c r="A1067" s="117"/>
      <c r="B1067" s="117"/>
    </row>
    <row r="1068">
      <c r="A1068" s="117"/>
      <c r="B1068" s="117"/>
    </row>
    <row r="1069">
      <c r="A1069" s="117"/>
      <c r="B1069" s="117"/>
    </row>
    <row r="1070">
      <c r="A1070" s="117"/>
      <c r="B1070" s="117"/>
    </row>
    <row r="1071">
      <c r="A1071" s="117"/>
      <c r="B1071" s="117"/>
    </row>
    <row r="1072">
      <c r="A1072" s="117"/>
      <c r="B1072" s="117"/>
    </row>
    <row r="1073">
      <c r="A1073" s="117"/>
      <c r="B1073" s="117"/>
    </row>
    <row r="1074">
      <c r="A1074" s="117"/>
      <c r="B1074" s="117"/>
    </row>
    <row r="1075">
      <c r="A1075" s="117"/>
      <c r="B1075" s="117"/>
    </row>
    <row r="1076">
      <c r="A1076" s="117"/>
      <c r="B1076" s="117"/>
    </row>
    <row r="1077">
      <c r="A1077" s="117"/>
      <c r="B1077" s="117"/>
    </row>
    <row r="1078">
      <c r="A1078" s="117"/>
      <c r="B1078" s="117"/>
    </row>
    <row r="1079">
      <c r="A1079" s="117"/>
      <c r="B1079" s="117"/>
    </row>
    <row r="1080">
      <c r="A1080" s="117"/>
      <c r="B1080" s="117"/>
    </row>
    <row r="1081">
      <c r="A1081" s="117"/>
      <c r="B1081" s="117"/>
    </row>
    <row r="1082">
      <c r="A1082" s="117"/>
      <c r="B1082" s="117"/>
    </row>
    <row r="1083">
      <c r="A1083" s="117"/>
      <c r="B1083" s="117"/>
    </row>
    <row r="1084">
      <c r="A1084" s="117"/>
      <c r="B1084" s="11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2" width="10.75"/>
    <col customWidth="1" min="23" max="23" width="10.63"/>
    <col customWidth="1" min="24" max="24" width="13.63"/>
  </cols>
  <sheetData>
    <row r="1">
      <c r="A1" s="108">
        <v>45869.0</v>
      </c>
      <c r="C1" s="129"/>
      <c r="D1" s="129"/>
    </row>
    <row r="2" ht="22.5" customHeight="1">
      <c r="A2" s="1" t="s">
        <v>0</v>
      </c>
      <c r="B2" s="1" t="s">
        <v>1</v>
      </c>
      <c r="C2" s="1" t="s">
        <v>123</v>
      </c>
      <c r="D2" s="111" t="s">
        <v>124</v>
      </c>
      <c r="E2" s="111" t="s">
        <v>125</v>
      </c>
      <c r="F2" s="111" t="s">
        <v>126</v>
      </c>
      <c r="G2" s="111" t="s">
        <v>127</v>
      </c>
      <c r="H2" s="4" t="s">
        <v>93</v>
      </c>
      <c r="I2" s="1" t="s">
        <v>94</v>
      </c>
      <c r="J2" s="1" t="s">
        <v>96</v>
      </c>
      <c r="K2" s="1" t="s">
        <v>97</v>
      </c>
      <c r="L2" s="1" t="s">
        <v>101</v>
      </c>
      <c r="M2" s="1" t="s">
        <v>128</v>
      </c>
      <c r="N2" s="1" t="s">
        <v>129</v>
      </c>
      <c r="O2" s="1" t="s">
        <v>130</v>
      </c>
      <c r="P2" s="1" t="s">
        <v>98</v>
      </c>
      <c r="Q2" s="153" t="s">
        <v>104</v>
      </c>
      <c r="R2" s="153" t="s">
        <v>99</v>
      </c>
      <c r="S2" s="153" t="s">
        <v>131</v>
      </c>
      <c r="T2" s="111" t="s">
        <v>132</v>
      </c>
      <c r="U2" s="153" t="s">
        <v>105</v>
      </c>
      <c r="V2" s="115" t="s">
        <v>109</v>
      </c>
      <c r="W2" s="116" t="s">
        <v>24</v>
      </c>
      <c r="X2" s="154" t="s">
        <v>110</v>
      </c>
      <c r="Y2" s="117"/>
      <c r="Z2" s="117"/>
      <c r="AA2" s="117"/>
      <c r="AB2" s="117"/>
      <c r="AC2" s="117"/>
      <c r="AD2" s="117"/>
      <c r="AE2" s="117"/>
      <c r="AF2" s="117"/>
      <c r="AG2" s="117"/>
      <c r="AH2" s="117"/>
    </row>
    <row r="3" ht="22.5" customHeight="1">
      <c r="A3" s="1">
        <v>608.0</v>
      </c>
      <c r="B3" s="1"/>
      <c r="C3" s="138"/>
      <c r="D3" s="138"/>
      <c r="E3" s="138"/>
      <c r="F3" s="138"/>
      <c r="G3" s="138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26"/>
      <c r="V3" s="127">
        <f t="shared" ref="V3:V27" si="1">SUM(D3:U3)</f>
        <v>0</v>
      </c>
      <c r="W3" s="128"/>
      <c r="X3" s="155"/>
    </row>
    <row r="4" ht="22.5" customHeight="1">
      <c r="A4" s="1">
        <v>703.0</v>
      </c>
      <c r="B4" s="1"/>
      <c r="C4" s="138"/>
      <c r="D4" s="138"/>
      <c r="E4" s="138"/>
      <c r="F4" s="138"/>
      <c r="G4" s="138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26"/>
      <c r="V4" s="127">
        <f t="shared" si="1"/>
        <v>0</v>
      </c>
      <c r="W4" s="128"/>
      <c r="X4" s="155"/>
    </row>
    <row r="5" ht="22.5" customHeight="1">
      <c r="A5" s="1">
        <v>801.0</v>
      </c>
      <c r="B5" s="1" t="s">
        <v>10</v>
      </c>
      <c r="C5" s="119">
        <v>160000.0</v>
      </c>
      <c r="D5" s="138">
        <v>40000.0</v>
      </c>
      <c r="E5" s="138">
        <v>5000.0</v>
      </c>
      <c r="F5" s="138">
        <v>5000.0</v>
      </c>
      <c r="G5" s="138">
        <v>2000.0</v>
      </c>
      <c r="H5" s="119">
        <v>10000.0</v>
      </c>
      <c r="I5" s="119">
        <v>20570.0</v>
      </c>
      <c r="J5" s="119"/>
      <c r="K5" s="119"/>
      <c r="L5" s="119"/>
      <c r="M5" s="119"/>
      <c r="N5" s="119"/>
      <c r="O5" s="119"/>
      <c r="P5" s="119">
        <v>10000.0</v>
      </c>
      <c r="Q5" s="119"/>
      <c r="R5" s="119"/>
      <c r="S5" s="119"/>
      <c r="T5" s="119">
        <v>0.0</v>
      </c>
      <c r="U5" s="126"/>
      <c r="V5" s="127">
        <f t="shared" si="1"/>
        <v>92570</v>
      </c>
      <c r="W5" s="128" t="s">
        <v>121</v>
      </c>
      <c r="X5" s="110" t="s">
        <v>133</v>
      </c>
      <c r="Y5" s="156" t="s">
        <v>134</v>
      </c>
    </row>
    <row r="6" ht="22.5" customHeight="1">
      <c r="A6" s="1">
        <v>813.0</v>
      </c>
      <c r="B6" s="1"/>
      <c r="C6" s="138"/>
      <c r="D6" s="138"/>
      <c r="E6" s="138"/>
      <c r="F6" s="138"/>
      <c r="G6" s="138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26"/>
      <c r="V6" s="127">
        <f t="shared" si="1"/>
        <v>0</v>
      </c>
      <c r="W6" s="128"/>
      <c r="X6" s="155"/>
    </row>
    <row r="7" ht="22.5" customHeight="1">
      <c r="A7" s="1">
        <v>906.0</v>
      </c>
      <c r="B7" s="1"/>
      <c r="C7" s="138"/>
      <c r="D7" s="138"/>
      <c r="E7" s="138"/>
      <c r="F7" s="138"/>
      <c r="G7" s="138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30"/>
      <c r="V7" s="127">
        <f t="shared" si="1"/>
        <v>0</v>
      </c>
      <c r="W7" s="128"/>
      <c r="X7" s="155"/>
    </row>
    <row r="8" ht="22.5" customHeight="1">
      <c r="A8" s="1">
        <v>913.0</v>
      </c>
      <c r="B8" s="1" t="s">
        <v>6</v>
      </c>
      <c r="C8" s="157">
        <v>219000.0</v>
      </c>
      <c r="D8" s="138">
        <v>40000.0</v>
      </c>
      <c r="E8" s="138">
        <v>5000.0</v>
      </c>
      <c r="F8" s="138">
        <v>5000.0</v>
      </c>
      <c r="G8" s="138">
        <v>2000.0</v>
      </c>
      <c r="H8" s="119">
        <v>10000.0</v>
      </c>
      <c r="I8" s="119">
        <v>27100.0</v>
      </c>
      <c r="J8" s="119">
        <f>363*25</f>
        <v>9075</v>
      </c>
      <c r="K8" s="119">
        <f>73*25</f>
        <v>1825</v>
      </c>
      <c r="L8" s="119"/>
      <c r="M8" s="119"/>
      <c r="N8" s="158"/>
      <c r="O8" s="158"/>
      <c r="P8" s="119">
        <v>10000.0</v>
      </c>
      <c r="Q8" s="119">
        <v>0.0</v>
      </c>
      <c r="R8" s="119"/>
      <c r="S8" s="137"/>
      <c r="T8" s="119">
        <v>0.0</v>
      </c>
      <c r="U8" s="130"/>
      <c r="V8" s="127">
        <f t="shared" si="1"/>
        <v>110000</v>
      </c>
      <c r="W8" s="128" t="s">
        <v>118</v>
      </c>
      <c r="X8" s="110" t="s">
        <v>135</v>
      </c>
      <c r="Y8" s="156" t="s">
        <v>86</v>
      </c>
    </row>
    <row r="9" ht="22.5" customHeight="1">
      <c r="A9" s="1">
        <v>1005.0</v>
      </c>
      <c r="B9" s="1"/>
      <c r="C9" s="138"/>
      <c r="D9" s="138"/>
      <c r="E9" s="138"/>
      <c r="F9" s="138"/>
      <c r="G9" s="138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26"/>
      <c r="V9" s="127">
        <f t="shared" si="1"/>
        <v>0</v>
      </c>
      <c r="W9" s="128"/>
      <c r="X9" s="155"/>
    </row>
    <row r="10" ht="22.5" customHeight="1">
      <c r="A10" s="1">
        <v>1006.0</v>
      </c>
      <c r="B10" s="1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37"/>
      <c r="T10" s="119"/>
      <c r="U10" s="130"/>
      <c r="V10" s="127">
        <f t="shared" si="1"/>
        <v>0</v>
      </c>
      <c r="W10" s="145"/>
      <c r="X10" s="155"/>
    </row>
    <row r="11" ht="22.5" customHeight="1">
      <c r="A11" s="1">
        <v>1012.0</v>
      </c>
      <c r="B11" s="1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26"/>
      <c r="V11" s="127">
        <f t="shared" si="1"/>
        <v>0</v>
      </c>
      <c r="W11" s="128"/>
      <c r="X11" s="155"/>
    </row>
    <row r="12" ht="22.5" customHeight="1">
      <c r="A12" s="1">
        <v>915.0</v>
      </c>
      <c r="B12" s="1" t="s">
        <v>7</v>
      </c>
      <c r="C12" s="119">
        <v>160000.0</v>
      </c>
      <c r="D12" s="138">
        <v>40000.0</v>
      </c>
      <c r="E12" s="138">
        <v>5000.0</v>
      </c>
      <c r="F12" s="138">
        <v>5000.0</v>
      </c>
      <c r="G12" s="138">
        <v>2000.0</v>
      </c>
      <c r="H12" s="119"/>
      <c r="I12" s="119">
        <v>2530.0</v>
      </c>
      <c r="J12" s="119"/>
      <c r="K12" s="119"/>
      <c r="L12" s="119"/>
      <c r="M12" s="119"/>
      <c r="N12" s="119"/>
      <c r="O12" s="119"/>
      <c r="P12" s="119">
        <v>10000.0</v>
      </c>
      <c r="Q12" s="119"/>
      <c r="R12" s="119"/>
      <c r="S12" s="119"/>
      <c r="T12" s="119"/>
      <c r="U12" s="126"/>
      <c r="V12" s="127">
        <f t="shared" si="1"/>
        <v>64530</v>
      </c>
      <c r="W12" s="128" t="s">
        <v>136</v>
      </c>
      <c r="X12" s="129" t="s">
        <v>112</v>
      </c>
      <c r="Y12" s="156" t="s">
        <v>134</v>
      </c>
    </row>
    <row r="13" ht="22.5" customHeight="1">
      <c r="A13" s="1"/>
      <c r="B13" s="1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38"/>
      <c r="V13" s="127">
        <f t="shared" si="1"/>
        <v>0</v>
      </c>
      <c r="W13" s="128"/>
      <c r="X13" s="155"/>
    </row>
    <row r="14" ht="22.5" customHeight="1">
      <c r="A14" s="3"/>
      <c r="B14" s="3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30"/>
      <c r="V14" s="127">
        <f t="shared" si="1"/>
        <v>0</v>
      </c>
      <c r="W14" s="145"/>
      <c r="X14" s="155"/>
    </row>
    <row r="15" ht="22.5" customHeight="1">
      <c r="A15" s="3"/>
      <c r="B15" s="3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30"/>
      <c r="V15" s="127">
        <f t="shared" si="1"/>
        <v>0</v>
      </c>
      <c r="W15" s="145"/>
      <c r="X15" s="155"/>
    </row>
    <row r="16" ht="22.5" customHeight="1">
      <c r="A16" s="1"/>
      <c r="B16" s="3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30"/>
      <c r="V16" s="127">
        <f t="shared" si="1"/>
        <v>0</v>
      </c>
      <c r="W16" s="145"/>
      <c r="X16" s="155"/>
    </row>
    <row r="17" ht="22.5" customHeight="1">
      <c r="A17" s="1"/>
      <c r="B17" s="1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37"/>
      <c r="T17" s="119"/>
      <c r="U17" s="130"/>
      <c r="V17" s="127">
        <f t="shared" si="1"/>
        <v>0</v>
      </c>
      <c r="W17" s="128"/>
      <c r="X17" s="155"/>
    </row>
    <row r="18" ht="22.5" customHeight="1">
      <c r="A18" s="1"/>
      <c r="B18" s="1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30"/>
      <c r="V18" s="127">
        <f t="shared" si="1"/>
        <v>0</v>
      </c>
      <c r="W18" s="128"/>
      <c r="X18" s="155"/>
    </row>
    <row r="19" ht="22.5" customHeight="1">
      <c r="A19" s="1"/>
      <c r="B19" s="1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30"/>
      <c r="V19" s="127">
        <f t="shared" si="1"/>
        <v>0</v>
      </c>
      <c r="W19" s="128"/>
      <c r="X19" s="155"/>
    </row>
    <row r="20" ht="22.5" customHeight="1">
      <c r="A20" s="1"/>
      <c r="B20" s="1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30"/>
      <c r="V20" s="127">
        <f t="shared" si="1"/>
        <v>0</v>
      </c>
      <c r="W20" s="128"/>
      <c r="X20" s="155"/>
    </row>
    <row r="21" ht="22.5" customHeight="1">
      <c r="A21" s="1"/>
      <c r="B21" s="3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30"/>
      <c r="V21" s="127">
        <f t="shared" si="1"/>
        <v>0</v>
      </c>
      <c r="W21" s="145"/>
      <c r="X21" s="155"/>
    </row>
    <row r="22" ht="22.5" customHeight="1">
      <c r="A22" s="1"/>
      <c r="B22" s="1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30"/>
      <c r="V22" s="127">
        <f t="shared" si="1"/>
        <v>0</v>
      </c>
      <c r="W22" s="128"/>
      <c r="X22" s="155"/>
    </row>
    <row r="23" ht="22.5" customHeight="1">
      <c r="A23" s="1"/>
      <c r="B23" s="1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30"/>
      <c r="V23" s="127">
        <f t="shared" si="1"/>
        <v>0</v>
      </c>
      <c r="W23" s="128"/>
      <c r="X23" s="155"/>
    </row>
    <row r="24" ht="22.5" customHeight="1">
      <c r="A24" s="1"/>
      <c r="B24" s="3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30"/>
      <c r="V24" s="127">
        <f t="shared" si="1"/>
        <v>0</v>
      </c>
      <c r="W24" s="145"/>
      <c r="X24" s="155"/>
    </row>
    <row r="25" ht="22.5" customHeight="1">
      <c r="A25" s="1"/>
      <c r="B25" s="1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58"/>
      <c r="O25" s="158"/>
      <c r="P25" s="119"/>
      <c r="Q25" s="119"/>
      <c r="R25" s="119"/>
      <c r="S25" s="119"/>
      <c r="T25" s="119"/>
      <c r="U25" s="138"/>
      <c r="V25" s="127">
        <f t="shared" si="1"/>
        <v>0</v>
      </c>
      <c r="W25" s="128"/>
      <c r="X25" s="155"/>
    </row>
    <row r="26" ht="22.5" customHeight="1">
      <c r="A26" s="3"/>
      <c r="B26" s="3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30"/>
      <c r="V26" s="127">
        <f t="shared" si="1"/>
        <v>0</v>
      </c>
      <c r="W26" s="145"/>
      <c r="X26" s="155"/>
    </row>
    <row r="27" ht="22.5" customHeight="1">
      <c r="A27" s="115" t="s">
        <v>109</v>
      </c>
      <c r="B27" s="143"/>
      <c r="C27" s="136"/>
      <c r="D27" s="136">
        <f t="shared" ref="D27:U27" si="2">SUM(D3:D26)</f>
        <v>120000</v>
      </c>
      <c r="E27" s="136">
        <f t="shared" si="2"/>
        <v>15000</v>
      </c>
      <c r="F27" s="136">
        <f t="shared" si="2"/>
        <v>15000</v>
      </c>
      <c r="G27" s="136">
        <f t="shared" si="2"/>
        <v>6000</v>
      </c>
      <c r="H27" s="136">
        <f t="shared" si="2"/>
        <v>20000</v>
      </c>
      <c r="I27" s="136">
        <f t="shared" si="2"/>
        <v>50200</v>
      </c>
      <c r="J27" s="136">
        <f t="shared" si="2"/>
        <v>9075</v>
      </c>
      <c r="K27" s="136">
        <f t="shared" si="2"/>
        <v>1825</v>
      </c>
      <c r="L27" s="136">
        <f t="shared" si="2"/>
        <v>0</v>
      </c>
      <c r="M27" s="136">
        <f t="shared" si="2"/>
        <v>0</v>
      </c>
      <c r="N27" s="136">
        <f t="shared" si="2"/>
        <v>0</v>
      </c>
      <c r="O27" s="136">
        <f t="shared" si="2"/>
        <v>0</v>
      </c>
      <c r="P27" s="136">
        <f t="shared" si="2"/>
        <v>30000</v>
      </c>
      <c r="Q27" s="136">
        <f t="shared" si="2"/>
        <v>0</v>
      </c>
      <c r="R27" s="136">
        <f t="shared" si="2"/>
        <v>0</v>
      </c>
      <c r="S27" s="136">
        <f t="shared" si="2"/>
        <v>0</v>
      </c>
      <c r="T27" s="136">
        <f t="shared" si="2"/>
        <v>0</v>
      </c>
      <c r="U27" s="136">
        <f t="shared" si="2"/>
        <v>0</v>
      </c>
      <c r="V27" s="127">
        <f t="shared" si="1"/>
        <v>267100</v>
      </c>
      <c r="W27" s="145"/>
    </row>
    <row r="28">
      <c r="A28" s="117"/>
      <c r="B28" s="11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</row>
    <row r="29">
      <c r="A29" s="117"/>
      <c r="B29" s="11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</row>
    <row r="30">
      <c r="A30" s="117"/>
      <c r="B30" s="11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</row>
    <row r="31">
      <c r="A31" s="117"/>
      <c r="B31" s="11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</row>
    <row r="32">
      <c r="A32" s="117"/>
      <c r="B32" s="11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</row>
    <row r="33">
      <c r="A33" s="117"/>
      <c r="B33" s="11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</row>
    <row r="34">
      <c r="A34" s="117"/>
      <c r="B34" s="11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</row>
    <row r="35">
      <c r="A35" s="117"/>
      <c r="B35" s="11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</row>
    <row r="36">
      <c r="A36" s="117"/>
      <c r="B36" s="11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</row>
    <row r="37">
      <c r="A37" s="117"/>
      <c r="B37" s="11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</row>
    <row r="38">
      <c r="A38" s="117"/>
      <c r="B38" s="11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</row>
    <row r="39">
      <c r="A39" s="117"/>
      <c r="B39" s="11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</row>
    <row r="40">
      <c r="A40" s="117"/>
      <c r="B40" s="11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</row>
    <row r="41">
      <c r="A41" s="117"/>
      <c r="B41" s="11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</row>
    <row r="42">
      <c r="A42" s="117"/>
      <c r="B42" s="11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</row>
    <row r="43">
      <c r="A43" s="117"/>
      <c r="B43" s="11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</row>
    <row r="44">
      <c r="A44" s="117"/>
      <c r="B44" s="117"/>
    </row>
    <row r="45">
      <c r="A45" s="117"/>
      <c r="B45" s="117"/>
    </row>
    <row r="46">
      <c r="A46" s="117"/>
      <c r="B46" s="117"/>
    </row>
    <row r="47">
      <c r="A47" s="117"/>
      <c r="B47" s="117"/>
    </row>
    <row r="48">
      <c r="A48" s="117"/>
      <c r="B48" s="117"/>
    </row>
    <row r="49">
      <c r="A49" s="117"/>
      <c r="B49" s="117"/>
    </row>
    <row r="50">
      <c r="A50" s="117"/>
      <c r="B50" s="117"/>
    </row>
    <row r="51">
      <c r="A51" s="117"/>
      <c r="B51" s="117"/>
    </row>
    <row r="52">
      <c r="A52" s="117"/>
      <c r="B52" s="117"/>
    </row>
    <row r="53">
      <c r="A53" s="117"/>
      <c r="B53" s="117"/>
    </row>
    <row r="54">
      <c r="A54" s="117"/>
      <c r="B54" s="117"/>
    </row>
    <row r="55">
      <c r="A55" s="117"/>
      <c r="B55" s="117"/>
    </row>
    <row r="56">
      <c r="A56" s="117"/>
      <c r="B56" s="117"/>
    </row>
    <row r="57">
      <c r="A57" s="117"/>
      <c r="B57" s="117"/>
    </row>
    <row r="58">
      <c r="A58" s="117"/>
      <c r="B58" s="117"/>
    </row>
    <row r="59">
      <c r="A59" s="117"/>
      <c r="B59" s="117"/>
    </row>
    <row r="60">
      <c r="A60" s="117"/>
      <c r="B60" s="117"/>
    </row>
    <row r="61">
      <c r="A61" s="117"/>
      <c r="B61" s="117"/>
    </row>
    <row r="62">
      <c r="A62" s="117"/>
      <c r="B62" s="117"/>
    </row>
    <row r="63">
      <c r="A63" s="117"/>
      <c r="B63" s="117"/>
    </row>
    <row r="64">
      <c r="A64" s="117"/>
      <c r="B64" s="117"/>
    </row>
    <row r="65">
      <c r="A65" s="117"/>
      <c r="B65" s="117"/>
    </row>
    <row r="66">
      <c r="A66" s="117"/>
      <c r="B66" s="117"/>
    </row>
    <row r="67">
      <c r="A67" s="117"/>
      <c r="B67" s="117"/>
    </row>
    <row r="68">
      <c r="A68" s="117"/>
      <c r="B68" s="117"/>
    </row>
    <row r="69">
      <c r="A69" s="117"/>
      <c r="B69" s="117"/>
    </row>
    <row r="70">
      <c r="A70" s="117"/>
      <c r="B70" s="117"/>
    </row>
    <row r="71">
      <c r="A71" s="117"/>
      <c r="B71" s="117"/>
    </row>
    <row r="72">
      <c r="A72" s="117"/>
      <c r="B72" s="117"/>
    </row>
    <row r="73">
      <c r="A73" s="117"/>
      <c r="B73" s="117"/>
    </row>
    <row r="74">
      <c r="A74" s="117"/>
      <c r="B74" s="117"/>
    </row>
    <row r="75">
      <c r="A75" s="117"/>
      <c r="B75" s="117"/>
    </row>
    <row r="76">
      <c r="A76" s="117"/>
      <c r="B76" s="117"/>
    </row>
    <row r="77">
      <c r="A77" s="117"/>
      <c r="B77" s="117"/>
    </row>
    <row r="78">
      <c r="A78" s="117"/>
      <c r="B78" s="117"/>
    </row>
    <row r="79">
      <c r="A79" s="117"/>
      <c r="B79" s="117"/>
    </row>
    <row r="80">
      <c r="A80" s="117"/>
      <c r="B80" s="117"/>
    </row>
    <row r="81">
      <c r="A81" s="117"/>
      <c r="B81" s="117"/>
    </row>
    <row r="82">
      <c r="A82" s="117"/>
      <c r="B82" s="117"/>
    </row>
    <row r="83">
      <c r="A83" s="117"/>
      <c r="B83" s="117"/>
    </row>
    <row r="84">
      <c r="A84" s="117"/>
      <c r="B84" s="117"/>
    </row>
    <row r="85">
      <c r="A85" s="117"/>
      <c r="B85" s="117"/>
    </row>
    <row r="86">
      <c r="A86" s="117"/>
      <c r="B86" s="117"/>
    </row>
    <row r="87">
      <c r="A87" s="117"/>
      <c r="B87" s="117"/>
    </row>
    <row r="88">
      <c r="A88" s="117"/>
      <c r="B88" s="117"/>
    </row>
    <row r="89">
      <c r="A89" s="117"/>
      <c r="B89" s="117"/>
    </row>
    <row r="90">
      <c r="A90" s="117"/>
      <c r="B90" s="117"/>
    </row>
    <row r="91">
      <c r="A91" s="117"/>
      <c r="B91" s="117"/>
    </row>
    <row r="92">
      <c r="A92" s="117"/>
      <c r="B92" s="117"/>
    </row>
    <row r="93">
      <c r="A93" s="117"/>
      <c r="B93" s="117"/>
    </row>
    <row r="94">
      <c r="A94" s="117"/>
      <c r="B94" s="117"/>
    </row>
    <row r="95">
      <c r="A95" s="117"/>
      <c r="B95" s="117"/>
    </row>
    <row r="96">
      <c r="A96" s="117"/>
      <c r="B96" s="117"/>
    </row>
    <row r="97">
      <c r="A97" s="117"/>
      <c r="B97" s="117"/>
    </row>
    <row r="98">
      <c r="A98" s="117"/>
      <c r="B98" s="117"/>
    </row>
    <row r="99">
      <c r="A99" s="117"/>
      <c r="B99" s="117"/>
    </row>
    <row r="100">
      <c r="A100" s="117"/>
      <c r="B100" s="117"/>
    </row>
    <row r="101">
      <c r="A101" s="117"/>
      <c r="B101" s="117"/>
    </row>
    <row r="102">
      <c r="A102" s="117"/>
      <c r="B102" s="117"/>
    </row>
    <row r="103">
      <c r="A103" s="117"/>
      <c r="B103" s="117"/>
    </row>
    <row r="104">
      <c r="A104" s="117"/>
      <c r="B104" s="117"/>
    </row>
    <row r="105">
      <c r="A105" s="117"/>
      <c r="B105" s="117"/>
    </row>
    <row r="106">
      <c r="A106" s="117"/>
      <c r="B106" s="117"/>
    </row>
    <row r="107">
      <c r="A107" s="117"/>
      <c r="B107" s="117"/>
    </row>
    <row r="108">
      <c r="A108" s="117"/>
      <c r="B108" s="117"/>
    </row>
    <row r="109">
      <c r="A109" s="117"/>
      <c r="B109" s="117"/>
    </row>
    <row r="110">
      <c r="A110" s="117"/>
      <c r="B110" s="117"/>
    </row>
    <row r="111">
      <c r="A111" s="117"/>
      <c r="B111" s="117"/>
    </row>
    <row r="112">
      <c r="A112" s="117"/>
      <c r="B112" s="117"/>
    </row>
    <row r="113">
      <c r="A113" s="117"/>
      <c r="B113" s="117"/>
    </row>
    <row r="114">
      <c r="A114" s="117"/>
      <c r="B114" s="117"/>
    </row>
    <row r="115">
      <c r="A115" s="117"/>
      <c r="B115" s="117"/>
    </row>
    <row r="116">
      <c r="A116" s="117"/>
      <c r="B116" s="117"/>
    </row>
    <row r="117">
      <c r="A117" s="117"/>
      <c r="B117" s="117"/>
    </row>
    <row r="118">
      <c r="A118" s="117"/>
      <c r="B118" s="117"/>
    </row>
    <row r="119">
      <c r="A119" s="117"/>
      <c r="B119" s="117"/>
    </row>
    <row r="120">
      <c r="A120" s="117"/>
      <c r="B120" s="117"/>
    </row>
    <row r="121">
      <c r="A121" s="117"/>
      <c r="B121" s="117"/>
    </row>
    <row r="122">
      <c r="A122" s="117"/>
      <c r="B122" s="117"/>
    </row>
    <row r="123">
      <c r="A123" s="117"/>
      <c r="B123" s="117"/>
    </row>
    <row r="124">
      <c r="A124" s="117"/>
      <c r="B124" s="117"/>
    </row>
    <row r="125">
      <c r="A125" s="117"/>
      <c r="B125" s="117"/>
    </row>
    <row r="126">
      <c r="A126" s="117"/>
      <c r="B126" s="117"/>
    </row>
    <row r="127">
      <c r="A127" s="117"/>
      <c r="B127" s="117"/>
    </row>
    <row r="128">
      <c r="A128" s="117"/>
      <c r="B128" s="117"/>
    </row>
    <row r="129">
      <c r="A129" s="117"/>
      <c r="B129" s="117"/>
    </row>
    <row r="130">
      <c r="A130" s="117"/>
      <c r="B130" s="117"/>
    </row>
    <row r="131">
      <c r="A131" s="117"/>
      <c r="B131" s="117"/>
    </row>
    <row r="132">
      <c r="A132" s="117"/>
      <c r="B132" s="117"/>
    </row>
    <row r="133">
      <c r="A133" s="117"/>
      <c r="B133" s="117"/>
    </row>
    <row r="134">
      <c r="A134" s="117"/>
      <c r="B134" s="117"/>
    </row>
    <row r="135">
      <c r="A135" s="117"/>
      <c r="B135" s="117"/>
    </row>
    <row r="136">
      <c r="A136" s="117"/>
      <c r="B136" s="117"/>
    </row>
    <row r="137">
      <c r="A137" s="117"/>
      <c r="B137" s="117"/>
    </row>
    <row r="138">
      <c r="A138" s="117"/>
      <c r="B138" s="117"/>
    </row>
    <row r="139">
      <c r="A139" s="117"/>
      <c r="B139" s="117"/>
    </row>
    <row r="140">
      <c r="A140" s="117"/>
      <c r="B140" s="117"/>
    </row>
    <row r="141">
      <c r="A141" s="117"/>
      <c r="B141" s="117"/>
    </row>
    <row r="142">
      <c r="A142" s="117"/>
      <c r="B142" s="117"/>
    </row>
    <row r="143">
      <c r="A143" s="117"/>
      <c r="B143" s="117"/>
    </row>
    <row r="144">
      <c r="A144" s="117"/>
      <c r="B144" s="117"/>
    </row>
    <row r="145">
      <c r="A145" s="117"/>
      <c r="B145" s="117"/>
    </row>
    <row r="146">
      <c r="A146" s="117"/>
      <c r="B146" s="117"/>
    </row>
    <row r="147">
      <c r="A147" s="117"/>
      <c r="B147" s="117"/>
    </row>
    <row r="148">
      <c r="A148" s="117"/>
      <c r="B148" s="117"/>
    </row>
    <row r="149">
      <c r="A149" s="117"/>
      <c r="B149" s="117"/>
    </row>
    <row r="150">
      <c r="A150" s="117"/>
      <c r="B150" s="117"/>
    </row>
    <row r="151">
      <c r="A151" s="117"/>
      <c r="B151" s="117"/>
    </row>
    <row r="152">
      <c r="A152" s="117"/>
      <c r="B152" s="117"/>
    </row>
    <row r="153">
      <c r="A153" s="117"/>
      <c r="B153" s="117"/>
    </row>
    <row r="154">
      <c r="A154" s="117"/>
      <c r="B154" s="117"/>
    </row>
    <row r="155">
      <c r="A155" s="117"/>
      <c r="B155" s="117"/>
    </row>
    <row r="156">
      <c r="A156" s="117"/>
      <c r="B156" s="117"/>
    </row>
    <row r="157">
      <c r="A157" s="117"/>
      <c r="B157" s="117"/>
    </row>
    <row r="158">
      <c r="A158" s="117"/>
      <c r="B158" s="117"/>
    </row>
    <row r="159">
      <c r="A159" s="117"/>
      <c r="B159" s="117"/>
    </row>
    <row r="160">
      <c r="A160" s="117"/>
      <c r="B160" s="117"/>
    </row>
    <row r="161">
      <c r="A161" s="117"/>
      <c r="B161" s="117"/>
    </row>
    <row r="162">
      <c r="A162" s="117"/>
      <c r="B162" s="117"/>
    </row>
    <row r="163">
      <c r="A163" s="117"/>
      <c r="B163" s="117"/>
    </row>
    <row r="164">
      <c r="A164" s="117"/>
      <c r="B164" s="117"/>
    </row>
    <row r="165">
      <c r="A165" s="117"/>
      <c r="B165" s="117"/>
    </row>
    <row r="166">
      <c r="A166" s="117"/>
      <c r="B166" s="117"/>
    </row>
    <row r="167">
      <c r="A167" s="117"/>
      <c r="B167" s="117"/>
    </row>
    <row r="168">
      <c r="A168" s="117"/>
      <c r="B168" s="117"/>
    </row>
    <row r="169">
      <c r="A169" s="117"/>
      <c r="B169" s="117"/>
    </row>
    <row r="170">
      <c r="A170" s="117"/>
      <c r="B170" s="117"/>
    </row>
    <row r="171">
      <c r="A171" s="117"/>
      <c r="B171" s="117"/>
    </row>
    <row r="172">
      <c r="A172" s="117"/>
      <c r="B172" s="117"/>
    </row>
    <row r="173">
      <c r="A173" s="117"/>
      <c r="B173" s="117"/>
    </row>
    <row r="174">
      <c r="A174" s="117"/>
      <c r="B174" s="117"/>
    </row>
    <row r="175">
      <c r="A175" s="117"/>
      <c r="B175" s="117"/>
    </row>
    <row r="176">
      <c r="A176" s="117"/>
      <c r="B176" s="117"/>
    </row>
    <row r="177">
      <c r="A177" s="117"/>
      <c r="B177" s="117"/>
    </row>
    <row r="178">
      <c r="A178" s="117"/>
      <c r="B178" s="117"/>
    </row>
    <row r="179">
      <c r="A179" s="117"/>
      <c r="B179" s="117"/>
    </row>
    <row r="180">
      <c r="A180" s="117"/>
      <c r="B180" s="117"/>
    </row>
    <row r="181">
      <c r="A181" s="117"/>
      <c r="B181" s="117"/>
    </row>
    <row r="182">
      <c r="A182" s="117"/>
      <c r="B182" s="117"/>
    </row>
    <row r="183">
      <c r="A183" s="117"/>
      <c r="B183" s="117"/>
    </row>
    <row r="184">
      <c r="A184" s="117"/>
      <c r="B184" s="117"/>
    </row>
    <row r="185">
      <c r="A185" s="117"/>
      <c r="B185" s="117"/>
    </row>
    <row r="186">
      <c r="A186" s="117"/>
      <c r="B186" s="117"/>
    </row>
    <row r="187">
      <c r="A187" s="117"/>
      <c r="B187" s="117"/>
    </row>
    <row r="188">
      <c r="A188" s="117"/>
      <c r="B188" s="117"/>
    </row>
    <row r="189">
      <c r="A189" s="117"/>
      <c r="B189" s="117"/>
    </row>
    <row r="190">
      <c r="A190" s="117"/>
      <c r="B190" s="117"/>
    </row>
    <row r="191">
      <c r="A191" s="117"/>
      <c r="B191" s="117"/>
    </row>
    <row r="192">
      <c r="A192" s="117"/>
      <c r="B192" s="117"/>
    </row>
    <row r="193">
      <c r="A193" s="117"/>
      <c r="B193" s="117"/>
    </row>
    <row r="194">
      <c r="A194" s="117"/>
      <c r="B194" s="117"/>
    </row>
    <row r="195">
      <c r="A195" s="117"/>
      <c r="B195" s="117"/>
    </row>
    <row r="196">
      <c r="A196" s="117"/>
      <c r="B196" s="117"/>
    </row>
    <row r="197">
      <c r="A197" s="117"/>
      <c r="B197" s="117"/>
    </row>
    <row r="198">
      <c r="A198" s="117"/>
      <c r="B198" s="117"/>
    </row>
    <row r="199">
      <c r="A199" s="117"/>
      <c r="B199" s="117"/>
    </row>
    <row r="200">
      <c r="A200" s="117"/>
      <c r="B200" s="117"/>
    </row>
    <row r="201">
      <c r="A201" s="117"/>
      <c r="B201" s="117"/>
    </row>
    <row r="202">
      <c r="A202" s="117"/>
      <c r="B202" s="117"/>
    </row>
    <row r="203">
      <c r="A203" s="117"/>
      <c r="B203" s="117"/>
    </row>
    <row r="204">
      <c r="A204" s="117"/>
      <c r="B204" s="117"/>
    </row>
    <row r="205">
      <c r="A205" s="117"/>
      <c r="B205" s="117"/>
    </row>
    <row r="206">
      <c r="A206" s="117"/>
      <c r="B206" s="117"/>
    </row>
    <row r="207">
      <c r="A207" s="117"/>
      <c r="B207" s="117"/>
    </row>
    <row r="208">
      <c r="A208" s="117"/>
      <c r="B208" s="117"/>
    </row>
    <row r="209">
      <c r="A209" s="117"/>
      <c r="B209" s="117"/>
    </row>
    <row r="210">
      <c r="A210" s="117"/>
      <c r="B210" s="117"/>
    </row>
    <row r="211">
      <c r="A211" s="117"/>
      <c r="B211" s="117"/>
    </row>
    <row r="212">
      <c r="A212" s="117"/>
      <c r="B212" s="117"/>
    </row>
    <row r="213">
      <c r="A213" s="117"/>
      <c r="B213" s="117"/>
    </row>
    <row r="214">
      <c r="A214" s="117"/>
      <c r="B214" s="117"/>
    </row>
    <row r="215">
      <c r="A215" s="117"/>
      <c r="B215" s="117"/>
    </row>
    <row r="216">
      <c r="A216" s="117"/>
      <c r="B216" s="117"/>
    </row>
    <row r="217">
      <c r="A217" s="117"/>
      <c r="B217" s="117"/>
    </row>
    <row r="218">
      <c r="A218" s="117"/>
      <c r="B218" s="117"/>
    </row>
    <row r="219">
      <c r="A219" s="117"/>
      <c r="B219" s="117"/>
    </row>
    <row r="220">
      <c r="A220" s="117"/>
      <c r="B220" s="117"/>
    </row>
    <row r="221">
      <c r="A221" s="117"/>
      <c r="B221" s="117"/>
    </row>
    <row r="222">
      <c r="A222" s="117"/>
      <c r="B222" s="117"/>
    </row>
    <row r="223">
      <c r="A223" s="117"/>
      <c r="B223" s="117"/>
    </row>
    <row r="224">
      <c r="A224" s="117"/>
      <c r="B224" s="117"/>
    </row>
    <row r="225">
      <c r="A225" s="117"/>
      <c r="B225" s="117"/>
    </row>
    <row r="226">
      <c r="A226" s="117"/>
      <c r="B226" s="117"/>
    </row>
    <row r="227">
      <c r="A227" s="117"/>
      <c r="B227" s="117"/>
    </row>
    <row r="228">
      <c r="A228" s="117"/>
      <c r="B228" s="117"/>
    </row>
    <row r="229">
      <c r="A229" s="117"/>
      <c r="B229" s="117"/>
    </row>
    <row r="230">
      <c r="A230" s="117"/>
      <c r="B230" s="117"/>
    </row>
    <row r="231">
      <c r="A231" s="117"/>
      <c r="B231" s="117"/>
    </row>
    <row r="232">
      <c r="A232" s="117"/>
      <c r="B232" s="117"/>
    </row>
    <row r="233">
      <c r="A233" s="117"/>
      <c r="B233" s="117"/>
    </row>
    <row r="234">
      <c r="A234" s="117"/>
      <c r="B234" s="117"/>
    </row>
    <row r="235">
      <c r="A235" s="117"/>
      <c r="B235" s="117"/>
    </row>
    <row r="236">
      <c r="A236" s="117"/>
      <c r="B236" s="117"/>
    </row>
    <row r="237">
      <c r="A237" s="117"/>
      <c r="B237" s="117"/>
    </row>
    <row r="238">
      <c r="A238" s="117"/>
      <c r="B238" s="117"/>
    </row>
    <row r="239">
      <c r="A239" s="117"/>
      <c r="B239" s="117"/>
    </row>
    <row r="240">
      <c r="A240" s="117"/>
      <c r="B240" s="117"/>
    </row>
    <row r="241">
      <c r="A241" s="117"/>
      <c r="B241" s="117"/>
    </row>
    <row r="242">
      <c r="A242" s="117"/>
      <c r="B242" s="117"/>
    </row>
    <row r="243">
      <c r="A243" s="117"/>
      <c r="B243" s="117"/>
    </row>
    <row r="244">
      <c r="A244" s="117"/>
      <c r="B244" s="117"/>
    </row>
    <row r="245">
      <c r="A245" s="117"/>
      <c r="B245" s="117"/>
    </row>
    <row r="246">
      <c r="A246" s="117"/>
      <c r="B246" s="117"/>
    </row>
    <row r="247">
      <c r="A247" s="117"/>
      <c r="B247" s="117"/>
    </row>
    <row r="248">
      <c r="A248" s="117"/>
      <c r="B248" s="117"/>
    </row>
    <row r="249">
      <c r="A249" s="117"/>
      <c r="B249" s="117"/>
    </row>
    <row r="250">
      <c r="A250" s="117"/>
      <c r="B250" s="117"/>
    </row>
    <row r="251">
      <c r="A251" s="117"/>
      <c r="B251" s="117"/>
    </row>
    <row r="252">
      <c r="A252" s="117"/>
      <c r="B252" s="117"/>
    </row>
    <row r="253">
      <c r="A253" s="117"/>
      <c r="B253" s="117"/>
    </row>
    <row r="254">
      <c r="A254" s="117"/>
      <c r="B254" s="117"/>
    </row>
    <row r="255">
      <c r="A255" s="117"/>
      <c r="B255" s="117"/>
    </row>
    <row r="256">
      <c r="A256" s="117"/>
      <c r="B256" s="117"/>
    </row>
    <row r="257">
      <c r="A257" s="117"/>
      <c r="B257" s="117"/>
    </row>
    <row r="258">
      <c r="A258" s="117"/>
      <c r="B258" s="117"/>
    </row>
    <row r="259">
      <c r="A259" s="117"/>
      <c r="B259" s="117"/>
    </row>
    <row r="260">
      <c r="A260" s="117"/>
      <c r="B260" s="117"/>
    </row>
    <row r="261">
      <c r="A261" s="117"/>
      <c r="B261" s="117"/>
    </row>
    <row r="262">
      <c r="A262" s="117"/>
      <c r="B262" s="117"/>
    </row>
    <row r="263">
      <c r="A263" s="117"/>
      <c r="B263" s="117"/>
    </row>
    <row r="264">
      <c r="A264" s="117"/>
      <c r="B264" s="117"/>
    </row>
    <row r="265">
      <c r="A265" s="117"/>
      <c r="B265" s="117"/>
    </row>
    <row r="266">
      <c r="A266" s="117"/>
      <c r="B266" s="117"/>
    </row>
    <row r="267">
      <c r="A267" s="117"/>
      <c r="B267" s="117"/>
    </row>
    <row r="268">
      <c r="A268" s="117"/>
      <c r="B268" s="117"/>
    </row>
    <row r="269">
      <c r="A269" s="117"/>
      <c r="B269" s="117"/>
    </row>
    <row r="270">
      <c r="A270" s="117"/>
      <c r="B270" s="117"/>
    </row>
    <row r="271">
      <c r="A271" s="117"/>
      <c r="B271" s="117"/>
    </row>
    <row r="272">
      <c r="A272" s="117"/>
      <c r="B272" s="117"/>
    </row>
    <row r="273">
      <c r="A273" s="117"/>
      <c r="B273" s="117"/>
    </row>
    <row r="274">
      <c r="A274" s="117"/>
      <c r="B274" s="117"/>
    </row>
    <row r="275">
      <c r="A275" s="117"/>
      <c r="B275" s="117"/>
    </row>
    <row r="276">
      <c r="A276" s="117"/>
      <c r="B276" s="117"/>
    </row>
    <row r="277">
      <c r="A277" s="117"/>
      <c r="B277" s="117"/>
    </row>
    <row r="278">
      <c r="A278" s="117"/>
      <c r="B278" s="117"/>
    </row>
    <row r="279">
      <c r="A279" s="117"/>
      <c r="B279" s="117"/>
    </row>
    <row r="280">
      <c r="A280" s="117"/>
      <c r="B280" s="117"/>
    </row>
    <row r="281">
      <c r="A281" s="117"/>
      <c r="B281" s="117"/>
    </row>
    <row r="282">
      <c r="A282" s="117"/>
      <c r="B282" s="117"/>
    </row>
    <row r="283">
      <c r="A283" s="117"/>
      <c r="B283" s="117"/>
    </row>
    <row r="284">
      <c r="A284" s="117"/>
      <c r="B284" s="117"/>
    </row>
    <row r="285">
      <c r="A285" s="117"/>
      <c r="B285" s="117"/>
    </row>
    <row r="286">
      <c r="A286" s="117"/>
      <c r="B286" s="117"/>
    </row>
    <row r="287">
      <c r="A287" s="117"/>
      <c r="B287" s="117"/>
    </row>
    <row r="288">
      <c r="A288" s="117"/>
      <c r="B288" s="117"/>
    </row>
    <row r="289">
      <c r="A289" s="117"/>
      <c r="B289" s="117"/>
    </row>
    <row r="290">
      <c r="A290" s="117"/>
      <c r="B290" s="117"/>
    </row>
    <row r="291">
      <c r="A291" s="117"/>
      <c r="B291" s="117"/>
    </row>
    <row r="292">
      <c r="A292" s="117"/>
      <c r="B292" s="117"/>
    </row>
    <row r="293">
      <c r="A293" s="117"/>
      <c r="B293" s="117"/>
    </row>
    <row r="294">
      <c r="A294" s="117"/>
      <c r="B294" s="117"/>
    </row>
    <row r="295">
      <c r="A295" s="117"/>
      <c r="B295" s="117"/>
    </row>
    <row r="296">
      <c r="A296" s="117"/>
      <c r="B296" s="117"/>
    </row>
    <row r="297">
      <c r="A297" s="117"/>
      <c r="B297" s="117"/>
    </row>
    <row r="298">
      <c r="A298" s="117"/>
      <c r="B298" s="117"/>
    </row>
    <row r="299">
      <c r="A299" s="117"/>
      <c r="B299" s="117"/>
    </row>
    <row r="300">
      <c r="A300" s="117"/>
      <c r="B300" s="117"/>
    </row>
    <row r="301">
      <c r="A301" s="117"/>
      <c r="B301" s="117"/>
    </row>
    <row r="302">
      <c r="A302" s="117"/>
      <c r="B302" s="117"/>
    </row>
    <row r="303">
      <c r="A303" s="117"/>
      <c r="B303" s="117"/>
    </row>
    <row r="304">
      <c r="A304" s="117"/>
      <c r="B304" s="117"/>
    </row>
    <row r="305">
      <c r="A305" s="117"/>
      <c r="B305" s="117"/>
    </row>
    <row r="306">
      <c r="A306" s="117"/>
      <c r="B306" s="117"/>
    </row>
    <row r="307">
      <c r="A307" s="117"/>
      <c r="B307" s="117"/>
    </row>
    <row r="308">
      <c r="A308" s="117"/>
      <c r="B308" s="117"/>
    </row>
    <row r="309">
      <c r="A309" s="117"/>
      <c r="B309" s="117"/>
    </row>
    <row r="310">
      <c r="A310" s="117"/>
      <c r="B310" s="117"/>
    </row>
    <row r="311">
      <c r="A311" s="117"/>
      <c r="B311" s="117"/>
    </row>
    <row r="312">
      <c r="A312" s="117"/>
      <c r="B312" s="117"/>
    </row>
    <row r="313">
      <c r="A313" s="117"/>
      <c r="B313" s="117"/>
    </row>
    <row r="314">
      <c r="A314" s="117"/>
      <c r="B314" s="117"/>
    </row>
    <row r="315">
      <c r="A315" s="117"/>
      <c r="B315" s="117"/>
    </row>
    <row r="316">
      <c r="A316" s="117"/>
      <c r="B316" s="117"/>
    </row>
    <row r="317">
      <c r="A317" s="117"/>
      <c r="B317" s="117"/>
    </row>
    <row r="318">
      <c r="A318" s="117"/>
      <c r="B318" s="117"/>
    </row>
    <row r="319">
      <c r="A319" s="117"/>
      <c r="B319" s="117"/>
    </row>
    <row r="320">
      <c r="A320" s="117"/>
      <c r="B320" s="117"/>
    </row>
    <row r="321">
      <c r="A321" s="117"/>
      <c r="B321" s="117"/>
    </row>
    <row r="322">
      <c r="A322" s="117"/>
      <c r="B322" s="117"/>
    </row>
    <row r="323">
      <c r="A323" s="117"/>
      <c r="B323" s="117"/>
    </row>
    <row r="324">
      <c r="A324" s="117"/>
      <c r="B324" s="117"/>
    </row>
    <row r="325">
      <c r="A325" s="117"/>
      <c r="B325" s="117"/>
    </row>
    <row r="326">
      <c r="A326" s="117"/>
      <c r="B326" s="117"/>
    </row>
    <row r="327">
      <c r="A327" s="117"/>
      <c r="B327" s="117"/>
    </row>
    <row r="328">
      <c r="A328" s="117"/>
      <c r="B328" s="117"/>
    </row>
    <row r="329">
      <c r="A329" s="117"/>
      <c r="B329" s="117"/>
    </row>
    <row r="330">
      <c r="A330" s="117"/>
      <c r="B330" s="117"/>
    </row>
    <row r="331">
      <c r="A331" s="117"/>
      <c r="B331" s="117"/>
    </row>
    <row r="332">
      <c r="A332" s="117"/>
      <c r="B332" s="117"/>
    </row>
    <row r="333">
      <c r="A333" s="117"/>
      <c r="B333" s="117"/>
    </row>
    <row r="334">
      <c r="A334" s="117"/>
      <c r="B334" s="117"/>
    </row>
    <row r="335">
      <c r="A335" s="117"/>
      <c r="B335" s="117"/>
    </row>
    <row r="336">
      <c r="A336" s="117"/>
      <c r="B336" s="117"/>
    </row>
    <row r="337">
      <c r="A337" s="117"/>
      <c r="B337" s="117"/>
    </row>
    <row r="338">
      <c r="A338" s="117"/>
      <c r="B338" s="117"/>
    </row>
    <row r="339">
      <c r="A339" s="117"/>
      <c r="B339" s="117"/>
    </row>
    <row r="340">
      <c r="A340" s="117"/>
      <c r="B340" s="117"/>
    </row>
    <row r="341">
      <c r="A341" s="117"/>
      <c r="B341" s="117"/>
    </row>
    <row r="342">
      <c r="A342" s="117"/>
      <c r="B342" s="117"/>
    </row>
    <row r="343">
      <c r="A343" s="117"/>
      <c r="B343" s="117"/>
    </row>
    <row r="344">
      <c r="A344" s="117"/>
      <c r="B344" s="117"/>
    </row>
    <row r="345">
      <c r="A345" s="117"/>
      <c r="B345" s="117"/>
    </row>
    <row r="346">
      <c r="A346" s="117"/>
      <c r="B346" s="117"/>
    </row>
    <row r="347">
      <c r="A347" s="117"/>
      <c r="B347" s="117"/>
    </row>
    <row r="348">
      <c r="A348" s="117"/>
      <c r="B348" s="117"/>
    </row>
    <row r="349">
      <c r="A349" s="117"/>
      <c r="B349" s="117"/>
    </row>
    <row r="350">
      <c r="A350" s="117"/>
      <c r="B350" s="117"/>
    </row>
    <row r="351">
      <c r="A351" s="117"/>
      <c r="B351" s="117"/>
    </row>
    <row r="352">
      <c r="A352" s="117"/>
      <c r="B352" s="117"/>
    </row>
    <row r="353">
      <c r="A353" s="117"/>
      <c r="B353" s="117"/>
    </row>
    <row r="354">
      <c r="A354" s="117"/>
      <c r="B354" s="117"/>
    </row>
    <row r="355">
      <c r="A355" s="117"/>
      <c r="B355" s="117"/>
    </row>
    <row r="356">
      <c r="A356" s="117"/>
      <c r="B356" s="117"/>
    </row>
    <row r="357">
      <c r="A357" s="117"/>
      <c r="B357" s="117"/>
    </row>
    <row r="358">
      <c r="A358" s="117"/>
      <c r="B358" s="117"/>
    </row>
    <row r="359">
      <c r="A359" s="117"/>
      <c r="B359" s="117"/>
    </row>
    <row r="360">
      <c r="A360" s="117"/>
      <c r="B360" s="117"/>
    </row>
    <row r="361">
      <c r="A361" s="117"/>
      <c r="B361" s="117"/>
    </row>
    <row r="362">
      <c r="A362" s="117"/>
      <c r="B362" s="117"/>
    </row>
    <row r="363">
      <c r="A363" s="117"/>
      <c r="B363" s="117"/>
    </row>
    <row r="364">
      <c r="A364" s="117"/>
      <c r="B364" s="117"/>
    </row>
    <row r="365">
      <c r="A365" s="117"/>
      <c r="B365" s="117"/>
    </row>
    <row r="366">
      <c r="A366" s="117"/>
      <c r="B366" s="117"/>
    </row>
    <row r="367">
      <c r="A367" s="117"/>
      <c r="B367" s="117"/>
    </row>
    <row r="368">
      <c r="A368" s="117"/>
      <c r="B368" s="117"/>
    </row>
    <row r="369">
      <c r="A369" s="117"/>
      <c r="B369" s="117"/>
    </row>
    <row r="370">
      <c r="A370" s="117"/>
      <c r="B370" s="117"/>
    </row>
    <row r="371">
      <c r="A371" s="117"/>
      <c r="B371" s="117"/>
    </row>
    <row r="372">
      <c r="A372" s="117"/>
      <c r="B372" s="117"/>
    </row>
    <row r="373">
      <c r="A373" s="117"/>
      <c r="B373" s="117"/>
    </row>
    <row r="374">
      <c r="A374" s="117"/>
      <c r="B374" s="117"/>
    </row>
    <row r="375">
      <c r="A375" s="117"/>
      <c r="B375" s="117"/>
    </row>
    <row r="376">
      <c r="A376" s="117"/>
      <c r="B376" s="117"/>
    </row>
    <row r="377">
      <c r="A377" s="117"/>
      <c r="B377" s="117"/>
    </row>
    <row r="378">
      <c r="A378" s="117"/>
      <c r="B378" s="117"/>
    </row>
    <row r="379">
      <c r="A379" s="117"/>
      <c r="B379" s="117"/>
    </row>
    <row r="380">
      <c r="A380" s="117"/>
      <c r="B380" s="117"/>
    </row>
    <row r="381">
      <c r="A381" s="117"/>
      <c r="B381" s="117"/>
    </row>
    <row r="382">
      <c r="A382" s="117"/>
      <c r="B382" s="117"/>
    </row>
    <row r="383">
      <c r="A383" s="117"/>
      <c r="B383" s="117"/>
    </row>
    <row r="384">
      <c r="A384" s="117"/>
      <c r="B384" s="117"/>
    </row>
    <row r="385">
      <c r="A385" s="117"/>
      <c r="B385" s="117"/>
    </row>
    <row r="386">
      <c r="A386" s="117"/>
      <c r="B386" s="117"/>
    </row>
    <row r="387">
      <c r="A387" s="117"/>
      <c r="B387" s="117"/>
    </row>
    <row r="388">
      <c r="A388" s="117"/>
      <c r="B388" s="117"/>
    </row>
    <row r="389">
      <c r="A389" s="117"/>
      <c r="B389" s="117"/>
    </row>
    <row r="390">
      <c r="A390" s="117"/>
      <c r="B390" s="117"/>
    </row>
    <row r="391">
      <c r="A391" s="117"/>
      <c r="B391" s="117"/>
    </row>
    <row r="392">
      <c r="A392" s="117"/>
      <c r="B392" s="117"/>
    </row>
    <row r="393">
      <c r="A393" s="117"/>
      <c r="B393" s="117"/>
    </row>
    <row r="394">
      <c r="A394" s="117"/>
      <c r="B394" s="117"/>
    </row>
    <row r="395">
      <c r="A395" s="117"/>
      <c r="B395" s="117"/>
    </row>
    <row r="396">
      <c r="A396" s="117"/>
      <c r="B396" s="117"/>
    </row>
    <row r="397">
      <c r="A397" s="117"/>
      <c r="B397" s="117"/>
    </row>
    <row r="398">
      <c r="A398" s="117"/>
      <c r="B398" s="117"/>
    </row>
    <row r="399">
      <c r="A399" s="117"/>
      <c r="B399" s="117"/>
    </row>
    <row r="400">
      <c r="A400" s="117"/>
      <c r="B400" s="117"/>
    </row>
    <row r="401">
      <c r="A401" s="117"/>
      <c r="B401" s="117"/>
    </row>
    <row r="402">
      <c r="A402" s="117"/>
      <c r="B402" s="117"/>
    </row>
    <row r="403">
      <c r="A403" s="117"/>
      <c r="B403" s="117"/>
    </row>
    <row r="404">
      <c r="A404" s="117"/>
      <c r="B404" s="117"/>
    </row>
    <row r="405">
      <c r="A405" s="117"/>
      <c r="B405" s="117"/>
    </row>
    <row r="406">
      <c r="A406" s="117"/>
      <c r="B406" s="117"/>
    </row>
    <row r="407">
      <c r="A407" s="117"/>
      <c r="B407" s="117"/>
    </row>
    <row r="408">
      <c r="A408" s="117"/>
      <c r="B408" s="117"/>
    </row>
    <row r="409">
      <c r="A409" s="117"/>
      <c r="B409" s="117"/>
    </row>
    <row r="410">
      <c r="A410" s="117"/>
      <c r="B410" s="117"/>
    </row>
    <row r="411">
      <c r="A411" s="117"/>
      <c r="B411" s="117"/>
    </row>
    <row r="412">
      <c r="A412" s="117"/>
      <c r="B412" s="117"/>
    </row>
    <row r="413">
      <c r="A413" s="117"/>
      <c r="B413" s="117"/>
    </row>
    <row r="414">
      <c r="A414" s="117"/>
      <c r="B414" s="117"/>
    </row>
    <row r="415">
      <c r="A415" s="117"/>
      <c r="B415" s="117"/>
    </row>
    <row r="416">
      <c r="A416" s="117"/>
      <c r="B416" s="117"/>
    </row>
    <row r="417">
      <c r="A417" s="117"/>
      <c r="B417" s="117"/>
    </row>
    <row r="418">
      <c r="A418" s="117"/>
      <c r="B418" s="117"/>
    </row>
    <row r="419">
      <c r="A419" s="117"/>
      <c r="B419" s="117"/>
    </row>
    <row r="420">
      <c r="A420" s="117"/>
      <c r="B420" s="117"/>
    </row>
    <row r="421">
      <c r="A421" s="117"/>
      <c r="B421" s="117"/>
    </row>
    <row r="422">
      <c r="A422" s="117"/>
      <c r="B422" s="117"/>
    </row>
    <row r="423">
      <c r="A423" s="117"/>
      <c r="B423" s="117"/>
    </row>
    <row r="424">
      <c r="A424" s="117"/>
      <c r="B424" s="117"/>
    </row>
    <row r="425">
      <c r="A425" s="117"/>
      <c r="B425" s="117"/>
    </row>
    <row r="426">
      <c r="A426" s="117"/>
      <c r="B426" s="117"/>
    </row>
    <row r="427">
      <c r="A427" s="117"/>
      <c r="B427" s="117"/>
    </row>
    <row r="428">
      <c r="A428" s="117"/>
      <c r="B428" s="117"/>
    </row>
    <row r="429">
      <c r="A429" s="117"/>
      <c r="B429" s="117"/>
    </row>
    <row r="430">
      <c r="A430" s="117"/>
      <c r="B430" s="117"/>
    </row>
    <row r="431">
      <c r="A431" s="117"/>
      <c r="B431" s="117"/>
    </row>
    <row r="432">
      <c r="A432" s="117"/>
      <c r="B432" s="117"/>
    </row>
    <row r="433">
      <c r="A433" s="117"/>
      <c r="B433" s="117"/>
    </row>
    <row r="434">
      <c r="A434" s="117"/>
      <c r="B434" s="117"/>
    </row>
    <row r="435">
      <c r="A435" s="117"/>
      <c r="B435" s="117"/>
    </row>
    <row r="436">
      <c r="A436" s="117"/>
      <c r="B436" s="117"/>
    </row>
    <row r="437">
      <c r="A437" s="117"/>
      <c r="B437" s="117"/>
    </row>
    <row r="438">
      <c r="A438" s="117"/>
      <c r="B438" s="117"/>
    </row>
    <row r="439">
      <c r="A439" s="117"/>
      <c r="B439" s="117"/>
    </row>
    <row r="440">
      <c r="A440" s="117"/>
      <c r="B440" s="117"/>
    </row>
    <row r="441">
      <c r="A441" s="117"/>
      <c r="B441" s="117"/>
    </row>
    <row r="442">
      <c r="A442" s="117"/>
      <c r="B442" s="117"/>
    </row>
    <row r="443">
      <c r="A443" s="117"/>
      <c r="B443" s="117"/>
    </row>
    <row r="444">
      <c r="A444" s="117"/>
      <c r="B444" s="117"/>
    </row>
    <row r="445">
      <c r="A445" s="117"/>
      <c r="B445" s="117"/>
    </row>
    <row r="446">
      <c r="A446" s="117"/>
      <c r="B446" s="117"/>
    </row>
    <row r="447">
      <c r="A447" s="117"/>
      <c r="B447" s="117"/>
    </row>
    <row r="448">
      <c r="A448" s="117"/>
      <c r="B448" s="117"/>
    </row>
    <row r="449">
      <c r="A449" s="117"/>
      <c r="B449" s="117"/>
    </row>
    <row r="450">
      <c r="A450" s="117"/>
      <c r="B450" s="117"/>
    </row>
    <row r="451">
      <c r="A451" s="117"/>
      <c r="B451" s="117"/>
    </row>
    <row r="452">
      <c r="A452" s="117"/>
      <c r="B452" s="117"/>
    </row>
    <row r="453">
      <c r="A453" s="117"/>
      <c r="B453" s="117"/>
    </row>
    <row r="454">
      <c r="A454" s="117"/>
      <c r="B454" s="117"/>
    </row>
    <row r="455">
      <c r="A455" s="117"/>
      <c r="B455" s="117"/>
    </row>
    <row r="456">
      <c r="A456" s="117"/>
      <c r="B456" s="117"/>
    </row>
    <row r="457">
      <c r="A457" s="117"/>
      <c r="B457" s="117"/>
    </row>
    <row r="458">
      <c r="A458" s="117"/>
      <c r="B458" s="117"/>
    </row>
    <row r="459">
      <c r="A459" s="117"/>
      <c r="B459" s="117"/>
    </row>
    <row r="460">
      <c r="A460" s="117"/>
      <c r="B460" s="117"/>
    </row>
    <row r="461">
      <c r="A461" s="117"/>
      <c r="B461" s="117"/>
    </row>
    <row r="462">
      <c r="A462" s="117"/>
      <c r="B462" s="117"/>
    </row>
    <row r="463">
      <c r="A463" s="117"/>
      <c r="B463" s="117"/>
    </row>
    <row r="464">
      <c r="A464" s="117"/>
      <c r="B464" s="117"/>
    </row>
    <row r="465">
      <c r="A465" s="117"/>
      <c r="B465" s="117"/>
    </row>
    <row r="466">
      <c r="A466" s="117"/>
      <c r="B466" s="117"/>
    </row>
    <row r="467">
      <c r="A467" s="117"/>
      <c r="B467" s="117"/>
    </row>
    <row r="468">
      <c r="A468" s="117"/>
      <c r="B468" s="117"/>
    </row>
    <row r="469">
      <c r="A469" s="117"/>
      <c r="B469" s="117"/>
    </row>
    <row r="470">
      <c r="A470" s="117"/>
      <c r="B470" s="117"/>
    </row>
    <row r="471">
      <c r="A471" s="117"/>
      <c r="B471" s="117"/>
    </row>
    <row r="472">
      <c r="A472" s="117"/>
      <c r="B472" s="117"/>
    </row>
    <row r="473">
      <c r="A473" s="117"/>
      <c r="B473" s="117"/>
    </row>
    <row r="474">
      <c r="A474" s="117"/>
      <c r="B474" s="117"/>
    </row>
    <row r="475">
      <c r="A475" s="117"/>
      <c r="B475" s="117"/>
    </row>
    <row r="476">
      <c r="A476" s="117"/>
      <c r="B476" s="117"/>
    </row>
    <row r="477">
      <c r="A477" s="117"/>
      <c r="B477" s="117"/>
    </row>
    <row r="478">
      <c r="A478" s="117"/>
      <c r="B478" s="117"/>
    </row>
    <row r="479">
      <c r="A479" s="117"/>
      <c r="B479" s="117"/>
    </row>
    <row r="480">
      <c r="A480" s="117"/>
      <c r="B480" s="117"/>
    </row>
    <row r="481">
      <c r="A481" s="117"/>
      <c r="B481" s="117"/>
    </row>
    <row r="482">
      <c r="A482" s="117"/>
      <c r="B482" s="117"/>
    </row>
    <row r="483">
      <c r="A483" s="117"/>
      <c r="B483" s="117"/>
    </row>
    <row r="484">
      <c r="A484" s="117"/>
      <c r="B484" s="117"/>
    </row>
    <row r="485">
      <c r="A485" s="117"/>
      <c r="B485" s="117"/>
    </row>
    <row r="486">
      <c r="A486" s="117"/>
      <c r="B486" s="117"/>
    </row>
    <row r="487">
      <c r="A487" s="117"/>
      <c r="B487" s="117"/>
    </row>
    <row r="488">
      <c r="A488" s="117"/>
      <c r="B488" s="117"/>
    </row>
    <row r="489">
      <c r="A489" s="117"/>
      <c r="B489" s="117"/>
    </row>
    <row r="490">
      <c r="A490" s="117"/>
      <c r="B490" s="117"/>
    </row>
    <row r="491">
      <c r="A491" s="117"/>
      <c r="B491" s="117"/>
    </row>
    <row r="492">
      <c r="A492" s="117"/>
      <c r="B492" s="117"/>
    </row>
    <row r="493">
      <c r="A493" s="117"/>
      <c r="B493" s="117"/>
    </row>
    <row r="494">
      <c r="A494" s="117"/>
      <c r="B494" s="117"/>
    </row>
    <row r="495">
      <c r="A495" s="117"/>
      <c r="B495" s="117"/>
    </row>
    <row r="496">
      <c r="A496" s="117"/>
      <c r="B496" s="117"/>
    </row>
    <row r="497">
      <c r="A497" s="117"/>
      <c r="B497" s="117"/>
    </row>
    <row r="498">
      <c r="A498" s="117"/>
      <c r="B498" s="117"/>
    </row>
    <row r="499">
      <c r="A499" s="117"/>
      <c r="B499" s="117"/>
    </row>
    <row r="500">
      <c r="A500" s="117"/>
      <c r="B500" s="117"/>
    </row>
    <row r="501">
      <c r="A501" s="117"/>
      <c r="B501" s="117"/>
    </row>
    <row r="502">
      <c r="A502" s="117"/>
      <c r="B502" s="117"/>
    </row>
    <row r="503">
      <c r="A503" s="117"/>
      <c r="B503" s="117"/>
    </row>
    <row r="504">
      <c r="A504" s="117"/>
      <c r="B504" s="117"/>
    </row>
    <row r="505">
      <c r="A505" s="117"/>
      <c r="B505" s="117"/>
    </row>
    <row r="506">
      <c r="A506" s="117"/>
      <c r="B506" s="117"/>
    </row>
    <row r="507">
      <c r="A507" s="117"/>
      <c r="B507" s="117"/>
    </row>
    <row r="508">
      <c r="A508" s="117"/>
      <c r="B508" s="117"/>
    </row>
    <row r="509">
      <c r="A509" s="117"/>
      <c r="B509" s="117"/>
    </row>
    <row r="510">
      <c r="A510" s="117"/>
      <c r="B510" s="117"/>
    </row>
    <row r="511">
      <c r="A511" s="117"/>
      <c r="B511" s="117"/>
    </row>
    <row r="512">
      <c r="A512" s="117"/>
      <c r="B512" s="117"/>
    </row>
    <row r="513">
      <c r="A513" s="117"/>
      <c r="B513" s="117"/>
    </row>
    <row r="514">
      <c r="A514" s="117"/>
      <c r="B514" s="117"/>
    </row>
    <row r="515">
      <c r="A515" s="117"/>
      <c r="B515" s="117"/>
    </row>
    <row r="516">
      <c r="A516" s="117"/>
      <c r="B516" s="117"/>
    </row>
    <row r="517">
      <c r="A517" s="117"/>
      <c r="B517" s="117"/>
    </row>
    <row r="518">
      <c r="A518" s="117"/>
      <c r="B518" s="117"/>
    </row>
    <row r="519">
      <c r="A519" s="117"/>
      <c r="B519" s="117"/>
    </row>
    <row r="520">
      <c r="A520" s="117"/>
      <c r="B520" s="117"/>
    </row>
    <row r="521">
      <c r="A521" s="117"/>
      <c r="B521" s="117"/>
    </row>
    <row r="522">
      <c r="A522" s="117"/>
      <c r="B522" s="117"/>
    </row>
    <row r="523">
      <c r="A523" s="117"/>
      <c r="B523" s="117"/>
    </row>
    <row r="524">
      <c r="A524" s="117"/>
      <c r="B524" s="117"/>
    </row>
    <row r="525">
      <c r="A525" s="117"/>
      <c r="B525" s="117"/>
    </row>
    <row r="526">
      <c r="A526" s="117"/>
      <c r="B526" s="117"/>
    </row>
    <row r="527">
      <c r="A527" s="117"/>
      <c r="B527" s="117"/>
    </row>
    <row r="528">
      <c r="A528" s="117"/>
      <c r="B528" s="117"/>
    </row>
    <row r="529">
      <c r="A529" s="117"/>
      <c r="B529" s="117"/>
    </row>
    <row r="530">
      <c r="A530" s="117"/>
      <c r="B530" s="117"/>
    </row>
    <row r="531">
      <c r="A531" s="117"/>
      <c r="B531" s="117"/>
    </row>
    <row r="532">
      <c r="A532" s="117"/>
      <c r="B532" s="117"/>
    </row>
    <row r="533">
      <c r="A533" s="117"/>
      <c r="B533" s="117"/>
    </row>
    <row r="534">
      <c r="A534" s="117"/>
      <c r="B534" s="117"/>
    </row>
    <row r="535">
      <c r="A535" s="117"/>
      <c r="B535" s="117"/>
    </row>
    <row r="536">
      <c r="A536" s="117"/>
      <c r="B536" s="117"/>
    </row>
    <row r="537">
      <c r="A537" s="117"/>
      <c r="B537" s="117"/>
    </row>
    <row r="538">
      <c r="A538" s="117"/>
      <c r="B538" s="117"/>
    </row>
    <row r="539">
      <c r="A539" s="117"/>
      <c r="B539" s="117"/>
    </row>
    <row r="540">
      <c r="A540" s="117"/>
      <c r="B540" s="117"/>
    </row>
    <row r="541">
      <c r="A541" s="117"/>
      <c r="B541" s="117"/>
    </row>
    <row r="542">
      <c r="A542" s="117"/>
      <c r="B542" s="117"/>
    </row>
    <row r="543">
      <c r="A543" s="117"/>
      <c r="B543" s="117"/>
    </row>
    <row r="544">
      <c r="A544" s="117"/>
      <c r="B544" s="117"/>
    </row>
    <row r="545">
      <c r="A545" s="117"/>
      <c r="B545" s="117"/>
    </row>
    <row r="546">
      <c r="A546" s="117"/>
      <c r="B546" s="117"/>
    </row>
    <row r="547">
      <c r="A547" s="117"/>
      <c r="B547" s="117"/>
    </row>
    <row r="548">
      <c r="A548" s="117"/>
      <c r="B548" s="117"/>
    </row>
    <row r="549">
      <c r="A549" s="117"/>
      <c r="B549" s="117"/>
    </row>
    <row r="550">
      <c r="A550" s="117"/>
      <c r="B550" s="117"/>
    </row>
    <row r="551">
      <c r="A551" s="117"/>
      <c r="B551" s="117"/>
    </row>
    <row r="552">
      <c r="A552" s="117"/>
      <c r="B552" s="117"/>
    </row>
    <row r="553">
      <c r="A553" s="117"/>
      <c r="B553" s="117"/>
    </row>
    <row r="554">
      <c r="A554" s="117"/>
      <c r="B554" s="117"/>
    </row>
    <row r="555">
      <c r="A555" s="117"/>
      <c r="B555" s="117"/>
    </row>
    <row r="556">
      <c r="A556" s="117"/>
      <c r="B556" s="117"/>
    </row>
    <row r="557">
      <c r="A557" s="117"/>
      <c r="B557" s="117"/>
    </row>
    <row r="558">
      <c r="A558" s="117"/>
      <c r="B558" s="117"/>
    </row>
    <row r="559">
      <c r="A559" s="117"/>
      <c r="B559" s="117"/>
    </row>
    <row r="560">
      <c r="A560" s="117"/>
      <c r="B560" s="117"/>
    </row>
    <row r="561">
      <c r="A561" s="117"/>
      <c r="B561" s="117"/>
    </row>
    <row r="562">
      <c r="A562" s="117"/>
      <c r="B562" s="117"/>
    </row>
    <row r="563">
      <c r="A563" s="117"/>
      <c r="B563" s="117"/>
    </row>
    <row r="564">
      <c r="A564" s="117"/>
      <c r="B564" s="117"/>
    </row>
    <row r="565">
      <c r="A565" s="117"/>
      <c r="B565" s="117"/>
    </row>
    <row r="566">
      <c r="A566" s="117"/>
      <c r="B566" s="117"/>
    </row>
    <row r="567">
      <c r="A567" s="117"/>
      <c r="B567" s="117"/>
    </row>
    <row r="568">
      <c r="A568" s="117"/>
      <c r="B568" s="117"/>
    </row>
    <row r="569">
      <c r="A569" s="117"/>
      <c r="B569" s="117"/>
    </row>
    <row r="570">
      <c r="A570" s="117"/>
      <c r="B570" s="117"/>
    </row>
    <row r="571">
      <c r="A571" s="117"/>
      <c r="B571" s="117"/>
    </row>
    <row r="572">
      <c r="A572" s="117"/>
      <c r="B572" s="117"/>
    </row>
    <row r="573">
      <c r="A573" s="117"/>
      <c r="B573" s="117"/>
    </row>
    <row r="574">
      <c r="A574" s="117"/>
      <c r="B574" s="117"/>
    </row>
    <row r="575">
      <c r="A575" s="117"/>
      <c r="B575" s="117"/>
    </row>
    <row r="576">
      <c r="A576" s="117"/>
      <c r="B576" s="117"/>
    </row>
    <row r="577">
      <c r="A577" s="117"/>
      <c r="B577" s="117"/>
    </row>
    <row r="578">
      <c r="A578" s="117"/>
      <c r="B578" s="117"/>
    </row>
    <row r="579">
      <c r="A579" s="117"/>
      <c r="B579" s="117"/>
    </row>
    <row r="580">
      <c r="A580" s="117"/>
      <c r="B580" s="117"/>
    </row>
    <row r="581">
      <c r="A581" s="117"/>
      <c r="B581" s="117"/>
    </row>
    <row r="582">
      <c r="A582" s="117"/>
      <c r="B582" s="117"/>
    </row>
    <row r="583">
      <c r="A583" s="117"/>
      <c r="B583" s="117"/>
    </row>
    <row r="584">
      <c r="A584" s="117"/>
      <c r="B584" s="117"/>
    </row>
    <row r="585">
      <c r="A585" s="117"/>
      <c r="B585" s="117"/>
    </row>
    <row r="586">
      <c r="A586" s="117"/>
      <c r="B586" s="117"/>
    </row>
    <row r="587">
      <c r="A587" s="117"/>
      <c r="B587" s="117"/>
    </row>
    <row r="588">
      <c r="A588" s="117"/>
      <c r="B588" s="117"/>
    </row>
    <row r="589">
      <c r="A589" s="117"/>
      <c r="B589" s="117"/>
    </row>
    <row r="590">
      <c r="A590" s="117"/>
      <c r="B590" s="117"/>
    </row>
    <row r="591">
      <c r="A591" s="117"/>
      <c r="B591" s="117"/>
    </row>
    <row r="592">
      <c r="A592" s="117"/>
      <c r="B592" s="117"/>
    </row>
    <row r="593">
      <c r="A593" s="117"/>
      <c r="B593" s="117"/>
    </row>
    <row r="594">
      <c r="A594" s="117"/>
      <c r="B594" s="117"/>
    </row>
    <row r="595">
      <c r="A595" s="117"/>
      <c r="B595" s="117"/>
    </row>
    <row r="596">
      <c r="A596" s="117"/>
      <c r="B596" s="117"/>
    </row>
    <row r="597">
      <c r="A597" s="117"/>
      <c r="B597" s="117"/>
    </row>
    <row r="598">
      <c r="A598" s="117"/>
      <c r="B598" s="117"/>
    </row>
    <row r="599">
      <c r="A599" s="117"/>
      <c r="B599" s="117"/>
    </row>
    <row r="600">
      <c r="A600" s="117"/>
      <c r="B600" s="117"/>
    </row>
    <row r="601">
      <c r="A601" s="117"/>
      <c r="B601" s="117"/>
    </row>
    <row r="602">
      <c r="A602" s="117"/>
      <c r="B602" s="117"/>
    </row>
    <row r="603">
      <c r="A603" s="117"/>
      <c r="B603" s="117"/>
    </row>
    <row r="604">
      <c r="A604" s="117"/>
      <c r="B604" s="117"/>
    </row>
    <row r="605">
      <c r="A605" s="117"/>
      <c r="B605" s="117"/>
    </row>
    <row r="606">
      <c r="A606" s="117"/>
      <c r="B606" s="117"/>
    </row>
    <row r="607">
      <c r="A607" s="117"/>
      <c r="B607" s="117"/>
    </row>
    <row r="608">
      <c r="A608" s="117"/>
      <c r="B608" s="117"/>
    </row>
    <row r="609">
      <c r="A609" s="117"/>
      <c r="B609" s="117"/>
    </row>
    <row r="610">
      <c r="A610" s="117"/>
      <c r="B610" s="117"/>
    </row>
    <row r="611">
      <c r="A611" s="117"/>
      <c r="B611" s="117"/>
    </row>
    <row r="612">
      <c r="A612" s="117"/>
      <c r="B612" s="117"/>
    </row>
    <row r="613">
      <c r="A613" s="117"/>
      <c r="B613" s="117"/>
    </row>
    <row r="614">
      <c r="A614" s="117"/>
      <c r="B614" s="117"/>
    </row>
    <row r="615">
      <c r="A615" s="117"/>
      <c r="B615" s="117"/>
    </row>
    <row r="616">
      <c r="A616" s="117"/>
      <c r="B616" s="117"/>
    </row>
    <row r="617">
      <c r="A617" s="117"/>
      <c r="B617" s="117"/>
    </row>
    <row r="618">
      <c r="A618" s="117"/>
      <c r="B618" s="117"/>
    </row>
    <row r="619">
      <c r="A619" s="117"/>
      <c r="B619" s="117"/>
    </row>
    <row r="620">
      <c r="A620" s="117"/>
      <c r="B620" s="117"/>
    </row>
    <row r="621">
      <c r="A621" s="117"/>
      <c r="B621" s="117"/>
    </row>
    <row r="622">
      <c r="A622" s="117"/>
      <c r="B622" s="117"/>
    </row>
    <row r="623">
      <c r="A623" s="117"/>
      <c r="B623" s="117"/>
    </row>
    <row r="624">
      <c r="A624" s="117"/>
      <c r="B624" s="117"/>
    </row>
    <row r="625">
      <c r="A625" s="117"/>
      <c r="B625" s="117"/>
    </row>
    <row r="626">
      <c r="A626" s="117"/>
      <c r="B626" s="117"/>
    </row>
    <row r="627">
      <c r="A627" s="117"/>
      <c r="B627" s="117"/>
    </row>
    <row r="628">
      <c r="A628" s="117"/>
      <c r="B628" s="117"/>
    </row>
    <row r="629">
      <c r="A629" s="117"/>
      <c r="B629" s="117"/>
    </row>
    <row r="630">
      <c r="A630" s="117"/>
      <c r="B630" s="117"/>
    </row>
    <row r="631">
      <c r="A631" s="117"/>
      <c r="B631" s="117"/>
    </row>
    <row r="632">
      <c r="A632" s="117"/>
      <c r="B632" s="117"/>
    </row>
    <row r="633">
      <c r="A633" s="117"/>
      <c r="B633" s="117"/>
    </row>
    <row r="634">
      <c r="A634" s="117"/>
      <c r="B634" s="117"/>
    </row>
    <row r="635">
      <c r="A635" s="117"/>
      <c r="B635" s="117"/>
    </row>
    <row r="636">
      <c r="A636" s="117"/>
      <c r="B636" s="117"/>
    </row>
    <row r="637">
      <c r="A637" s="117"/>
      <c r="B637" s="117"/>
    </row>
    <row r="638">
      <c r="A638" s="117"/>
      <c r="B638" s="117"/>
    </row>
    <row r="639">
      <c r="A639" s="117"/>
      <c r="B639" s="117"/>
    </row>
    <row r="640">
      <c r="A640" s="117"/>
      <c r="B640" s="117"/>
    </row>
    <row r="641">
      <c r="A641" s="117"/>
      <c r="B641" s="117"/>
    </row>
    <row r="642">
      <c r="A642" s="117"/>
      <c r="B642" s="117"/>
    </row>
    <row r="643">
      <c r="A643" s="117"/>
      <c r="B643" s="117"/>
    </row>
    <row r="644">
      <c r="A644" s="117"/>
      <c r="B644" s="117"/>
    </row>
    <row r="645">
      <c r="A645" s="117"/>
      <c r="B645" s="117"/>
    </row>
    <row r="646">
      <c r="A646" s="117"/>
      <c r="B646" s="117"/>
    </row>
    <row r="647">
      <c r="A647" s="117"/>
      <c r="B647" s="117"/>
    </row>
    <row r="648">
      <c r="A648" s="117"/>
      <c r="B648" s="117"/>
    </row>
    <row r="649">
      <c r="A649" s="117"/>
      <c r="B649" s="117"/>
    </row>
    <row r="650">
      <c r="A650" s="117"/>
      <c r="B650" s="117"/>
    </row>
    <row r="651">
      <c r="A651" s="117"/>
      <c r="B651" s="117"/>
    </row>
    <row r="652">
      <c r="A652" s="117"/>
      <c r="B652" s="117"/>
    </row>
    <row r="653">
      <c r="A653" s="117"/>
      <c r="B653" s="117"/>
    </row>
    <row r="654">
      <c r="A654" s="117"/>
      <c r="B654" s="117"/>
    </row>
    <row r="655">
      <c r="A655" s="117"/>
      <c r="B655" s="117"/>
    </row>
    <row r="656">
      <c r="A656" s="117"/>
      <c r="B656" s="117"/>
    </row>
    <row r="657">
      <c r="A657" s="117"/>
      <c r="B657" s="117"/>
    </row>
    <row r="658">
      <c r="A658" s="117"/>
      <c r="B658" s="117"/>
    </row>
    <row r="659">
      <c r="A659" s="117"/>
      <c r="B659" s="117"/>
    </row>
    <row r="660">
      <c r="A660" s="117"/>
      <c r="B660" s="117"/>
    </row>
    <row r="661">
      <c r="A661" s="117"/>
      <c r="B661" s="117"/>
    </row>
    <row r="662">
      <c r="A662" s="117"/>
      <c r="B662" s="117"/>
    </row>
    <row r="663">
      <c r="A663" s="117"/>
      <c r="B663" s="117"/>
    </row>
    <row r="664">
      <c r="A664" s="117"/>
      <c r="B664" s="117"/>
    </row>
    <row r="665">
      <c r="A665" s="117"/>
      <c r="B665" s="117"/>
    </row>
    <row r="666">
      <c r="A666" s="117"/>
      <c r="B666" s="117"/>
    </row>
    <row r="667">
      <c r="A667" s="117"/>
      <c r="B667" s="117"/>
    </row>
    <row r="668">
      <c r="A668" s="117"/>
      <c r="B668" s="117"/>
    </row>
    <row r="669">
      <c r="A669" s="117"/>
      <c r="B669" s="117"/>
    </row>
    <row r="670">
      <c r="A670" s="117"/>
      <c r="B670" s="117"/>
    </row>
    <row r="671">
      <c r="A671" s="117"/>
      <c r="B671" s="117"/>
    </row>
    <row r="672">
      <c r="A672" s="117"/>
      <c r="B672" s="117"/>
    </row>
    <row r="673">
      <c r="A673" s="117"/>
      <c r="B673" s="117"/>
    </row>
    <row r="674">
      <c r="A674" s="117"/>
      <c r="B674" s="117"/>
    </row>
    <row r="675">
      <c r="A675" s="117"/>
      <c r="B675" s="117"/>
    </row>
    <row r="676">
      <c r="A676" s="117"/>
      <c r="B676" s="117"/>
    </row>
    <row r="677">
      <c r="A677" s="117"/>
      <c r="B677" s="117"/>
    </row>
    <row r="678">
      <c r="A678" s="117"/>
      <c r="B678" s="117"/>
    </row>
    <row r="679">
      <c r="A679" s="117"/>
      <c r="B679" s="117"/>
    </row>
    <row r="680">
      <c r="A680" s="117"/>
      <c r="B680" s="117"/>
    </row>
    <row r="681">
      <c r="A681" s="117"/>
      <c r="B681" s="117"/>
    </row>
    <row r="682">
      <c r="A682" s="117"/>
      <c r="B682" s="117"/>
    </row>
    <row r="683">
      <c r="A683" s="117"/>
      <c r="B683" s="117"/>
    </row>
    <row r="684">
      <c r="A684" s="117"/>
      <c r="B684" s="117"/>
    </row>
    <row r="685">
      <c r="A685" s="117"/>
      <c r="B685" s="117"/>
    </row>
    <row r="686">
      <c r="A686" s="117"/>
      <c r="B686" s="117"/>
    </row>
    <row r="687">
      <c r="A687" s="117"/>
      <c r="B687" s="117"/>
    </row>
    <row r="688">
      <c r="A688" s="117"/>
      <c r="B688" s="117"/>
    </row>
    <row r="689">
      <c r="A689" s="117"/>
      <c r="B689" s="117"/>
    </row>
    <row r="690">
      <c r="A690" s="117"/>
      <c r="B690" s="117"/>
    </row>
    <row r="691">
      <c r="A691" s="117"/>
      <c r="B691" s="117"/>
    </row>
    <row r="692">
      <c r="A692" s="117"/>
      <c r="B692" s="117"/>
    </row>
    <row r="693">
      <c r="A693" s="117"/>
      <c r="B693" s="117"/>
    </row>
    <row r="694">
      <c r="A694" s="117"/>
      <c r="B694" s="117"/>
    </row>
    <row r="695">
      <c r="A695" s="117"/>
      <c r="B695" s="117"/>
    </row>
    <row r="696">
      <c r="A696" s="117"/>
      <c r="B696" s="117"/>
    </row>
    <row r="697">
      <c r="A697" s="117"/>
      <c r="B697" s="117"/>
    </row>
    <row r="698">
      <c r="A698" s="117"/>
      <c r="B698" s="117"/>
    </row>
    <row r="699">
      <c r="A699" s="117"/>
      <c r="B699" s="117"/>
    </row>
    <row r="700">
      <c r="A700" s="117"/>
      <c r="B700" s="117"/>
    </row>
    <row r="701">
      <c r="A701" s="117"/>
      <c r="B701" s="117"/>
    </row>
    <row r="702">
      <c r="A702" s="117"/>
      <c r="B702" s="117"/>
    </row>
    <row r="703">
      <c r="A703" s="117"/>
      <c r="B703" s="117"/>
    </row>
    <row r="704">
      <c r="A704" s="117"/>
      <c r="B704" s="117"/>
    </row>
    <row r="705">
      <c r="A705" s="117"/>
      <c r="B705" s="117"/>
    </row>
    <row r="706">
      <c r="A706" s="117"/>
      <c r="B706" s="117"/>
    </row>
    <row r="707">
      <c r="A707" s="117"/>
      <c r="B707" s="117"/>
    </row>
    <row r="708">
      <c r="A708" s="117"/>
      <c r="B708" s="117"/>
    </row>
    <row r="709">
      <c r="A709" s="117"/>
      <c r="B709" s="117"/>
    </row>
    <row r="710">
      <c r="A710" s="117"/>
      <c r="B710" s="117"/>
    </row>
    <row r="711">
      <c r="A711" s="117"/>
      <c r="B711" s="117"/>
    </row>
    <row r="712">
      <c r="A712" s="117"/>
      <c r="B712" s="117"/>
    </row>
    <row r="713">
      <c r="A713" s="117"/>
      <c r="B713" s="117"/>
    </row>
    <row r="714">
      <c r="A714" s="117"/>
      <c r="B714" s="117"/>
    </row>
    <row r="715">
      <c r="A715" s="117"/>
      <c r="B715" s="117"/>
    </row>
    <row r="716">
      <c r="A716" s="117"/>
      <c r="B716" s="117"/>
    </row>
    <row r="717">
      <c r="A717" s="117"/>
      <c r="B717" s="117"/>
    </row>
    <row r="718">
      <c r="A718" s="117"/>
      <c r="B718" s="117"/>
    </row>
    <row r="719">
      <c r="A719" s="117"/>
      <c r="B719" s="117"/>
    </row>
    <row r="720">
      <c r="A720" s="117"/>
      <c r="B720" s="117"/>
    </row>
    <row r="721">
      <c r="A721" s="117"/>
      <c r="B721" s="117"/>
    </row>
    <row r="722">
      <c r="A722" s="117"/>
      <c r="B722" s="117"/>
    </row>
    <row r="723">
      <c r="A723" s="117"/>
      <c r="B723" s="117"/>
    </row>
    <row r="724">
      <c r="A724" s="117"/>
      <c r="B724" s="117"/>
    </row>
    <row r="725">
      <c r="A725" s="117"/>
      <c r="B725" s="117"/>
    </row>
    <row r="726">
      <c r="A726" s="117"/>
      <c r="B726" s="117"/>
    </row>
    <row r="727">
      <c r="A727" s="117"/>
      <c r="B727" s="117"/>
    </row>
    <row r="728">
      <c r="A728" s="117"/>
      <c r="B728" s="117"/>
    </row>
    <row r="729">
      <c r="A729" s="117"/>
      <c r="B729" s="117"/>
    </row>
    <row r="730">
      <c r="A730" s="117"/>
      <c r="B730" s="117"/>
    </row>
    <row r="731">
      <c r="A731" s="117"/>
      <c r="B731" s="117"/>
    </row>
    <row r="732">
      <c r="A732" s="117"/>
      <c r="B732" s="117"/>
    </row>
    <row r="733">
      <c r="A733" s="117"/>
      <c r="B733" s="117"/>
    </row>
    <row r="734">
      <c r="A734" s="117"/>
      <c r="B734" s="117"/>
    </row>
    <row r="735">
      <c r="A735" s="117"/>
      <c r="B735" s="117"/>
    </row>
    <row r="736">
      <c r="A736" s="117"/>
      <c r="B736" s="117"/>
    </row>
    <row r="737">
      <c r="A737" s="117"/>
      <c r="B737" s="117"/>
    </row>
    <row r="738">
      <c r="A738" s="117"/>
      <c r="B738" s="117"/>
    </row>
    <row r="739">
      <c r="A739" s="117"/>
      <c r="B739" s="117"/>
    </row>
    <row r="740">
      <c r="A740" s="117"/>
      <c r="B740" s="117"/>
    </row>
    <row r="741">
      <c r="A741" s="117"/>
      <c r="B741" s="117"/>
    </row>
    <row r="742">
      <c r="A742" s="117"/>
      <c r="B742" s="117"/>
    </row>
    <row r="743">
      <c r="A743" s="117"/>
      <c r="B743" s="117"/>
    </row>
    <row r="744">
      <c r="A744" s="117"/>
      <c r="B744" s="117"/>
    </row>
    <row r="745">
      <c r="A745" s="117"/>
      <c r="B745" s="117"/>
    </row>
    <row r="746">
      <c r="A746" s="117"/>
      <c r="B746" s="117"/>
    </row>
    <row r="747">
      <c r="A747" s="117"/>
      <c r="B747" s="117"/>
    </row>
    <row r="748">
      <c r="A748" s="117"/>
      <c r="B748" s="117"/>
    </row>
    <row r="749">
      <c r="A749" s="117"/>
      <c r="B749" s="117"/>
    </row>
    <row r="750">
      <c r="A750" s="117"/>
      <c r="B750" s="117"/>
    </row>
    <row r="751">
      <c r="A751" s="117"/>
      <c r="B751" s="117"/>
    </row>
    <row r="752">
      <c r="A752" s="117"/>
      <c r="B752" s="117"/>
    </row>
    <row r="753">
      <c r="A753" s="117"/>
      <c r="B753" s="117"/>
    </row>
    <row r="754">
      <c r="A754" s="117"/>
      <c r="B754" s="117"/>
    </row>
    <row r="755">
      <c r="A755" s="117"/>
      <c r="B755" s="117"/>
    </row>
    <row r="756">
      <c r="A756" s="117"/>
      <c r="B756" s="117"/>
    </row>
    <row r="757">
      <c r="A757" s="117"/>
      <c r="B757" s="117"/>
    </row>
    <row r="758">
      <c r="A758" s="117"/>
      <c r="B758" s="117"/>
    </row>
    <row r="759">
      <c r="A759" s="117"/>
      <c r="B759" s="117"/>
    </row>
    <row r="760">
      <c r="A760" s="117"/>
      <c r="B760" s="117"/>
    </row>
    <row r="761">
      <c r="A761" s="117"/>
      <c r="B761" s="117"/>
    </row>
    <row r="762">
      <c r="A762" s="117"/>
      <c r="B762" s="117"/>
    </row>
    <row r="763">
      <c r="A763" s="117"/>
      <c r="B763" s="117"/>
    </row>
    <row r="764">
      <c r="A764" s="117"/>
      <c r="B764" s="117"/>
    </row>
    <row r="765">
      <c r="A765" s="117"/>
      <c r="B765" s="117"/>
    </row>
    <row r="766">
      <c r="A766" s="117"/>
      <c r="B766" s="117"/>
    </row>
    <row r="767">
      <c r="A767" s="117"/>
      <c r="B767" s="117"/>
    </row>
    <row r="768">
      <c r="A768" s="117"/>
      <c r="B768" s="117"/>
    </row>
    <row r="769">
      <c r="A769" s="117"/>
      <c r="B769" s="117"/>
    </row>
    <row r="770">
      <c r="A770" s="117"/>
      <c r="B770" s="117"/>
    </row>
    <row r="771">
      <c r="A771" s="117"/>
      <c r="B771" s="117"/>
    </row>
    <row r="772">
      <c r="A772" s="117"/>
      <c r="B772" s="117"/>
    </row>
    <row r="773">
      <c r="A773" s="117"/>
      <c r="B773" s="117"/>
    </row>
    <row r="774">
      <c r="A774" s="117"/>
      <c r="B774" s="117"/>
    </row>
    <row r="775">
      <c r="A775" s="117"/>
      <c r="B775" s="117"/>
    </row>
    <row r="776">
      <c r="A776" s="117"/>
      <c r="B776" s="117"/>
    </row>
    <row r="777">
      <c r="A777" s="117"/>
      <c r="B777" s="117"/>
    </row>
    <row r="778">
      <c r="A778" s="117"/>
      <c r="B778" s="117"/>
    </row>
    <row r="779">
      <c r="A779" s="117"/>
      <c r="B779" s="117"/>
    </row>
    <row r="780">
      <c r="A780" s="117"/>
      <c r="B780" s="117"/>
    </row>
    <row r="781">
      <c r="A781" s="117"/>
      <c r="B781" s="117"/>
    </row>
    <row r="782">
      <c r="A782" s="117"/>
      <c r="B782" s="117"/>
    </row>
    <row r="783">
      <c r="A783" s="117"/>
      <c r="B783" s="117"/>
    </row>
    <row r="784">
      <c r="A784" s="117"/>
      <c r="B784" s="117"/>
    </row>
    <row r="785">
      <c r="A785" s="117"/>
      <c r="B785" s="117"/>
    </row>
    <row r="786">
      <c r="A786" s="117"/>
      <c r="B786" s="117"/>
    </row>
    <row r="787">
      <c r="A787" s="117"/>
      <c r="B787" s="117"/>
    </row>
    <row r="788">
      <c r="A788" s="117"/>
      <c r="B788" s="117"/>
    </row>
    <row r="789">
      <c r="A789" s="117"/>
      <c r="B789" s="117"/>
    </row>
    <row r="790">
      <c r="A790" s="117"/>
      <c r="B790" s="117"/>
    </row>
    <row r="791">
      <c r="A791" s="117"/>
      <c r="B791" s="117"/>
    </row>
    <row r="792">
      <c r="A792" s="117"/>
      <c r="B792" s="117"/>
    </row>
    <row r="793">
      <c r="A793" s="117"/>
      <c r="B793" s="117"/>
    </row>
    <row r="794">
      <c r="A794" s="117"/>
      <c r="B794" s="117"/>
    </row>
    <row r="795">
      <c r="A795" s="117"/>
      <c r="B795" s="117"/>
    </row>
    <row r="796">
      <c r="A796" s="117"/>
      <c r="B796" s="117"/>
    </row>
    <row r="797">
      <c r="A797" s="117"/>
      <c r="B797" s="117"/>
    </row>
    <row r="798">
      <c r="A798" s="117"/>
      <c r="B798" s="117"/>
    </row>
    <row r="799">
      <c r="A799" s="117"/>
      <c r="B799" s="117"/>
    </row>
    <row r="800">
      <c r="A800" s="117"/>
      <c r="B800" s="117"/>
    </row>
    <row r="801">
      <c r="A801" s="117"/>
      <c r="B801" s="117"/>
    </row>
    <row r="802">
      <c r="A802" s="117"/>
      <c r="B802" s="117"/>
    </row>
    <row r="803">
      <c r="A803" s="117"/>
      <c r="B803" s="117"/>
    </row>
    <row r="804">
      <c r="A804" s="117"/>
      <c r="B804" s="117"/>
    </row>
    <row r="805">
      <c r="A805" s="117"/>
      <c r="B805" s="117"/>
    </row>
    <row r="806">
      <c r="A806" s="117"/>
      <c r="B806" s="117"/>
    </row>
    <row r="807">
      <c r="A807" s="117"/>
      <c r="B807" s="117"/>
    </row>
    <row r="808">
      <c r="A808" s="117"/>
      <c r="B808" s="117"/>
    </row>
    <row r="809">
      <c r="A809" s="117"/>
      <c r="B809" s="117"/>
    </row>
    <row r="810">
      <c r="A810" s="117"/>
      <c r="B810" s="117"/>
    </row>
    <row r="811">
      <c r="A811" s="117"/>
      <c r="B811" s="117"/>
    </row>
    <row r="812">
      <c r="A812" s="117"/>
      <c r="B812" s="117"/>
    </row>
    <row r="813">
      <c r="A813" s="117"/>
      <c r="B813" s="117"/>
    </row>
    <row r="814">
      <c r="A814" s="117"/>
      <c r="B814" s="117"/>
    </row>
    <row r="815">
      <c r="A815" s="117"/>
      <c r="B815" s="117"/>
    </row>
    <row r="816">
      <c r="A816" s="117"/>
      <c r="B816" s="117"/>
    </row>
    <row r="817">
      <c r="A817" s="117"/>
      <c r="B817" s="117"/>
    </row>
    <row r="818">
      <c r="A818" s="117"/>
      <c r="B818" s="117"/>
    </row>
    <row r="819">
      <c r="A819" s="117"/>
      <c r="B819" s="117"/>
    </row>
    <row r="820">
      <c r="A820" s="117"/>
      <c r="B820" s="117"/>
    </row>
    <row r="821">
      <c r="A821" s="117"/>
      <c r="B821" s="117"/>
    </row>
    <row r="822">
      <c r="A822" s="117"/>
      <c r="B822" s="117"/>
    </row>
    <row r="823">
      <c r="A823" s="117"/>
      <c r="B823" s="117"/>
    </row>
    <row r="824">
      <c r="A824" s="117"/>
      <c r="B824" s="117"/>
    </row>
    <row r="825">
      <c r="A825" s="117"/>
      <c r="B825" s="117"/>
    </row>
    <row r="826">
      <c r="A826" s="117"/>
      <c r="B826" s="117"/>
    </row>
    <row r="827">
      <c r="A827" s="117"/>
      <c r="B827" s="117"/>
    </row>
    <row r="828">
      <c r="A828" s="117"/>
      <c r="B828" s="117"/>
    </row>
    <row r="829">
      <c r="A829" s="117"/>
      <c r="B829" s="117"/>
    </row>
    <row r="830">
      <c r="A830" s="117"/>
      <c r="B830" s="117"/>
    </row>
    <row r="831">
      <c r="A831" s="117"/>
      <c r="B831" s="117"/>
    </row>
    <row r="832">
      <c r="A832" s="117"/>
      <c r="B832" s="117"/>
    </row>
    <row r="833">
      <c r="A833" s="117"/>
      <c r="B833" s="117"/>
    </row>
    <row r="834">
      <c r="A834" s="117"/>
      <c r="B834" s="117"/>
    </row>
    <row r="835">
      <c r="A835" s="117"/>
      <c r="B835" s="117"/>
    </row>
    <row r="836">
      <c r="A836" s="117"/>
      <c r="B836" s="117"/>
    </row>
    <row r="837">
      <c r="A837" s="117"/>
      <c r="B837" s="117"/>
    </row>
    <row r="838">
      <c r="A838" s="117"/>
      <c r="B838" s="117"/>
    </row>
    <row r="839">
      <c r="A839" s="117"/>
      <c r="B839" s="117"/>
    </row>
    <row r="840">
      <c r="A840" s="117"/>
      <c r="B840" s="117"/>
    </row>
    <row r="841">
      <c r="A841" s="117"/>
      <c r="B841" s="117"/>
    </row>
    <row r="842">
      <c r="A842" s="117"/>
      <c r="B842" s="117"/>
    </row>
    <row r="843">
      <c r="A843" s="117"/>
      <c r="B843" s="117"/>
    </row>
    <row r="844">
      <c r="A844" s="117"/>
      <c r="B844" s="117"/>
    </row>
    <row r="845">
      <c r="A845" s="117"/>
      <c r="B845" s="117"/>
    </row>
    <row r="846">
      <c r="A846" s="117"/>
      <c r="B846" s="117"/>
    </row>
    <row r="847">
      <c r="A847" s="117"/>
      <c r="B847" s="117"/>
    </row>
    <row r="848">
      <c r="A848" s="117"/>
      <c r="B848" s="117"/>
    </row>
    <row r="849">
      <c r="A849" s="117"/>
      <c r="B849" s="117"/>
    </row>
    <row r="850">
      <c r="A850" s="117"/>
      <c r="B850" s="117"/>
    </row>
    <row r="851">
      <c r="A851" s="117"/>
      <c r="B851" s="117"/>
    </row>
    <row r="852">
      <c r="A852" s="117"/>
      <c r="B852" s="117"/>
    </row>
    <row r="853">
      <c r="A853" s="117"/>
      <c r="B853" s="117"/>
    </row>
    <row r="854">
      <c r="A854" s="117"/>
      <c r="B854" s="117"/>
    </row>
    <row r="855">
      <c r="A855" s="117"/>
      <c r="B855" s="117"/>
    </row>
    <row r="856">
      <c r="A856" s="117"/>
      <c r="B856" s="117"/>
    </row>
    <row r="857">
      <c r="A857" s="117"/>
      <c r="B857" s="117"/>
    </row>
    <row r="858">
      <c r="A858" s="117"/>
      <c r="B858" s="117"/>
    </row>
    <row r="859">
      <c r="A859" s="117"/>
      <c r="B859" s="117"/>
    </row>
    <row r="860">
      <c r="A860" s="117"/>
      <c r="B860" s="117"/>
    </row>
    <row r="861">
      <c r="A861" s="117"/>
      <c r="B861" s="117"/>
    </row>
    <row r="862">
      <c r="A862" s="117"/>
      <c r="B862" s="117"/>
    </row>
    <row r="863">
      <c r="A863" s="117"/>
      <c r="B863" s="117"/>
    </row>
    <row r="864">
      <c r="A864" s="117"/>
      <c r="B864" s="117"/>
    </row>
    <row r="865">
      <c r="A865" s="117"/>
      <c r="B865" s="117"/>
    </row>
    <row r="866">
      <c r="A866" s="117"/>
      <c r="B866" s="117"/>
    </row>
    <row r="867">
      <c r="A867" s="117"/>
      <c r="B867" s="117"/>
    </row>
    <row r="868">
      <c r="A868" s="117"/>
      <c r="B868" s="117"/>
    </row>
    <row r="869">
      <c r="A869" s="117"/>
      <c r="B869" s="117"/>
    </row>
    <row r="870">
      <c r="A870" s="117"/>
      <c r="B870" s="117"/>
    </row>
    <row r="871">
      <c r="A871" s="117"/>
      <c r="B871" s="117"/>
    </row>
    <row r="872">
      <c r="A872" s="117"/>
      <c r="B872" s="117"/>
    </row>
    <row r="873">
      <c r="A873" s="117"/>
      <c r="B873" s="117"/>
    </row>
    <row r="874">
      <c r="A874" s="117"/>
      <c r="B874" s="117"/>
    </row>
    <row r="875">
      <c r="A875" s="117"/>
      <c r="B875" s="117"/>
    </row>
    <row r="876">
      <c r="A876" s="117"/>
      <c r="B876" s="117"/>
    </row>
    <row r="877">
      <c r="A877" s="117"/>
      <c r="B877" s="117"/>
    </row>
    <row r="878">
      <c r="A878" s="117"/>
      <c r="B878" s="117"/>
    </row>
    <row r="879">
      <c r="A879" s="117"/>
      <c r="B879" s="117"/>
    </row>
    <row r="880">
      <c r="A880" s="117"/>
      <c r="B880" s="117"/>
    </row>
    <row r="881">
      <c r="A881" s="117"/>
      <c r="B881" s="117"/>
    </row>
    <row r="882">
      <c r="A882" s="117"/>
      <c r="B882" s="117"/>
    </row>
    <row r="883">
      <c r="A883" s="117"/>
      <c r="B883" s="117"/>
    </row>
    <row r="884">
      <c r="A884" s="117"/>
      <c r="B884" s="117"/>
    </row>
    <row r="885">
      <c r="A885" s="117"/>
      <c r="B885" s="117"/>
    </row>
    <row r="886">
      <c r="A886" s="117"/>
      <c r="B886" s="117"/>
    </row>
    <row r="887">
      <c r="A887" s="117"/>
      <c r="B887" s="117"/>
    </row>
    <row r="888">
      <c r="A888" s="117"/>
      <c r="B888" s="117"/>
    </row>
    <row r="889">
      <c r="A889" s="117"/>
      <c r="B889" s="117"/>
    </row>
    <row r="890">
      <c r="A890" s="117"/>
      <c r="B890" s="117"/>
    </row>
    <row r="891">
      <c r="A891" s="117"/>
      <c r="B891" s="117"/>
    </row>
    <row r="892">
      <c r="A892" s="117"/>
      <c r="B892" s="117"/>
    </row>
    <row r="893">
      <c r="A893" s="117"/>
      <c r="B893" s="117"/>
    </row>
    <row r="894">
      <c r="A894" s="117"/>
      <c r="B894" s="117"/>
    </row>
    <row r="895">
      <c r="A895" s="117"/>
      <c r="B895" s="117"/>
    </row>
    <row r="896">
      <c r="A896" s="117"/>
      <c r="B896" s="117"/>
    </row>
    <row r="897">
      <c r="A897" s="117"/>
      <c r="B897" s="117"/>
    </row>
    <row r="898">
      <c r="A898" s="117"/>
      <c r="B898" s="117"/>
    </row>
    <row r="899">
      <c r="A899" s="117"/>
      <c r="B899" s="117"/>
    </row>
    <row r="900">
      <c r="A900" s="117"/>
      <c r="B900" s="117"/>
    </row>
    <row r="901">
      <c r="A901" s="117"/>
      <c r="B901" s="117"/>
    </row>
    <row r="902">
      <c r="A902" s="117"/>
      <c r="B902" s="117"/>
    </row>
    <row r="903">
      <c r="A903" s="117"/>
      <c r="B903" s="117"/>
    </row>
    <row r="904">
      <c r="A904" s="117"/>
      <c r="B904" s="117"/>
    </row>
    <row r="905">
      <c r="A905" s="117"/>
      <c r="B905" s="117"/>
    </row>
    <row r="906">
      <c r="A906" s="117"/>
      <c r="B906" s="117"/>
    </row>
    <row r="907">
      <c r="A907" s="117"/>
      <c r="B907" s="117"/>
    </row>
    <row r="908">
      <c r="A908" s="117"/>
      <c r="B908" s="117"/>
    </row>
    <row r="909">
      <c r="A909" s="117"/>
      <c r="B909" s="117"/>
    </row>
    <row r="910">
      <c r="A910" s="117"/>
      <c r="B910" s="117"/>
    </row>
    <row r="911">
      <c r="A911" s="117"/>
      <c r="B911" s="117"/>
    </row>
    <row r="912">
      <c r="A912" s="117"/>
      <c r="B912" s="117"/>
    </row>
    <row r="913">
      <c r="A913" s="117"/>
      <c r="B913" s="117"/>
    </row>
    <row r="914">
      <c r="A914" s="117"/>
      <c r="B914" s="117"/>
    </row>
    <row r="915">
      <c r="A915" s="117"/>
      <c r="B915" s="117"/>
    </row>
    <row r="916">
      <c r="A916" s="117"/>
      <c r="B916" s="117"/>
    </row>
    <row r="917">
      <c r="A917" s="117"/>
      <c r="B917" s="117"/>
    </row>
    <row r="918">
      <c r="A918" s="117"/>
      <c r="B918" s="117"/>
    </row>
    <row r="919">
      <c r="A919" s="117"/>
      <c r="B919" s="117"/>
    </row>
    <row r="920">
      <c r="A920" s="117"/>
      <c r="B920" s="117"/>
    </row>
    <row r="921">
      <c r="A921" s="117"/>
      <c r="B921" s="117"/>
    </row>
    <row r="922">
      <c r="A922" s="117"/>
      <c r="B922" s="117"/>
    </row>
    <row r="923">
      <c r="A923" s="117"/>
      <c r="B923" s="117"/>
    </row>
    <row r="924">
      <c r="A924" s="117"/>
      <c r="B924" s="117"/>
    </row>
    <row r="925">
      <c r="A925" s="117"/>
      <c r="B925" s="117"/>
    </row>
    <row r="926">
      <c r="A926" s="117"/>
      <c r="B926" s="117"/>
    </row>
    <row r="927">
      <c r="A927" s="117"/>
      <c r="B927" s="117"/>
    </row>
    <row r="928">
      <c r="A928" s="117"/>
      <c r="B928" s="117"/>
    </row>
    <row r="929">
      <c r="A929" s="117"/>
      <c r="B929" s="117"/>
    </row>
    <row r="930">
      <c r="A930" s="117"/>
      <c r="B930" s="117"/>
    </row>
    <row r="931">
      <c r="A931" s="117"/>
      <c r="B931" s="117"/>
    </row>
    <row r="932">
      <c r="A932" s="117"/>
      <c r="B932" s="117"/>
    </row>
    <row r="933">
      <c r="A933" s="117"/>
      <c r="B933" s="117"/>
    </row>
    <row r="934">
      <c r="A934" s="117"/>
      <c r="B934" s="117"/>
    </row>
    <row r="935">
      <c r="A935" s="117"/>
      <c r="B935" s="117"/>
    </row>
    <row r="936">
      <c r="A936" s="117"/>
      <c r="B936" s="117"/>
    </row>
    <row r="937">
      <c r="A937" s="117"/>
      <c r="B937" s="117"/>
    </row>
    <row r="938">
      <c r="A938" s="117"/>
      <c r="B938" s="117"/>
    </row>
    <row r="939">
      <c r="A939" s="117"/>
      <c r="B939" s="117"/>
    </row>
    <row r="940">
      <c r="A940" s="117"/>
      <c r="B940" s="117"/>
    </row>
    <row r="941">
      <c r="A941" s="117"/>
      <c r="B941" s="117"/>
    </row>
    <row r="942">
      <c r="A942" s="117"/>
      <c r="B942" s="117"/>
    </row>
    <row r="943">
      <c r="A943" s="117"/>
      <c r="B943" s="117"/>
    </row>
    <row r="944">
      <c r="A944" s="117"/>
      <c r="B944" s="117"/>
    </row>
    <row r="945">
      <c r="A945" s="117"/>
      <c r="B945" s="117"/>
    </row>
    <row r="946">
      <c r="A946" s="117"/>
      <c r="B946" s="117"/>
    </row>
    <row r="947">
      <c r="A947" s="117"/>
      <c r="B947" s="117"/>
    </row>
    <row r="948">
      <c r="A948" s="117"/>
      <c r="B948" s="117"/>
    </row>
    <row r="949">
      <c r="A949" s="117"/>
      <c r="B949" s="117"/>
    </row>
    <row r="950">
      <c r="A950" s="117"/>
      <c r="B950" s="117"/>
    </row>
    <row r="951">
      <c r="A951" s="117"/>
      <c r="B951" s="117"/>
    </row>
    <row r="952">
      <c r="A952" s="117"/>
      <c r="B952" s="117"/>
    </row>
    <row r="953">
      <c r="A953" s="117"/>
      <c r="B953" s="117"/>
    </row>
    <row r="954">
      <c r="A954" s="117"/>
      <c r="B954" s="117"/>
    </row>
    <row r="955">
      <c r="A955" s="117"/>
      <c r="B955" s="117"/>
    </row>
    <row r="956">
      <c r="A956" s="117"/>
      <c r="B956" s="117"/>
    </row>
    <row r="957">
      <c r="A957" s="117"/>
      <c r="B957" s="117"/>
    </row>
    <row r="958">
      <c r="A958" s="117"/>
      <c r="B958" s="117"/>
    </row>
    <row r="959">
      <c r="A959" s="117"/>
      <c r="B959" s="117"/>
    </row>
    <row r="960">
      <c r="A960" s="117"/>
      <c r="B960" s="117"/>
    </row>
    <row r="961">
      <c r="A961" s="117"/>
      <c r="B961" s="117"/>
    </row>
    <row r="962">
      <c r="A962" s="117"/>
      <c r="B962" s="117"/>
    </row>
    <row r="963">
      <c r="A963" s="117"/>
      <c r="B963" s="117"/>
    </row>
    <row r="964">
      <c r="A964" s="117"/>
      <c r="B964" s="117"/>
    </row>
    <row r="965">
      <c r="A965" s="117"/>
      <c r="B965" s="117"/>
    </row>
    <row r="966">
      <c r="A966" s="117"/>
      <c r="B966" s="117"/>
    </row>
    <row r="967">
      <c r="A967" s="117"/>
      <c r="B967" s="117"/>
    </row>
    <row r="968">
      <c r="A968" s="117"/>
      <c r="B968" s="117"/>
    </row>
    <row r="969">
      <c r="A969" s="117"/>
      <c r="B969" s="117"/>
    </row>
    <row r="970">
      <c r="A970" s="117"/>
      <c r="B970" s="117"/>
    </row>
    <row r="971">
      <c r="A971" s="117"/>
      <c r="B971" s="117"/>
    </row>
    <row r="972">
      <c r="A972" s="117"/>
      <c r="B972" s="117"/>
    </row>
    <row r="973">
      <c r="A973" s="117"/>
      <c r="B973" s="117"/>
    </row>
    <row r="974">
      <c r="A974" s="117"/>
      <c r="B974" s="117"/>
    </row>
    <row r="975">
      <c r="A975" s="117"/>
      <c r="B975" s="117"/>
    </row>
    <row r="976">
      <c r="A976" s="117"/>
      <c r="B976" s="117"/>
    </row>
    <row r="977">
      <c r="A977" s="117"/>
      <c r="B977" s="117"/>
    </row>
    <row r="978">
      <c r="A978" s="117"/>
      <c r="B978" s="117"/>
    </row>
    <row r="979">
      <c r="A979" s="117"/>
      <c r="B979" s="117"/>
    </row>
    <row r="980">
      <c r="A980" s="117"/>
      <c r="B980" s="117"/>
    </row>
    <row r="981">
      <c r="A981" s="117"/>
      <c r="B981" s="117"/>
    </row>
    <row r="982">
      <c r="A982" s="117"/>
      <c r="B982" s="117"/>
    </row>
    <row r="983">
      <c r="A983" s="117"/>
      <c r="B983" s="117"/>
    </row>
    <row r="984">
      <c r="A984" s="117"/>
      <c r="B984" s="117"/>
    </row>
    <row r="985">
      <c r="A985" s="117"/>
      <c r="B985" s="117"/>
    </row>
    <row r="986">
      <c r="A986" s="117"/>
      <c r="B986" s="117"/>
    </row>
    <row r="987">
      <c r="A987" s="117"/>
      <c r="B987" s="117"/>
    </row>
    <row r="988">
      <c r="A988" s="117"/>
      <c r="B988" s="117"/>
    </row>
    <row r="989">
      <c r="A989" s="117"/>
      <c r="B989" s="117"/>
    </row>
    <row r="990">
      <c r="A990" s="117"/>
      <c r="B990" s="117"/>
    </row>
    <row r="991">
      <c r="A991" s="117"/>
      <c r="B991" s="117"/>
    </row>
    <row r="992">
      <c r="A992" s="117"/>
      <c r="B992" s="117"/>
    </row>
    <row r="993">
      <c r="A993" s="117"/>
      <c r="B993" s="117"/>
    </row>
    <row r="994">
      <c r="A994" s="117"/>
      <c r="B994" s="117"/>
    </row>
    <row r="995">
      <c r="A995" s="117"/>
      <c r="B995" s="117"/>
    </row>
    <row r="996">
      <c r="A996" s="117"/>
      <c r="B996" s="117"/>
    </row>
    <row r="997">
      <c r="A997" s="117"/>
      <c r="B997" s="117"/>
    </row>
    <row r="998">
      <c r="A998" s="117"/>
      <c r="B998" s="117"/>
    </row>
    <row r="999">
      <c r="A999" s="117"/>
      <c r="B999" s="117"/>
    </row>
    <row r="1000">
      <c r="A1000" s="117"/>
      <c r="B1000" s="117"/>
    </row>
    <row r="1001">
      <c r="A1001" s="117"/>
      <c r="B1001" s="117"/>
    </row>
  </sheetData>
  <mergeCells count="1">
    <mergeCell ref="A1:B1"/>
  </mergeCells>
  <dataValidations>
    <dataValidation type="list" allowBlank="1" showErrorMessage="1" sqref="X3:X26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