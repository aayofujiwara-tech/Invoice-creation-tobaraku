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documenttasks+xml" PartName="/xl/documenttasks/documenttask3.xml"/>
  <Override ContentType="application/vnd.ms-excel.documenttasks+xml" PartName="/xl/documenttasks/documenttask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3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8.2" sheetId="1" r:id="rId5"/>
    <sheet state="visible" name="R8.1" sheetId="2" r:id="rId6"/>
    <sheet state="visible" name="R7.12" sheetId="3" r:id="rId7"/>
    <sheet state="visible" name="R7.11" sheetId="4" r:id="rId8"/>
    <sheet state="visible" name="R7.10" sheetId="5" r:id="rId9"/>
    <sheet state="visible" name="R7.9" sheetId="6" r:id="rId10"/>
    <sheet state="visible" name="R7.8" sheetId="7" r:id="rId11"/>
    <sheet state="visible" name="R7.7" sheetId="8" r:id="rId12"/>
    <sheet state="visible" name="R7.6" sheetId="9" r:id="rId13"/>
    <sheet state="visible" name="R7.5" sheetId="10" r:id="rId14"/>
    <sheet state="visible" name="R7.4" sheetId="11" r:id="rId15"/>
    <sheet state="visible" name="R7.3" sheetId="12" r:id="rId16"/>
    <sheet state="visible" name="R7.2" sheetId="13" r:id="rId17"/>
    <sheet state="visible" name="R7.1" sheetId="14" r:id="rId18"/>
    <sheet state="visible" name="R6.12" sheetId="15" r:id="rId19"/>
  </sheets>
  <definedNames>
    <definedName localSheetId="6" name="完全">'R7.8'!$AM$9</definedName>
    <definedName localSheetId="10" name="完全">'R7.4'!$AM$9</definedName>
    <definedName name="完全">'R7.3'!$AM$8</definedName>
    <definedName localSheetId="9" name="完全">'R7.5'!$AM$9</definedName>
    <definedName localSheetId="1" name="完全">'R8.1'!$AM$9</definedName>
    <definedName localSheetId="3" name="完全">'R7.11'!$AM$9</definedName>
    <definedName localSheetId="2" name="完全">'R7.12'!$AM$9</definedName>
    <definedName localSheetId="7" name="完全">'R7.7'!$AM$9</definedName>
    <definedName localSheetId="4" name="完全">'R7.10'!$AM$9</definedName>
    <definedName localSheetId="0" name="完全">'R8.2'!$AM$9</definedName>
    <definedName localSheetId="5" name="完全">'R7.9'!$AM$9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tc={9d94fc0e-567d-4d1a-93cd-d3a4f9347fd6}</author>
  </authors>
  <commentList>
    <comment authorId="0" xr:uid="{9d94fc0e-567d-4d1a-93cd-d3a4f9347fd6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デイサービス体験　食費請求要確認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tc={4864a7aa-daac-4d00-ace5-d6a8530b5f41}</author>
  </authors>
  <commentList>
    <comment authorId="0" xr:uid="{4864a7aa-daac-4d00-ace5-d6a8530b5f41}" ref="V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4/19～外泊
4/18自己都合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tc={469692d3-b4ff-4827-b51b-ab9b50f388a2}</author>
  </authors>
  <commentList>
    <comment authorId="0" xr:uid="{469692d3-b4ff-4827-b51b-ab9b50f388a2}" ref="P2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デイサービス体験　食費請求要確認
</t>
      </text>
    </comment>
  </commentList>
</comments>
</file>

<file path=xl/sharedStrings.xml><?xml version="1.0" encoding="utf-8"?>
<sst xmlns="http://schemas.openxmlformats.org/spreadsheetml/2006/main" count="1560" uniqueCount="64">
  <si>
    <t>部屋</t>
  </si>
  <si>
    <t>利用者名</t>
  </si>
  <si>
    <t>食事形態</t>
  </si>
  <si>
    <t>計</t>
  </si>
  <si>
    <t>請求金額</t>
  </si>
  <si>
    <t>朝食</t>
  </si>
  <si>
    <t>昼食</t>
  </si>
  <si>
    <t>夕食</t>
  </si>
  <si>
    <t>５B</t>
  </si>
  <si>
    <t>中込和人</t>
  </si>
  <si>
    <t>提供なし</t>
  </si>
  <si>
    <t>6B</t>
  </si>
  <si>
    <t>小山美由紀</t>
  </si>
  <si>
    <t>青魚禁
6/1～昼のみ
6/8～自炊</t>
  </si>
  <si>
    <t>6C</t>
  </si>
  <si>
    <t>宮本浩之</t>
  </si>
  <si>
    <t>6E</t>
  </si>
  <si>
    <t>岡村三男</t>
  </si>
  <si>
    <t>2B</t>
  </si>
  <si>
    <t>笠岡康志</t>
  </si>
  <si>
    <t>肉禁
夕のみ</t>
  </si>
  <si>
    <t>5C</t>
  </si>
  <si>
    <t>上田清江</t>
  </si>
  <si>
    <t>水曜デイ</t>
  </si>
  <si>
    <t>2A</t>
  </si>
  <si>
    <t>椎雅彦</t>
  </si>
  <si>
    <t>7/28入居
11:00
月・金デイ</t>
  </si>
  <si>
    <t>6D</t>
  </si>
  <si>
    <t>民徳正人</t>
  </si>
  <si>
    <t>7/28入居
15:00</t>
  </si>
  <si>
    <t>２E</t>
  </si>
  <si>
    <t>藤本敏博</t>
  </si>
  <si>
    <t>月・木・金デイ</t>
  </si>
  <si>
    <t>肉禁
10/20より
提供なし</t>
  </si>
  <si>
    <t>月・金デイ</t>
  </si>
  <si>
    <t>０</t>
  </si>
  <si>
    <t>金曜デイ</t>
  </si>
  <si>
    <t>青魚禁
6/1～昼のみ</t>
  </si>
  <si>
    <t>7/28入居
11:00</t>
  </si>
  <si>
    <t>6/13~6/20昼夕実費購入</t>
  </si>
  <si>
    <t>２B</t>
  </si>
  <si>
    <t>6/6～6/15淀キリ入院</t>
  </si>
  <si>
    <t>自炊</t>
  </si>
  <si>
    <t>三月より完全自炊</t>
  </si>
  <si>
    <t>昼夜のみ</t>
  </si>
  <si>
    <t>完全自炊</t>
  </si>
  <si>
    <t>肉禁</t>
  </si>
  <si>
    <t>4/22〜夕のみ</t>
  </si>
  <si>
    <t>水曜デイサービス</t>
  </si>
  <si>
    <t>青魚禁　粥</t>
  </si>
  <si>
    <t>4/18~完全自炊4/22〜夕のみ</t>
  </si>
  <si>
    <t>昼食カップ麺から弁当へ変更</t>
  </si>
  <si>
    <t>朝食自炊粥</t>
  </si>
  <si>
    <t>宅食ライフ</t>
  </si>
  <si>
    <t>昼夜のみ※肉NG</t>
  </si>
  <si>
    <t>3/7昼から再開</t>
  </si>
  <si>
    <t>2月</t>
  </si>
  <si>
    <t>青魚禁</t>
  </si>
  <si>
    <t>1/29AM入居※しばらく民泊</t>
  </si>
  <si>
    <t>2/11入居</t>
  </si>
  <si>
    <t>青魚禁
※好き嫌い</t>
  </si>
  <si>
    <t>1/7午前入居</t>
  </si>
  <si>
    <t>入居</t>
  </si>
  <si>
    <t>1/29AM入居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</si>
</sst>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"/>
    <numFmt numFmtId="165" formatCode="aaa"/>
  </numFmts>
  <fonts count="5">
    <font>
      <sz val="10.0"/>
      <color rgb="FF000000"/>
      <name val="Arial"/>
      <scheme val="minor"/>
    </font>
    <font>
      <color theme="1"/>
      <name val="Arial"/>
    </font>
    <font/>
    <font>
      <b/>
      <color theme="1"/>
      <name val="Arial"/>
    </font>
    <font>
      <color rgb="FFFF0000"/>
      <name val="Arial"/>
    </font>
  </fonts>
  <fills count="8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D9D9D9"/>
        <bgColor rgb="FFD9D9D9"/>
      </patternFill>
    </fill>
    <fill>
      <patternFill patternType="solid">
        <fgColor rgb="FFB7B7B7"/>
        <bgColor rgb="FFB7B7B7"/>
      </patternFill>
    </fill>
    <fill>
      <patternFill patternType="solid">
        <fgColor rgb="FFFFFF00"/>
        <bgColor rgb="FFFFFF00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Font="1"/>
    <xf borderId="0" fillId="0" fontId="1" numFmtId="0" xfId="0" applyAlignment="1" applyFont="1">
      <alignment vertical="bottom"/>
    </xf>
    <xf borderId="0" fillId="0" fontId="1" numFmtId="0" xfId="0" applyAlignment="1" applyFont="1">
      <alignment horizontal="left"/>
    </xf>
    <xf borderId="1" fillId="2" fontId="1" numFmtId="0" xfId="0" applyAlignment="1" applyBorder="1" applyFill="1" applyFont="1">
      <alignment horizontal="center"/>
    </xf>
    <xf borderId="1" fillId="2" fontId="1" numFmtId="0" xfId="0" applyAlignment="1" applyBorder="1" applyFont="1">
      <alignment vertical="bottom"/>
    </xf>
    <xf borderId="2" fillId="2" fontId="1" numFmtId="164" xfId="0" applyAlignment="1" applyBorder="1" applyFont="1" applyNumberFormat="1">
      <alignment horizontal="center"/>
    </xf>
    <xf borderId="2" fillId="2" fontId="1" numFmtId="0" xfId="0" applyAlignment="1" applyBorder="1" applyFont="1">
      <alignment horizontal="center" vertical="bottom"/>
    </xf>
    <xf borderId="2" fillId="2" fontId="1" numFmtId="0" xfId="0" applyAlignment="1" applyBorder="1" applyFont="1">
      <alignment vertical="bottom"/>
    </xf>
    <xf borderId="3" fillId="0" fontId="2" numFmtId="0" xfId="0" applyBorder="1" applyFont="1"/>
    <xf borderId="4" fillId="2" fontId="3" numFmtId="165" xfId="0" applyAlignment="1" applyBorder="1" applyFont="1" applyNumberFormat="1">
      <alignment horizontal="center" vertical="bottom"/>
    </xf>
    <xf borderId="1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/>
    </xf>
    <xf borderId="2" fillId="0" fontId="1" numFmtId="0" xfId="0" applyAlignment="1" applyBorder="1" applyFont="1">
      <alignment horizontal="center" vertical="bottom"/>
    </xf>
    <xf borderId="1" fillId="0" fontId="1" numFmtId="0" xfId="0" applyAlignment="1" applyBorder="1" applyFont="1">
      <alignment vertical="bottom"/>
    </xf>
    <xf borderId="5" fillId="0" fontId="2" numFmtId="0" xfId="0" applyBorder="1" applyFont="1"/>
    <xf borderId="2" fillId="3" fontId="1" numFmtId="0" xfId="0" applyAlignment="1" applyBorder="1" applyFill="1" applyFont="1">
      <alignment horizontal="center" vertical="bottom"/>
    </xf>
    <xf borderId="2" fillId="4" fontId="1" numFmtId="0" xfId="0" applyAlignment="1" applyBorder="1" applyFill="1" applyFont="1">
      <alignment horizontal="center"/>
    </xf>
    <xf borderId="5" fillId="0" fontId="1" numFmtId="0" xfId="0" applyAlignment="1" applyBorder="1" applyFont="1">
      <alignment vertical="bottom"/>
    </xf>
    <xf borderId="3" fillId="0" fontId="1" numFmtId="0" xfId="0" applyAlignment="1" applyBorder="1" applyFont="1">
      <alignment horizontal="center" vertical="bottom"/>
    </xf>
    <xf borderId="1" fillId="2" fontId="1" numFmtId="0" xfId="0" applyAlignment="1" applyBorder="1" applyFont="1">
      <alignment horizontal="center" vertical="center"/>
    </xf>
    <xf borderId="2" fillId="2" fontId="1" numFmtId="0" xfId="0" applyAlignment="1" applyBorder="1" applyFont="1">
      <alignment horizontal="center"/>
    </xf>
    <xf borderId="2" fillId="5" fontId="1" numFmtId="0" xfId="0" applyAlignment="1" applyBorder="1" applyFill="1" applyFont="1">
      <alignment horizontal="center" vertical="bottom"/>
    </xf>
    <xf borderId="5" fillId="5" fontId="1" numFmtId="0" xfId="0" applyAlignment="1" applyBorder="1" applyFont="1">
      <alignment vertical="bottom"/>
    </xf>
    <xf borderId="0" fillId="0" fontId="1" numFmtId="0" xfId="0" applyAlignment="1" applyFont="1">
      <alignment horizontal="left" vertical="center"/>
    </xf>
    <xf borderId="3" fillId="5" fontId="1" numFmtId="0" xfId="0" applyAlignment="1" applyBorder="1" applyFont="1">
      <alignment horizontal="center" vertical="bottom"/>
    </xf>
    <xf borderId="0" fillId="0" fontId="4" numFmtId="0" xfId="0" applyAlignment="1" applyFont="1">
      <alignment horizontal="left"/>
    </xf>
    <xf borderId="2" fillId="6" fontId="1" numFmtId="0" xfId="0" applyAlignment="1" applyBorder="1" applyFill="1" applyFont="1">
      <alignment horizontal="center"/>
    </xf>
    <xf borderId="1" fillId="6" fontId="1" numFmtId="0" xfId="0" applyAlignment="1" applyBorder="1" applyFont="1">
      <alignment horizontal="center" vertical="center"/>
    </xf>
    <xf borderId="2" fillId="3" fontId="1" numFmtId="0" xfId="0" applyAlignment="1" applyBorder="1" applyFont="1">
      <alignment horizontal="center"/>
    </xf>
    <xf borderId="0" fillId="0" fontId="1" numFmtId="0" xfId="0" applyAlignment="1" applyFont="1">
      <alignment horizontal="center" vertical="center"/>
    </xf>
    <xf borderId="2" fillId="0" fontId="4" numFmtId="0" xfId="0" applyAlignment="1" applyBorder="1" applyFont="1">
      <alignment horizontal="center"/>
    </xf>
    <xf borderId="2" fillId="7" fontId="1" numFmtId="0" xfId="0" applyAlignment="1" applyBorder="1" applyFill="1" applyFont="1">
      <alignment horizontal="center"/>
    </xf>
    <xf borderId="1" fillId="5" fontId="1" numFmtId="0" xfId="0" applyAlignment="1" applyBorder="1" applyFont="1">
      <alignment horizontal="center" vertical="center"/>
    </xf>
    <xf borderId="1" fillId="5" fontId="1" numFmtId="0" xfId="0" applyAlignment="1" applyBorder="1" applyFont="1">
      <alignment vertical="bottom"/>
    </xf>
    <xf borderId="2" fillId="5" fontId="1" numFmtId="0" xfId="0" applyAlignment="1" applyBorder="1" applyFont="1">
      <alignment horizontal="center"/>
    </xf>
    <xf borderId="1" fillId="4" fontId="1" numFmtId="0" xfId="0" applyAlignment="1" applyBorder="1" applyFont="1">
      <alignment horizontal="center" vertical="center"/>
    </xf>
    <xf borderId="2" fillId="4" fontId="1" numFmtId="0" xfId="0" applyAlignment="1" applyBorder="1" applyFont="1">
      <alignment horizontal="center" vertical="bottom"/>
    </xf>
    <xf borderId="5" fillId="4" fontId="1" numFmtId="0" xfId="0" applyAlignment="1" applyBorder="1" applyFont="1">
      <alignment vertical="bottom"/>
    </xf>
    <xf borderId="3" fillId="4" fontId="1" numFmtId="0" xfId="0" applyAlignment="1" applyBorder="1" applyFont="1">
      <alignment horizontal="center" vertical="bottom"/>
    </xf>
    <xf borderId="1" fillId="0" fontId="1" numFmtId="0" xfId="0" applyBorder="1" applyFont="1"/>
    <xf borderId="2" fillId="0" fontId="1" numFmtId="0" xfId="0" applyAlignment="1" applyBorder="1" applyFont="1">
      <alignment horizontal="center" vertical="center"/>
    </xf>
    <xf borderId="2" fillId="0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ocumenttasks/documenttask3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松井充子" id="{c03b1604-5961-4526-8cf1-c02edfd07d80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5-03-12T01:12:45.00" personId="{c03b1604-5961-4526-8cf1-c02edfd07d80}" id="{9d94fc0e-567d-4d1a-93cd-d3a4f9347fd6}" done="0">
    <x18tc:text xml:space="preserve">デイサービス体験　食費請求要確認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V11" dT="2025-04-16T04:26:13.00" personId="{c03b1604-5961-4526-8cf1-c02edfd07d80}" id="{4864a7aa-daac-4d00-ace5-d6a8530b5f41}" done="0">
    <x18tc:text xml:space="preserve">4/19～外泊
4/18自己都合</x18tc:text>
  </x18tc:threadedComment>
</x18tc:ThreadedComments>
</file>

<file path=xl/threadedComments/threadedComment3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P22" dT="2025-03-12T01:15:17.00" personId="{c03b1604-5961-4526-8cf1-c02edfd07d80}" id="{469692d3-b4ff-4827-b51b-ab9b50f388a2}" done="0">
    <x18tc:text xml:space="preserve">デイサービス体験　食費請求要確認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11.xml"/><Relationship Id="rId5" Type="http://schemas.openxmlformats.org/officeDocument/2006/relationships/vmlDrawing" Target="../drawings/vmlDrawing2.v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microsoft.com/office/2017/10/relationships/threadedComment" Target="../threadedComments/threadedComment3.xml"/><Relationship Id="rId3" Type="http://schemas.microsoft.com/office/2019/04/relationships/documenttask" Target="../documenttasks/documenttask3.xml"/><Relationship Id="rId4" Type="http://schemas.openxmlformats.org/officeDocument/2006/relationships/drawing" Target="../drawings/drawing12.xml"/><Relationship Id="rId5" Type="http://schemas.openxmlformats.org/officeDocument/2006/relationships/vmlDrawing" Target="../drawings/vmlDrawing3.v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4" width="12.63"/>
    <col customWidth="1" min="5" max="35" width="2.63"/>
    <col customWidth="1" min="36" max="36" width="5.25"/>
    <col customWidth="1" min="37" max="37" width="5.63"/>
    <col customWidth="1" min="38" max="38" width="7.63"/>
    <col customWidth="1" min="39" max="39" width="25.75"/>
    <col customWidth="1" min="40" max="47" width="2.63"/>
  </cols>
  <sheetData>
    <row r="1" ht="15.75" customHeight="1">
      <c r="A1" s="1">
        <v>2026.0</v>
      </c>
      <c r="B1" s="1">
        <v>2.0</v>
      </c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4"/>
      <c r="AN1" s="1"/>
      <c r="AO1" s="1"/>
      <c r="AP1" s="1"/>
      <c r="AQ1" s="1"/>
      <c r="AR1" s="1"/>
      <c r="AS1" s="1"/>
      <c r="AT1" s="1"/>
      <c r="AU1" s="1"/>
    </row>
    <row r="2" ht="15.75" customHeight="1">
      <c r="A2" s="5" t="s">
        <v>0</v>
      </c>
      <c r="B2" s="5" t="s">
        <v>1</v>
      </c>
      <c r="C2" s="5" t="s">
        <v>2</v>
      </c>
      <c r="D2" s="6"/>
      <c r="E2" s="7">
        <f>DATE($A$1,$B$1,1)</f>
        <v>46054</v>
      </c>
      <c r="F2" s="7">
        <f>DATE($A$1,$B$1,2)</f>
        <v>46055</v>
      </c>
      <c r="G2" s="7">
        <f>DATE($A$1,$B$1,3)</f>
        <v>46056</v>
      </c>
      <c r="H2" s="7">
        <f>DATE($A$1,$B$1,4)</f>
        <v>46057</v>
      </c>
      <c r="I2" s="7">
        <f>DATE($A$1,$B$1,5)</f>
        <v>46058</v>
      </c>
      <c r="J2" s="7">
        <f>DATE($A$1,$B$1,6)</f>
        <v>46059</v>
      </c>
      <c r="K2" s="7">
        <f>DATE($A$1,$B$1,7)</f>
        <v>46060</v>
      </c>
      <c r="L2" s="7">
        <f>DATE($A$1,$B$1,8)</f>
        <v>46061</v>
      </c>
      <c r="M2" s="7">
        <f>DATE($A$1,$B$1,9)</f>
        <v>46062</v>
      </c>
      <c r="N2" s="7">
        <f>DATE($A$1,$B$1,10)</f>
        <v>46063</v>
      </c>
      <c r="O2" s="7">
        <f>DATE($A$1,$B$1,11)</f>
        <v>46064</v>
      </c>
      <c r="P2" s="7">
        <f>DATE($A$1,$B$1,12)</f>
        <v>46065</v>
      </c>
      <c r="Q2" s="7">
        <f>DATE($A$1,$B$1,13)</f>
        <v>46066</v>
      </c>
      <c r="R2" s="7">
        <f>DATE($A$1,$B$1,14)</f>
        <v>46067</v>
      </c>
      <c r="S2" s="7">
        <f>DATE($A$1,$B$1,15)</f>
        <v>46068</v>
      </c>
      <c r="T2" s="7">
        <f>DATE($A$1,$B$1,16)</f>
        <v>46069</v>
      </c>
      <c r="U2" s="7">
        <f>DATE($A$1,$B$1,17)</f>
        <v>46070</v>
      </c>
      <c r="V2" s="7">
        <f>DATE($A$1,$B$1,18)</f>
        <v>46071</v>
      </c>
      <c r="W2" s="7">
        <f>DATE($A$1,$B$1,19)</f>
        <v>46072</v>
      </c>
      <c r="X2" s="7">
        <f>DATE($A$1,$B$1,20)</f>
        <v>46073</v>
      </c>
      <c r="Y2" s="7">
        <f>DATE($A$1,$B$1,21)</f>
        <v>46074</v>
      </c>
      <c r="Z2" s="7">
        <f>DATE($A$1,$B$1,22)</f>
        <v>46075</v>
      </c>
      <c r="AA2" s="7">
        <f>DATE($A$1,$B$1,23)</f>
        <v>46076</v>
      </c>
      <c r="AB2" s="7">
        <f>DATE($A$1,$B$1,24)</f>
        <v>46077</v>
      </c>
      <c r="AC2" s="7">
        <f>DATE($A$1,$B$1,25)</f>
        <v>46078</v>
      </c>
      <c r="AD2" s="7">
        <f>DATE($A$1,$B$1,26)</f>
        <v>46079</v>
      </c>
      <c r="AE2" s="7">
        <f>DATE($A$1,$B$1,27)</f>
        <v>46080</v>
      </c>
      <c r="AF2" s="7">
        <f>DATE($A$1,$B$1,28)</f>
        <v>46081</v>
      </c>
      <c r="AG2" s="7">
        <f>DATE($A$1,$B$1,29)</f>
        <v>46082</v>
      </c>
      <c r="AH2" s="7">
        <f>DATE($A$1,$B$1,30)</f>
        <v>46083</v>
      </c>
      <c r="AI2" s="7">
        <f>DATE($A$1,$B$1,31)</f>
        <v>46084</v>
      </c>
      <c r="AJ2" s="8" t="s">
        <v>3</v>
      </c>
      <c r="AK2" s="9"/>
      <c r="AL2" s="8" t="s">
        <v>4</v>
      </c>
      <c r="AM2" s="4"/>
      <c r="AN2" s="1"/>
      <c r="AO2" s="1"/>
      <c r="AP2" s="1"/>
      <c r="AQ2" s="1"/>
      <c r="AR2" s="1"/>
      <c r="AS2" s="1"/>
      <c r="AT2" s="1"/>
      <c r="AU2" s="1"/>
    </row>
    <row r="3" ht="15.75" customHeight="1">
      <c r="A3" s="10"/>
      <c r="B3" s="10"/>
      <c r="C3" s="10"/>
      <c r="D3" s="10"/>
      <c r="E3" s="11" t="str">
        <f t="shared" ref="E3:AI3" si="1">TEXT(E2,"ddd")</f>
        <v>日</v>
      </c>
      <c r="F3" s="11" t="str">
        <f t="shared" si="1"/>
        <v>月</v>
      </c>
      <c r="G3" s="11" t="str">
        <f t="shared" si="1"/>
        <v>火</v>
      </c>
      <c r="H3" s="11" t="str">
        <f t="shared" si="1"/>
        <v>水</v>
      </c>
      <c r="I3" s="11" t="str">
        <f t="shared" si="1"/>
        <v>木</v>
      </c>
      <c r="J3" s="11" t="str">
        <f t="shared" si="1"/>
        <v>金</v>
      </c>
      <c r="K3" s="11" t="str">
        <f t="shared" si="1"/>
        <v>土</v>
      </c>
      <c r="L3" s="11" t="str">
        <f t="shared" si="1"/>
        <v>日</v>
      </c>
      <c r="M3" s="11" t="str">
        <f t="shared" si="1"/>
        <v>月</v>
      </c>
      <c r="N3" s="11" t="str">
        <f t="shared" si="1"/>
        <v>火</v>
      </c>
      <c r="O3" s="11" t="str">
        <f t="shared" si="1"/>
        <v>水</v>
      </c>
      <c r="P3" s="11" t="str">
        <f t="shared" si="1"/>
        <v>木</v>
      </c>
      <c r="Q3" s="11" t="str">
        <f t="shared" si="1"/>
        <v>金</v>
      </c>
      <c r="R3" s="11" t="str">
        <f t="shared" si="1"/>
        <v>土</v>
      </c>
      <c r="S3" s="11" t="str">
        <f t="shared" si="1"/>
        <v>日</v>
      </c>
      <c r="T3" s="11" t="str">
        <f t="shared" si="1"/>
        <v>月</v>
      </c>
      <c r="U3" s="11" t="str">
        <f t="shared" si="1"/>
        <v>火</v>
      </c>
      <c r="V3" s="11" t="str">
        <f t="shared" si="1"/>
        <v>水</v>
      </c>
      <c r="W3" s="11" t="str">
        <f t="shared" si="1"/>
        <v>木</v>
      </c>
      <c r="X3" s="11" t="str">
        <f t="shared" si="1"/>
        <v>金</v>
      </c>
      <c r="Y3" s="11" t="str">
        <f t="shared" si="1"/>
        <v>土</v>
      </c>
      <c r="Z3" s="11" t="str">
        <f t="shared" si="1"/>
        <v>日</v>
      </c>
      <c r="AA3" s="11" t="str">
        <f t="shared" si="1"/>
        <v>月</v>
      </c>
      <c r="AB3" s="11" t="str">
        <f t="shared" si="1"/>
        <v>火</v>
      </c>
      <c r="AC3" s="11" t="str">
        <f t="shared" si="1"/>
        <v>水</v>
      </c>
      <c r="AD3" s="11" t="str">
        <f t="shared" si="1"/>
        <v>木</v>
      </c>
      <c r="AE3" s="11" t="str">
        <f t="shared" si="1"/>
        <v>金</v>
      </c>
      <c r="AF3" s="11" t="str">
        <f t="shared" si="1"/>
        <v>土</v>
      </c>
      <c r="AG3" s="11" t="str">
        <f t="shared" si="1"/>
        <v>日</v>
      </c>
      <c r="AH3" s="11" t="str">
        <f t="shared" si="1"/>
        <v>月</v>
      </c>
      <c r="AI3" s="11" t="str">
        <f t="shared" si="1"/>
        <v>火</v>
      </c>
      <c r="AJ3" s="9"/>
      <c r="AK3" s="9"/>
      <c r="AL3" s="6"/>
      <c r="AM3" s="4"/>
      <c r="AN3" s="1"/>
      <c r="AO3" s="1"/>
      <c r="AP3" s="1"/>
      <c r="AQ3" s="1"/>
      <c r="AR3" s="1"/>
      <c r="AS3" s="1"/>
      <c r="AT3" s="1"/>
      <c r="AU3" s="1"/>
    </row>
    <row r="4" ht="15.75" customHeight="1">
      <c r="A4" s="12"/>
      <c r="B4" s="12"/>
      <c r="C4" s="12"/>
      <c r="D4" s="13" t="s">
        <v>5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>
        <f t="shared" ref="AJ4:AJ10" si="2">SUM(E4:AI4)</f>
        <v>0</v>
      </c>
      <c r="AK4" s="14">
        <f>330*AJ4</f>
        <v>0</v>
      </c>
      <c r="AL4" s="15"/>
      <c r="AM4" s="4"/>
      <c r="AN4" s="1"/>
      <c r="AO4" s="1"/>
      <c r="AP4" s="1"/>
      <c r="AQ4" s="1"/>
      <c r="AR4" s="1"/>
      <c r="AS4" s="1"/>
      <c r="AT4" s="1"/>
      <c r="AU4" s="1"/>
    </row>
    <row r="5" ht="15.75" customHeight="1">
      <c r="A5" s="16"/>
      <c r="B5" s="16"/>
      <c r="C5" s="16"/>
      <c r="D5" s="13" t="s">
        <v>6</v>
      </c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8"/>
      <c r="AJ5" s="13">
        <f t="shared" si="2"/>
        <v>0</v>
      </c>
      <c r="AK5" s="14">
        <f t="shared" ref="AK5:AK6" si="3">550*AJ5</f>
        <v>0</v>
      </c>
      <c r="AL5" s="19"/>
      <c r="AM5" s="4"/>
      <c r="AN5" s="1"/>
      <c r="AO5" s="1"/>
      <c r="AP5" s="1"/>
      <c r="AQ5" s="1"/>
      <c r="AR5" s="1"/>
      <c r="AS5" s="1"/>
      <c r="AT5" s="1"/>
      <c r="AU5" s="1"/>
    </row>
    <row r="6" ht="15.75" customHeight="1">
      <c r="A6" s="10"/>
      <c r="B6" s="10"/>
      <c r="C6" s="10"/>
      <c r="D6" s="13" t="s">
        <v>7</v>
      </c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3"/>
      <c r="AJ6" s="13">
        <f t="shared" si="2"/>
        <v>0</v>
      </c>
      <c r="AK6" s="14">
        <f t="shared" si="3"/>
        <v>0</v>
      </c>
      <c r="AL6" s="20">
        <f>SUM(AK4:AK6)</f>
        <v>0</v>
      </c>
      <c r="AM6" s="4"/>
      <c r="AN6" s="1"/>
      <c r="AO6" s="1"/>
      <c r="AP6" s="1"/>
      <c r="AQ6" s="1"/>
      <c r="AR6" s="1"/>
      <c r="AS6" s="1"/>
      <c r="AT6" s="1"/>
      <c r="AU6" s="1"/>
    </row>
    <row r="7" ht="15.75" customHeight="1">
      <c r="A7" s="21" t="s">
        <v>8</v>
      </c>
      <c r="B7" s="21" t="s">
        <v>9</v>
      </c>
      <c r="C7" s="21" t="s">
        <v>10</v>
      </c>
      <c r="D7" s="22" t="s">
        <v>5</v>
      </c>
      <c r="E7" s="22">
        <v>0.0</v>
      </c>
      <c r="F7" s="22">
        <v>0.0</v>
      </c>
      <c r="G7" s="22">
        <v>0.0</v>
      </c>
      <c r="H7" s="22">
        <v>0.0</v>
      </c>
      <c r="I7" s="22">
        <v>0.0</v>
      </c>
      <c r="J7" s="22">
        <v>0.0</v>
      </c>
      <c r="K7" s="22">
        <v>0.0</v>
      </c>
      <c r="L7" s="22">
        <v>0.0</v>
      </c>
      <c r="M7" s="22">
        <v>0.0</v>
      </c>
      <c r="N7" s="22">
        <v>0.0</v>
      </c>
      <c r="O7" s="22">
        <v>0.0</v>
      </c>
      <c r="P7" s="22">
        <v>0.0</v>
      </c>
      <c r="Q7" s="22">
        <v>0.0</v>
      </c>
      <c r="R7" s="22">
        <v>0.0</v>
      </c>
      <c r="S7" s="22">
        <v>0.0</v>
      </c>
      <c r="T7" s="22">
        <v>0.0</v>
      </c>
      <c r="U7" s="22">
        <v>0.0</v>
      </c>
      <c r="V7" s="22">
        <v>0.0</v>
      </c>
      <c r="W7" s="22">
        <v>0.0</v>
      </c>
      <c r="X7" s="22">
        <v>0.0</v>
      </c>
      <c r="Y7" s="22">
        <v>0.0</v>
      </c>
      <c r="Z7" s="22">
        <v>0.0</v>
      </c>
      <c r="AA7" s="22">
        <v>0.0</v>
      </c>
      <c r="AB7" s="22">
        <v>0.0</v>
      </c>
      <c r="AC7" s="22">
        <v>0.0</v>
      </c>
      <c r="AD7" s="22">
        <v>0.0</v>
      </c>
      <c r="AE7" s="22">
        <v>0.0</v>
      </c>
      <c r="AF7" s="22">
        <v>0.0</v>
      </c>
      <c r="AG7" s="22"/>
      <c r="AH7" s="22"/>
      <c r="AI7" s="22"/>
      <c r="AJ7" s="22">
        <f t="shared" si="2"/>
        <v>0</v>
      </c>
      <c r="AK7" s="23">
        <f>330*AJ7</f>
        <v>0</v>
      </c>
      <c r="AL7" s="24"/>
      <c r="AM7" s="25"/>
      <c r="AN7" s="1"/>
      <c r="AO7" s="1"/>
      <c r="AP7" s="1"/>
      <c r="AQ7" s="1"/>
      <c r="AR7" s="1"/>
      <c r="AS7" s="1"/>
      <c r="AT7" s="1"/>
      <c r="AU7" s="1"/>
    </row>
    <row r="8" ht="15.75" customHeight="1">
      <c r="A8" s="16"/>
      <c r="B8" s="16"/>
      <c r="C8" s="16"/>
      <c r="D8" s="22" t="s">
        <v>6</v>
      </c>
      <c r="E8" s="22">
        <v>0.0</v>
      </c>
      <c r="F8" s="22">
        <v>0.0</v>
      </c>
      <c r="G8" s="22">
        <v>0.0</v>
      </c>
      <c r="H8" s="22">
        <v>0.0</v>
      </c>
      <c r="I8" s="22">
        <v>0.0</v>
      </c>
      <c r="J8" s="22">
        <v>0.0</v>
      </c>
      <c r="K8" s="22">
        <v>0.0</v>
      </c>
      <c r="L8" s="22">
        <v>0.0</v>
      </c>
      <c r="M8" s="22">
        <v>0.0</v>
      </c>
      <c r="N8" s="22">
        <v>0.0</v>
      </c>
      <c r="O8" s="22">
        <v>0.0</v>
      </c>
      <c r="P8" s="22">
        <v>0.0</v>
      </c>
      <c r="Q8" s="22">
        <v>0.0</v>
      </c>
      <c r="R8" s="22">
        <v>0.0</v>
      </c>
      <c r="S8" s="22">
        <v>0.0</v>
      </c>
      <c r="T8" s="22">
        <v>0.0</v>
      </c>
      <c r="U8" s="22">
        <v>0.0</v>
      </c>
      <c r="V8" s="22">
        <v>0.0</v>
      </c>
      <c r="W8" s="22">
        <v>0.0</v>
      </c>
      <c r="X8" s="22">
        <v>0.0</v>
      </c>
      <c r="Y8" s="22">
        <v>0.0</v>
      </c>
      <c r="Z8" s="22">
        <v>0.0</v>
      </c>
      <c r="AA8" s="22">
        <v>0.0</v>
      </c>
      <c r="AB8" s="22">
        <v>0.0</v>
      </c>
      <c r="AC8" s="22">
        <v>0.0</v>
      </c>
      <c r="AD8" s="22">
        <v>0.0</v>
      </c>
      <c r="AE8" s="22">
        <v>0.0</v>
      </c>
      <c r="AF8" s="22">
        <v>0.0</v>
      </c>
      <c r="AG8" s="22"/>
      <c r="AH8" s="22"/>
      <c r="AI8" s="22"/>
      <c r="AJ8" s="22">
        <f t="shared" si="2"/>
        <v>0</v>
      </c>
      <c r="AK8" s="23">
        <f t="shared" ref="AK8:AK9" si="4">550*AJ8</f>
        <v>0</v>
      </c>
      <c r="AL8" s="24"/>
      <c r="AN8" s="1"/>
      <c r="AO8" s="1"/>
      <c r="AP8" s="1"/>
      <c r="AQ8" s="1"/>
      <c r="AR8" s="1"/>
      <c r="AS8" s="1"/>
      <c r="AT8" s="1"/>
      <c r="AU8" s="1"/>
    </row>
    <row r="9" ht="15.75" customHeight="1">
      <c r="A9" s="10"/>
      <c r="B9" s="10"/>
      <c r="C9" s="10"/>
      <c r="D9" s="22" t="s">
        <v>7</v>
      </c>
      <c r="E9" s="22">
        <v>0.0</v>
      </c>
      <c r="F9" s="22">
        <v>0.0</v>
      </c>
      <c r="G9" s="22">
        <v>0.0</v>
      </c>
      <c r="H9" s="22">
        <v>0.0</v>
      </c>
      <c r="I9" s="22">
        <v>0.0</v>
      </c>
      <c r="J9" s="22">
        <v>0.0</v>
      </c>
      <c r="K9" s="22">
        <v>0.0</v>
      </c>
      <c r="L9" s="22">
        <v>0.0</v>
      </c>
      <c r="M9" s="22">
        <v>0.0</v>
      </c>
      <c r="N9" s="22">
        <v>0.0</v>
      </c>
      <c r="O9" s="22">
        <v>0.0</v>
      </c>
      <c r="P9" s="22">
        <v>0.0</v>
      </c>
      <c r="Q9" s="22">
        <v>0.0</v>
      </c>
      <c r="R9" s="22">
        <v>0.0</v>
      </c>
      <c r="S9" s="22">
        <v>0.0</v>
      </c>
      <c r="T9" s="22">
        <v>0.0</v>
      </c>
      <c r="U9" s="22">
        <v>0.0</v>
      </c>
      <c r="V9" s="22">
        <v>0.0</v>
      </c>
      <c r="W9" s="22">
        <v>0.0</v>
      </c>
      <c r="X9" s="22">
        <v>0.0</v>
      </c>
      <c r="Y9" s="22">
        <v>0.0</v>
      </c>
      <c r="Z9" s="22">
        <v>0.0</v>
      </c>
      <c r="AA9" s="22">
        <v>0.0</v>
      </c>
      <c r="AB9" s="22">
        <v>0.0</v>
      </c>
      <c r="AC9" s="22">
        <v>0.0</v>
      </c>
      <c r="AD9" s="22">
        <v>0.0</v>
      </c>
      <c r="AE9" s="22">
        <v>0.0</v>
      </c>
      <c r="AF9" s="22">
        <v>0.0</v>
      </c>
      <c r="AG9" s="22"/>
      <c r="AH9" s="22"/>
      <c r="AI9" s="22"/>
      <c r="AJ9" s="22">
        <f t="shared" si="2"/>
        <v>0</v>
      </c>
      <c r="AK9" s="23">
        <f t="shared" si="4"/>
        <v>0</v>
      </c>
      <c r="AL9" s="26">
        <f>SUM(AK7:AK9)</f>
        <v>0</v>
      </c>
      <c r="AN9" s="1"/>
      <c r="AO9" s="1"/>
      <c r="AP9" s="1"/>
      <c r="AQ9" s="1"/>
      <c r="AR9" s="1"/>
      <c r="AS9" s="1"/>
      <c r="AT9" s="1"/>
      <c r="AU9" s="1"/>
    </row>
    <row r="10" ht="15.75" customHeight="1">
      <c r="A10" s="12" t="s">
        <v>11</v>
      </c>
      <c r="B10" s="12" t="s">
        <v>12</v>
      </c>
      <c r="C10" s="12" t="s">
        <v>13</v>
      </c>
      <c r="D10" s="13" t="s">
        <v>5</v>
      </c>
      <c r="E10" s="18">
        <v>0.0</v>
      </c>
      <c r="F10" s="18">
        <v>0.0</v>
      </c>
      <c r="G10" s="18">
        <v>0.0</v>
      </c>
      <c r="H10" s="18">
        <v>0.0</v>
      </c>
      <c r="I10" s="18">
        <v>0.0</v>
      </c>
      <c r="J10" s="18">
        <v>0.0</v>
      </c>
      <c r="K10" s="18">
        <v>0.0</v>
      </c>
      <c r="L10" s="18">
        <v>0.0</v>
      </c>
      <c r="M10" s="18">
        <v>0.0</v>
      </c>
      <c r="N10" s="18">
        <v>0.0</v>
      </c>
      <c r="O10" s="18">
        <v>0.0</v>
      </c>
      <c r="P10" s="18">
        <v>0.0</v>
      </c>
      <c r="Q10" s="18">
        <v>0.0</v>
      </c>
      <c r="R10" s="18">
        <v>0.0</v>
      </c>
      <c r="S10" s="18">
        <v>0.0</v>
      </c>
      <c r="T10" s="18">
        <v>0.0</v>
      </c>
      <c r="U10" s="18">
        <v>0.0</v>
      </c>
      <c r="V10" s="18">
        <v>0.0</v>
      </c>
      <c r="W10" s="18">
        <v>0.0</v>
      </c>
      <c r="X10" s="18">
        <v>0.0</v>
      </c>
      <c r="Y10" s="18">
        <v>0.0</v>
      </c>
      <c r="Z10" s="18">
        <v>0.0</v>
      </c>
      <c r="AA10" s="18">
        <v>0.0</v>
      </c>
      <c r="AB10" s="18">
        <v>0.0</v>
      </c>
      <c r="AC10" s="18">
        <v>0.0</v>
      </c>
      <c r="AD10" s="18">
        <v>0.0</v>
      </c>
      <c r="AE10" s="18">
        <v>0.0</v>
      </c>
      <c r="AF10" s="18">
        <v>0.0</v>
      </c>
      <c r="AG10" s="18"/>
      <c r="AH10" s="18"/>
      <c r="AI10" s="18"/>
      <c r="AJ10" s="13">
        <f t="shared" si="2"/>
        <v>0</v>
      </c>
      <c r="AK10" s="14">
        <f>330*AJ10</f>
        <v>0</v>
      </c>
      <c r="AL10" s="19"/>
      <c r="AM10" s="4"/>
      <c r="AN10" s="1"/>
      <c r="AO10" s="1"/>
      <c r="AP10" s="1"/>
      <c r="AQ10" s="1"/>
      <c r="AR10" s="1"/>
      <c r="AS10" s="1"/>
      <c r="AT10" s="1"/>
      <c r="AU10" s="1"/>
    </row>
    <row r="11" ht="15.75" customHeight="1">
      <c r="A11" s="16"/>
      <c r="B11" s="16"/>
      <c r="C11" s="16"/>
      <c r="D11" s="13" t="s">
        <v>6</v>
      </c>
      <c r="E11" s="18">
        <v>0.0</v>
      </c>
      <c r="F11" s="18">
        <v>0.0</v>
      </c>
      <c r="G11" s="18">
        <v>0.0</v>
      </c>
      <c r="H11" s="18">
        <v>0.0</v>
      </c>
      <c r="I11" s="18">
        <v>0.0</v>
      </c>
      <c r="J11" s="18">
        <v>0.0</v>
      </c>
      <c r="K11" s="18">
        <v>0.0</v>
      </c>
      <c r="L11" s="18">
        <v>0.0</v>
      </c>
      <c r="M11" s="18">
        <v>0.0</v>
      </c>
      <c r="N11" s="18">
        <v>0.0</v>
      </c>
      <c r="O11" s="18">
        <v>0.0</v>
      </c>
      <c r="P11" s="18">
        <v>0.0</v>
      </c>
      <c r="Q11" s="18">
        <v>0.0</v>
      </c>
      <c r="R11" s="18">
        <v>0.0</v>
      </c>
      <c r="S11" s="18">
        <v>0.0</v>
      </c>
      <c r="T11" s="18">
        <v>0.0</v>
      </c>
      <c r="U11" s="18">
        <v>0.0</v>
      </c>
      <c r="V11" s="18">
        <v>0.0</v>
      </c>
      <c r="W11" s="18">
        <v>0.0</v>
      </c>
      <c r="X11" s="18">
        <v>0.0</v>
      </c>
      <c r="Y11" s="18">
        <v>0.0</v>
      </c>
      <c r="Z11" s="18">
        <v>0.0</v>
      </c>
      <c r="AA11" s="18">
        <v>0.0</v>
      </c>
      <c r="AB11" s="18">
        <v>0.0</v>
      </c>
      <c r="AC11" s="18">
        <v>0.0</v>
      </c>
      <c r="AD11" s="18">
        <v>0.0</v>
      </c>
      <c r="AE11" s="18">
        <v>0.0</v>
      </c>
      <c r="AF11" s="18">
        <v>0.0</v>
      </c>
      <c r="AG11" s="18"/>
      <c r="AH11" s="18"/>
      <c r="AI11" s="18"/>
      <c r="AJ11" s="13">
        <v>0.0</v>
      </c>
      <c r="AK11" s="14">
        <f t="shared" ref="AK11:AK12" si="5">550*AJ11</f>
        <v>0</v>
      </c>
      <c r="AL11" s="19"/>
      <c r="AM11" s="27"/>
      <c r="AN11" s="1"/>
      <c r="AO11" s="1"/>
      <c r="AP11" s="1"/>
      <c r="AQ11" s="1"/>
      <c r="AR11" s="1"/>
      <c r="AS11" s="1"/>
      <c r="AT11" s="1"/>
      <c r="AU11" s="1"/>
    </row>
    <row r="12" ht="15.75" customHeight="1">
      <c r="A12" s="10"/>
      <c r="B12" s="10"/>
      <c r="C12" s="10"/>
      <c r="D12" s="13" t="s">
        <v>7</v>
      </c>
      <c r="E12" s="13">
        <v>0.0</v>
      </c>
      <c r="F12" s="13">
        <v>0.0</v>
      </c>
      <c r="G12" s="13">
        <v>0.0</v>
      </c>
      <c r="H12" s="13">
        <v>0.0</v>
      </c>
      <c r="I12" s="13">
        <v>0.0</v>
      </c>
      <c r="J12" s="13">
        <v>0.0</v>
      </c>
      <c r="K12" s="13">
        <v>0.0</v>
      </c>
      <c r="L12" s="13">
        <v>0.0</v>
      </c>
      <c r="M12" s="13">
        <v>0.0</v>
      </c>
      <c r="N12" s="13">
        <v>0.0</v>
      </c>
      <c r="O12" s="13">
        <v>0.0</v>
      </c>
      <c r="P12" s="13">
        <v>0.0</v>
      </c>
      <c r="Q12" s="13">
        <v>0.0</v>
      </c>
      <c r="R12" s="13">
        <v>0.0</v>
      </c>
      <c r="S12" s="13">
        <v>0.0</v>
      </c>
      <c r="T12" s="13">
        <v>0.0</v>
      </c>
      <c r="U12" s="13">
        <v>0.0</v>
      </c>
      <c r="V12" s="13">
        <v>0.0</v>
      </c>
      <c r="W12" s="13">
        <v>0.0</v>
      </c>
      <c r="X12" s="13">
        <v>0.0</v>
      </c>
      <c r="Y12" s="13">
        <v>0.0</v>
      </c>
      <c r="Z12" s="13">
        <v>0.0</v>
      </c>
      <c r="AA12" s="13">
        <v>0.0</v>
      </c>
      <c r="AB12" s="13">
        <v>0.0</v>
      </c>
      <c r="AC12" s="13">
        <v>0.0</v>
      </c>
      <c r="AD12" s="13">
        <v>0.0</v>
      </c>
      <c r="AE12" s="13">
        <v>0.0</v>
      </c>
      <c r="AF12" s="13">
        <v>0.0</v>
      </c>
      <c r="AG12" s="13"/>
      <c r="AH12" s="13"/>
      <c r="AI12" s="13"/>
      <c r="AJ12" s="13">
        <f t="shared" ref="AJ12:AJ72" si="6">SUM(E12:AI12)</f>
        <v>0</v>
      </c>
      <c r="AK12" s="14">
        <f t="shared" si="5"/>
        <v>0</v>
      </c>
      <c r="AL12" s="20">
        <f>SUM(AK10:AK12)</f>
        <v>0</v>
      </c>
      <c r="AM12" s="4"/>
      <c r="AN12" s="1"/>
      <c r="AO12" s="1"/>
      <c r="AP12" s="1"/>
      <c r="AQ12" s="1"/>
      <c r="AR12" s="1"/>
      <c r="AS12" s="1"/>
      <c r="AT12" s="1"/>
      <c r="AU12" s="1"/>
    </row>
    <row r="13" ht="15.75" customHeight="1">
      <c r="A13" s="21" t="s">
        <v>14</v>
      </c>
      <c r="B13" s="21" t="s">
        <v>15</v>
      </c>
      <c r="C13" s="21"/>
      <c r="D13" s="22" t="s">
        <v>5</v>
      </c>
      <c r="E13" s="28">
        <v>1.0</v>
      </c>
      <c r="F13" s="28">
        <v>1.0</v>
      </c>
      <c r="G13" s="28">
        <v>1.0</v>
      </c>
      <c r="H13" s="28">
        <v>1.0</v>
      </c>
      <c r="I13" s="28">
        <v>1.0</v>
      </c>
      <c r="J13" s="28">
        <v>1.0</v>
      </c>
      <c r="K13" s="28">
        <v>1.0</v>
      </c>
      <c r="L13" s="28">
        <v>1.0</v>
      </c>
      <c r="M13" s="28">
        <v>1.0</v>
      </c>
      <c r="N13" s="28">
        <v>1.0</v>
      </c>
      <c r="O13" s="28">
        <v>1.0</v>
      </c>
      <c r="P13" s="28">
        <v>1.0</v>
      </c>
      <c r="Q13" s="28">
        <v>1.0</v>
      </c>
      <c r="R13" s="28">
        <v>1.0</v>
      </c>
      <c r="S13" s="28">
        <v>1.0</v>
      </c>
      <c r="T13" s="28">
        <v>1.0</v>
      </c>
      <c r="U13" s="28">
        <v>1.0</v>
      </c>
      <c r="V13" s="28">
        <v>1.0</v>
      </c>
      <c r="W13" s="28">
        <v>1.0</v>
      </c>
      <c r="X13" s="28">
        <v>1.0</v>
      </c>
      <c r="Y13" s="28">
        <v>1.0</v>
      </c>
      <c r="Z13" s="28">
        <v>1.0</v>
      </c>
      <c r="AA13" s="28">
        <v>1.0</v>
      </c>
      <c r="AB13" s="28">
        <v>1.0</v>
      </c>
      <c r="AC13" s="28">
        <v>1.0</v>
      </c>
      <c r="AD13" s="28">
        <v>1.0</v>
      </c>
      <c r="AE13" s="28">
        <v>1.0</v>
      </c>
      <c r="AF13" s="28">
        <v>1.0</v>
      </c>
      <c r="AG13" s="22"/>
      <c r="AH13" s="22"/>
      <c r="AI13" s="22"/>
      <c r="AJ13" s="22">
        <f t="shared" si="6"/>
        <v>28</v>
      </c>
      <c r="AK13" s="23">
        <f>330*AJ13</f>
        <v>9240</v>
      </c>
      <c r="AL13" s="24"/>
      <c r="AM13" s="25"/>
      <c r="AN13" s="1"/>
      <c r="AO13" s="1"/>
      <c r="AP13" s="1"/>
      <c r="AQ13" s="1"/>
      <c r="AR13" s="1"/>
      <c r="AS13" s="1"/>
      <c r="AT13" s="1"/>
      <c r="AU13" s="1"/>
    </row>
    <row r="14" ht="15.75" customHeight="1">
      <c r="A14" s="16"/>
      <c r="B14" s="16"/>
      <c r="C14" s="16"/>
      <c r="D14" s="22" t="s">
        <v>6</v>
      </c>
      <c r="E14" s="28">
        <v>1.0</v>
      </c>
      <c r="F14" s="28">
        <v>1.0</v>
      </c>
      <c r="G14" s="28">
        <v>1.0</v>
      </c>
      <c r="H14" s="28">
        <v>1.0</v>
      </c>
      <c r="I14" s="28">
        <v>1.0</v>
      </c>
      <c r="J14" s="28">
        <v>1.0</v>
      </c>
      <c r="K14" s="28">
        <v>1.0</v>
      </c>
      <c r="L14" s="28">
        <v>1.0</v>
      </c>
      <c r="M14" s="28">
        <v>1.0</v>
      </c>
      <c r="N14" s="28">
        <v>1.0</v>
      </c>
      <c r="O14" s="28">
        <v>1.0</v>
      </c>
      <c r="P14" s="28">
        <v>1.0</v>
      </c>
      <c r="Q14" s="28">
        <v>1.0</v>
      </c>
      <c r="R14" s="28">
        <v>1.0</v>
      </c>
      <c r="S14" s="28">
        <v>1.0</v>
      </c>
      <c r="T14" s="28">
        <v>1.0</v>
      </c>
      <c r="U14" s="28">
        <v>1.0</v>
      </c>
      <c r="V14" s="28">
        <v>1.0</v>
      </c>
      <c r="W14" s="28">
        <v>1.0</v>
      </c>
      <c r="X14" s="28">
        <v>1.0</v>
      </c>
      <c r="Y14" s="28">
        <v>1.0</v>
      </c>
      <c r="Z14" s="28">
        <v>1.0</v>
      </c>
      <c r="AA14" s="28">
        <v>1.0</v>
      </c>
      <c r="AB14" s="28">
        <v>1.0</v>
      </c>
      <c r="AC14" s="28">
        <v>1.0</v>
      </c>
      <c r="AD14" s="28">
        <v>1.0</v>
      </c>
      <c r="AE14" s="28">
        <v>1.0</v>
      </c>
      <c r="AF14" s="28">
        <v>1.0</v>
      </c>
      <c r="AG14" s="22"/>
      <c r="AH14" s="22"/>
      <c r="AI14" s="22"/>
      <c r="AJ14" s="22">
        <f t="shared" si="6"/>
        <v>28</v>
      </c>
      <c r="AK14" s="23">
        <f t="shared" ref="AK14:AK15" si="7">550*AJ14</f>
        <v>15400</v>
      </c>
      <c r="AL14" s="24"/>
      <c r="AM14" s="4"/>
      <c r="AN14" s="1"/>
      <c r="AO14" s="1"/>
      <c r="AP14" s="1"/>
      <c r="AQ14" s="1"/>
      <c r="AR14" s="1"/>
      <c r="AS14" s="1"/>
      <c r="AT14" s="1"/>
      <c r="AU14" s="1"/>
    </row>
    <row r="15" ht="15.75" customHeight="1">
      <c r="A15" s="10"/>
      <c r="B15" s="10"/>
      <c r="C15" s="10"/>
      <c r="D15" s="22" t="s">
        <v>7</v>
      </c>
      <c r="E15" s="28">
        <v>1.0</v>
      </c>
      <c r="F15" s="28">
        <v>1.0</v>
      </c>
      <c r="G15" s="28">
        <v>1.0</v>
      </c>
      <c r="H15" s="28">
        <v>1.0</v>
      </c>
      <c r="I15" s="28">
        <v>1.0</v>
      </c>
      <c r="J15" s="28">
        <v>1.0</v>
      </c>
      <c r="K15" s="28">
        <v>1.0</v>
      </c>
      <c r="L15" s="28">
        <v>1.0</v>
      </c>
      <c r="M15" s="28">
        <v>1.0</v>
      </c>
      <c r="N15" s="28">
        <v>1.0</v>
      </c>
      <c r="O15" s="28">
        <v>1.0</v>
      </c>
      <c r="P15" s="28">
        <v>1.0</v>
      </c>
      <c r="Q15" s="28">
        <v>1.0</v>
      </c>
      <c r="R15" s="28">
        <v>1.0</v>
      </c>
      <c r="S15" s="28">
        <v>1.0</v>
      </c>
      <c r="T15" s="28">
        <v>1.0</v>
      </c>
      <c r="U15" s="28">
        <v>1.0</v>
      </c>
      <c r="V15" s="28">
        <v>1.0</v>
      </c>
      <c r="W15" s="28">
        <v>1.0</v>
      </c>
      <c r="X15" s="28">
        <v>1.0</v>
      </c>
      <c r="Y15" s="28">
        <v>1.0</v>
      </c>
      <c r="Z15" s="28">
        <v>1.0</v>
      </c>
      <c r="AA15" s="28">
        <v>1.0</v>
      </c>
      <c r="AB15" s="28">
        <v>1.0</v>
      </c>
      <c r="AC15" s="28">
        <v>1.0</v>
      </c>
      <c r="AD15" s="28">
        <v>1.0</v>
      </c>
      <c r="AE15" s="28">
        <v>1.0</v>
      </c>
      <c r="AF15" s="28">
        <v>1.0</v>
      </c>
      <c r="AG15" s="22"/>
      <c r="AH15" s="22"/>
      <c r="AI15" s="22"/>
      <c r="AJ15" s="22">
        <f t="shared" si="6"/>
        <v>28</v>
      </c>
      <c r="AK15" s="23">
        <f t="shared" si="7"/>
        <v>15400</v>
      </c>
      <c r="AL15" s="26">
        <f>SUM(AK13:AK15)</f>
        <v>40040</v>
      </c>
      <c r="AM15" s="4"/>
      <c r="AN15" s="1"/>
      <c r="AO15" s="1"/>
      <c r="AP15" s="1"/>
      <c r="AQ15" s="1"/>
      <c r="AR15" s="1"/>
      <c r="AS15" s="1"/>
      <c r="AT15" s="1"/>
      <c r="AU15" s="1"/>
    </row>
    <row r="16" ht="15.75" hidden="1" customHeight="1">
      <c r="A16" s="12" t="s">
        <v>16</v>
      </c>
      <c r="B16" s="12" t="s">
        <v>17</v>
      </c>
      <c r="C16" s="12" t="s">
        <v>10</v>
      </c>
      <c r="D16" s="13" t="s">
        <v>5</v>
      </c>
      <c r="E16" s="18">
        <v>0.0</v>
      </c>
      <c r="F16" s="18">
        <v>0.0</v>
      </c>
      <c r="G16" s="18">
        <v>0.0</v>
      </c>
      <c r="H16" s="18">
        <v>0.0</v>
      </c>
      <c r="I16" s="18">
        <v>0.0</v>
      </c>
      <c r="J16" s="18">
        <v>0.0</v>
      </c>
      <c r="K16" s="18">
        <v>0.0</v>
      </c>
      <c r="L16" s="18">
        <v>0.0</v>
      </c>
      <c r="M16" s="18">
        <v>0.0</v>
      </c>
      <c r="N16" s="18">
        <v>0.0</v>
      </c>
      <c r="O16" s="18">
        <v>0.0</v>
      </c>
      <c r="P16" s="18">
        <v>0.0</v>
      </c>
      <c r="Q16" s="18">
        <v>0.0</v>
      </c>
      <c r="R16" s="18">
        <v>0.0</v>
      </c>
      <c r="S16" s="18">
        <v>0.0</v>
      </c>
      <c r="T16" s="18">
        <v>0.0</v>
      </c>
      <c r="U16" s="18">
        <v>0.0</v>
      </c>
      <c r="V16" s="18">
        <v>0.0</v>
      </c>
      <c r="W16" s="18">
        <v>0.0</v>
      </c>
      <c r="X16" s="18">
        <v>0.0</v>
      </c>
      <c r="Y16" s="18">
        <v>0.0</v>
      </c>
      <c r="Z16" s="18">
        <v>0.0</v>
      </c>
      <c r="AA16" s="18">
        <v>0.0</v>
      </c>
      <c r="AB16" s="18">
        <v>0.0</v>
      </c>
      <c r="AC16" s="18">
        <v>0.0</v>
      </c>
      <c r="AD16" s="18">
        <v>0.0</v>
      </c>
      <c r="AE16" s="18">
        <v>0.0</v>
      </c>
      <c r="AF16" s="18">
        <v>0.0</v>
      </c>
      <c r="AG16" s="18"/>
      <c r="AH16" s="18"/>
      <c r="AI16" s="18"/>
      <c r="AJ16" s="13">
        <f t="shared" si="6"/>
        <v>0</v>
      </c>
      <c r="AK16" s="14">
        <f>330*AJ16</f>
        <v>0</v>
      </c>
      <c r="AL16" s="19"/>
      <c r="AM16" s="25"/>
      <c r="AN16" s="1"/>
      <c r="AO16" s="1"/>
      <c r="AP16" s="1"/>
      <c r="AQ16" s="1"/>
      <c r="AR16" s="1"/>
      <c r="AS16" s="1"/>
      <c r="AT16" s="1"/>
      <c r="AU16" s="1"/>
    </row>
    <row r="17" ht="15.75" hidden="1" customHeight="1">
      <c r="A17" s="16"/>
      <c r="B17" s="16"/>
      <c r="C17" s="16"/>
      <c r="D17" s="13" t="s">
        <v>6</v>
      </c>
      <c r="E17" s="18">
        <v>0.0</v>
      </c>
      <c r="F17" s="18">
        <v>0.0</v>
      </c>
      <c r="G17" s="18">
        <v>0.0</v>
      </c>
      <c r="H17" s="18">
        <v>0.0</v>
      </c>
      <c r="I17" s="18">
        <v>0.0</v>
      </c>
      <c r="J17" s="18">
        <v>0.0</v>
      </c>
      <c r="K17" s="18">
        <v>0.0</v>
      </c>
      <c r="L17" s="18">
        <v>0.0</v>
      </c>
      <c r="M17" s="18">
        <v>0.0</v>
      </c>
      <c r="N17" s="18">
        <v>0.0</v>
      </c>
      <c r="O17" s="18">
        <v>0.0</v>
      </c>
      <c r="P17" s="18">
        <v>0.0</v>
      </c>
      <c r="Q17" s="18">
        <v>0.0</v>
      </c>
      <c r="R17" s="18">
        <v>0.0</v>
      </c>
      <c r="S17" s="18">
        <v>0.0</v>
      </c>
      <c r="T17" s="18">
        <v>0.0</v>
      </c>
      <c r="U17" s="18">
        <v>0.0</v>
      </c>
      <c r="V17" s="18">
        <v>0.0</v>
      </c>
      <c r="W17" s="18">
        <v>0.0</v>
      </c>
      <c r="X17" s="18">
        <v>0.0</v>
      </c>
      <c r="Y17" s="18">
        <v>0.0</v>
      </c>
      <c r="Z17" s="18">
        <v>0.0</v>
      </c>
      <c r="AA17" s="18">
        <v>0.0</v>
      </c>
      <c r="AB17" s="18">
        <v>0.0</v>
      </c>
      <c r="AC17" s="18">
        <v>0.0</v>
      </c>
      <c r="AD17" s="18">
        <v>0.0</v>
      </c>
      <c r="AE17" s="18">
        <v>0.0</v>
      </c>
      <c r="AF17" s="18">
        <v>0.0</v>
      </c>
      <c r="AG17" s="18"/>
      <c r="AH17" s="18"/>
      <c r="AI17" s="18"/>
      <c r="AJ17" s="13">
        <f t="shared" si="6"/>
        <v>0</v>
      </c>
      <c r="AK17" s="14">
        <f t="shared" ref="AK17:AK18" si="8">550*AJ17</f>
        <v>0</v>
      </c>
      <c r="AL17" s="19"/>
      <c r="AN17" s="1"/>
      <c r="AO17" s="1"/>
      <c r="AP17" s="1"/>
      <c r="AQ17" s="1"/>
      <c r="AR17" s="1"/>
      <c r="AS17" s="1"/>
      <c r="AT17" s="1"/>
      <c r="AU17" s="1"/>
    </row>
    <row r="18" ht="15.75" hidden="1" customHeight="1">
      <c r="A18" s="10"/>
      <c r="B18" s="10"/>
      <c r="C18" s="10"/>
      <c r="D18" s="13" t="s">
        <v>7</v>
      </c>
      <c r="E18" s="18">
        <v>0.0</v>
      </c>
      <c r="F18" s="18">
        <v>0.0</v>
      </c>
      <c r="G18" s="18">
        <v>0.0</v>
      </c>
      <c r="H18" s="18">
        <v>0.0</v>
      </c>
      <c r="I18" s="18">
        <v>0.0</v>
      </c>
      <c r="J18" s="18">
        <v>0.0</v>
      </c>
      <c r="K18" s="18">
        <v>0.0</v>
      </c>
      <c r="L18" s="18">
        <v>0.0</v>
      </c>
      <c r="M18" s="18">
        <v>0.0</v>
      </c>
      <c r="N18" s="18">
        <v>0.0</v>
      </c>
      <c r="O18" s="18">
        <v>0.0</v>
      </c>
      <c r="P18" s="18">
        <v>0.0</v>
      </c>
      <c r="Q18" s="18">
        <v>0.0</v>
      </c>
      <c r="R18" s="18">
        <v>0.0</v>
      </c>
      <c r="S18" s="18">
        <v>0.0</v>
      </c>
      <c r="T18" s="18">
        <v>0.0</v>
      </c>
      <c r="U18" s="18">
        <v>0.0</v>
      </c>
      <c r="V18" s="18">
        <v>0.0</v>
      </c>
      <c r="W18" s="18">
        <v>0.0</v>
      </c>
      <c r="X18" s="18">
        <v>0.0</v>
      </c>
      <c r="Y18" s="18">
        <v>0.0</v>
      </c>
      <c r="Z18" s="18">
        <v>0.0</v>
      </c>
      <c r="AA18" s="18">
        <v>0.0</v>
      </c>
      <c r="AB18" s="18">
        <v>0.0</v>
      </c>
      <c r="AC18" s="18">
        <v>0.0</v>
      </c>
      <c r="AD18" s="18">
        <v>0.0</v>
      </c>
      <c r="AE18" s="18">
        <v>0.0</v>
      </c>
      <c r="AF18" s="18">
        <v>0.0</v>
      </c>
      <c r="AG18" s="18"/>
      <c r="AH18" s="18"/>
      <c r="AI18" s="18"/>
      <c r="AJ18" s="13">
        <f t="shared" si="6"/>
        <v>0</v>
      </c>
      <c r="AK18" s="14">
        <f t="shared" si="8"/>
        <v>0</v>
      </c>
      <c r="AL18" s="20">
        <f>SUM(AK16:AK18)</f>
        <v>0</v>
      </c>
      <c r="AN18" s="1"/>
      <c r="AO18" s="1"/>
      <c r="AP18" s="1"/>
      <c r="AQ18" s="1"/>
      <c r="AR18" s="1"/>
      <c r="AS18" s="1"/>
      <c r="AT18" s="1"/>
      <c r="AU18" s="1"/>
    </row>
    <row r="19" ht="15.75" customHeight="1">
      <c r="A19" s="29" t="s">
        <v>18</v>
      </c>
      <c r="B19" s="29" t="s">
        <v>19</v>
      </c>
      <c r="C19" s="29" t="s">
        <v>20</v>
      </c>
      <c r="D19" s="28" t="s">
        <v>5</v>
      </c>
      <c r="E19" s="22">
        <v>0.0</v>
      </c>
      <c r="F19" s="22">
        <v>0.0</v>
      </c>
      <c r="G19" s="22">
        <v>0.0</v>
      </c>
      <c r="H19" s="22">
        <v>0.0</v>
      </c>
      <c r="I19" s="22">
        <v>0.0</v>
      </c>
      <c r="J19" s="22">
        <v>0.0</v>
      </c>
      <c r="K19" s="22">
        <v>0.0</v>
      </c>
      <c r="L19" s="22">
        <v>0.0</v>
      </c>
      <c r="M19" s="22">
        <v>0.0</v>
      </c>
      <c r="N19" s="22">
        <v>0.0</v>
      </c>
      <c r="O19" s="22">
        <v>0.0</v>
      </c>
      <c r="P19" s="22">
        <v>0.0</v>
      </c>
      <c r="Q19" s="22">
        <v>0.0</v>
      </c>
      <c r="R19" s="22">
        <v>0.0</v>
      </c>
      <c r="S19" s="22">
        <v>0.0</v>
      </c>
      <c r="T19" s="22">
        <v>0.0</v>
      </c>
      <c r="U19" s="22">
        <v>0.0</v>
      </c>
      <c r="V19" s="22">
        <v>0.0</v>
      </c>
      <c r="W19" s="22">
        <v>0.0</v>
      </c>
      <c r="X19" s="22">
        <v>0.0</v>
      </c>
      <c r="Y19" s="22">
        <v>0.0</v>
      </c>
      <c r="Z19" s="22">
        <v>0.0</v>
      </c>
      <c r="AA19" s="22">
        <v>0.0</v>
      </c>
      <c r="AB19" s="22">
        <v>0.0</v>
      </c>
      <c r="AC19" s="22">
        <v>0.0</v>
      </c>
      <c r="AD19" s="22">
        <v>0.0</v>
      </c>
      <c r="AE19" s="22">
        <v>0.0</v>
      </c>
      <c r="AF19" s="22">
        <v>0.0</v>
      </c>
      <c r="AG19" s="22"/>
      <c r="AH19" s="22"/>
      <c r="AI19" s="22"/>
      <c r="AJ19" s="28">
        <f t="shared" si="6"/>
        <v>0</v>
      </c>
      <c r="AK19" s="23">
        <f>330*AJ19</f>
        <v>0</v>
      </c>
      <c r="AL19" s="24"/>
      <c r="AM19" s="25"/>
      <c r="AN19" s="1"/>
      <c r="AO19" s="1"/>
      <c r="AP19" s="1"/>
      <c r="AQ19" s="1"/>
      <c r="AR19" s="1"/>
      <c r="AS19" s="1"/>
      <c r="AT19" s="1"/>
      <c r="AU19" s="1"/>
    </row>
    <row r="20" ht="15.75" customHeight="1">
      <c r="A20" s="16"/>
      <c r="B20" s="16"/>
      <c r="C20" s="16"/>
      <c r="D20" s="28" t="s">
        <v>6</v>
      </c>
      <c r="E20" s="22">
        <v>0.0</v>
      </c>
      <c r="F20" s="22">
        <v>0.0</v>
      </c>
      <c r="G20" s="22">
        <v>0.0</v>
      </c>
      <c r="H20" s="22">
        <v>0.0</v>
      </c>
      <c r="I20" s="22">
        <v>0.0</v>
      </c>
      <c r="J20" s="22">
        <v>0.0</v>
      </c>
      <c r="K20" s="22">
        <v>0.0</v>
      </c>
      <c r="L20" s="22">
        <v>0.0</v>
      </c>
      <c r="M20" s="22">
        <v>0.0</v>
      </c>
      <c r="N20" s="22">
        <v>0.0</v>
      </c>
      <c r="O20" s="22">
        <v>0.0</v>
      </c>
      <c r="P20" s="22">
        <v>0.0</v>
      </c>
      <c r="Q20" s="22">
        <v>0.0</v>
      </c>
      <c r="R20" s="22">
        <v>0.0</v>
      </c>
      <c r="S20" s="22">
        <v>0.0</v>
      </c>
      <c r="T20" s="22">
        <v>0.0</v>
      </c>
      <c r="U20" s="22">
        <v>0.0</v>
      </c>
      <c r="V20" s="22">
        <v>0.0</v>
      </c>
      <c r="W20" s="22">
        <v>0.0</v>
      </c>
      <c r="X20" s="22">
        <v>0.0</v>
      </c>
      <c r="Y20" s="22">
        <v>0.0</v>
      </c>
      <c r="Z20" s="22">
        <v>0.0</v>
      </c>
      <c r="AA20" s="22">
        <v>0.0</v>
      </c>
      <c r="AB20" s="22">
        <v>0.0</v>
      </c>
      <c r="AC20" s="22">
        <v>0.0</v>
      </c>
      <c r="AD20" s="22">
        <v>0.0</v>
      </c>
      <c r="AE20" s="22">
        <v>0.0</v>
      </c>
      <c r="AF20" s="22">
        <v>0.0</v>
      </c>
      <c r="AG20" s="22"/>
      <c r="AH20" s="22"/>
      <c r="AI20" s="22"/>
      <c r="AJ20" s="28">
        <f t="shared" si="6"/>
        <v>0</v>
      </c>
      <c r="AK20" s="23">
        <f t="shared" ref="AK20:AK21" si="9">550*AJ20</f>
        <v>0</v>
      </c>
      <c r="AL20" s="24"/>
      <c r="AN20" s="1"/>
      <c r="AO20" s="1"/>
      <c r="AP20" s="1"/>
      <c r="AQ20" s="1"/>
      <c r="AR20" s="1"/>
      <c r="AS20" s="1"/>
      <c r="AT20" s="1"/>
      <c r="AU20" s="1"/>
    </row>
    <row r="21" ht="15.75" customHeight="1">
      <c r="A21" s="10"/>
      <c r="B21" s="10"/>
      <c r="C21" s="10"/>
      <c r="D21" s="28" t="s">
        <v>7</v>
      </c>
      <c r="E21" s="22">
        <v>0.0</v>
      </c>
      <c r="F21" s="22">
        <v>0.0</v>
      </c>
      <c r="G21" s="22">
        <v>0.0</v>
      </c>
      <c r="H21" s="22">
        <v>0.0</v>
      </c>
      <c r="I21" s="22">
        <v>0.0</v>
      </c>
      <c r="J21" s="22">
        <v>0.0</v>
      </c>
      <c r="K21" s="22">
        <v>0.0</v>
      </c>
      <c r="L21" s="22">
        <v>0.0</v>
      </c>
      <c r="M21" s="22">
        <v>0.0</v>
      </c>
      <c r="N21" s="22">
        <v>0.0</v>
      </c>
      <c r="O21" s="22">
        <v>0.0</v>
      </c>
      <c r="P21" s="22">
        <v>0.0</v>
      </c>
      <c r="Q21" s="22">
        <v>0.0</v>
      </c>
      <c r="R21" s="22">
        <v>0.0</v>
      </c>
      <c r="S21" s="22">
        <v>0.0</v>
      </c>
      <c r="T21" s="22">
        <v>0.0</v>
      </c>
      <c r="U21" s="22">
        <v>0.0</v>
      </c>
      <c r="V21" s="22">
        <v>0.0</v>
      </c>
      <c r="W21" s="22">
        <v>0.0</v>
      </c>
      <c r="X21" s="22">
        <v>0.0</v>
      </c>
      <c r="Y21" s="22">
        <v>0.0</v>
      </c>
      <c r="Z21" s="22">
        <v>0.0</v>
      </c>
      <c r="AA21" s="22">
        <v>0.0</v>
      </c>
      <c r="AB21" s="22">
        <v>0.0</v>
      </c>
      <c r="AC21" s="22">
        <v>0.0</v>
      </c>
      <c r="AD21" s="22">
        <v>0.0</v>
      </c>
      <c r="AE21" s="22">
        <v>0.0</v>
      </c>
      <c r="AF21" s="22">
        <v>0.0</v>
      </c>
      <c r="AG21" s="22"/>
      <c r="AH21" s="22"/>
      <c r="AI21" s="22"/>
      <c r="AJ21" s="28">
        <f t="shared" si="6"/>
        <v>0</v>
      </c>
      <c r="AK21" s="23">
        <f t="shared" si="9"/>
        <v>0</v>
      </c>
      <c r="AL21" s="26">
        <f>SUM(AK19:AK21)</f>
        <v>0</v>
      </c>
      <c r="AN21" s="1"/>
      <c r="AO21" s="1"/>
      <c r="AP21" s="1"/>
      <c r="AQ21" s="1"/>
      <c r="AR21" s="1"/>
      <c r="AS21" s="1"/>
      <c r="AT21" s="1"/>
      <c r="AU21" s="1"/>
    </row>
    <row r="22" ht="15.75" customHeight="1">
      <c r="A22" s="12" t="s">
        <v>21</v>
      </c>
      <c r="B22" s="12" t="s">
        <v>22</v>
      </c>
      <c r="C22" s="12" t="s">
        <v>23</v>
      </c>
      <c r="D22" s="14" t="s">
        <v>5</v>
      </c>
      <c r="E22" s="13">
        <v>1.0</v>
      </c>
      <c r="F22" s="13">
        <v>1.0</v>
      </c>
      <c r="G22" s="13">
        <v>1.0</v>
      </c>
      <c r="H22" s="13">
        <v>1.0</v>
      </c>
      <c r="I22" s="13">
        <v>1.0</v>
      </c>
      <c r="J22" s="13">
        <v>1.0</v>
      </c>
      <c r="K22" s="13">
        <v>1.0</v>
      </c>
      <c r="L22" s="13">
        <v>1.0</v>
      </c>
      <c r="M22" s="13">
        <v>1.0</v>
      </c>
      <c r="N22" s="13">
        <v>1.0</v>
      </c>
      <c r="O22" s="13">
        <v>1.0</v>
      </c>
      <c r="P22" s="13">
        <v>1.0</v>
      </c>
      <c r="Q22" s="13">
        <v>1.0</v>
      </c>
      <c r="R22" s="13">
        <v>1.0</v>
      </c>
      <c r="S22" s="13">
        <v>1.0</v>
      </c>
      <c r="T22" s="13">
        <v>1.0</v>
      </c>
      <c r="U22" s="13">
        <v>1.0</v>
      </c>
      <c r="V22" s="13">
        <v>1.0</v>
      </c>
      <c r="W22" s="13">
        <v>1.0</v>
      </c>
      <c r="X22" s="13">
        <v>1.0</v>
      </c>
      <c r="Y22" s="13">
        <v>1.0</v>
      </c>
      <c r="Z22" s="13">
        <v>1.0</v>
      </c>
      <c r="AA22" s="13">
        <v>1.0</v>
      </c>
      <c r="AB22" s="13">
        <v>1.0</v>
      </c>
      <c r="AC22" s="13">
        <v>1.0</v>
      </c>
      <c r="AD22" s="13">
        <v>1.0</v>
      </c>
      <c r="AE22" s="13">
        <v>1.0</v>
      </c>
      <c r="AF22" s="13">
        <v>1.0</v>
      </c>
      <c r="AG22" s="13"/>
      <c r="AH22" s="13"/>
      <c r="AI22" s="13"/>
      <c r="AJ22" s="14">
        <f t="shared" si="6"/>
        <v>28</v>
      </c>
      <c r="AK22" s="14">
        <f>330*AJ22</f>
        <v>9240</v>
      </c>
      <c r="AL22" s="19"/>
      <c r="AM22" s="4"/>
      <c r="AN22" s="1"/>
      <c r="AO22" s="1"/>
      <c r="AP22" s="1"/>
      <c r="AQ22" s="1"/>
      <c r="AR22" s="1"/>
      <c r="AS22" s="1"/>
      <c r="AT22" s="1"/>
      <c r="AU22" s="1"/>
    </row>
    <row r="23" ht="15.75" customHeight="1">
      <c r="A23" s="16"/>
      <c r="B23" s="16"/>
      <c r="C23" s="16"/>
      <c r="D23" s="14" t="s">
        <v>6</v>
      </c>
      <c r="E23" s="13">
        <v>1.0</v>
      </c>
      <c r="F23" s="13">
        <v>1.0</v>
      </c>
      <c r="G23" s="13">
        <v>1.0</v>
      </c>
      <c r="H23" s="13">
        <v>0.0</v>
      </c>
      <c r="I23" s="13">
        <v>1.0</v>
      </c>
      <c r="J23" s="13">
        <v>1.0</v>
      </c>
      <c r="K23" s="13">
        <v>1.0</v>
      </c>
      <c r="L23" s="13">
        <v>1.0</v>
      </c>
      <c r="M23" s="13">
        <v>1.0</v>
      </c>
      <c r="N23" s="13">
        <v>1.0</v>
      </c>
      <c r="O23" s="13">
        <v>0.0</v>
      </c>
      <c r="P23" s="13">
        <v>1.0</v>
      </c>
      <c r="Q23" s="13">
        <v>1.0</v>
      </c>
      <c r="R23" s="13">
        <v>1.0</v>
      </c>
      <c r="S23" s="13">
        <v>1.0</v>
      </c>
      <c r="T23" s="13">
        <v>1.0</v>
      </c>
      <c r="U23" s="13">
        <v>1.0</v>
      </c>
      <c r="V23" s="13">
        <v>0.0</v>
      </c>
      <c r="W23" s="13">
        <v>1.0</v>
      </c>
      <c r="X23" s="13">
        <v>1.0</v>
      </c>
      <c r="Y23" s="13">
        <v>1.0</v>
      </c>
      <c r="Z23" s="13">
        <v>1.0</v>
      </c>
      <c r="AA23" s="13">
        <v>1.0</v>
      </c>
      <c r="AB23" s="13">
        <v>1.0</v>
      </c>
      <c r="AC23" s="13">
        <v>0.0</v>
      </c>
      <c r="AD23" s="13">
        <v>1.0</v>
      </c>
      <c r="AE23" s="13">
        <v>1.0</v>
      </c>
      <c r="AF23" s="13">
        <v>1.0</v>
      </c>
      <c r="AG23" s="13"/>
      <c r="AH23" s="13"/>
      <c r="AI23" s="13"/>
      <c r="AJ23" s="14">
        <f t="shared" si="6"/>
        <v>24</v>
      </c>
      <c r="AK23" s="14">
        <f t="shared" ref="AK23:AK24" si="10">550*AJ23</f>
        <v>13200</v>
      </c>
      <c r="AL23" s="19"/>
      <c r="AM23" s="4"/>
      <c r="AN23" s="1"/>
      <c r="AO23" s="1"/>
      <c r="AP23" s="1"/>
      <c r="AQ23" s="1"/>
      <c r="AR23" s="1"/>
      <c r="AS23" s="1"/>
      <c r="AT23" s="1"/>
      <c r="AU23" s="1"/>
    </row>
    <row r="24" ht="15.75" customHeight="1">
      <c r="A24" s="10"/>
      <c r="B24" s="10"/>
      <c r="C24" s="10"/>
      <c r="D24" s="14" t="s">
        <v>7</v>
      </c>
      <c r="E24" s="13">
        <v>1.0</v>
      </c>
      <c r="F24" s="13">
        <v>1.0</v>
      </c>
      <c r="G24" s="13">
        <v>1.0</v>
      </c>
      <c r="H24" s="13">
        <v>1.0</v>
      </c>
      <c r="I24" s="13">
        <v>1.0</v>
      </c>
      <c r="J24" s="13">
        <v>1.0</v>
      </c>
      <c r="K24" s="13">
        <v>1.0</v>
      </c>
      <c r="L24" s="13">
        <v>1.0</v>
      </c>
      <c r="M24" s="13">
        <v>1.0</v>
      </c>
      <c r="N24" s="13">
        <v>1.0</v>
      </c>
      <c r="O24" s="13">
        <v>1.0</v>
      </c>
      <c r="P24" s="13">
        <v>1.0</v>
      </c>
      <c r="Q24" s="13">
        <v>1.0</v>
      </c>
      <c r="R24" s="13">
        <v>1.0</v>
      </c>
      <c r="S24" s="13">
        <v>1.0</v>
      </c>
      <c r="T24" s="13">
        <v>1.0</v>
      </c>
      <c r="U24" s="13">
        <v>1.0</v>
      </c>
      <c r="V24" s="13">
        <v>1.0</v>
      </c>
      <c r="W24" s="13">
        <v>1.0</v>
      </c>
      <c r="X24" s="13">
        <v>1.0</v>
      </c>
      <c r="Y24" s="13">
        <v>1.0</v>
      </c>
      <c r="Z24" s="13">
        <v>1.0</v>
      </c>
      <c r="AA24" s="13">
        <v>1.0</v>
      </c>
      <c r="AB24" s="13">
        <v>1.0</v>
      </c>
      <c r="AC24" s="13">
        <v>1.0</v>
      </c>
      <c r="AD24" s="13">
        <v>1.0</v>
      </c>
      <c r="AE24" s="13">
        <v>1.0</v>
      </c>
      <c r="AF24" s="13">
        <v>1.0</v>
      </c>
      <c r="AG24" s="13"/>
      <c r="AH24" s="13"/>
      <c r="AI24" s="13"/>
      <c r="AJ24" s="14">
        <f t="shared" si="6"/>
        <v>28</v>
      </c>
      <c r="AK24" s="14">
        <f t="shared" si="10"/>
        <v>15400</v>
      </c>
      <c r="AL24" s="20">
        <f>SUM(AK22:AK24)</f>
        <v>37840</v>
      </c>
      <c r="AM24" s="4"/>
      <c r="AN24" s="1"/>
      <c r="AO24" s="1"/>
      <c r="AP24" s="1"/>
      <c r="AQ24" s="1"/>
      <c r="AR24" s="1"/>
      <c r="AS24" s="1"/>
      <c r="AT24" s="1"/>
      <c r="AU24" s="1"/>
    </row>
    <row r="25" ht="15.75" customHeight="1">
      <c r="A25" s="12" t="s">
        <v>24</v>
      </c>
      <c r="B25" s="12" t="s">
        <v>25</v>
      </c>
      <c r="C25" s="12" t="s">
        <v>26</v>
      </c>
      <c r="D25" s="13" t="s">
        <v>5</v>
      </c>
      <c r="E25" s="30">
        <v>1.0</v>
      </c>
      <c r="F25" s="30">
        <v>1.0</v>
      </c>
      <c r="G25" s="30">
        <v>1.0</v>
      </c>
      <c r="H25" s="30">
        <v>1.0</v>
      </c>
      <c r="I25" s="30">
        <v>1.0</v>
      </c>
      <c r="J25" s="30">
        <v>1.0</v>
      </c>
      <c r="K25" s="30">
        <v>1.0</v>
      </c>
      <c r="L25" s="30">
        <v>1.0</v>
      </c>
      <c r="M25" s="30">
        <v>1.0</v>
      </c>
      <c r="N25" s="30">
        <v>1.0</v>
      </c>
      <c r="O25" s="30">
        <v>1.0</v>
      </c>
      <c r="P25" s="30">
        <v>1.0</v>
      </c>
      <c r="Q25" s="30">
        <v>1.0</v>
      </c>
      <c r="R25" s="30">
        <v>1.0</v>
      </c>
      <c r="S25" s="30">
        <v>1.0</v>
      </c>
      <c r="T25" s="30">
        <v>1.0</v>
      </c>
      <c r="U25" s="30">
        <v>1.0</v>
      </c>
      <c r="V25" s="30">
        <v>1.0</v>
      </c>
      <c r="W25" s="30">
        <v>1.0</v>
      </c>
      <c r="X25" s="30">
        <v>1.0</v>
      </c>
      <c r="Y25" s="30">
        <v>1.0</v>
      </c>
      <c r="Z25" s="30">
        <v>1.0</v>
      </c>
      <c r="AA25" s="30">
        <v>1.0</v>
      </c>
      <c r="AB25" s="30">
        <v>1.0</v>
      </c>
      <c r="AC25" s="30">
        <v>1.0</v>
      </c>
      <c r="AD25" s="30">
        <v>1.0</v>
      </c>
      <c r="AE25" s="30">
        <v>1.0</v>
      </c>
      <c r="AF25" s="30">
        <v>1.0</v>
      </c>
      <c r="AG25" s="30"/>
      <c r="AH25" s="30"/>
      <c r="AI25" s="30"/>
      <c r="AJ25" s="13">
        <f t="shared" si="6"/>
        <v>28</v>
      </c>
      <c r="AK25" s="23">
        <f>330*AJ25</f>
        <v>9240</v>
      </c>
      <c r="AL25" s="24"/>
      <c r="AM25" s="4"/>
      <c r="AN25" s="1"/>
      <c r="AO25" s="1"/>
      <c r="AP25" s="1"/>
      <c r="AQ25" s="1"/>
      <c r="AR25" s="1"/>
      <c r="AS25" s="1"/>
      <c r="AT25" s="1"/>
      <c r="AU25" s="1"/>
    </row>
    <row r="26" ht="15.75" customHeight="1">
      <c r="A26" s="16"/>
      <c r="B26" s="16"/>
      <c r="C26" s="16"/>
      <c r="D26" s="13" t="s">
        <v>6</v>
      </c>
      <c r="E26" s="30">
        <v>1.0</v>
      </c>
      <c r="F26" s="30">
        <v>0.0</v>
      </c>
      <c r="G26" s="30">
        <v>1.0</v>
      </c>
      <c r="H26" s="30">
        <v>1.0</v>
      </c>
      <c r="I26" s="30">
        <v>1.0</v>
      </c>
      <c r="J26" s="30">
        <v>0.0</v>
      </c>
      <c r="K26" s="30">
        <v>1.0</v>
      </c>
      <c r="L26" s="30">
        <v>1.0</v>
      </c>
      <c r="M26" s="30">
        <v>0.0</v>
      </c>
      <c r="N26" s="30">
        <v>1.0</v>
      </c>
      <c r="O26" s="30">
        <v>1.0</v>
      </c>
      <c r="P26" s="30">
        <v>1.0</v>
      </c>
      <c r="Q26" s="30">
        <v>0.0</v>
      </c>
      <c r="R26" s="30">
        <v>1.0</v>
      </c>
      <c r="S26" s="30">
        <v>1.0</v>
      </c>
      <c r="T26" s="30">
        <v>0.0</v>
      </c>
      <c r="U26" s="30">
        <v>1.0</v>
      </c>
      <c r="V26" s="30">
        <v>1.0</v>
      </c>
      <c r="W26" s="30">
        <v>1.0</v>
      </c>
      <c r="X26" s="30">
        <v>0.0</v>
      </c>
      <c r="Y26" s="30">
        <v>1.0</v>
      </c>
      <c r="Z26" s="30">
        <v>1.0</v>
      </c>
      <c r="AA26" s="30">
        <v>0.0</v>
      </c>
      <c r="AB26" s="30">
        <v>1.0</v>
      </c>
      <c r="AC26" s="30">
        <v>1.0</v>
      </c>
      <c r="AD26" s="30">
        <v>1.0</v>
      </c>
      <c r="AE26" s="30">
        <v>0.0</v>
      </c>
      <c r="AF26" s="30">
        <v>1.0</v>
      </c>
      <c r="AG26" s="30"/>
      <c r="AH26" s="30"/>
      <c r="AI26" s="30"/>
      <c r="AJ26" s="13">
        <f t="shared" si="6"/>
        <v>20</v>
      </c>
      <c r="AK26" s="23">
        <f t="shared" ref="AK26:AK27" si="11">550*AJ26</f>
        <v>11000</v>
      </c>
      <c r="AL26" s="24"/>
      <c r="AM26" s="4"/>
      <c r="AN26" s="1"/>
      <c r="AO26" s="1"/>
      <c r="AP26" s="1"/>
      <c r="AQ26" s="1"/>
      <c r="AR26" s="1"/>
      <c r="AS26" s="1"/>
      <c r="AT26" s="1"/>
      <c r="AU26" s="1"/>
    </row>
    <row r="27" ht="15.75" customHeight="1">
      <c r="A27" s="10"/>
      <c r="B27" s="10"/>
      <c r="C27" s="10"/>
      <c r="D27" s="13" t="s">
        <v>7</v>
      </c>
      <c r="E27" s="30">
        <v>1.0</v>
      </c>
      <c r="F27" s="30">
        <v>1.0</v>
      </c>
      <c r="G27" s="30">
        <v>1.0</v>
      </c>
      <c r="H27" s="30">
        <v>1.0</v>
      </c>
      <c r="I27" s="30">
        <v>1.0</v>
      </c>
      <c r="J27" s="30">
        <v>1.0</v>
      </c>
      <c r="K27" s="30">
        <v>1.0</v>
      </c>
      <c r="L27" s="30">
        <v>1.0</v>
      </c>
      <c r="M27" s="30">
        <v>1.0</v>
      </c>
      <c r="N27" s="30">
        <v>1.0</v>
      </c>
      <c r="O27" s="30">
        <v>1.0</v>
      </c>
      <c r="P27" s="30">
        <v>1.0</v>
      </c>
      <c r="Q27" s="30">
        <v>1.0</v>
      </c>
      <c r="R27" s="30">
        <v>1.0</v>
      </c>
      <c r="S27" s="30">
        <v>1.0</v>
      </c>
      <c r="T27" s="30">
        <v>1.0</v>
      </c>
      <c r="U27" s="30">
        <v>1.0</v>
      </c>
      <c r="V27" s="30">
        <v>1.0</v>
      </c>
      <c r="W27" s="30">
        <v>1.0</v>
      </c>
      <c r="X27" s="30">
        <v>1.0</v>
      </c>
      <c r="Y27" s="30">
        <v>1.0</v>
      </c>
      <c r="Z27" s="30">
        <v>1.0</v>
      </c>
      <c r="AA27" s="30">
        <v>1.0</v>
      </c>
      <c r="AB27" s="30">
        <v>1.0</v>
      </c>
      <c r="AC27" s="30">
        <v>1.0</v>
      </c>
      <c r="AD27" s="30">
        <v>1.0</v>
      </c>
      <c r="AE27" s="30">
        <v>1.0</v>
      </c>
      <c r="AF27" s="30">
        <v>1.0</v>
      </c>
      <c r="AG27" s="30"/>
      <c r="AH27" s="30"/>
      <c r="AI27" s="30"/>
      <c r="AJ27" s="13">
        <f t="shared" si="6"/>
        <v>28</v>
      </c>
      <c r="AK27" s="23">
        <f t="shared" si="11"/>
        <v>15400</v>
      </c>
      <c r="AL27" s="26">
        <f>SUM(AK25:AK27)</f>
        <v>35640</v>
      </c>
      <c r="AM27" s="4"/>
      <c r="AN27" s="1"/>
      <c r="AO27" s="1"/>
      <c r="AP27" s="1"/>
      <c r="AQ27" s="1"/>
      <c r="AR27" s="1"/>
      <c r="AS27" s="1"/>
      <c r="AT27" s="1"/>
      <c r="AU27" s="1"/>
    </row>
    <row r="28" ht="15.75" customHeight="1">
      <c r="A28" s="12" t="s">
        <v>27</v>
      </c>
      <c r="B28" s="12" t="s">
        <v>28</v>
      </c>
      <c r="C28" s="12" t="s">
        <v>29</v>
      </c>
      <c r="D28" s="13" t="s">
        <v>5</v>
      </c>
      <c r="E28" s="30">
        <v>0.0</v>
      </c>
      <c r="F28" s="30">
        <v>0.0</v>
      </c>
      <c r="G28" s="18">
        <v>0.0</v>
      </c>
      <c r="H28" s="18">
        <v>0.0</v>
      </c>
      <c r="I28" s="18">
        <v>0.0</v>
      </c>
      <c r="J28" s="18">
        <v>0.0</v>
      </c>
      <c r="K28" s="18">
        <v>0.0</v>
      </c>
      <c r="L28" s="18">
        <v>0.0</v>
      </c>
      <c r="M28" s="18">
        <v>0.0</v>
      </c>
      <c r="N28" s="18">
        <v>0.0</v>
      </c>
      <c r="O28" s="18">
        <v>0.0</v>
      </c>
      <c r="P28" s="18">
        <v>0.0</v>
      </c>
      <c r="Q28" s="18">
        <v>0.0</v>
      </c>
      <c r="R28" s="18">
        <v>0.0</v>
      </c>
      <c r="S28" s="18">
        <v>0.0</v>
      </c>
      <c r="T28" s="18">
        <v>0.0</v>
      </c>
      <c r="U28" s="18">
        <v>0.0</v>
      </c>
      <c r="V28" s="18">
        <v>0.0</v>
      </c>
      <c r="W28" s="18">
        <v>0.0</v>
      </c>
      <c r="X28" s="18">
        <v>0.0</v>
      </c>
      <c r="Y28" s="18">
        <v>0.0</v>
      </c>
      <c r="Z28" s="18">
        <v>0.0</v>
      </c>
      <c r="AA28" s="18">
        <v>0.0</v>
      </c>
      <c r="AB28" s="18">
        <v>0.0</v>
      </c>
      <c r="AC28" s="18">
        <v>0.0</v>
      </c>
      <c r="AD28" s="18">
        <v>0.0</v>
      </c>
      <c r="AE28" s="18">
        <v>0.0</v>
      </c>
      <c r="AF28" s="18">
        <v>0.0</v>
      </c>
      <c r="AG28" s="18"/>
      <c r="AH28" s="18"/>
      <c r="AI28" s="18"/>
      <c r="AJ28" s="13">
        <f t="shared" si="6"/>
        <v>0</v>
      </c>
      <c r="AK28" s="14">
        <f>330*AJ28</f>
        <v>0</v>
      </c>
      <c r="AL28" s="19"/>
      <c r="AM28" s="4"/>
      <c r="AN28" s="1"/>
      <c r="AO28" s="1"/>
      <c r="AP28" s="1"/>
      <c r="AQ28" s="1"/>
      <c r="AR28" s="1"/>
      <c r="AS28" s="1"/>
      <c r="AT28" s="1"/>
      <c r="AU28" s="1"/>
    </row>
    <row r="29" ht="15.75" customHeight="1">
      <c r="A29" s="16"/>
      <c r="B29" s="16"/>
      <c r="C29" s="16"/>
      <c r="D29" s="13" t="s">
        <v>6</v>
      </c>
      <c r="E29" s="30">
        <v>0.0</v>
      </c>
      <c r="F29" s="30">
        <v>0.0</v>
      </c>
      <c r="G29" s="30">
        <v>0.0</v>
      </c>
      <c r="H29" s="30">
        <v>0.0</v>
      </c>
      <c r="I29" s="30">
        <v>0.0</v>
      </c>
      <c r="J29" s="30">
        <v>0.0</v>
      </c>
      <c r="K29" s="30">
        <v>0.0</v>
      </c>
      <c r="L29" s="30">
        <v>0.0</v>
      </c>
      <c r="M29" s="30">
        <v>0.0</v>
      </c>
      <c r="N29" s="30">
        <v>0.0</v>
      </c>
      <c r="O29" s="30">
        <v>0.0</v>
      </c>
      <c r="P29" s="30">
        <v>0.0</v>
      </c>
      <c r="Q29" s="30">
        <v>0.0</v>
      </c>
      <c r="R29" s="30">
        <v>0.0</v>
      </c>
      <c r="S29" s="30">
        <v>0.0</v>
      </c>
      <c r="T29" s="30">
        <v>0.0</v>
      </c>
      <c r="U29" s="30">
        <v>0.0</v>
      </c>
      <c r="V29" s="30">
        <v>0.0</v>
      </c>
      <c r="W29" s="30">
        <v>0.0</v>
      </c>
      <c r="X29" s="30">
        <v>0.0</v>
      </c>
      <c r="Y29" s="30">
        <v>0.0</v>
      </c>
      <c r="Z29" s="30">
        <v>0.0</v>
      </c>
      <c r="AA29" s="30">
        <v>0.0</v>
      </c>
      <c r="AB29" s="30">
        <v>0.0</v>
      </c>
      <c r="AC29" s="30">
        <v>0.0</v>
      </c>
      <c r="AD29" s="30">
        <v>0.0</v>
      </c>
      <c r="AE29" s="30">
        <v>0.0</v>
      </c>
      <c r="AF29" s="30">
        <v>0.0</v>
      </c>
      <c r="AG29" s="30"/>
      <c r="AH29" s="30"/>
      <c r="AI29" s="30"/>
      <c r="AJ29" s="13">
        <f t="shared" si="6"/>
        <v>0</v>
      </c>
      <c r="AK29" s="14">
        <f t="shared" ref="AK29:AK30" si="12">550*AJ29</f>
        <v>0</v>
      </c>
      <c r="AL29" s="19"/>
      <c r="AM29" s="4"/>
      <c r="AN29" s="1"/>
      <c r="AO29" s="1"/>
      <c r="AP29" s="1"/>
      <c r="AQ29" s="1"/>
      <c r="AR29" s="1"/>
      <c r="AS29" s="1"/>
      <c r="AT29" s="1"/>
      <c r="AU29" s="1"/>
    </row>
    <row r="30" ht="15.75" customHeight="1">
      <c r="A30" s="10"/>
      <c r="B30" s="10"/>
      <c r="C30" s="10"/>
      <c r="D30" s="13" t="s">
        <v>7</v>
      </c>
      <c r="E30" s="30">
        <v>0.0</v>
      </c>
      <c r="F30" s="30">
        <v>0.0</v>
      </c>
      <c r="G30" s="30">
        <v>0.0</v>
      </c>
      <c r="H30" s="30">
        <v>0.0</v>
      </c>
      <c r="I30" s="30">
        <v>0.0</v>
      </c>
      <c r="J30" s="30">
        <v>0.0</v>
      </c>
      <c r="K30" s="30">
        <v>0.0</v>
      </c>
      <c r="L30" s="30">
        <v>0.0</v>
      </c>
      <c r="M30" s="30">
        <v>0.0</v>
      </c>
      <c r="N30" s="30">
        <v>0.0</v>
      </c>
      <c r="O30" s="30">
        <v>0.0</v>
      </c>
      <c r="P30" s="30">
        <v>0.0</v>
      </c>
      <c r="Q30" s="30">
        <v>0.0</v>
      </c>
      <c r="R30" s="30">
        <v>0.0</v>
      </c>
      <c r="S30" s="30">
        <v>0.0</v>
      </c>
      <c r="T30" s="30">
        <v>0.0</v>
      </c>
      <c r="U30" s="30">
        <v>0.0</v>
      </c>
      <c r="V30" s="30">
        <v>0.0</v>
      </c>
      <c r="W30" s="30">
        <v>0.0</v>
      </c>
      <c r="X30" s="30">
        <v>0.0</v>
      </c>
      <c r="Y30" s="30">
        <v>0.0</v>
      </c>
      <c r="Z30" s="30">
        <v>0.0</v>
      </c>
      <c r="AA30" s="30">
        <v>0.0</v>
      </c>
      <c r="AB30" s="30">
        <v>0.0</v>
      </c>
      <c r="AC30" s="30">
        <v>0.0</v>
      </c>
      <c r="AD30" s="30">
        <v>0.0</v>
      </c>
      <c r="AE30" s="30">
        <v>0.0</v>
      </c>
      <c r="AF30" s="30">
        <v>0.0</v>
      </c>
      <c r="AG30" s="30"/>
      <c r="AH30" s="30"/>
      <c r="AI30" s="30"/>
      <c r="AJ30" s="13">
        <f t="shared" si="6"/>
        <v>0</v>
      </c>
      <c r="AK30" s="14">
        <f t="shared" si="12"/>
        <v>0</v>
      </c>
      <c r="AL30" s="20">
        <f>SUM(AK28:AK30)</f>
        <v>0</v>
      </c>
      <c r="AM30" s="4"/>
      <c r="AN30" s="1"/>
      <c r="AO30" s="1"/>
      <c r="AP30" s="1"/>
      <c r="AQ30" s="1"/>
      <c r="AR30" s="1"/>
      <c r="AS30" s="1"/>
      <c r="AT30" s="1"/>
      <c r="AU30" s="1"/>
    </row>
    <row r="31" ht="15.75" customHeight="1">
      <c r="A31" s="12"/>
      <c r="B31" s="12"/>
      <c r="C31" s="12"/>
      <c r="D31" s="13" t="s">
        <v>5</v>
      </c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>
        <f t="shared" si="6"/>
        <v>0</v>
      </c>
      <c r="AK31" s="23">
        <f>330*AJ31</f>
        <v>0</v>
      </c>
      <c r="AL31" s="24"/>
      <c r="AM31" s="4"/>
      <c r="AN31" s="1"/>
      <c r="AO31" s="1"/>
      <c r="AP31" s="1"/>
      <c r="AQ31" s="1"/>
      <c r="AR31" s="1"/>
      <c r="AS31" s="1"/>
      <c r="AT31" s="1"/>
      <c r="AU31" s="1"/>
    </row>
    <row r="32" ht="15.75" customHeight="1">
      <c r="A32" s="16"/>
      <c r="B32" s="16"/>
      <c r="C32" s="16"/>
      <c r="D32" s="13" t="s">
        <v>6</v>
      </c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>
        <f t="shared" si="6"/>
        <v>0</v>
      </c>
      <c r="AK32" s="23">
        <f t="shared" ref="AK32:AK33" si="13">550*AJ32</f>
        <v>0</v>
      </c>
      <c r="AL32" s="24"/>
      <c r="AM32" s="4"/>
      <c r="AN32" s="1"/>
      <c r="AO32" s="1"/>
      <c r="AP32" s="1"/>
      <c r="AQ32" s="1"/>
      <c r="AR32" s="1"/>
      <c r="AS32" s="1"/>
      <c r="AT32" s="1"/>
      <c r="AU32" s="1"/>
    </row>
    <row r="33" ht="15.75" customHeight="1">
      <c r="A33" s="10"/>
      <c r="B33" s="10"/>
      <c r="C33" s="10"/>
      <c r="D33" s="13" t="s">
        <v>7</v>
      </c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>
        <f t="shared" si="6"/>
        <v>0</v>
      </c>
      <c r="AK33" s="23">
        <f t="shared" si="13"/>
        <v>0</v>
      </c>
      <c r="AL33" s="26">
        <f>SUM(AK31:AK33)</f>
        <v>0</v>
      </c>
      <c r="AM33" s="4"/>
      <c r="AN33" s="1"/>
      <c r="AO33" s="1"/>
      <c r="AP33" s="1"/>
      <c r="AQ33" s="1"/>
      <c r="AR33" s="1"/>
      <c r="AS33" s="1"/>
      <c r="AT33" s="1"/>
      <c r="AU33" s="1"/>
    </row>
    <row r="34" ht="15.75" customHeight="1">
      <c r="A34" s="12"/>
      <c r="B34" s="12"/>
      <c r="C34" s="12"/>
      <c r="D34" s="13" t="s">
        <v>5</v>
      </c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>
        <f t="shared" si="6"/>
        <v>0</v>
      </c>
      <c r="AK34" s="1"/>
      <c r="AL34" s="1"/>
      <c r="AM34" s="4"/>
      <c r="AN34" s="1"/>
      <c r="AO34" s="1"/>
      <c r="AP34" s="1"/>
      <c r="AQ34" s="1"/>
      <c r="AR34" s="1"/>
      <c r="AS34" s="1"/>
      <c r="AT34" s="1"/>
      <c r="AU34" s="1"/>
    </row>
    <row r="35" ht="15.75" customHeight="1">
      <c r="A35" s="16"/>
      <c r="B35" s="16"/>
      <c r="C35" s="16"/>
      <c r="D35" s="13" t="s">
        <v>6</v>
      </c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>
        <f t="shared" si="6"/>
        <v>0</v>
      </c>
      <c r="AK35" s="1"/>
      <c r="AL35" s="1"/>
      <c r="AM35" s="4"/>
      <c r="AN35" s="1"/>
      <c r="AO35" s="1"/>
      <c r="AP35" s="1"/>
      <c r="AQ35" s="1"/>
      <c r="AR35" s="1"/>
      <c r="AS35" s="1"/>
      <c r="AT35" s="1"/>
      <c r="AU35" s="1"/>
    </row>
    <row r="36" ht="15.75" customHeight="1">
      <c r="A36" s="10"/>
      <c r="B36" s="10"/>
      <c r="C36" s="10"/>
      <c r="D36" s="13" t="s">
        <v>7</v>
      </c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>
        <f t="shared" si="6"/>
        <v>0</v>
      </c>
      <c r="AK36" s="1"/>
      <c r="AL36" s="1"/>
      <c r="AM36" s="4"/>
      <c r="AN36" s="1"/>
      <c r="AO36" s="1"/>
      <c r="AP36" s="1"/>
      <c r="AQ36" s="1"/>
      <c r="AR36" s="1"/>
      <c r="AS36" s="1"/>
      <c r="AT36" s="1"/>
      <c r="AU36" s="1"/>
    </row>
    <row r="37" ht="15.75" customHeight="1">
      <c r="A37" s="12"/>
      <c r="B37" s="12"/>
      <c r="C37" s="12"/>
      <c r="D37" s="13" t="s">
        <v>5</v>
      </c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>
        <f t="shared" si="6"/>
        <v>0</v>
      </c>
      <c r="AK37" s="1"/>
      <c r="AL37" s="1"/>
      <c r="AM37" s="4"/>
      <c r="AN37" s="1"/>
      <c r="AO37" s="1"/>
      <c r="AP37" s="1"/>
      <c r="AQ37" s="1"/>
      <c r="AR37" s="1"/>
      <c r="AS37" s="1"/>
      <c r="AT37" s="1"/>
      <c r="AU37" s="1"/>
    </row>
    <row r="38" ht="15.75" customHeight="1">
      <c r="A38" s="16"/>
      <c r="B38" s="16"/>
      <c r="C38" s="16"/>
      <c r="D38" s="13" t="s">
        <v>6</v>
      </c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>
        <f t="shared" si="6"/>
        <v>0</v>
      </c>
      <c r="AK38" s="1"/>
      <c r="AL38" s="1"/>
      <c r="AM38" s="4"/>
      <c r="AN38" s="1"/>
      <c r="AO38" s="1"/>
      <c r="AP38" s="1"/>
      <c r="AQ38" s="1"/>
      <c r="AR38" s="1"/>
      <c r="AS38" s="1"/>
      <c r="AT38" s="1"/>
      <c r="AU38" s="1"/>
    </row>
    <row r="39" ht="15.75" customHeight="1">
      <c r="A39" s="10"/>
      <c r="B39" s="10"/>
      <c r="C39" s="10"/>
      <c r="D39" s="13" t="s">
        <v>7</v>
      </c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>
        <f t="shared" si="6"/>
        <v>0</v>
      </c>
      <c r="AK39" s="1"/>
      <c r="AL39" s="1"/>
      <c r="AM39" s="4"/>
      <c r="AN39" s="1"/>
      <c r="AO39" s="1"/>
      <c r="AP39" s="1"/>
      <c r="AQ39" s="1"/>
      <c r="AR39" s="1"/>
      <c r="AS39" s="1"/>
      <c r="AT39" s="1"/>
      <c r="AU39" s="1"/>
    </row>
    <row r="40" ht="15.75" customHeight="1">
      <c r="A40" s="12"/>
      <c r="B40" s="12"/>
      <c r="C40" s="12"/>
      <c r="D40" s="13" t="s">
        <v>5</v>
      </c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>
        <f t="shared" si="6"/>
        <v>0</v>
      </c>
      <c r="AK40" s="1"/>
      <c r="AL40" s="1"/>
      <c r="AM40" s="4"/>
      <c r="AN40" s="1"/>
      <c r="AO40" s="1"/>
      <c r="AP40" s="1"/>
      <c r="AQ40" s="1"/>
      <c r="AR40" s="1"/>
      <c r="AS40" s="1"/>
      <c r="AT40" s="1"/>
      <c r="AU40" s="1"/>
    </row>
    <row r="41" ht="15.75" customHeight="1">
      <c r="A41" s="16"/>
      <c r="B41" s="16"/>
      <c r="C41" s="16"/>
      <c r="D41" s="13" t="s">
        <v>6</v>
      </c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>
        <f t="shared" si="6"/>
        <v>0</v>
      </c>
      <c r="AK41" s="1"/>
      <c r="AL41" s="1"/>
      <c r="AM41" s="4"/>
      <c r="AN41" s="1"/>
      <c r="AO41" s="1"/>
      <c r="AP41" s="1"/>
      <c r="AQ41" s="1"/>
      <c r="AR41" s="1"/>
      <c r="AS41" s="1"/>
      <c r="AT41" s="1"/>
      <c r="AU41" s="1"/>
    </row>
    <row r="42" ht="15.75" customHeight="1">
      <c r="A42" s="10"/>
      <c r="B42" s="10"/>
      <c r="C42" s="10"/>
      <c r="D42" s="13" t="s">
        <v>7</v>
      </c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>
        <f t="shared" si="6"/>
        <v>0</v>
      </c>
      <c r="AK42" s="1"/>
      <c r="AL42" s="1"/>
      <c r="AM42" s="4"/>
      <c r="AN42" s="1"/>
      <c r="AO42" s="1"/>
      <c r="AP42" s="1"/>
      <c r="AQ42" s="1"/>
      <c r="AR42" s="1"/>
      <c r="AS42" s="1"/>
      <c r="AT42" s="1"/>
      <c r="AU42" s="1"/>
    </row>
    <row r="43" ht="15.75" customHeight="1">
      <c r="A43" s="12"/>
      <c r="B43" s="12"/>
      <c r="C43" s="12"/>
      <c r="D43" s="13" t="s">
        <v>5</v>
      </c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>
        <f t="shared" si="6"/>
        <v>0</v>
      </c>
      <c r="AK43" s="1"/>
      <c r="AL43" s="1"/>
      <c r="AM43" s="4"/>
      <c r="AN43" s="1"/>
      <c r="AO43" s="1"/>
      <c r="AP43" s="1"/>
      <c r="AQ43" s="1"/>
      <c r="AR43" s="1"/>
      <c r="AS43" s="1"/>
      <c r="AT43" s="1"/>
      <c r="AU43" s="1"/>
    </row>
    <row r="44" ht="15.75" customHeight="1">
      <c r="A44" s="16"/>
      <c r="B44" s="16"/>
      <c r="C44" s="16"/>
      <c r="D44" s="13" t="s">
        <v>6</v>
      </c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>
        <f t="shared" si="6"/>
        <v>0</v>
      </c>
      <c r="AK44" s="1"/>
      <c r="AL44" s="1"/>
      <c r="AM44" s="4"/>
      <c r="AN44" s="1"/>
      <c r="AO44" s="1"/>
      <c r="AP44" s="1"/>
      <c r="AQ44" s="1"/>
      <c r="AR44" s="1"/>
      <c r="AS44" s="1"/>
      <c r="AT44" s="1"/>
      <c r="AU44" s="1"/>
    </row>
    <row r="45" ht="15.75" customHeight="1">
      <c r="A45" s="10"/>
      <c r="B45" s="10"/>
      <c r="C45" s="10"/>
      <c r="D45" s="13" t="s">
        <v>7</v>
      </c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>
        <f t="shared" si="6"/>
        <v>0</v>
      </c>
      <c r="AK45" s="1"/>
      <c r="AL45" s="1"/>
      <c r="AM45" s="4"/>
      <c r="AN45" s="1"/>
      <c r="AO45" s="1"/>
      <c r="AP45" s="1"/>
      <c r="AQ45" s="1"/>
      <c r="AR45" s="1"/>
      <c r="AS45" s="1"/>
      <c r="AT45" s="1"/>
      <c r="AU45" s="1"/>
    </row>
    <row r="46" ht="15.75" customHeight="1">
      <c r="A46" s="12"/>
      <c r="B46" s="12"/>
      <c r="C46" s="12"/>
      <c r="D46" s="13" t="s">
        <v>5</v>
      </c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>
        <f t="shared" si="6"/>
        <v>0</v>
      </c>
      <c r="AK46" s="1"/>
      <c r="AL46" s="1"/>
      <c r="AM46" s="4"/>
      <c r="AN46" s="1"/>
      <c r="AO46" s="1"/>
      <c r="AP46" s="1"/>
      <c r="AQ46" s="1"/>
      <c r="AR46" s="1"/>
      <c r="AS46" s="1"/>
      <c r="AT46" s="1"/>
      <c r="AU46" s="1"/>
    </row>
    <row r="47" ht="15.75" customHeight="1">
      <c r="A47" s="16"/>
      <c r="B47" s="16"/>
      <c r="C47" s="16"/>
      <c r="D47" s="13" t="s">
        <v>6</v>
      </c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>
        <f t="shared" si="6"/>
        <v>0</v>
      </c>
      <c r="AK47" s="1"/>
      <c r="AL47" s="1"/>
      <c r="AM47" s="4"/>
      <c r="AN47" s="1"/>
      <c r="AO47" s="1"/>
      <c r="AP47" s="1"/>
      <c r="AQ47" s="1"/>
      <c r="AR47" s="1"/>
      <c r="AS47" s="1"/>
      <c r="AT47" s="1"/>
      <c r="AU47" s="1"/>
    </row>
    <row r="48" ht="15.75" customHeight="1">
      <c r="A48" s="10"/>
      <c r="B48" s="10"/>
      <c r="C48" s="10"/>
      <c r="D48" s="13" t="s">
        <v>7</v>
      </c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>
        <f t="shared" si="6"/>
        <v>0</v>
      </c>
      <c r="AK48" s="1"/>
      <c r="AL48" s="1"/>
      <c r="AM48" s="4"/>
      <c r="AN48" s="1"/>
      <c r="AO48" s="1"/>
      <c r="AP48" s="1"/>
      <c r="AQ48" s="1"/>
      <c r="AR48" s="1"/>
      <c r="AS48" s="1"/>
      <c r="AT48" s="1"/>
      <c r="AU48" s="1"/>
    </row>
    <row r="49" ht="15.75" customHeight="1">
      <c r="A49" s="12"/>
      <c r="B49" s="12"/>
      <c r="C49" s="12"/>
      <c r="D49" s="13" t="s">
        <v>5</v>
      </c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>
        <f t="shared" si="6"/>
        <v>0</v>
      </c>
      <c r="AK49" s="1"/>
      <c r="AL49" s="1"/>
      <c r="AM49" s="4"/>
      <c r="AN49" s="1"/>
      <c r="AO49" s="1"/>
      <c r="AP49" s="1"/>
      <c r="AQ49" s="1"/>
      <c r="AR49" s="1"/>
      <c r="AS49" s="1"/>
      <c r="AT49" s="1"/>
      <c r="AU49" s="1"/>
    </row>
    <row r="50" ht="15.75" customHeight="1">
      <c r="A50" s="16"/>
      <c r="B50" s="16"/>
      <c r="C50" s="16"/>
      <c r="D50" s="13" t="s">
        <v>6</v>
      </c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>
        <f t="shared" si="6"/>
        <v>0</v>
      </c>
      <c r="AK50" s="1"/>
      <c r="AL50" s="1"/>
      <c r="AM50" s="4"/>
      <c r="AN50" s="1"/>
      <c r="AO50" s="1"/>
      <c r="AP50" s="1"/>
      <c r="AQ50" s="1"/>
      <c r="AR50" s="1"/>
      <c r="AS50" s="1"/>
      <c r="AT50" s="1"/>
      <c r="AU50" s="1"/>
    </row>
    <row r="51" ht="15.75" customHeight="1">
      <c r="A51" s="10"/>
      <c r="B51" s="10"/>
      <c r="C51" s="10"/>
      <c r="D51" s="13" t="s">
        <v>7</v>
      </c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>
        <f t="shared" si="6"/>
        <v>0</v>
      </c>
      <c r="AK51" s="1"/>
      <c r="AL51" s="1"/>
      <c r="AM51" s="4"/>
      <c r="AN51" s="1"/>
      <c r="AO51" s="1"/>
      <c r="AP51" s="1"/>
      <c r="AQ51" s="1"/>
      <c r="AR51" s="1"/>
      <c r="AS51" s="1"/>
      <c r="AT51" s="1"/>
      <c r="AU51" s="1"/>
    </row>
    <row r="52" ht="15.75" customHeight="1">
      <c r="A52" s="12"/>
      <c r="B52" s="12"/>
      <c r="C52" s="12"/>
      <c r="D52" s="13" t="s">
        <v>5</v>
      </c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>
        <f t="shared" si="6"/>
        <v>0</v>
      </c>
      <c r="AK52" s="1"/>
      <c r="AL52" s="1"/>
      <c r="AM52" s="4"/>
      <c r="AN52" s="1"/>
      <c r="AO52" s="1"/>
      <c r="AP52" s="1"/>
      <c r="AQ52" s="1"/>
      <c r="AR52" s="1"/>
      <c r="AS52" s="1"/>
      <c r="AT52" s="1"/>
      <c r="AU52" s="1"/>
    </row>
    <row r="53" ht="15.75" customHeight="1">
      <c r="A53" s="16"/>
      <c r="B53" s="16"/>
      <c r="C53" s="16"/>
      <c r="D53" s="13" t="s">
        <v>6</v>
      </c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>
        <f t="shared" si="6"/>
        <v>0</v>
      </c>
      <c r="AK53" s="1"/>
      <c r="AL53" s="1"/>
      <c r="AM53" s="4"/>
      <c r="AN53" s="1"/>
      <c r="AO53" s="1"/>
      <c r="AP53" s="1"/>
      <c r="AQ53" s="1"/>
      <c r="AR53" s="1"/>
      <c r="AS53" s="1"/>
      <c r="AT53" s="1"/>
      <c r="AU53" s="1"/>
    </row>
    <row r="54" ht="15.75" customHeight="1">
      <c r="A54" s="10"/>
      <c r="B54" s="10"/>
      <c r="C54" s="10"/>
      <c r="D54" s="13" t="s">
        <v>7</v>
      </c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>
        <f t="shared" si="6"/>
        <v>0</v>
      </c>
      <c r="AK54" s="1"/>
      <c r="AL54" s="1"/>
      <c r="AM54" s="4"/>
      <c r="AN54" s="1"/>
      <c r="AO54" s="1"/>
      <c r="AP54" s="1"/>
      <c r="AQ54" s="1"/>
      <c r="AR54" s="1"/>
      <c r="AS54" s="1"/>
      <c r="AT54" s="1"/>
      <c r="AU54" s="1"/>
    </row>
    <row r="55" ht="15.75" customHeight="1">
      <c r="A55" s="12"/>
      <c r="B55" s="12"/>
      <c r="C55" s="12"/>
      <c r="D55" s="13" t="s">
        <v>5</v>
      </c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>
        <f t="shared" si="6"/>
        <v>0</v>
      </c>
      <c r="AK55" s="1"/>
      <c r="AL55" s="1"/>
      <c r="AM55" s="4"/>
      <c r="AN55" s="1"/>
      <c r="AO55" s="1"/>
      <c r="AP55" s="1"/>
      <c r="AQ55" s="1"/>
      <c r="AR55" s="1"/>
      <c r="AS55" s="1"/>
      <c r="AT55" s="1"/>
      <c r="AU55" s="1"/>
    </row>
    <row r="56" ht="15.75" customHeight="1">
      <c r="A56" s="16"/>
      <c r="B56" s="16"/>
      <c r="C56" s="16"/>
      <c r="D56" s="13" t="s">
        <v>6</v>
      </c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>
        <f t="shared" si="6"/>
        <v>0</v>
      </c>
      <c r="AK56" s="1"/>
      <c r="AL56" s="1"/>
      <c r="AM56" s="4"/>
      <c r="AN56" s="1"/>
      <c r="AO56" s="1"/>
      <c r="AP56" s="1"/>
      <c r="AQ56" s="1"/>
      <c r="AR56" s="1"/>
      <c r="AS56" s="1"/>
      <c r="AT56" s="1"/>
      <c r="AU56" s="1"/>
    </row>
    <row r="57" ht="15.75" customHeight="1">
      <c r="A57" s="10"/>
      <c r="B57" s="10"/>
      <c r="C57" s="10"/>
      <c r="D57" s="13" t="s">
        <v>7</v>
      </c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>
        <f t="shared" si="6"/>
        <v>0</v>
      </c>
      <c r="AK57" s="1"/>
      <c r="AL57" s="1"/>
      <c r="AM57" s="4"/>
      <c r="AN57" s="1"/>
      <c r="AO57" s="1"/>
      <c r="AP57" s="1"/>
      <c r="AQ57" s="1"/>
      <c r="AR57" s="1"/>
      <c r="AS57" s="1"/>
      <c r="AT57" s="1"/>
      <c r="AU57" s="1"/>
    </row>
    <row r="58" ht="15.75" customHeight="1">
      <c r="A58" s="12"/>
      <c r="B58" s="12"/>
      <c r="C58" s="12"/>
      <c r="D58" s="13" t="s">
        <v>5</v>
      </c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>
        <f t="shared" si="6"/>
        <v>0</v>
      </c>
      <c r="AK58" s="1"/>
      <c r="AL58" s="1"/>
      <c r="AM58" s="4"/>
      <c r="AN58" s="1"/>
      <c r="AO58" s="1"/>
      <c r="AP58" s="1"/>
      <c r="AQ58" s="1"/>
      <c r="AR58" s="1"/>
      <c r="AS58" s="1"/>
      <c r="AT58" s="1"/>
      <c r="AU58" s="1"/>
    </row>
    <row r="59" ht="15.75" customHeight="1">
      <c r="A59" s="16"/>
      <c r="B59" s="16"/>
      <c r="C59" s="16"/>
      <c r="D59" s="13" t="s">
        <v>6</v>
      </c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>
        <f t="shared" si="6"/>
        <v>0</v>
      </c>
      <c r="AK59" s="1"/>
      <c r="AL59" s="1"/>
      <c r="AM59" s="4"/>
      <c r="AN59" s="1"/>
      <c r="AO59" s="1"/>
      <c r="AP59" s="1"/>
      <c r="AQ59" s="1"/>
      <c r="AR59" s="1"/>
      <c r="AS59" s="1"/>
      <c r="AT59" s="1"/>
      <c r="AU59" s="1"/>
    </row>
    <row r="60" ht="15.75" customHeight="1">
      <c r="A60" s="10"/>
      <c r="B60" s="10"/>
      <c r="C60" s="10"/>
      <c r="D60" s="13" t="s">
        <v>7</v>
      </c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>
        <f t="shared" si="6"/>
        <v>0</v>
      </c>
      <c r="AK60" s="1"/>
      <c r="AL60" s="1"/>
      <c r="AM60" s="4"/>
      <c r="AN60" s="1"/>
      <c r="AO60" s="1"/>
      <c r="AP60" s="1"/>
      <c r="AQ60" s="1"/>
      <c r="AR60" s="1"/>
      <c r="AS60" s="1"/>
      <c r="AT60" s="1"/>
      <c r="AU60" s="1"/>
    </row>
    <row r="61" ht="15.75" customHeight="1">
      <c r="A61" s="12"/>
      <c r="B61" s="12"/>
      <c r="C61" s="12"/>
      <c r="D61" s="13" t="s">
        <v>5</v>
      </c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>
        <f t="shared" si="6"/>
        <v>0</v>
      </c>
      <c r="AK61" s="1"/>
      <c r="AL61" s="1"/>
      <c r="AM61" s="4"/>
      <c r="AN61" s="1"/>
      <c r="AO61" s="1"/>
      <c r="AP61" s="1"/>
      <c r="AQ61" s="1"/>
      <c r="AR61" s="1"/>
      <c r="AS61" s="1"/>
      <c r="AT61" s="1"/>
      <c r="AU61" s="1"/>
    </row>
    <row r="62" ht="15.75" customHeight="1">
      <c r="A62" s="16"/>
      <c r="B62" s="16"/>
      <c r="C62" s="16"/>
      <c r="D62" s="13" t="s">
        <v>6</v>
      </c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>
        <f t="shared" si="6"/>
        <v>0</v>
      </c>
      <c r="AK62" s="1"/>
      <c r="AL62" s="1"/>
      <c r="AM62" s="4"/>
      <c r="AN62" s="1"/>
      <c r="AO62" s="1"/>
      <c r="AP62" s="1"/>
      <c r="AQ62" s="1"/>
      <c r="AR62" s="1"/>
      <c r="AS62" s="1"/>
      <c r="AT62" s="1"/>
      <c r="AU62" s="1"/>
    </row>
    <row r="63" ht="15.75" customHeight="1">
      <c r="A63" s="10"/>
      <c r="B63" s="10"/>
      <c r="C63" s="10"/>
      <c r="D63" s="13" t="s">
        <v>7</v>
      </c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>
        <f t="shared" si="6"/>
        <v>0</v>
      </c>
      <c r="AK63" s="1"/>
      <c r="AL63" s="1"/>
      <c r="AM63" s="4"/>
      <c r="AN63" s="1"/>
      <c r="AO63" s="1"/>
      <c r="AP63" s="1"/>
      <c r="AQ63" s="1"/>
      <c r="AR63" s="1"/>
      <c r="AS63" s="1"/>
      <c r="AT63" s="1"/>
      <c r="AU63" s="1"/>
    </row>
    <row r="64" ht="15.75" customHeight="1">
      <c r="A64" s="12"/>
      <c r="B64" s="12"/>
      <c r="C64" s="12"/>
      <c r="D64" s="13" t="s">
        <v>5</v>
      </c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>
        <f t="shared" si="6"/>
        <v>0</v>
      </c>
      <c r="AK64" s="1"/>
      <c r="AL64" s="1"/>
      <c r="AM64" s="4"/>
      <c r="AN64" s="1"/>
      <c r="AO64" s="1"/>
      <c r="AP64" s="1"/>
      <c r="AQ64" s="1"/>
      <c r="AR64" s="1"/>
      <c r="AS64" s="1"/>
      <c r="AT64" s="1"/>
      <c r="AU64" s="1"/>
    </row>
    <row r="65" ht="15.75" customHeight="1">
      <c r="A65" s="16"/>
      <c r="B65" s="16"/>
      <c r="C65" s="16"/>
      <c r="D65" s="13" t="s">
        <v>6</v>
      </c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>
        <f t="shared" si="6"/>
        <v>0</v>
      </c>
      <c r="AK65" s="1"/>
      <c r="AL65" s="1"/>
      <c r="AM65" s="4"/>
      <c r="AN65" s="1"/>
      <c r="AO65" s="1"/>
      <c r="AP65" s="1"/>
      <c r="AQ65" s="1"/>
      <c r="AR65" s="1"/>
      <c r="AS65" s="1"/>
      <c r="AT65" s="1"/>
      <c r="AU65" s="1"/>
    </row>
    <row r="66" ht="15.75" customHeight="1">
      <c r="A66" s="10"/>
      <c r="B66" s="10"/>
      <c r="C66" s="10"/>
      <c r="D66" s="13" t="s">
        <v>7</v>
      </c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>
        <f t="shared" si="6"/>
        <v>0</v>
      </c>
      <c r="AK66" s="1"/>
      <c r="AL66" s="1"/>
      <c r="AM66" s="4"/>
      <c r="AN66" s="1"/>
      <c r="AO66" s="1"/>
      <c r="AP66" s="1"/>
      <c r="AQ66" s="1"/>
      <c r="AR66" s="1"/>
      <c r="AS66" s="1"/>
      <c r="AT66" s="1"/>
      <c r="AU66" s="1"/>
    </row>
    <row r="67" ht="15.75" customHeight="1">
      <c r="A67" s="12"/>
      <c r="B67" s="12"/>
      <c r="C67" s="12"/>
      <c r="D67" s="13" t="s">
        <v>5</v>
      </c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>
        <f t="shared" si="6"/>
        <v>0</v>
      </c>
      <c r="AK67" s="1"/>
      <c r="AL67" s="1"/>
      <c r="AM67" s="4"/>
      <c r="AN67" s="1"/>
      <c r="AO67" s="1"/>
      <c r="AP67" s="1"/>
      <c r="AQ67" s="1"/>
      <c r="AR67" s="1"/>
      <c r="AS67" s="1"/>
      <c r="AT67" s="1"/>
      <c r="AU67" s="1"/>
    </row>
    <row r="68" ht="15.75" customHeight="1">
      <c r="A68" s="16"/>
      <c r="B68" s="16"/>
      <c r="C68" s="16"/>
      <c r="D68" s="13" t="s">
        <v>6</v>
      </c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>
        <f t="shared" si="6"/>
        <v>0</v>
      </c>
      <c r="AK68" s="1"/>
      <c r="AL68" s="1"/>
      <c r="AM68" s="4"/>
      <c r="AN68" s="1"/>
      <c r="AO68" s="1"/>
      <c r="AP68" s="1"/>
      <c r="AQ68" s="1"/>
      <c r="AR68" s="1"/>
      <c r="AS68" s="1"/>
      <c r="AT68" s="1"/>
      <c r="AU68" s="1"/>
    </row>
    <row r="69" ht="15.75" customHeight="1">
      <c r="A69" s="10"/>
      <c r="B69" s="10"/>
      <c r="C69" s="10"/>
      <c r="D69" s="13" t="s">
        <v>7</v>
      </c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>
        <f t="shared" si="6"/>
        <v>0</v>
      </c>
      <c r="AK69" s="1"/>
      <c r="AL69" s="1"/>
      <c r="AM69" s="4"/>
      <c r="AN69" s="1"/>
      <c r="AO69" s="1"/>
      <c r="AP69" s="1"/>
      <c r="AQ69" s="1"/>
      <c r="AR69" s="1"/>
      <c r="AS69" s="1"/>
      <c r="AT69" s="1"/>
      <c r="AU69" s="1"/>
    </row>
    <row r="70" ht="15.75" customHeight="1">
      <c r="A70" s="12"/>
      <c r="B70" s="12"/>
      <c r="C70" s="12"/>
      <c r="D70" s="13" t="s">
        <v>5</v>
      </c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>
        <f t="shared" si="6"/>
        <v>0</v>
      </c>
      <c r="AK70" s="1"/>
      <c r="AL70" s="1"/>
      <c r="AM70" s="4"/>
      <c r="AN70" s="1"/>
      <c r="AO70" s="1"/>
      <c r="AP70" s="1"/>
      <c r="AQ70" s="1"/>
      <c r="AR70" s="1"/>
      <c r="AS70" s="1"/>
      <c r="AT70" s="1"/>
      <c r="AU70" s="1"/>
    </row>
    <row r="71" ht="15.75" customHeight="1">
      <c r="A71" s="16"/>
      <c r="B71" s="16"/>
      <c r="C71" s="16"/>
      <c r="D71" s="13" t="s">
        <v>6</v>
      </c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>
        <f t="shared" si="6"/>
        <v>0</v>
      </c>
      <c r="AK71" s="1"/>
      <c r="AL71" s="1"/>
      <c r="AM71" s="4"/>
      <c r="AN71" s="1"/>
      <c r="AO71" s="1"/>
      <c r="AP71" s="1"/>
      <c r="AQ71" s="1"/>
      <c r="AR71" s="1"/>
      <c r="AS71" s="1"/>
      <c r="AT71" s="1"/>
      <c r="AU71" s="1"/>
    </row>
    <row r="72" ht="15.75" customHeight="1">
      <c r="A72" s="10"/>
      <c r="B72" s="10"/>
      <c r="C72" s="10"/>
      <c r="D72" s="13" t="s">
        <v>7</v>
      </c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>
        <f t="shared" si="6"/>
        <v>0</v>
      </c>
      <c r="AK72" s="1"/>
      <c r="AL72" s="1"/>
      <c r="AM72" s="4"/>
      <c r="AN72" s="1"/>
      <c r="AO72" s="1"/>
      <c r="AP72" s="1"/>
      <c r="AQ72" s="1"/>
      <c r="AR72" s="1"/>
      <c r="AS72" s="1"/>
      <c r="AT72" s="1"/>
      <c r="AU72" s="1"/>
    </row>
    <row r="73" ht="15.75" customHeight="1">
      <c r="A73" s="31"/>
      <c r="B73" s="31"/>
      <c r="C73" s="3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4"/>
      <c r="AN73" s="1"/>
      <c r="AO73" s="1"/>
      <c r="AP73" s="1"/>
      <c r="AQ73" s="1"/>
      <c r="AR73" s="1"/>
      <c r="AS73" s="1"/>
      <c r="AT73" s="1"/>
      <c r="AU73" s="1"/>
    </row>
    <row r="74" ht="15.75" customHeight="1">
      <c r="A74" s="31"/>
      <c r="B74" s="31"/>
      <c r="C74" s="3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4"/>
      <c r="AN74" s="1"/>
      <c r="AO74" s="1"/>
      <c r="AP74" s="1"/>
      <c r="AQ74" s="1"/>
      <c r="AR74" s="1"/>
      <c r="AS74" s="1"/>
      <c r="AT74" s="1"/>
      <c r="AU74" s="1"/>
    </row>
    <row r="75" ht="15.75" customHeight="1">
      <c r="A75" s="31"/>
      <c r="B75" s="31"/>
      <c r="C75" s="3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4"/>
      <c r="AN75" s="1"/>
      <c r="AO75" s="1"/>
      <c r="AP75" s="1"/>
      <c r="AQ75" s="1"/>
      <c r="AR75" s="1"/>
      <c r="AS75" s="1"/>
      <c r="AT75" s="1"/>
      <c r="AU75" s="1"/>
    </row>
    <row r="76" ht="15.75" customHeight="1">
      <c r="A76" s="31"/>
      <c r="B76" s="31"/>
      <c r="C76" s="3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4"/>
      <c r="AN76" s="1"/>
      <c r="AO76" s="1"/>
      <c r="AP76" s="1"/>
      <c r="AQ76" s="1"/>
      <c r="AR76" s="1"/>
      <c r="AS76" s="1"/>
      <c r="AT76" s="1"/>
      <c r="AU76" s="1"/>
    </row>
    <row r="77" ht="15.75" customHeight="1">
      <c r="A77" s="31"/>
      <c r="B77" s="31"/>
      <c r="C77" s="3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4"/>
      <c r="AN77" s="1"/>
      <c r="AO77" s="1"/>
      <c r="AP77" s="1"/>
      <c r="AQ77" s="1"/>
      <c r="AR77" s="1"/>
      <c r="AS77" s="1"/>
      <c r="AT77" s="1"/>
      <c r="AU77" s="1"/>
    </row>
    <row r="78" ht="15.75" customHeight="1">
      <c r="A78" s="31"/>
      <c r="B78" s="31"/>
      <c r="C78" s="3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4"/>
      <c r="AN78" s="1"/>
      <c r="AO78" s="1"/>
      <c r="AP78" s="1"/>
      <c r="AQ78" s="1"/>
      <c r="AR78" s="1"/>
      <c r="AS78" s="1"/>
      <c r="AT78" s="1"/>
      <c r="AU78" s="1"/>
    </row>
    <row r="79" ht="15.75" customHeight="1">
      <c r="A79" s="31"/>
      <c r="B79" s="31"/>
      <c r="C79" s="3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4"/>
      <c r="AN79" s="1"/>
      <c r="AO79" s="1"/>
      <c r="AP79" s="1"/>
      <c r="AQ79" s="1"/>
      <c r="AR79" s="1"/>
      <c r="AS79" s="1"/>
      <c r="AT79" s="1"/>
      <c r="AU79" s="1"/>
    </row>
    <row r="80" ht="15.75" customHeight="1">
      <c r="A80" s="31"/>
      <c r="B80" s="31"/>
      <c r="C80" s="3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4"/>
      <c r="AN80" s="1"/>
      <c r="AO80" s="1"/>
      <c r="AP80" s="1"/>
      <c r="AQ80" s="1"/>
      <c r="AR80" s="1"/>
      <c r="AS80" s="1"/>
      <c r="AT80" s="1"/>
      <c r="AU80" s="1"/>
    </row>
    <row r="81" ht="15.75" customHeight="1">
      <c r="A81" s="31"/>
      <c r="B81" s="31"/>
      <c r="C81" s="3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4"/>
      <c r="AN81" s="1"/>
      <c r="AO81" s="1"/>
      <c r="AP81" s="1"/>
      <c r="AQ81" s="1"/>
      <c r="AR81" s="1"/>
      <c r="AS81" s="1"/>
      <c r="AT81" s="1"/>
      <c r="AU81" s="1"/>
    </row>
    <row r="82" ht="15.75" customHeight="1">
      <c r="A82" s="31"/>
      <c r="B82" s="31"/>
      <c r="C82" s="3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4"/>
      <c r="AN82" s="1"/>
      <c r="AO82" s="1"/>
      <c r="AP82" s="1"/>
      <c r="AQ82" s="1"/>
      <c r="AR82" s="1"/>
      <c r="AS82" s="1"/>
      <c r="AT82" s="1"/>
      <c r="AU82" s="1"/>
    </row>
    <row r="83" ht="15.75" customHeight="1">
      <c r="A83" s="31"/>
      <c r="B83" s="31"/>
      <c r="C83" s="3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4"/>
      <c r="AN83" s="1"/>
      <c r="AO83" s="1"/>
      <c r="AP83" s="1"/>
      <c r="AQ83" s="1"/>
      <c r="AR83" s="1"/>
      <c r="AS83" s="1"/>
      <c r="AT83" s="1"/>
      <c r="AU83" s="1"/>
    </row>
    <row r="84" ht="15.75" customHeight="1">
      <c r="A84" s="31"/>
      <c r="B84" s="31"/>
      <c r="C84" s="3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4"/>
      <c r="AN84" s="1"/>
      <c r="AO84" s="1"/>
      <c r="AP84" s="1"/>
      <c r="AQ84" s="1"/>
      <c r="AR84" s="1"/>
      <c r="AS84" s="1"/>
      <c r="AT84" s="1"/>
      <c r="AU84" s="1"/>
    </row>
    <row r="85" ht="15.75" customHeight="1">
      <c r="A85" s="31"/>
      <c r="B85" s="31"/>
      <c r="C85" s="3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4"/>
      <c r="AN85" s="1"/>
      <c r="AO85" s="1"/>
      <c r="AP85" s="1"/>
      <c r="AQ85" s="1"/>
      <c r="AR85" s="1"/>
      <c r="AS85" s="1"/>
      <c r="AT85" s="1"/>
      <c r="AU85" s="1"/>
    </row>
    <row r="86" ht="15.75" customHeight="1">
      <c r="A86" s="31"/>
      <c r="B86" s="31"/>
      <c r="C86" s="3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4"/>
      <c r="AN86" s="1"/>
      <c r="AO86" s="1"/>
      <c r="AP86" s="1"/>
      <c r="AQ86" s="1"/>
      <c r="AR86" s="1"/>
      <c r="AS86" s="1"/>
      <c r="AT86" s="1"/>
      <c r="AU86" s="1"/>
    </row>
    <row r="87" ht="15.75" customHeight="1">
      <c r="A87" s="31"/>
      <c r="B87" s="31"/>
      <c r="C87" s="3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4"/>
      <c r="AN87" s="1"/>
      <c r="AO87" s="1"/>
      <c r="AP87" s="1"/>
      <c r="AQ87" s="1"/>
      <c r="AR87" s="1"/>
      <c r="AS87" s="1"/>
      <c r="AT87" s="1"/>
      <c r="AU87" s="1"/>
    </row>
    <row r="88" ht="15.75" customHeight="1">
      <c r="A88" s="31"/>
      <c r="B88" s="31"/>
      <c r="C88" s="3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4"/>
      <c r="AN88" s="1"/>
      <c r="AO88" s="1"/>
      <c r="AP88" s="1"/>
      <c r="AQ88" s="1"/>
      <c r="AR88" s="1"/>
      <c r="AS88" s="1"/>
      <c r="AT88" s="1"/>
      <c r="AU88" s="1"/>
    </row>
    <row r="89" ht="15.75" customHeight="1">
      <c r="A89" s="31"/>
      <c r="B89" s="31"/>
      <c r="C89" s="3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4"/>
      <c r="AN89" s="1"/>
      <c r="AO89" s="1"/>
      <c r="AP89" s="1"/>
      <c r="AQ89" s="1"/>
      <c r="AR89" s="1"/>
      <c r="AS89" s="1"/>
      <c r="AT89" s="1"/>
      <c r="AU89" s="1"/>
    </row>
    <row r="90" ht="15.75" customHeight="1">
      <c r="A90" s="31"/>
      <c r="B90" s="31"/>
      <c r="C90" s="3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4"/>
      <c r="AN90" s="1"/>
      <c r="AO90" s="1"/>
      <c r="AP90" s="1"/>
      <c r="AQ90" s="1"/>
      <c r="AR90" s="1"/>
      <c r="AS90" s="1"/>
      <c r="AT90" s="1"/>
      <c r="AU90" s="1"/>
    </row>
    <row r="91" ht="15.75" customHeight="1">
      <c r="A91" s="31"/>
      <c r="B91" s="31"/>
      <c r="C91" s="3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4"/>
      <c r="AN91" s="1"/>
      <c r="AO91" s="1"/>
      <c r="AP91" s="1"/>
      <c r="AQ91" s="1"/>
      <c r="AR91" s="1"/>
      <c r="AS91" s="1"/>
      <c r="AT91" s="1"/>
      <c r="AU91" s="1"/>
    </row>
    <row r="92" ht="15.75" customHeight="1">
      <c r="A92" s="31"/>
      <c r="B92" s="31"/>
      <c r="C92" s="3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4"/>
      <c r="AN92" s="1"/>
      <c r="AO92" s="1"/>
      <c r="AP92" s="1"/>
      <c r="AQ92" s="1"/>
      <c r="AR92" s="1"/>
      <c r="AS92" s="1"/>
      <c r="AT92" s="1"/>
      <c r="AU92" s="1"/>
    </row>
    <row r="93" ht="15.75" customHeight="1">
      <c r="A93" s="31"/>
      <c r="B93" s="31"/>
      <c r="C93" s="3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4"/>
      <c r="AN93" s="1"/>
      <c r="AO93" s="1"/>
      <c r="AP93" s="1"/>
      <c r="AQ93" s="1"/>
      <c r="AR93" s="1"/>
      <c r="AS93" s="1"/>
      <c r="AT93" s="1"/>
      <c r="AU93" s="1"/>
    </row>
    <row r="94" ht="15.75" customHeight="1">
      <c r="A94" s="31"/>
      <c r="B94" s="31"/>
      <c r="C94" s="3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4"/>
      <c r="AN94" s="1"/>
      <c r="AO94" s="1"/>
      <c r="AP94" s="1"/>
      <c r="AQ94" s="1"/>
      <c r="AR94" s="1"/>
      <c r="AS94" s="1"/>
      <c r="AT94" s="1"/>
      <c r="AU94" s="1"/>
    </row>
    <row r="95" ht="15.75" customHeight="1">
      <c r="A95" s="31"/>
      <c r="B95" s="31"/>
      <c r="C95" s="3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4"/>
      <c r="AN95" s="1"/>
      <c r="AO95" s="1"/>
      <c r="AP95" s="1"/>
      <c r="AQ95" s="1"/>
      <c r="AR95" s="1"/>
      <c r="AS95" s="1"/>
      <c r="AT95" s="1"/>
      <c r="AU95" s="1"/>
    </row>
    <row r="96" ht="15.75" customHeight="1">
      <c r="A96" s="31"/>
      <c r="B96" s="31"/>
      <c r="C96" s="3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4"/>
      <c r="AN96" s="1"/>
      <c r="AO96" s="1"/>
      <c r="AP96" s="1"/>
      <c r="AQ96" s="1"/>
      <c r="AR96" s="1"/>
      <c r="AS96" s="1"/>
      <c r="AT96" s="1"/>
      <c r="AU96" s="1"/>
    </row>
    <row r="97" ht="15.75" customHeight="1">
      <c r="A97" s="31"/>
      <c r="B97" s="31"/>
      <c r="C97" s="3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4"/>
      <c r="AN97" s="1"/>
      <c r="AO97" s="1"/>
      <c r="AP97" s="1"/>
      <c r="AQ97" s="1"/>
      <c r="AR97" s="1"/>
      <c r="AS97" s="1"/>
      <c r="AT97" s="1"/>
      <c r="AU97" s="1"/>
    </row>
    <row r="98" ht="15.75" customHeight="1">
      <c r="A98" s="31"/>
      <c r="B98" s="31"/>
      <c r="C98" s="3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4"/>
      <c r="AN98" s="1"/>
      <c r="AO98" s="1"/>
      <c r="AP98" s="1"/>
      <c r="AQ98" s="1"/>
      <c r="AR98" s="1"/>
      <c r="AS98" s="1"/>
      <c r="AT98" s="1"/>
      <c r="AU98" s="1"/>
    </row>
    <row r="99" ht="15.75" customHeight="1">
      <c r="A99" s="31"/>
      <c r="B99" s="31"/>
      <c r="C99" s="3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4"/>
      <c r="AN99" s="1"/>
      <c r="AO99" s="1"/>
      <c r="AP99" s="1"/>
      <c r="AQ99" s="1"/>
      <c r="AR99" s="1"/>
      <c r="AS99" s="1"/>
      <c r="AT99" s="1"/>
      <c r="AU99" s="1"/>
    </row>
    <row r="100" ht="15.75" customHeight="1">
      <c r="A100" s="31"/>
      <c r="B100" s="31"/>
      <c r="C100" s="3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4"/>
      <c r="AN100" s="1"/>
      <c r="AO100" s="1"/>
      <c r="AP100" s="1"/>
      <c r="AQ100" s="1"/>
      <c r="AR100" s="1"/>
      <c r="AS100" s="1"/>
      <c r="AT100" s="1"/>
      <c r="AU100" s="1"/>
    </row>
    <row r="101" ht="15.75" customHeight="1">
      <c r="A101" s="31"/>
      <c r="B101" s="31"/>
      <c r="C101" s="3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4"/>
      <c r="AN101" s="1"/>
      <c r="AO101" s="1"/>
      <c r="AP101" s="1"/>
      <c r="AQ101" s="1"/>
      <c r="AR101" s="1"/>
      <c r="AS101" s="1"/>
      <c r="AT101" s="1"/>
      <c r="AU101" s="1"/>
    </row>
    <row r="102" ht="15.75" customHeight="1">
      <c r="A102" s="31"/>
      <c r="B102" s="31"/>
      <c r="C102" s="3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4"/>
      <c r="AN102" s="1"/>
      <c r="AO102" s="1"/>
      <c r="AP102" s="1"/>
      <c r="AQ102" s="1"/>
      <c r="AR102" s="1"/>
      <c r="AS102" s="1"/>
      <c r="AT102" s="1"/>
      <c r="AU102" s="1"/>
    </row>
    <row r="103" ht="15.75" customHeight="1">
      <c r="A103" s="31"/>
      <c r="B103" s="31"/>
      <c r="C103" s="3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4"/>
      <c r="AN103" s="1"/>
      <c r="AO103" s="1"/>
      <c r="AP103" s="1"/>
      <c r="AQ103" s="1"/>
      <c r="AR103" s="1"/>
      <c r="AS103" s="1"/>
      <c r="AT103" s="1"/>
      <c r="AU103" s="1"/>
    </row>
    <row r="104" ht="15.75" customHeight="1">
      <c r="A104" s="31"/>
      <c r="B104" s="31"/>
      <c r="C104" s="3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4"/>
      <c r="AN104" s="1"/>
      <c r="AO104" s="1"/>
      <c r="AP104" s="1"/>
      <c r="AQ104" s="1"/>
      <c r="AR104" s="1"/>
      <c r="AS104" s="1"/>
      <c r="AT104" s="1"/>
      <c r="AU104" s="1"/>
    </row>
    <row r="105" ht="15.75" customHeight="1">
      <c r="A105" s="31"/>
      <c r="B105" s="31"/>
      <c r="C105" s="3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4"/>
      <c r="AN105" s="1"/>
      <c r="AO105" s="1"/>
      <c r="AP105" s="1"/>
      <c r="AQ105" s="1"/>
      <c r="AR105" s="1"/>
      <c r="AS105" s="1"/>
      <c r="AT105" s="1"/>
      <c r="AU105" s="1"/>
    </row>
    <row r="106" ht="15.75" customHeight="1">
      <c r="A106" s="31"/>
      <c r="B106" s="31"/>
      <c r="C106" s="3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4"/>
      <c r="AN106" s="1"/>
      <c r="AO106" s="1"/>
      <c r="AP106" s="1"/>
      <c r="AQ106" s="1"/>
      <c r="AR106" s="1"/>
      <c r="AS106" s="1"/>
      <c r="AT106" s="1"/>
      <c r="AU106" s="1"/>
    </row>
    <row r="107" ht="15.75" customHeight="1">
      <c r="A107" s="31"/>
      <c r="B107" s="31"/>
      <c r="C107" s="3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4"/>
      <c r="AN107" s="1"/>
      <c r="AO107" s="1"/>
      <c r="AP107" s="1"/>
      <c r="AQ107" s="1"/>
      <c r="AR107" s="1"/>
      <c r="AS107" s="1"/>
      <c r="AT107" s="1"/>
      <c r="AU107" s="1"/>
    </row>
    <row r="108" ht="15.75" customHeight="1">
      <c r="A108" s="31"/>
      <c r="B108" s="31"/>
      <c r="C108" s="3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4"/>
      <c r="AN108" s="1"/>
      <c r="AO108" s="1"/>
      <c r="AP108" s="1"/>
      <c r="AQ108" s="1"/>
      <c r="AR108" s="1"/>
      <c r="AS108" s="1"/>
      <c r="AT108" s="1"/>
      <c r="AU108" s="1"/>
    </row>
    <row r="109" ht="15.75" customHeight="1">
      <c r="A109" s="31"/>
      <c r="B109" s="31"/>
      <c r="C109" s="3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4"/>
      <c r="AN109" s="1"/>
      <c r="AO109" s="1"/>
      <c r="AP109" s="1"/>
      <c r="AQ109" s="1"/>
      <c r="AR109" s="1"/>
      <c r="AS109" s="1"/>
      <c r="AT109" s="1"/>
      <c r="AU109" s="1"/>
    </row>
    <row r="110" ht="15.75" customHeight="1">
      <c r="A110" s="31"/>
      <c r="B110" s="31"/>
      <c r="C110" s="3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4"/>
      <c r="AN110" s="1"/>
      <c r="AO110" s="1"/>
      <c r="AP110" s="1"/>
      <c r="AQ110" s="1"/>
      <c r="AR110" s="1"/>
      <c r="AS110" s="1"/>
      <c r="AT110" s="1"/>
      <c r="AU110" s="1"/>
    </row>
    <row r="111" ht="15.75" customHeight="1">
      <c r="A111" s="31"/>
      <c r="B111" s="31"/>
      <c r="C111" s="3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4"/>
      <c r="AN111" s="1"/>
      <c r="AO111" s="1"/>
      <c r="AP111" s="1"/>
      <c r="AQ111" s="1"/>
      <c r="AR111" s="1"/>
      <c r="AS111" s="1"/>
      <c r="AT111" s="1"/>
      <c r="AU111" s="1"/>
    </row>
    <row r="112" ht="15.75" customHeight="1">
      <c r="A112" s="31"/>
      <c r="B112" s="31"/>
      <c r="C112" s="3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4"/>
      <c r="AN112" s="1"/>
      <c r="AO112" s="1"/>
      <c r="AP112" s="1"/>
      <c r="AQ112" s="1"/>
      <c r="AR112" s="1"/>
      <c r="AS112" s="1"/>
      <c r="AT112" s="1"/>
      <c r="AU112" s="1"/>
    </row>
    <row r="113" ht="15.75" customHeight="1">
      <c r="A113" s="31"/>
      <c r="B113" s="31"/>
      <c r="C113" s="3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4"/>
      <c r="AN113" s="1"/>
      <c r="AO113" s="1"/>
      <c r="AP113" s="1"/>
      <c r="AQ113" s="1"/>
      <c r="AR113" s="1"/>
      <c r="AS113" s="1"/>
      <c r="AT113" s="1"/>
      <c r="AU113" s="1"/>
    </row>
    <row r="114" ht="15.75" customHeight="1">
      <c r="A114" s="31"/>
      <c r="B114" s="31"/>
      <c r="C114" s="3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4"/>
      <c r="AN114" s="1"/>
      <c r="AO114" s="1"/>
      <c r="AP114" s="1"/>
      <c r="AQ114" s="1"/>
      <c r="AR114" s="1"/>
      <c r="AS114" s="1"/>
      <c r="AT114" s="1"/>
      <c r="AU114" s="1"/>
    </row>
    <row r="115" ht="15.75" customHeight="1">
      <c r="A115" s="31"/>
      <c r="B115" s="31"/>
      <c r="C115" s="3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4"/>
      <c r="AN115" s="1"/>
      <c r="AO115" s="1"/>
      <c r="AP115" s="1"/>
      <c r="AQ115" s="1"/>
      <c r="AR115" s="1"/>
      <c r="AS115" s="1"/>
      <c r="AT115" s="1"/>
      <c r="AU115" s="1"/>
    </row>
    <row r="116" ht="15.75" customHeight="1">
      <c r="A116" s="31"/>
      <c r="B116" s="31"/>
      <c r="C116" s="3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4"/>
      <c r="AN116" s="1"/>
      <c r="AO116" s="1"/>
      <c r="AP116" s="1"/>
      <c r="AQ116" s="1"/>
      <c r="AR116" s="1"/>
      <c r="AS116" s="1"/>
      <c r="AT116" s="1"/>
      <c r="AU116" s="1"/>
    </row>
    <row r="117" ht="15.75" customHeight="1">
      <c r="A117" s="31"/>
      <c r="B117" s="31"/>
      <c r="C117" s="3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4"/>
      <c r="AN117" s="1"/>
      <c r="AO117" s="1"/>
      <c r="AP117" s="1"/>
      <c r="AQ117" s="1"/>
      <c r="AR117" s="1"/>
      <c r="AS117" s="1"/>
      <c r="AT117" s="1"/>
      <c r="AU117" s="1"/>
    </row>
    <row r="118" ht="15.75" customHeight="1">
      <c r="A118" s="31"/>
      <c r="B118" s="31"/>
      <c r="C118" s="3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4"/>
      <c r="AN118" s="1"/>
      <c r="AO118" s="1"/>
      <c r="AP118" s="1"/>
      <c r="AQ118" s="1"/>
      <c r="AR118" s="1"/>
      <c r="AS118" s="1"/>
      <c r="AT118" s="1"/>
      <c r="AU118" s="1"/>
    </row>
    <row r="119" ht="15.75" customHeight="1">
      <c r="A119" s="31"/>
      <c r="B119" s="31"/>
      <c r="C119" s="3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4"/>
      <c r="AN119" s="1"/>
      <c r="AO119" s="1"/>
      <c r="AP119" s="1"/>
      <c r="AQ119" s="1"/>
      <c r="AR119" s="1"/>
      <c r="AS119" s="1"/>
      <c r="AT119" s="1"/>
      <c r="AU119" s="1"/>
    </row>
    <row r="120" ht="15.75" customHeight="1">
      <c r="A120" s="31"/>
      <c r="B120" s="31"/>
      <c r="C120" s="3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4"/>
      <c r="AN120" s="1"/>
      <c r="AO120" s="1"/>
      <c r="AP120" s="1"/>
      <c r="AQ120" s="1"/>
      <c r="AR120" s="1"/>
      <c r="AS120" s="1"/>
      <c r="AT120" s="1"/>
      <c r="AU120" s="1"/>
    </row>
    <row r="121" ht="15.75" customHeight="1">
      <c r="A121" s="31"/>
      <c r="B121" s="31"/>
      <c r="C121" s="3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4"/>
      <c r="AN121" s="1"/>
      <c r="AO121" s="1"/>
      <c r="AP121" s="1"/>
      <c r="AQ121" s="1"/>
      <c r="AR121" s="1"/>
      <c r="AS121" s="1"/>
      <c r="AT121" s="1"/>
      <c r="AU121" s="1"/>
    </row>
    <row r="122" ht="15.75" customHeight="1">
      <c r="A122" s="31"/>
      <c r="B122" s="31"/>
      <c r="C122" s="3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4"/>
      <c r="AN122" s="1"/>
      <c r="AO122" s="1"/>
      <c r="AP122" s="1"/>
      <c r="AQ122" s="1"/>
      <c r="AR122" s="1"/>
      <c r="AS122" s="1"/>
      <c r="AT122" s="1"/>
      <c r="AU122" s="1"/>
    </row>
    <row r="123" ht="15.75" customHeight="1">
      <c r="A123" s="31"/>
      <c r="B123" s="31"/>
      <c r="C123" s="3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4"/>
      <c r="AN123" s="1"/>
      <c r="AO123" s="1"/>
      <c r="AP123" s="1"/>
      <c r="AQ123" s="1"/>
      <c r="AR123" s="1"/>
      <c r="AS123" s="1"/>
      <c r="AT123" s="1"/>
      <c r="AU123" s="1"/>
    </row>
    <row r="124" ht="15.75" customHeight="1">
      <c r="A124" s="31"/>
      <c r="B124" s="31"/>
      <c r="C124" s="3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4"/>
      <c r="AN124" s="1"/>
      <c r="AO124" s="1"/>
      <c r="AP124" s="1"/>
      <c r="AQ124" s="1"/>
      <c r="AR124" s="1"/>
      <c r="AS124" s="1"/>
      <c r="AT124" s="1"/>
      <c r="AU124" s="1"/>
    </row>
    <row r="125" ht="15.75" customHeight="1">
      <c r="A125" s="31"/>
      <c r="B125" s="31"/>
      <c r="C125" s="3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4"/>
      <c r="AN125" s="1"/>
      <c r="AO125" s="1"/>
      <c r="AP125" s="1"/>
      <c r="AQ125" s="1"/>
      <c r="AR125" s="1"/>
      <c r="AS125" s="1"/>
      <c r="AT125" s="1"/>
      <c r="AU125" s="1"/>
    </row>
    <row r="126" ht="15.75" customHeight="1">
      <c r="A126" s="31"/>
      <c r="B126" s="31"/>
      <c r="C126" s="3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4"/>
      <c r="AN126" s="1"/>
      <c r="AO126" s="1"/>
      <c r="AP126" s="1"/>
      <c r="AQ126" s="1"/>
      <c r="AR126" s="1"/>
      <c r="AS126" s="1"/>
      <c r="AT126" s="1"/>
      <c r="AU126" s="1"/>
    </row>
    <row r="127" ht="15.75" customHeight="1">
      <c r="A127" s="31"/>
      <c r="B127" s="31"/>
      <c r="C127" s="3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4"/>
      <c r="AN127" s="1"/>
      <c r="AO127" s="1"/>
      <c r="AP127" s="1"/>
      <c r="AQ127" s="1"/>
      <c r="AR127" s="1"/>
      <c r="AS127" s="1"/>
      <c r="AT127" s="1"/>
      <c r="AU127" s="1"/>
    </row>
    <row r="128" ht="15.75" customHeight="1">
      <c r="A128" s="31"/>
      <c r="B128" s="31"/>
      <c r="C128" s="3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4"/>
      <c r="AN128" s="1"/>
      <c r="AO128" s="1"/>
      <c r="AP128" s="1"/>
      <c r="AQ128" s="1"/>
      <c r="AR128" s="1"/>
      <c r="AS128" s="1"/>
      <c r="AT128" s="1"/>
      <c r="AU128" s="1"/>
    </row>
    <row r="129" ht="15.75" customHeight="1">
      <c r="A129" s="31"/>
      <c r="B129" s="31"/>
      <c r="C129" s="3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4"/>
      <c r="AN129" s="1"/>
      <c r="AO129" s="1"/>
      <c r="AP129" s="1"/>
      <c r="AQ129" s="1"/>
      <c r="AR129" s="1"/>
      <c r="AS129" s="1"/>
      <c r="AT129" s="1"/>
      <c r="AU129" s="1"/>
    </row>
    <row r="130" ht="15.75" customHeight="1">
      <c r="A130" s="31"/>
      <c r="B130" s="31"/>
      <c r="C130" s="3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4"/>
      <c r="AN130" s="1"/>
      <c r="AO130" s="1"/>
      <c r="AP130" s="1"/>
      <c r="AQ130" s="1"/>
      <c r="AR130" s="1"/>
      <c r="AS130" s="1"/>
      <c r="AT130" s="1"/>
      <c r="AU130" s="1"/>
    </row>
    <row r="131" ht="15.75" customHeight="1">
      <c r="A131" s="31"/>
      <c r="B131" s="31"/>
      <c r="C131" s="3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4"/>
      <c r="AN131" s="1"/>
      <c r="AO131" s="1"/>
      <c r="AP131" s="1"/>
      <c r="AQ131" s="1"/>
      <c r="AR131" s="1"/>
      <c r="AS131" s="1"/>
      <c r="AT131" s="1"/>
      <c r="AU131" s="1"/>
    </row>
    <row r="132" ht="15.75" customHeight="1">
      <c r="A132" s="31"/>
      <c r="B132" s="31"/>
      <c r="C132" s="3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4"/>
      <c r="AN132" s="1"/>
      <c r="AO132" s="1"/>
      <c r="AP132" s="1"/>
      <c r="AQ132" s="1"/>
      <c r="AR132" s="1"/>
      <c r="AS132" s="1"/>
      <c r="AT132" s="1"/>
      <c r="AU132" s="1"/>
    </row>
    <row r="133" ht="15.75" customHeight="1">
      <c r="A133" s="31"/>
      <c r="B133" s="31"/>
      <c r="C133" s="3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4"/>
      <c r="AN133" s="1"/>
      <c r="AO133" s="1"/>
      <c r="AP133" s="1"/>
      <c r="AQ133" s="1"/>
      <c r="AR133" s="1"/>
      <c r="AS133" s="1"/>
      <c r="AT133" s="1"/>
      <c r="AU133" s="1"/>
    </row>
    <row r="134" ht="15.75" customHeight="1">
      <c r="A134" s="31"/>
      <c r="B134" s="31"/>
      <c r="C134" s="3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4"/>
      <c r="AN134" s="1"/>
      <c r="AO134" s="1"/>
      <c r="AP134" s="1"/>
      <c r="AQ134" s="1"/>
      <c r="AR134" s="1"/>
      <c r="AS134" s="1"/>
      <c r="AT134" s="1"/>
      <c r="AU134" s="1"/>
    </row>
    <row r="135" ht="15.75" customHeight="1">
      <c r="A135" s="31"/>
      <c r="B135" s="31"/>
      <c r="C135" s="3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4"/>
      <c r="AN135" s="1"/>
      <c r="AO135" s="1"/>
      <c r="AP135" s="1"/>
      <c r="AQ135" s="1"/>
      <c r="AR135" s="1"/>
      <c r="AS135" s="1"/>
      <c r="AT135" s="1"/>
      <c r="AU135" s="1"/>
    </row>
    <row r="136" ht="15.75" customHeight="1">
      <c r="A136" s="31"/>
      <c r="B136" s="31"/>
      <c r="C136" s="3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4"/>
      <c r="AN136" s="1"/>
      <c r="AO136" s="1"/>
      <c r="AP136" s="1"/>
      <c r="AQ136" s="1"/>
      <c r="AR136" s="1"/>
      <c r="AS136" s="1"/>
      <c r="AT136" s="1"/>
      <c r="AU136" s="1"/>
    </row>
    <row r="137" ht="15.75" customHeight="1">
      <c r="A137" s="31"/>
      <c r="B137" s="31"/>
      <c r="C137" s="3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4"/>
      <c r="AN137" s="1"/>
      <c r="AO137" s="1"/>
      <c r="AP137" s="1"/>
      <c r="AQ137" s="1"/>
      <c r="AR137" s="1"/>
      <c r="AS137" s="1"/>
      <c r="AT137" s="1"/>
      <c r="AU137" s="1"/>
    </row>
    <row r="138" ht="15.75" customHeight="1">
      <c r="A138" s="31"/>
      <c r="B138" s="31"/>
      <c r="C138" s="3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4"/>
      <c r="AN138" s="1"/>
      <c r="AO138" s="1"/>
      <c r="AP138" s="1"/>
      <c r="AQ138" s="1"/>
      <c r="AR138" s="1"/>
      <c r="AS138" s="1"/>
      <c r="AT138" s="1"/>
      <c r="AU138" s="1"/>
    </row>
    <row r="139" ht="15.75" customHeight="1">
      <c r="A139" s="31"/>
      <c r="B139" s="31"/>
      <c r="C139" s="3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4"/>
      <c r="AN139" s="1"/>
      <c r="AO139" s="1"/>
      <c r="AP139" s="1"/>
      <c r="AQ139" s="1"/>
      <c r="AR139" s="1"/>
      <c r="AS139" s="1"/>
      <c r="AT139" s="1"/>
      <c r="AU139" s="1"/>
    </row>
    <row r="140" ht="15.75" customHeight="1">
      <c r="A140" s="31"/>
      <c r="B140" s="31"/>
      <c r="C140" s="3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4"/>
      <c r="AN140" s="1"/>
      <c r="AO140" s="1"/>
      <c r="AP140" s="1"/>
      <c r="AQ140" s="1"/>
      <c r="AR140" s="1"/>
      <c r="AS140" s="1"/>
      <c r="AT140" s="1"/>
      <c r="AU140" s="1"/>
    </row>
    <row r="141" ht="15.75" customHeight="1">
      <c r="A141" s="31"/>
      <c r="B141" s="31"/>
      <c r="C141" s="3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4"/>
      <c r="AN141" s="1"/>
      <c r="AO141" s="1"/>
      <c r="AP141" s="1"/>
      <c r="AQ141" s="1"/>
      <c r="AR141" s="1"/>
      <c r="AS141" s="1"/>
      <c r="AT141" s="1"/>
      <c r="AU141" s="1"/>
    </row>
    <row r="142" ht="15.75" customHeight="1">
      <c r="A142" s="31"/>
      <c r="B142" s="31"/>
      <c r="C142" s="3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4"/>
      <c r="AN142" s="1"/>
      <c r="AO142" s="1"/>
      <c r="AP142" s="1"/>
      <c r="AQ142" s="1"/>
      <c r="AR142" s="1"/>
      <c r="AS142" s="1"/>
      <c r="AT142" s="1"/>
      <c r="AU142" s="1"/>
    </row>
    <row r="143" ht="15.75" customHeight="1">
      <c r="A143" s="31"/>
      <c r="B143" s="31"/>
      <c r="C143" s="3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4"/>
      <c r="AN143" s="1"/>
      <c r="AO143" s="1"/>
      <c r="AP143" s="1"/>
      <c r="AQ143" s="1"/>
      <c r="AR143" s="1"/>
      <c r="AS143" s="1"/>
      <c r="AT143" s="1"/>
      <c r="AU143" s="1"/>
    </row>
    <row r="144" ht="15.75" customHeight="1">
      <c r="A144" s="31"/>
      <c r="B144" s="31"/>
      <c r="C144" s="3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4"/>
      <c r="AN144" s="1"/>
      <c r="AO144" s="1"/>
      <c r="AP144" s="1"/>
      <c r="AQ144" s="1"/>
      <c r="AR144" s="1"/>
      <c r="AS144" s="1"/>
      <c r="AT144" s="1"/>
      <c r="AU144" s="1"/>
    </row>
    <row r="145" ht="15.75" customHeight="1">
      <c r="A145" s="31"/>
      <c r="B145" s="31"/>
      <c r="C145" s="3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4"/>
      <c r="AN145" s="1"/>
      <c r="AO145" s="1"/>
      <c r="AP145" s="1"/>
      <c r="AQ145" s="1"/>
      <c r="AR145" s="1"/>
      <c r="AS145" s="1"/>
      <c r="AT145" s="1"/>
      <c r="AU145" s="1"/>
    </row>
    <row r="146" ht="15.75" customHeight="1">
      <c r="A146" s="31"/>
      <c r="B146" s="31"/>
      <c r="C146" s="3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4"/>
      <c r="AN146" s="1"/>
      <c r="AO146" s="1"/>
      <c r="AP146" s="1"/>
      <c r="AQ146" s="1"/>
      <c r="AR146" s="1"/>
      <c r="AS146" s="1"/>
      <c r="AT146" s="1"/>
      <c r="AU146" s="1"/>
    </row>
    <row r="147" ht="15.75" customHeight="1">
      <c r="A147" s="31"/>
      <c r="B147" s="31"/>
      <c r="C147" s="3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4"/>
      <c r="AN147" s="1"/>
      <c r="AO147" s="1"/>
      <c r="AP147" s="1"/>
      <c r="AQ147" s="1"/>
      <c r="AR147" s="1"/>
      <c r="AS147" s="1"/>
      <c r="AT147" s="1"/>
      <c r="AU147" s="1"/>
    </row>
    <row r="148" ht="15.75" customHeight="1">
      <c r="A148" s="31"/>
      <c r="B148" s="31"/>
      <c r="C148" s="3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4"/>
      <c r="AN148" s="1"/>
      <c r="AO148" s="1"/>
      <c r="AP148" s="1"/>
      <c r="AQ148" s="1"/>
      <c r="AR148" s="1"/>
      <c r="AS148" s="1"/>
      <c r="AT148" s="1"/>
      <c r="AU148" s="1"/>
    </row>
    <row r="149" ht="15.75" customHeight="1">
      <c r="A149" s="31"/>
      <c r="B149" s="31"/>
      <c r="C149" s="3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4"/>
      <c r="AN149" s="1"/>
      <c r="AO149" s="1"/>
      <c r="AP149" s="1"/>
      <c r="AQ149" s="1"/>
      <c r="AR149" s="1"/>
      <c r="AS149" s="1"/>
      <c r="AT149" s="1"/>
      <c r="AU149" s="1"/>
    </row>
    <row r="150" ht="15.75" customHeight="1">
      <c r="A150" s="31"/>
      <c r="B150" s="31"/>
      <c r="C150" s="3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4"/>
      <c r="AN150" s="1"/>
      <c r="AO150" s="1"/>
      <c r="AP150" s="1"/>
      <c r="AQ150" s="1"/>
      <c r="AR150" s="1"/>
      <c r="AS150" s="1"/>
      <c r="AT150" s="1"/>
      <c r="AU150" s="1"/>
    </row>
    <row r="151" ht="15.75" customHeight="1">
      <c r="A151" s="31"/>
      <c r="B151" s="31"/>
      <c r="C151" s="3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4"/>
      <c r="AN151" s="1"/>
      <c r="AO151" s="1"/>
      <c r="AP151" s="1"/>
      <c r="AQ151" s="1"/>
      <c r="AR151" s="1"/>
      <c r="AS151" s="1"/>
      <c r="AT151" s="1"/>
      <c r="AU151" s="1"/>
    </row>
    <row r="152" ht="15.75" customHeight="1">
      <c r="A152" s="31"/>
      <c r="B152" s="31"/>
      <c r="C152" s="3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4"/>
      <c r="AN152" s="1"/>
      <c r="AO152" s="1"/>
      <c r="AP152" s="1"/>
      <c r="AQ152" s="1"/>
      <c r="AR152" s="1"/>
      <c r="AS152" s="1"/>
      <c r="AT152" s="1"/>
      <c r="AU152" s="1"/>
    </row>
    <row r="153" ht="15.75" customHeight="1">
      <c r="A153" s="31"/>
      <c r="B153" s="31"/>
      <c r="C153" s="3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4"/>
      <c r="AN153" s="1"/>
      <c r="AO153" s="1"/>
      <c r="AP153" s="1"/>
      <c r="AQ153" s="1"/>
      <c r="AR153" s="1"/>
      <c r="AS153" s="1"/>
      <c r="AT153" s="1"/>
      <c r="AU153" s="1"/>
    </row>
    <row r="154" ht="15.75" customHeight="1">
      <c r="A154" s="31"/>
      <c r="B154" s="31"/>
      <c r="C154" s="3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4"/>
      <c r="AN154" s="1"/>
      <c r="AO154" s="1"/>
      <c r="AP154" s="1"/>
      <c r="AQ154" s="1"/>
      <c r="AR154" s="1"/>
      <c r="AS154" s="1"/>
      <c r="AT154" s="1"/>
      <c r="AU154" s="1"/>
    </row>
    <row r="155" ht="15.75" customHeight="1">
      <c r="A155" s="31"/>
      <c r="B155" s="31"/>
      <c r="C155" s="3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4"/>
      <c r="AN155" s="1"/>
      <c r="AO155" s="1"/>
      <c r="AP155" s="1"/>
      <c r="AQ155" s="1"/>
      <c r="AR155" s="1"/>
      <c r="AS155" s="1"/>
      <c r="AT155" s="1"/>
      <c r="AU155" s="1"/>
    </row>
    <row r="156" ht="15.75" customHeight="1">
      <c r="A156" s="31"/>
      <c r="B156" s="31"/>
      <c r="C156" s="3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4"/>
      <c r="AN156" s="1"/>
      <c r="AO156" s="1"/>
      <c r="AP156" s="1"/>
      <c r="AQ156" s="1"/>
      <c r="AR156" s="1"/>
      <c r="AS156" s="1"/>
      <c r="AT156" s="1"/>
      <c r="AU156" s="1"/>
    </row>
    <row r="157" ht="15.75" customHeight="1">
      <c r="A157" s="31"/>
      <c r="B157" s="31"/>
      <c r="C157" s="3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4"/>
      <c r="AN157" s="1"/>
      <c r="AO157" s="1"/>
      <c r="AP157" s="1"/>
      <c r="AQ157" s="1"/>
      <c r="AR157" s="1"/>
      <c r="AS157" s="1"/>
      <c r="AT157" s="1"/>
      <c r="AU157" s="1"/>
    </row>
    <row r="158" ht="15.75" customHeight="1">
      <c r="A158" s="31"/>
      <c r="B158" s="31"/>
      <c r="C158" s="3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4"/>
      <c r="AN158" s="1"/>
      <c r="AO158" s="1"/>
      <c r="AP158" s="1"/>
      <c r="AQ158" s="1"/>
      <c r="AR158" s="1"/>
      <c r="AS158" s="1"/>
      <c r="AT158" s="1"/>
      <c r="AU158" s="1"/>
    </row>
    <row r="159" ht="15.75" customHeight="1">
      <c r="A159" s="31"/>
      <c r="B159" s="31"/>
      <c r="C159" s="3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4"/>
      <c r="AN159" s="1"/>
      <c r="AO159" s="1"/>
      <c r="AP159" s="1"/>
      <c r="AQ159" s="1"/>
      <c r="AR159" s="1"/>
      <c r="AS159" s="1"/>
      <c r="AT159" s="1"/>
      <c r="AU159" s="1"/>
    </row>
    <row r="160" ht="15.75" customHeight="1">
      <c r="A160" s="31"/>
      <c r="B160" s="31"/>
      <c r="C160" s="3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4"/>
      <c r="AN160" s="1"/>
      <c r="AO160" s="1"/>
      <c r="AP160" s="1"/>
      <c r="AQ160" s="1"/>
      <c r="AR160" s="1"/>
      <c r="AS160" s="1"/>
      <c r="AT160" s="1"/>
      <c r="AU160" s="1"/>
    </row>
    <row r="161" ht="15.75" customHeight="1">
      <c r="A161" s="31"/>
      <c r="B161" s="31"/>
      <c r="C161" s="3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4"/>
      <c r="AN161" s="1"/>
      <c r="AO161" s="1"/>
      <c r="AP161" s="1"/>
      <c r="AQ161" s="1"/>
      <c r="AR161" s="1"/>
      <c r="AS161" s="1"/>
      <c r="AT161" s="1"/>
      <c r="AU161" s="1"/>
    </row>
    <row r="162" ht="15.75" customHeight="1">
      <c r="A162" s="31"/>
      <c r="B162" s="31"/>
      <c r="C162" s="3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4"/>
      <c r="AN162" s="1"/>
      <c r="AO162" s="1"/>
      <c r="AP162" s="1"/>
      <c r="AQ162" s="1"/>
      <c r="AR162" s="1"/>
      <c r="AS162" s="1"/>
      <c r="AT162" s="1"/>
      <c r="AU162" s="1"/>
    </row>
    <row r="163" ht="15.75" customHeight="1">
      <c r="A163" s="31"/>
      <c r="B163" s="31"/>
      <c r="C163" s="3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4"/>
      <c r="AN163" s="1"/>
      <c r="AO163" s="1"/>
      <c r="AP163" s="1"/>
      <c r="AQ163" s="1"/>
      <c r="AR163" s="1"/>
      <c r="AS163" s="1"/>
      <c r="AT163" s="1"/>
      <c r="AU163" s="1"/>
    </row>
    <row r="164" ht="15.75" customHeight="1">
      <c r="A164" s="31"/>
      <c r="B164" s="31"/>
      <c r="C164" s="3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4"/>
      <c r="AN164" s="1"/>
      <c r="AO164" s="1"/>
      <c r="AP164" s="1"/>
      <c r="AQ164" s="1"/>
      <c r="AR164" s="1"/>
      <c r="AS164" s="1"/>
      <c r="AT164" s="1"/>
      <c r="AU164" s="1"/>
    </row>
    <row r="165" ht="15.75" customHeight="1">
      <c r="A165" s="31"/>
      <c r="B165" s="31"/>
      <c r="C165" s="3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4"/>
      <c r="AN165" s="1"/>
      <c r="AO165" s="1"/>
      <c r="AP165" s="1"/>
      <c r="AQ165" s="1"/>
      <c r="AR165" s="1"/>
      <c r="AS165" s="1"/>
      <c r="AT165" s="1"/>
      <c r="AU165" s="1"/>
    </row>
    <row r="166" ht="15.75" customHeight="1">
      <c r="A166" s="31"/>
      <c r="B166" s="31"/>
      <c r="C166" s="3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4"/>
      <c r="AN166" s="1"/>
      <c r="AO166" s="1"/>
      <c r="AP166" s="1"/>
      <c r="AQ166" s="1"/>
      <c r="AR166" s="1"/>
      <c r="AS166" s="1"/>
      <c r="AT166" s="1"/>
      <c r="AU166" s="1"/>
    </row>
    <row r="167" ht="15.75" customHeight="1">
      <c r="A167" s="31"/>
      <c r="B167" s="31"/>
      <c r="C167" s="3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4"/>
      <c r="AN167" s="1"/>
      <c r="AO167" s="1"/>
      <c r="AP167" s="1"/>
      <c r="AQ167" s="1"/>
      <c r="AR167" s="1"/>
      <c r="AS167" s="1"/>
      <c r="AT167" s="1"/>
      <c r="AU167" s="1"/>
    </row>
    <row r="168" ht="15.75" customHeight="1">
      <c r="A168" s="31"/>
      <c r="B168" s="31"/>
      <c r="C168" s="3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4"/>
      <c r="AN168" s="1"/>
      <c r="AO168" s="1"/>
      <c r="AP168" s="1"/>
      <c r="AQ168" s="1"/>
      <c r="AR168" s="1"/>
      <c r="AS168" s="1"/>
      <c r="AT168" s="1"/>
      <c r="AU168" s="1"/>
    </row>
    <row r="169" ht="15.75" customHeight="1">
      <c r="A169" s="31"/>
      <c r="B169" s="31"/>
      <c r="C169" s="3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4"/>
      <c r="AN169" s="1"/>
      <c r="AO169" s="1"/>
      <c r="AP169" s="1"/>
      <c r="AQ169" s="1"/>
      <c r="AR169" s="1"/>
      <c r="AS169" s="1"/>
      <c r="AT169" s="1"/>
      <c r="AU169" s="1"/>
    </row>
    <row r="170" ht="15.75" customHeight="1">
      <c r="A170" s="31"/>
      <c r="B170" s="31"/>
      <c r="C170" s="3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4"/>
      <c r="AN170" s="1"/>
      <c r="AO170" s="1"/>
      <c r="AP170" s="1"/>
      <c r="AQ170" s="1"/>
      <c r="AR170" s="1"/>
      <c r="AS170" s="1"/>
      <c r="AT170" s="1"/>
      <c r="AU170" s="1"/>
    </row>
    <row r="171" ht="15.75" customHeight="1">
      <c r="A171" s="31"/>
      <c r="B171" s="31"/>
      <c r="C171" s="3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4"/>
      <c r="AN171" s="1"/>
      <c r="AO171" s="1"/>
      <c r="AP171" s="1"/>
      <c r="AQ171" s="1"/>
      <c r="AR171" s="1"/>
      <c r="AS171" s="1"/>
      <c r="AT171" s="1"/>
      <c r="AU171" s="1"/>
    </row>
    <row r="172" ht="15.75" customHeight="1">
      <c r="A172" s="31"/>
      <c r="B172" s="31"/>
      <c r="C172" s="3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4"/>
      <c r="AN172" s="1"/>
      <c r="AO172" s="1"/>
      <c r="AP172" s="1"/>
      <c r="AQ172" s="1"/>
      <c r="AR172" s="1"/>
      <c r="AS172" s="1"/>
      <c r="AT172" s="1"/>
      <c r="AU172" s="1"/>
    </row>
    <row r="173" ht="15.75" customHeight="1">
      <c r="A173" s="31"/>
      <c r="B173" s="31"/>
      <c r="C173" s="3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4"/>
      <c r="AN173" s="1"/>
      <c r="AO173" s="1"/>
      <c r="AP173" s="1"/>
      <c r="AQ173" s="1"/>
      <c r="AR173" s="1"/>
      <c r="AS173" s="1"/>
      <c r="AT173" s="1"/>
      <c r="AU173" s="1"/>
    </row>
    <row r="174" ht="15.75" customHeight="1">
      <c r="A174" s="31"/>
      <c r="B174" s="31"/>
      <c r="C174" s="3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4"/>
      <c r="AN174" s="1"/>
      <c r="AO174" s="1"/>
      <c r="AP174" s="1"/>
      <c r="AQ174" s="1"/>
      <c r="AR174" s="1"/>
      <c r="AS174" s="1"/>
      <c r="AT174" s="1"/>
      <c r="AU174" s="1"/>
    </row>
    <row r="175" ht="15.75" customHeight="1">
      <c r="A175" s="31"/>
      <c r="B175" s="31"/>
      <c r="C175" s="3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4"/>
      <c r="AN175" s="1"/>
      <c r="AO175" s="1"/>
      <c r="AP175" s="1"/>
      <c r="AQ175" s="1"/>
      <c r="AR175" s="1"/>
      <c r="AS175" s="1"/>
      <c r="AT175" s="1"/>
      <c r="AU175" s="1"/>
    </row>
    <row r="176" ht="15.75" customHeight="1">
      <c r="A176" s="31"/>
      <c r="B176" s="31"/>
      <c r="C176" s="3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4"/>
      <c r="AN176" s="1"/>
      <c r="AO176" s="1"/>
      <c r="AP176" s="1"/>
      <c r="AQ176" s="1"/>
      <c r="AR176" s="1"/>
      <c r="AS176" s="1"/>
      <c r="AT176" s="1"/>
      <c r="AU176" s="1"/>
    </row>
    <row r="177" ht="15.75" customHeight="1">
      <c r="A177" s="31"/>
      <c r="B177" s="31"/>
      <c r="C177" s="3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4"/>
      <c r="AN177" s="1"/>
      <c r="AO177" s="1"/>
      <c r="AP177" s="1"/>
      <c r="AQ177" s="1"/>
      <c r="AR177" s="1"/>
      <c r="AS177" s="1"/>
      <c r="AT177" s="1"/>
      <c r="AU177" s="1"/>
    </row>
    <row r="178" ht="15.75" customHeight="1">
      <c r="A178" s="31"/>
      <c r="B178" s="31"/>
      <c r="C178" s="3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4"/>
      <c r="AN178" s="1"/>
      <c r="AO178" s="1"/>
      <c r="AP178" s="1"/>
      <c r="AQ178" s="1"/>
      <c r="AR178" s="1"/>
      <c r="AS178" s="1"/>
      <c r="AT178" s="1"/>
      <c r="AU178" s="1"/>
    </row>
    <row r="179" ht="15.75" customHeight="1">
      <c r="A179" s="31"/>
      <c r="B179" s="31"/>
      <c r="C179" s="3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4"/>
      <c r="AN179" s="1"/>
      <c r="AO179" s="1"/>
      <c r="AP179" s="1"/>
      <c r="AQ179" s="1"/>
      <c r="AR179" s="1"/>
      <c r="AS179" s="1"/>
      <c r="AT179" s="1"/>
      <c r="AU179" s="1"/>
    </row>
    <row r="180" ht="15.75" customHeight="1">
      <c r="A180" s="31"/>
      <c r="B180" s="31"/>
      <c r="C180" s="3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4"/>
      <c r="AN180" s="1"/>
      <c r="AO180" s="1"/>
      <c r="AP180" s="1"/>
      <c r="AQ180" s="1"/>
      <c r="AR180" s="1"/>
      <c r="AS180" s="1"/>
      <c r="AT180" s="1"/>
      <c r="AU180" s="1"/>
    </row>
    <row r="181" ht="15.75" customHeight="1">
      <c r="A181" s="31"/>
      <c r="B181" s="31"/>
      <c r="C181" s="3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4"/>
      <c r="AN181" s="1"/>
      <c r="AO181" s="1"/>
      <c r="AP181" s="1"/>
      <c r="AQ181" s="1"/>
      <c r="AR181" s="1"/>
      <c r="AS181" s="1"/>
      <c r="AT181" s="1"/>
      <c r="AU181" s="1"/>
    </row>
    <row r="182" ht="15.75" customHeight="1">
      <c r="A182" s="31"/>
      <c r="B182" s="31"/>
      <c r="C182" s="3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4"/>
      <c r="AN182" s="1"/>
      <c r="AO182" s="1"/>
      <c r="AP182" s="1"/>
      <c r="AQ182" s="1"/>
      <c r="AR182" s="1"/>
      <c r="AS182" s="1"/>
      <c r="AT182" s="1"/>
      <c r="AU182" s="1"/>
    </row>
    <row r="183" ht="15.75" customHeight="1">
      <c r="A183" s="31"/>
      <c r="B183" s="31"/>
      <c r="C183" s="3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4"/>
      <c r="AN183" s="1"/>
      <c r="AO183" s="1"/>
      <c r="AP183" s="1"/>
      <c r="AQ183" s="1"/>
      <c r="AR183" s="1"/>
      <c r="AS183" s="1"/>
      <c r="AT183" s="1"/>
      <c r="AU183" s="1"/>
    </row>
    <row r="184" ht="15.75" customHeight="1">
      <c r="A184" s="31"/>
      <c r="B184" s="31"/>
      <c r="C184" s="3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4"/>
      <c r="AN184" s="1"/>
      <c r="AO184" s="1"/>
      <c r="AP184" s="1"/>
      <c r="AQ184" s="1"/>
      <c r="AR184" s="1"/>
      <c r="AS184" s="1"/>
      <c r="AT184" s="1"/>
      <c r="AU184" s="1"/>
    </row>
    <row r="185" ht="15.75" customHeight="1">
      <c r="A185" s="31"/>
      <c r="B185" s="31"/>
      <c r="C185" s="3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4"/>
      <c r="AN185" s="1"/>
      <c r="AO185" s="1"/>
      <c r="AP185" s="1"/>
      <c r="AQ185" s="1"/>
      <c r="AR185" s="1"/>
      <c r="AS185" s="1"/>
      <c r="AT185" s="1"/>
      <c r="AU185" s="1"/>
    </row>
    <row r="186" ht="15.75" customHeight="1">
      <c r="A186" s="31"/>
      <c r="B186" s="31"/>
      <c r="C186" s="3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4"/>
      <c r="AN186" s="1"/>
      <c r="AO186" s="1"/>
      <c r="AP186" s="1"/>
      <c r="AQ186" s="1"/>
      <c r="AR186" s="1"/>
      <c r="AS186" s="1"/>
      <c r="AT186" s="1"/>
      <c r="AU186" s="1"/>
    </row>
    <row r="187" ht="15.75" customHeight="1">
      <c r="A187" s="31"/>
      <c r="B187" s="31"/>
      <c r="C187" s="3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4"/>
      <c r="AN187" s="1"/>
      <c r="AO187" s="1"/>
      <c r="AP187" s="1"/>
      <c r="AQ187" s="1"/>
      <c r="AR187" s="1"/>
      <c r="AS187" s="1"/>
      <c r="AT187" s="1"/>
      <c r="AU187" s="1"/>
    </row>
    <row r="188" ht="15.75" customHeight="1">
      <c r="A188" s="31"/>
      <c r="B188" s="31"/>
      <c r="C188" s="3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4"/>
      <c r="AN188" s="1"/>
      <c r="AO188" s="1"/>
      <c r="AP188" s="1"/>
      <c r="AQ188" s="1"/>
      <c r="AR188" s="1"/>
      <c r="AS188" s="1"/>
      <c r="AT188" s="1"/>
      <c r="AU188" s="1"/>
    </row>
    <row r="189" ht="15.75" customHeight="1">
      <c r="A189" s="31"/>
      <c r="B189" s="31"/>
      <c r="C189" s="3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4"/>
      <c r="AN189" s="1"/>
      <c r="AO189" s="1"/>
      <c r="AP189" s="1"/>
      <c r="AQ189" s="1"/>
      <c r="AR189" s="1"/>
      <c r="AS189" s="1"/>
      <c r="AT189" s="1"/>
      <c r="AU189" s="1"/>
    </row>
    <row r="190" ht="15.75" customHeight="1">
      <c r="A190" s="31"/>
      <c r="B190" s="31"/>
      <c r="C190" s="3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4"/>
      <c r="AN190" s="1"/>
      <c r="AO190" s="1"/>
      <c r="AP190" s="1"/>
      <c r="AQ190" s="1"/>
      <c r="AR190" s="1"/>
      <c r="AS190" s="1"/>
      <c r="AT190" s="1"/>
      <c r="AU190" s="1"/>
    </row>
    <row r="191" ht="15.75" customHeight="1">
      <c r="A191" s="31"/>
      <c r="B191" s="31"/>
      <c r="C191" s="3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4"/>
      <c r="AN191" s="1"/>
      <c r="AO191" s="1"/>
      <c r="AP191" s="1"/>
      <c r="AQ191" s="1"/>
      <c r="AR191" s="1"/>
      <c r="AS191" s="1"/>
      <c r="AT191" s="1"/>
      <c r="AU191" s="1"/>
    </row>
    <row r="192" ht="15.75" customHeight="1">
      <c r="A192" s="31"/>
      <c r="B192" s="31"/>
      <c r="C192" s="3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4"/>
      <c r="AN192" s="1"/>
      <c r="AO192" s="1"/>
      <c r="AP192" s="1"/>
      <c r="AQ192" s="1"/>
      <c r="AR192" s="1"/>
      <c r="AS192" s="1"/>
      <c r="AT192" s="1"/>
      <c r="AU192" s="1"/>
    </row>
    <row r="193" ht="15.75" customHeight="1">
      <c r="A193" s="31"/>
      <c r="B193" s="31"/>
      <c r="C193" s="3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4"/>
      <c r="AN193" s="1"/>
      <c r="AO193" s="1"/>
      <c r="AP193" s="1"/>
      <c r="AQ193" s="1"/>
      <c r="AR193" s="1"/>
      <c r="AS193" s="1"/>
      <c r="AT193" s="1"/>
      <c r="AU193" s="1"/>
    </row>
    <row r="194" ht="15.75" customHeight="1">
      <c r="A194" s="31"/>
      <c r="B194" s="31"/>
      <c r="C194" s="3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4"/>
      <c r="AN194" s="1"/>
      <c r="AO194" s="1"/>
      <c r="AP194" s="1"/>
      <c r="AQ194" s="1"/>
      <c r="AR194" s="1"/>
      <c r="AS194" s="1"/>
      <c r="AT194" s="1"/>
      <c r="AU194" s="1"/>
    </row>
    <row r="195" ht="15.75" customHeight="1">
      <c r="A195" s="31"/>
      <c r="B195" s="31"/>
      <c r="C195" s="3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4"/>
      <c r="AN195" s="1"/>
      <c r="AO195" s="1"/>
      <c r="AP195" s="1"/>
      <c r="AQ195" s="1"/>
      <c r="AR195" s="1"/>
      <c r="AS195" s="1"/>
      <c r="AT195" s="1"/>
      <c r="AU195" s="1"/>
    </row>
    <row r="196" ht="15.75" customHeight="1">
      <c r="A196" s="31"/>
      <c r="B196" s="31"/>
      <c r="C196" s="3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4"/>
      <c r="AN196" s="1"/>
      <c r="AO196" s="1"/>
      <c r="AP196" s="1"/>
      <c r="AQ196" s="1"/>
      <c r="AR196" s="1"/>
      <c r="AS196" s="1"/>
      <c r="AT196" s="1"/>
      <c r="AU196" s="1"/>
    </row>
    <row r="197" ht="15.75" customHeight="1">
      <c r="A197" s="31"/>
      <c r="B197" s="31"/>
      <c r="C197" s="3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4"/>
      <c r="AN197" s="1"/>
      <c r="AO197" s="1"/>
      <c r="AP197" s="1"/>
      <c r="AQ197" s="1"/>
      <c r="AR197" s="1"/>
      <c r="AS197" s="1"/>
      <c r="AT197" s="1"/>
      <c r="AU197" s="1"/>
    </row>
    <row r="198" ht="15.75" customHeight="1">
      <c r="A198" s="31"/>
      <c r="B198" s="31"/>
      <c r="C198" s="3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4"/>
      <c r="AN198" s="1"/>
      <c r="AO198" s="1"/>
      <c r="AP198" s="1"/>
      <c r="AQ198" s="1"/>
      <c r="AR198" s="1"/>
      <c r="AS198" s="1"/>
      <c r="AT198" s="1"/>
      <c r="AU198" s="1"/>
    </row>
    <row r="199" ht="15.75" customHeight="1">
      <c r="A199" s="31"/>
      <c r="B199" s="31"/>
      <c r="C199" s="3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4"/>
      <c r="AN199" s="1"/>
      <c r="AO199" s="1"/>
      <c r="AP199" s="1"/>
      <c r="AQ199" s="1"/>
      <c r="AR199" s="1"/>
      <c r="AS199" s="1"/>
      <c r="AT199" s="1"/>
      <c r="AU199" s="1"/>
    </row>
    <row r="200" ht="15.75" customHeight="1">
      <c r="A200" s="31"/>
      <c r="B200" s="31"/>
      <c r="C200" s="3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4"/>
      <c r="AN200" s="1"/>
      <c r="AO200" s="1"/>
      <c r="AP200" s="1"/>
      <c r="AQ200" s="1"/>
      <c r="AR200" s="1"/>
      <c r="AS200" s="1"/>
      <c r="AT200" s="1"/>
      <c r="AU200" s="1"/>
    </row>
    <row r="201" ht="15.75" customHeight="1">
      <c r="A201" s="31"/>
      <c r="B201" s="31"/>
      <c r="C201" s="3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4"/>
      <c r="AN201" s="1"/>
      <c r="AO201" s="1"/>
      <c r="AP201" s="1"/>
      <c r="AQ201" s="1"/>
      <c r="AR201" s="1"/>
      <c r="AS201" s="1"/>
      <c r="AT201" s="1"/>
      <c r="AU201" s="1"/>
    </row>
    <row r="202" ht="15.75" customHeight="1">
      <c r="A202" s="31"/>
      <c r="B202" s="31"/>
      <c r="C202" s="3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4"/>
      <c r="AN202" s="1"/>
      <c r="AO202" s="1"/>
      <c r="AP202" s="1"/>
      <c r="AQ202" s="1"/>
      <c r="AR202" s="1"/>
      <c r="AS202" s="1"/>
      <c r="AT202" s="1"/>
      <c r="AU202" s="1"/>
    </row>
    <row r="203" ht="15.75" customHeight="1">
      <c r="A203" s="31"/>
      <c r="B203" s="31"/>
      <c r="C203" s="3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4"/>
      <c r="AN203" s="1"/>
      <c r="AO203" s="1"/>
      <c r="AP203" s="1"/>
      <c r="AQ203" s="1"/>
      <c r="AR203" s="1"/>
      <c r="AS203" s="1"/>
      <c r="AT203" s="1"/>
      <c r="AU203" s="1"/>
    </row>
    <row r="204" ht="15.75" customHeight="1">
      <c r="A204" s="31"/>
      <c r="B204" s="31"/>
      <c r="C204" s="3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4"/>
      <c r="AN204" s="1"/>
      <c r="AO204" s="1"/>
      <c r="AP204" s="1"/>
      <c r="AQ204" s="1"/>
      <c r="AR204" s="1"/>
      <c r="AS204" s="1"/>
      <c r="AT204" s="1"/>
      <c r="AU204" s="1"/>
    </row>
    <row r="205" ht="15.75" customHeight="1">
      <c r="A205" s="31"/>
      <c r="B205" s="31"/>
      <c r="C205" s="3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4"/>
      <c r="AN205" s="1"/>
      <c r="AO205" s="1"/>
      <c r="AP205" s="1"/>
      <c r="AQ205" s="1"/>
      <c r="AR205" s="1"/>
      <c r="AS205" s="1"/>
      <c r="AT205" s="1"/>
      <c r="AU205" s="1"/>
    </row>
    <row r="206" ht="15.75" customHeight="1">
      <c r="A206" s="31"/>
      <c r="B206" s="31"/>
      <c r="C206" s="3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4"/>
      <c r="AN206" s="1"/>
      <c r="AO206" s="1"/>
      <c r="AP206" s="1"/>
      <c r="AQ206" s="1"/>
      <c r="AR206" s="1"/>
      <c r="AS206" s="1"/>
      <c r="AT206" s="1"/>
      <c r="AU206" s="1"/>
    </row>
    <row r="207" ht="15.75" customHeight="1">
      <c r="A207" s="31"/>
      <c r="B207" s="31"/>
      <c r="C207" s="3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4"/>
      <c r="AN207" s="1"/>
      <c r="AO207" s="1"/>
      <c r="AP207" s="1"/>
      <c r="AQ207" s="1"/>
      <c r="AR207" s="1"/>
      <c r="AS207" s="1"/>
      <c r="AT207" s="1"/>
      <c r="AU207" s="1"/>
    </row>
    <row r="208" ht="15.75" customHeight="1">
      <c r="A208" s="31"/>
      <c r="B208" s="31"/>
      <c r="C208" s="3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4"/>
      <c r="AN208" s="1"/>
      <c r="AO208" s="1"/>
      <c r="AP208" s="1"/>
      <c r="AQ208" s="1"/>
      <c r="AR208" s="1"/>
      <c r="AS208" s="1"/>
      <c r="AT208" s="1"/>
      <c r="AU208" s="1"/>
    </row>
    <row r="209" ht="15.75" customHeight="1">
      <c r="A209" s="31"/>
      <c r="B209" s="31"/>
      <c r="C209" s="3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4"/>
      <c r="AN209" s="1"/>
      <c r="AO209" s="1"/>
      <c r="AP209" s="1"/>
      <c r="AQ209" s="1"/>
      <c r="AR209" s="1"/>
      <c r="AS209" s="1"/>
      <c r="AT209" s="1"/>
      <c r="AU209" s="1"/>
    </row>
    <row r="210" ht="15.75" customHeight="1">
      <c r="A210" s="31"/>
      <c r="B210" s="31"/>
      <c r="C210" s="3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4"/>
      <c r="AN210" s="1"/>
      <c r="AO210" s="1"/>
      <c r="AP210" s="1"/>
      <c r="AQ210" s="1"/>
      <c r="AR210" s="1"/>
      <c r="AS210" s="1"/>
      <c r="AT210" s="1"/>
      <c r="AU210" s="1"/>
    </row>
    <row r="211" ht="15.75" customHeight="1">
      <c r="A211" s="31"/>
      <c r="B211" s="31"/>
      <c r="C211" s="3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4"/>
      <c r="AN211" s="1"/>
      <c r="AO211" s="1"/>
      <c r="AP211" s="1"/>
      <c r="AQ211" s="1"/>
      <c r="AR211" s="1"/>
      <c r="AS211" s="1"/>
      <c r="AT211" s="1"/>
      <c r="AU211" s="1"/>
    </row>
    <row r="212" ht="15.75" customHeight="1">
      <c r="A212" s="31"/>
      <c r="B212" s="31"/>
      <c r="C212" s="3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4"/>
      <c r="AN212" s="1"/>
      <c r="AO212" s="1"/>
      <c r="AP212" s="1"/>
      <c r="AQ212" s="1"/>
      <c r="AR212" s="1"/>
      <c r="AS212" s="1"/>
      <c r="AT212" s="1"/>
      <c r="AU212" s="1"/>
    </row>
    <row r="213" ht="15.75" customHeight="1">
      <c r="A213" s="31"/>
      <c r="B213" s="31"/>
      <c r="C213" s="3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4"/>
      <c r="AN213" s="1"/>
      <c r="AO213" s="1"/>
      <c r="AP213" s="1"/>
      <c r="AQ213" s="1"/>
      <c r="AR213" s="1"/>
      <c r="AS213" s="1"/>
      <c r="AT213" s="1"/>
      <c r="AU213" s="1"/>
    </row>
    <row r="214" ht="15.75" customHeight="1">
      <c r="A214" s="31"/>
      <c r="B214" s="31"/>
      <c r="C214" s="3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4"/>
      <c r="AN214" s="1"/>
      <c r="AO214" s="1"/>
      <c r="AP214" s="1"/>
      <c r="AQ214" s="1"/>
      <c r="AR214" s="1"/>
      <c r="AS214" s="1"/>
      <c r="AT214" s="1"/>
      <c r="AU214" s="1"/>
    </row>
    <row r="215" ht="15.75" customHeight="1">
      <c r="A215" s="31"/>
      <c r="B215" s="31"/>
      <c r="C215" s="3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4"/>
      <c r="AN215" s="1"/>
      <c r="AO215" s="1"/>
      <c r="AP215" s="1"/>
      <c r="AQ215" s="1"/>
      <c r="AR215" s="1"/>
      <c r="AS215" s="1"/>
      <c r="AT215" s="1"/>
      <c r="AU215" s="1"/>
    </row>
    <row r="216" ht="15.75" customHeight="1">
      <c r="A216" s="31"/>
      <c r="B216" s="31"/>
      <c r="C216" s="3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4"/>
      <c r="AN216" s="1"/>
      <c r="AO216" s="1"/>
      <c r="AP216" s="1"/>
      <c r="AQ216" s="1"/>
      <c r="AR216" s="1"/>
      <c r="AS216" s="1"/>
      <c r="AT216" s="1"/>
      <c r="AU216" s="1"/>
    </row>
    <row r="217" ht="15.75" customHeight="1">
      <c r="A217" s="31"/>
      <c r="B217" s="31"/>
      <c r="C217" s="3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4"/>
      <c r="AN217" s="1"/>
      <c r="AO217" s="1"/>
      <c r="AP217" s="1"/>
      <c r="AQ217" s="1"/>
      <c r="AR217" s="1"/>
      <c r="AS217" s="1"/>
      <c r="AT217" s="1"/>
      <c r="AU217" s="1"/>
    </row>
    <row r="218" ht="15.75" customHeight="1">
      <c r="A218" s="31"/>
      <c r="B218" s="31"/>
      <c r="C218" s="3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4"/>
      <c r="AN218" s="1"/>
      <c r="AO218" s="1"/>
      <c r="AP218" s="1"/>
      <c r="AQ218" s="1"/>
      <c r="AR218" s="1"/>
      <c r="AS218" s="1"/>
      <c r="AT218" s="1"/>
      <c r="AU218" s="1"/>
    </row>
    <row r="219" ht="15.75" customHeight="1">
      <c r="A219" s="31"/>
      <c r="B219" s="31"/>
      <c r="C219" s="3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4"/>
      <c r="AN219" s="1"/>
      <c r="AO219" s="1"/>
      <c r="AP219" s="1"/>
      <c r="AQ219" s="1"/>
      <c r="AR219" s="1"/>
      <c r="AS219" s="1"/>
      <c r="AT219" s="1"/>
      <c r="AU219" s="1"/>
    </row>
    <row r="220" ht="15.75" customHeight="1">
      <c r="A220" s="31"/>
      <c r="B220" s="31"/>
      <c r="C220" s="3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4"/>
      <c r="AN220" s="1"/>
      <c r="AO220" s="1"/>
      <c r="AP220" s="1"/>
      <c r="AQ220" s="1"/>
      <c r="AR220" s="1"/>
      <c r="AS220" s="1"/>
      <c r="AT220" s="1"/>
      <c r="AU220" s="1"/>
    </row>
    <row r="221" ht="15.75" customHeight="1">
      <c r="A221" s="31"/>
      <c r="B221" s="31"/>
      <c r="C221" s="3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4"/>
      <c r="AN221" s="1"/>
      <c r="AO221" s="1"/>
      <c r="AP221" s="1"/>
      <c r="AQ221" s="1"/>
      <c r="AR221" s="1"/>
      <c r="AS221" s="1"/>
      <c r="AT221" s="1"/>
      <c r="AU221" s="1"/>
    </row>
    <row r="222" ht="15.75" customHeight="1">
      <c r="A222" s="31"/>
      <c r="B222" s="31"/>
      <c r="C222" s="3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4"/>
      <c r="AN222" s="1"/>
      <c r="AO222" s="1"/>
      <c r="AP222" s="1"/>
      <c r="AQ222" s="1"/>
      <c r="AR222" s="1"/>
      <c r="AS222" s="1"/>
      <c r="AT222" s="1"/>
      <c r="AU222" s="1"/>
    </row>
    <row r="223" ht="15.75" customHeight="1">
      <c r="A223" s="31"/>
      <c r="B223" s="31"/>
      <c r="C223" s="3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4"/>
      <c r="AN223" s="1"/>
      <c r="AO223" s="1"/>
      <c r="AP223" s="1"/>
      <c r="AQ223" s="1"/>
      <c r="AR223" s="1"/>
      <c r="AS223" s="1"/>
      <c r="AT223" s="1"/>
      <c r="AU223" s="1"/>
    </row>
    <row r="224" ht="15.75" customHeight="1">
      <c r="A224" s="31"/>
      <c r="B224" s="31"/>
      <c r="C224" s="3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4"/>
      <c r="AN224" s="1"/>
      <c r="AO224" s="1"/>
      <c r="AP224" s="1"/>
      <c r="AQ224" s="1"/>
      <c r="AR224" s="1"/>
      <c r="AS224" s="1"/>
      <c r="AT224" s="1"/>
      <c r="AU224" s="1"/>
    </row>
    <row r="225" ht="15.75" customHeight="1">
      <c r="A225" s="31"/>
      <c r="B225" s="31"/>
      <c r="C225" s="3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4"/>
      <c r="AN225" s="1"/>
      <c r="AO225" s="1"/>
      <c r="AP225" s="1"/>
      <c r="AQ225" s="1"/>
      <c r="AR225" s="1"/>
      <c r="AS225" s="1"/>
      <c r="AT225" s="1"/>
      <c r="AU225" s="1"/>
    </row>
    <row r="226" ht="15.75" customHeight="1">
      <c r="A226" s="31"/>
      <c r="B226" s="31"/>
      <c r="C226" s="3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4"/>
      <c r="AN226" s="1"/>
      <c r="AO226" s="1"/>
      <c r="AP226" s="1"/>
      <c r="AQ226" s="1"/>
      <c r="AR226" s="1"/>
      <c r="AS226" s="1"/>
      <c r="AT226" s="1"/>
      <c r="AU226" s="1"/>
    </row>
    <row r="227" ht="15.75" customHeight="1">
      <c r="A227" s="31"/>
      <c r="B227" s="31"/>
      <c r="C227" s="3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4"/>
      <c r="AN227" s="1"/>
      <c r="AO227" s="1"/>
      <c r="AP227" s="1"/>
      <c r="AQ227" s="1"/>
      <c r="AR227" s="1"/>
      <c r="AS227" s="1"/>
      <c r="AT227" s="1"/>
      <c r="AU227" s="1"/>
    </row>
    <row r="228" ht="15.75" customHeight="1">
      <c r="A228" s="31"/>
      <c r="B228" s="31"/>
      <c r="C228" s="3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4"/>
      <c r="AN228" s="1"/>
      <c r="AO228" s="1"/>
      <c r="AP228" s="1"/>
      <c r="AQ228" s="1"/>
      <c r="AR228" s="1"/>
      <c r="AS228" s="1"/>
      <c r="AT228" s="1"/>
      <c r="AU228" s="1"/>
    </row>
    <row r="229" ht="15.75" customHeight="1">
      <c r="A229" s="31"/>
      <c r="B229" s="31"/>
      <c r="C229" s="3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4"/>
      <c r="AN229" s="1"/>
      <c r="AO229" s="1"/>
      <c r="AP229" s="1"/>
      <c r="AQ229" s="1"/>
      <c r="AR229" s="1"/>
      <c r="AS229" s="1"/>
      <c r="AT229" s="1"/>
      <c r="AU229" s="1"/>
    </row>
    <row r="230" ht="15.75" customHeight="1">
      <c r="A230" s="31"/>
      <c r="B230" s="31"/>
      <c r="C230" s="3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4"/>
      <c r="AN230" s="1"/>
      <c r="AO230" s="1"/>
      <c r="AP230" s="1"/>
      <c r="AQ230" s="1"/>
      <c r="AR230" s="1"/>
      <c r="AS230" s="1"/>
      <c r="AT230" s="1"/>
      <c r="AU230" s="1"/>
    </row>
    <row r="231" ht="15.75" customHeight="1">
      <c r="A231" s="31"/>
      <c r="B231" s="31"/>
      <c r="C231" s="3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4"/>
      <c r="AN231" s="1"/>
      <c r="AO231" s="1"/>
      <c r="AP231" s="1"/>
      <c r="AQ231" s="1"/>
      <c r="AR231" s="1"/>
      <c r="AS231" s="1"/>
      <c r="AT231" s="1"/>
      <c r="AU231" s="1"/>
    </row>
    <row r="232" ht="15.75" customHeight="1">
      <c r="A232" s="31"/>
      <c r="B232" s="31"/>
      <c r="C232" s="3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4"/>
      <c r="AN232" s="1"/>
      <c r="AO232" s="1"/>
      <c r="AP232" s="1"/>
      <c r="AQ232" s="1"/>
      <c r="AR232" s="1"/>
      <c r="AS232" s="1"/>
      <c r="AT232" s="1"/>
      <c r="AU232" s="1"/>
    </row>
    <row r="233" ht="15.75" customHeight="1">
      <c r="A233" s="31"/>
      <c r="B233" s="31"/>
      <c r="C233" s="3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4"/>
      <c r="AN233" s="1"/>
      <c r="AO233" s="1"/>
      <c r="AP233" s="1"/>
      <c r="AQ233" s="1"/>
      <c r="AR233" s="1"/>
      <c r="AS233" s="1"/>
      <c r="AT233" s="1"/>
      <c r="AU233" s="1"/>
    </row>
    <row r="234" ht="15.75" customHeight="1">
      <c r="A234" s="31"/>
      <c r="B234" s="31"/>
      <c r="C234" s="3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4"/>
      <c r="AN234" s="1"/>
      <c r="AO234" s="1"/>
      <c r="AP234" s="1"/>
      <c r="AQ234" s="1"/>
      <c r="AR234" s="1"/>
      <c r="AS234" s="1"/>
      <c r="AT234" s="1"/>
      <c r="AU234" s="1"/>
    </row>
    <row r="235" ht="15.75" customHeight="1">
      <c r="A235" s="31"/>
      <c r="B235" s="31"/>
      <c r="C235" s="3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4"/>
      <c r="AN235" s="1"/>
      <c r="AO235" s="1"/>
      <c r="AP235" s="1"/>
      <c r="AQ235" s="1"/>
      <c r="AR235" s="1"/>
      <c r="AS235" s="1"/>
      <c r="AT235" s="1"/>
      <c r="AU235" s="1"/>
    </row>
    <row r="236" ht="15.75" customHeight="1">
      <c r="A236" s="31"/>
      <c r="B236" s="31"/>
      <c r="C236" s="3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4"/>
      <c r="AN236" s="1"/>
      <c r="AO236" s="1"/>
      <c r="AP236" s="1"/>
      <c r="AQ236" s="1"/>
      <c r="AR236" s="1"/>
      <c r="AS236" s="1"/>
      <c r="AT236" s="1"/>
      <c r="AU236" s="1"/>
    </row>
    <row r="237" ht="15.75" customHeight="1">
      <c r="A237" s="31"/>
      <c r="B237" s="31"/>
      <c r="C237" s="3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4"/>
      <c r="AN237" s="1"/>
      <c r="AO237" s="1"/>
      <c r="AP237" s="1"/>
      <c r="AQ237" s="1"/>
      <c r="AR237" s="1"/>
      <c r="AS237" s="1"/>
      <c r="AT237" s="1"/>
      <c r="AU237" s="1"/>
    </row>
    <row r="238" ht="15.75" customHeight="1">
      <c r="A238" s="31"/>
      <c r="B238" s="31"/>
      <c r="C238" s="3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4"/>
      <c r="AN238" s="1"/>
      <c r="AO238" s="1"/>
      <c r="AP238" s="1"/>
      <c r="AQ238" s="1"/>
      <c r="AR238" s="1"/>
      <c r="AS238" s="1"/>
      <c r="AT238" s="1"/>
      <c r="AU238" s="1"/>
    </row>
    <row r="239" ht="15.75" customHeight="1">
      <c r="A239" s="31"/>
      <c r="B239" s="31"/>
      <c r="C239" s="3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4"/>
      <c r="AN239" s="1"/>
      <c r="AO239" s="1"/>
      <c r="AP239" s="1"/>
      <c r="AQ239" s="1"/>
      <c r="AR239" s="1"/>
      <c r="AS239" s="1"/>
      <c r="AT239" s="1"/>
      <c r="AU239" s="1"/>
    </row>
    <row r="240" ht="15.75" customHeight="1">
      <c r="A240" s="31"/>
      <c r="B240" s="31"/>
      <c r="C240" s="3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4"/>
      <c r="AN240" s="1"/>
      <c r="AO240" s="1"/>
      <c r="AP240" s="1"/>
      <c r="AQ240" s="1"/>
      <c r="AR240" s="1"/>
      <c r="AS240" s="1"/>
      <c r="AT240" s="1"/>
      <c r="AU240" s="1"/>
    </row>
    <row r="241" ht="15.75" customHeight="1">
      <c r="A241" s="31"/>
      <c r="B241" s="31"/>
      <c r="C241" s="3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4"/>
      <c r="AN241" s="1"/>
      <c r="AO241" s="1"/>
      <c r="AP241" s="1"/>
      <c r="AQ241" s="1"/>
      <c r="AR241" s="1"/>
      <c r="AS241" s="1"/>
      <c r="AT241" s="1"/>
      <c r="AU241" s="1"/>
    </row>
    <row r="242" ht="15.75" customHeight="1">
      <c r="A242" s="31"/>
      <c r="B242" s="31"/>
      <c r="C242" s="3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4"/>
      <c r="AN242" s="1"/>
      <c r="AO242" s="1"/>
      <c r="AP242" s="1"/>
      <c r="AQ242" s="1"/>
      <c r="AR242" s="1"/>
      <c r="AS242" s="1"/>
      <c r="AT242" s="1"/>
      <c r="AU242" s="1"/>
    </row>
    <row r="243" ht="15.75" customHeight="1">
      <c r="A243" s="31"/>
      <c r="B243" s="31"/>
      <c r="C243" s="3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4"/>
      <c r="AN243" s="1"/>
      <c r="AO243" s="1"/>
      <c r="AP243" s="1"/>
      <c r="AQ243" s="1"/>
      <c r="AR243" s="1"/>
      <c r="AS243" s="1"/>
      <c r="AT243" s="1"/>
      <c r="AU243" s="1"/>
    </row>
    <row r="244" ht="15.75" customHeight="1">
      <c r="A244" s="31"/>
      <c r="B244" s="31"/>
      <c r="C244" s="3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4"/>
      <c r="AN244" s="1"/>
      <c r="AO244" s="1"/>
      <c r="AP244" s="1"/>
      <c r="AQ244" s="1"/>
      <c r="AR244" s="1"/>
      <c r="AS244" s="1"/>
      <c r="AT244" s="1"/>
      <c r="AU244" s="1"/>
    </row>
    <row r="245" ht="15.75" customHeight="1">
      <c r="A245" s="31"/>
      <c r="B245" s="31"/>
      <c r="C245" s="3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4"/>
      <c r="AN245" s="1"/>
      <c r="AO245" s="1"/>
      <c r="AP245" s="1"/>
      <c r="AQ245" s="1"/>
      <c r="AR245" s="1"/>
      <c r="AS245" s="1"/>
      <c r="AT245" s="1"/>
      <c r="AU245" s="1"/>
    </row>
    <row r="246" ht="15.75" customHeight="1">
      <c r="A246" s="31"/>
      <c r="B246" s="31"/>
      <c r="C246" s="3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4"/>
      <c r="AN246" s="1"/>
      <c r="AO246" s="1"/>
      <c r="AP246" s="1"/>
      <c r="AQ246" s="1"/>
      <c r="AR246" s="1"/>
      <c r="AS246" s="1"/>
      <c r="AT246" s="1"/>
      <c r="AU246" s="1"/>
    </row>
    <row r="247" ht="15.75" customHeight="1">
      <c r="A247" s="31"/>
      <c r="B247" s="31"/>
      <c r="C247" s="3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4"/>
      <c r="AN247" s="1"/>
      <c r="AO247" s="1"/>
      <c r="AP247" s="1"/>
      <c r="AQ247" s="1"/>
      <c r="AR247" s="1"/>
      <c r="AS247" s="1"/>
      <c r="AT247" s="1"/>
      <c r="AU247" s="1"/>
    </row>
    <row r="248" ht="15.75" customHeight="1">
      <c r="A248" s="31"/>
      <c r="B248" s="31"/>
      <c r="C248" s="3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4"/>
      <c r="AN248" s="1"/>
      <c r="AO248" s="1"/>
      <c r="AP248" s="1"/>
      <c r="AQ248" s="1"/>
      <c r="AR248" s="1"/>
      <c r="AS248" s="1"/>
      <c r="AT248" s="1"/>
      <c r="AU248" s="1"/>
    </row>
    <row r="249" ht="15.75" customHeight="1">
      <c r="A249" s="31"/>
      <c r="B249" s="31"/>
      <c r="C249" s="3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4"/>
      <c r="AN249" s="1"/>
      <c r="AO249" s="1"/>
      <c r="AP249" s="1"/>
      <c r="AQ249" s="1"/>
      <c r="AR249" s="1"/>
      <c r="AS249" s="1"/>
      <c r="AT249" s="1"/>
      <c r="AU249" s="1"/>
    </row>
    <row r="250" ht="15.75" customHeight="1">
      <c r="A250" s="31"/>
      <c r="B250" s="31"/>
      <c r="C250" s="3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4"/>
      <c r="AN250" s="1"/>
      <c r="AO250" s="1"/>
      <c r="AP250" s="1"/>
      <c r="AQ250" s="1"/>
      <c r="AR250" s="1"/>
      <c r="AS250" s="1"/>
      <c r="AT250" s="1"/>
      <c r="AU250" s="1"/>
    </row>
    <row r="251" ht="15.75" customHeight="1">
      <c r="A251" s="31"/>
      <c r="B251" s="31"/>
      <c r="C251" s="3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4"/>
      <c r="AN251" s="1"/>
      <c r="AO251" s="1"/>
      <c r="AP251" s="1"/>
      <c r="AQ251" s="1"/>
      <c r="AR251" s="1"/>
      <c r="AS251" s="1"/>
      <c r="AT251" s="1"/>
      <c r="AU251" s="1"/>
    </row>
    <row r="252" ht="15.75" customHeight="1">
      <c r="A252" s="31"/>
      <c r="B252" s="31"/>
      <c r="C252" s="3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4"/>
      <c r="AN252" s="1"/>
      <c r="AO252" s="1"/>
      <c r="AP252" s="1"/>
      <c r="AQ252" s="1"/>
      <c r="AR252" s="1"/>
      <c r="AS252" s="1"/>
      <c r="AT252" s="1"/>
      <c r="AU252" s="1"/>
    </row>
    <row r="253" ht="15.75" customHeight="1">
      <c r="A253" s="31"/>
      <c r="B253" s="31"/>
      <c r="C253" s="3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4"/>
      <c r="AN253" s="1"/>
      <c r="AO253" s="1"/>
      <c r="AP253" s="1"/>
      <c r="AQ253" s="1"/>
      <c r="AR253" s="1"/>
      <c r="AS253" s="1"/>
      <c r="AT253" s="1"/>
      <c r="AU253" s="1"/>
    </row>
    <row r="254" ht="15.75" customHeight="1">
      <c r="A254" s="31"/>
      <c r="B254" s="31"/>
      <c r="C254" s="3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4"/>
      <c r="AN254" s="1"/>
      <c r="AO254" s="1"/>
      <c r="AP254" s="1"/>
      <c r="AQ254" s="1"/>
      <c r="AR254" s="1"/>
      <c r="AS254" s="1"/>
      <c r="AT254" s="1"/>
      <c r="AU254" s="1"/>
    </row>
    <row r="255" ht="15.75" customHeight="1">
      <c r="A255" s="31"/>
      <c r="B255" s="31"/>
      <c r="C255" s="3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4"/>
      <c r="AN255" s="1"/>
      <c r="AO255" s="1"/>
      <c r="AP255" s="1"/>
      <c r="AQ255" s="1"/>
      <c r="AR255" s="1"/>
      <c r="AS255" s="1"/>
      <c r="AT255" s="1"/>
      <c r="AU255" s="1"/>
    </row>
    <row r="256" ht="15.75" customHeight="1">
      <c r="A256" s="31"/>
      <c r="B256" s="31"/>
      <c r="C256" s="3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4"/>
      <c r="AN256" s="1"/>
      <c r="AO256" s="1"/>
      <c r="AP256" s="1"/>
      <c r="AQ256" s="1"/>
      <c r="AR256" s="1"/>
      <c r="AS256" s="1"/>
      <c r="AT256" s="1"/>
      <c r="AU256" s="1"/>
    </row>
    <row r="257" ht="15.75" customHeight="1">
      <c r="A257" s="31"/>
      <c r="B257" s="31"/>
      <c r="C257" s="3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4"/>
      <c r="AN257" s="1"/>
      <c r="AO257" s="1"/>
      <c r="AP257" s="1"/>
      <c r="AQ257" s="1"/>
      <c r="AR257" s="1"/>
      <c r="AS257" s="1"/>
      <c r="AT257" s="1"/>
      <c r="AU257" s="1"/>
    </row>
    <row r="258" ht="15.75" customHeight="1">
      <c r="A258" s="31"/>
      <c r="B258" s="31"/>
      <c r="C258" s="3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4"/>
      <c r="AN258" s="1"/>
      <c r="AO258" s="1"/>
      <c r="AP258" s="1"/>
      <c r="AQ258" s="1"/>
      <c r="AR258" s="1"/>
      <c r="AS258" s="1"/>
      <c r="AT258" s="1"/>
      <c r="AU258" s="1"/>
    </row>
    <row r="259" ht="15.75" customHeight="1">
      <c r="A259" s="31"/>
      <c r="B259" s="31"/>
      <c r="C259" s="3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4"/>
      <c r="AN259" s="1"/>
      <c r="AO259" s="1"/>
      <c r="AP259" s="1"/>
      <c r="AQ259" s="1"/>
      <c r="AR259" s="1"/>
      <c r="AS259" s="1"/>
      <c r="AT259" s="1"/>
      <c r="AU259" s="1"/>
    </row>
    <row r="260" ht="15.75" customHeight="1">
      <c r="A260" s="31"/>
      <c r="B260" s="31"/>
      <c r="C260" s="3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4"/>
      <c r="AN260" s="1"/>
      <c r="AO260" s="1"/>
      <c r="AP260" s="1"/>
      <c r="AQ260" s="1"/>
      <c r="AR260" s="1"/>
      <c r="AS260" s="1"/>
      <c r="AT260" s="1"/>
      <c r="AU260" s="1"/>
    </row>
    <row r="261" ht="15.75" customHeight="1">
      <c r="A261" s="31"/>
      <c r="B261" s="31"/>
      <c r="C261" s="3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4"/>
      <c r="AN261" s="1"/>
      <c r="AO261" s="1"/>
      <c r="AP261" s="1"/>
      <c r="AQ261" s="1"/>
      <c r="AR261" s="1"/>
      <c r="AS261" s="1"/>
      <c r="AT261" s="1"/>
      <c r="AU261" s="1"/>
    </row>
    <row r="262" ht="15.75" customHeight="1">
      <c r="A262" s="31"/>
      <c r="B262" s="31"/>
      <c r="C262" s="3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4"/>
      <c r="AN262" s="1"/>
      <c r="AO262" s="1"/>
      <c r="AP262" s="1"/>
      <c r="AQ262" s="1"/>
      <c r="AR262" s="1"/>
      <c r="AS262" s="1"/>
      <c r="AT262" s="1"/>
      <c r="AU262" s="1"/>
    </row>
    <row r="263" ht="15.75" customHeight="1">
      <c r="A263" s="31"/>
      <c r="B263" s="31"/>
      <c r="C263" s="3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4"/>
      <c r="AN263" s="1"/>
      <c r="AO263" s="1"/>
      <c r="AP263" s="1"/>
      <c r="AQ263" s="1"/>
      <c r="AR263" s="1"/>
      <c r="AS263" s="1"/>
      <c r="AT263" s="1"/>
      <c r="AU263" s="1"/>
    </row>
    <row r="264" ht="15.75" customHeight="1">
      <c r="A264" s="31"/>
      <c r="B264" s="31"/>
      <c r="C264" s="3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4"/>
      <c r="AN264" s="1"/>
      <c r="AO264" s="1"/>
      <c r="AP264" s="1"/>
      <c r="AQ264" s="1"/>
      <c r="AR264" s="1"/>
      <c r="AS264" s="1"/>
      <c r="AT264" s="1"/>
      <c r="AU264" s="1"/>
    </row>
    <row r="265" ht="15.75" customHeight="1">
      <c r="A265" s="31"/>
      <c r="B265" s="31"/>
      <c r="C265" s="3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4"/>
      <c r="AN265" s="1"/>
      <c r="AO265" s="1"/>
      <c r="AP265" s="1"/>
      <c r="AQ265" s="1"/>
      <c r="AR265" s="1"/>
      <c r="AS265" s="1"/>
      <c r="AT265" s="1"/>
      <c r="AU265" s="1"/>
    </row>
    <row r="266" ht="15.75" customHeight="1">
      <c r="A266" s="31"/>
      <c r="B266" s="31"/>
      <c r="C266" s="3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4"/>
      <c r="AN266" s="1"/>
      <c r="AO266" s="1"/>
      <c r="AP266" s="1"/>
      <c r="AQ266" s="1"/>
      <c r="AR266" s="1"/>
      <c r="AS266" s="1"/>
      <c r="AT266" s="1"/>
      <c r="AU266" s="1"/>
    </row>
    <row r="267" ht="15.75" customHeight="1">
      <c r="A267" s="31"/>
      <c r="B267" s="31"/>
      <c r="C267" s="3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4"/>
      <c r="AN267" s="1"/>
      <c r="AO267" s="1"/>
      <c r="AP267" s="1"/>
      <c r="AQ267" s="1"/>
      <c r="AR267" s="1"/>
      <c r="AS267" s="1"/>
      <c r="AT267" s="1"/>
      <c r="AU267" s="1"/>
    </row>
    <row r="268" ht="15.75" customHeight="1">
      <c r="A268" s="31"/>
      <c r="B268" s="31"/>
      <c r="C268" s="3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4"/>
      <c r="AN268" s="1"/>
      <c r="AO268" s="1"/>
      <c r="AP268" s="1"/>
      <c r="AQ268" s="1"/>
      <c r="AR268" s="1"/>
      <c r="AS268" s="1"/>
      <c r="AT268" s="1"/>
      <c r="AU268" s="1"/>
    </row>
    <row r="269" ht="15.75" customHeight="1">
      <c r="A269" s="31"/>
      <c r="B269" s="31"/>
      <c r="C269" s="3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4"/>
      <c r="AN269" s="1"/>
      <c r="AO269" s="1"/>
      <c r="AP269" s="1"/>
      <c r="AQ269" s="1"/>
      <c r="AR269" s="1"/>
      <c r="AS269" s="1"/>
      <c r="AT269" s="1"/>
      <c r="AU269" s="1"/>
    </row>
    <row r="270" ht="15.75" customHeight="1">
      <c r="A270" s="31"/>
      <c r="B270" s="31"/>
      <c r="C270" s="3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4"/>
      <c r="AN270" s="1"/>
      <c r="AO270" s="1"/>
      <c r="AP270" s="1"/>
      <c r="AQ270" s="1"/>
      <c r="AR270" s="1"/>
      <c r="AS270" s="1"/>
      <c r="AT270" s="1"/>
      <c r="AU270" s="1"/>
    </row>
    <row r="271" ht="15.75" customHeight="1">
      <c r="A271" s="31"/>
      <c r="B271" s="31"/>
      <c r="C271" s="3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4"/>
      <c r="AN271" s="1"/>
      <c r="AO271" s="1"/>
      <c r="AP271" s="1"/>
      <c r="AQ271" s="1"/>
      <c r="AR271" s="1"/>
      <c r="AS271" s="1"/>
      <c r="AT271" s="1"/>
      <c r="AU271" s="1"/>
    </row>
    <row r="272" ht="15.75" customHeight="1">
      <c r="A272" s="31"/>
      <c r="B272" s="31"/>
      <c r="C272" s="3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4"/>
      <c r="AN272" s="1"/>
      <c r="AO272" s="1"/>
      <c r="AP272" s="1"/>
      <c r="AQ272" s="1"/>
      <c r="AR272" s="1"/>
      <c r="AS272" s="1"/>
      <c r="AT272" s="1"/>
      <c r="AU272" s="1"/>
    </row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6">
    <mergeCell ref="A7:A9"/>
    <mergeCell ref="B7:B9"/>
    <mergeCell ref="C7:C9"/>
    <mergeCell ref="AM7:AM9"/>
    <mergeCell ref="A2:A3"/>
    <mergeCell ref="B2:B3"/>
    <mergeCell ref="C2:C3"/>
    <mergeCell ref="D2:D3"/>
    <mergeCell ref="A4:A6"/>
    <mergeCell ref="B4:B6"/>
    <mergeCell ref="C4:C6"/>
    <mergeCell ref="B16:B18"/>
    <mergeCell ref="C16:C18"/>
    <mergeCell ref="AM16:AM18"/>
    <mergeCell ref="A19:A21"/>
    <mergeCell ref="B19:B21"/>
    <mergeCell ref="C19:C21"/>
    <mergeCell ref="AM19:AM21"/>
    <mergeCell ref="A10:A12"/>
    <mergeCell ref="B10:B12"/>
    <mergeCell ref="C10:C12"/>
    <mergeCell ref="A13:A15"/>
    <mergeCell ref="B13:B15"/>
    <mergeCell ref="C13:C15"/>
    <mergeCell ref="A16:A18"/>
    <mergeCell ref="B28:B30"/>
    <mergeCell ref="C28:C30"/>
    <mergeCell ref="A22:A24"/>
    <mergeCell ref="B22:B24"/>
    <mergeCell ref="C22:C24"/>
    <mergeCell ref="A25:A27"/>
    <mergeCell ref="B25:B27"/>
    <mergeCell ref="C25:C27"/>
    <mergeCell ref="A28:A30"/>
    <mergeCell ref="B64:B66"/>
    <mergeCell ref="C64:C66"/>
    <mergeCell ref="A58:A60"/>
    <mergeCell ref="B58:B60"/>
    <mergeCell ref="C58:C60"/>
    <mergeCell ref="A61:A63"/>
    <mergeCell ref="B61:B63"/>
    <mergeCell ref="C61:C63"/>
    <mergeCell ref="A64:A66"/>
    <mergeCell ref="B37:B39"/>
    <mergeCell ref="C37:C39"/>
    <mergeCell ref="A31:A33"/>
    <mergeCell ref="B31:B33"/>
    <mergeCell ref="C31:C33"/>
    <mergeCell ref="A34:A36"/>
    <mergeCell ref="B34:B36"/>
    <mergeCell ref="C34:C36"/>
    <mergeCell ref="A37:A39"/>
    <mergeCell ref="B46:B48"/>
    <mergeCell ref="C46:C48"/>
    <mergeCell ref="A40:A42"/>
    <mergeCell ref="B40:B42"/>
    <mergeCell ref="C40:C42"/>
    <mergeCell ref="A43:A45"/>
    <mergeCell ref="B43:B45"/>
    <mergeCell ref="C43:C45"/>
    <mergeCell ref="A46:A48"/>
    <mergeCell ref="B55:B57"/>
    <mergeCell ref="C55:C57"/>
    <mergeCell ref="A49:A51"/>
    <mergeCell ref="B49:B51"/>
    <mergeCell ref="C49:C51"/>
    <mergeCell ref="A52:A54"/>
    <mergeCell ref="B52:B54"/>
    <mergeCell ref="C52:C54"/>
    <mergeCell ref="A55:A57"/>
    <mergeCell ref="A67:A69"/>
    <mergeCell ref="B67:B69"/>
    <mergeCell ref="C67:C69"/>
    <mergeCell ref="A70:A72"/>
    <mergeCell ref="B70:B72"/>
    <mergeCell ref="C70:C72"/>
  </mergeCells>
  <printOptions horizontalCentered="1"/>
  <pageMargins bottom="0.75" footer="0.0" header="0.0" left="0.7" right="0.7" top="0.75"/>
  <pageSetup fitToHeight="0" paperSize="9" cellComments="atEnd" orientation="landscape" pageOrder="overThenDown"/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4" width="12.63"/>
    <col customWidth="1" min="5" max="35" width="2.63"/>
    <col customWidth="1" min="36" max="36" width="5.25"/>
    <col customWidth="1" min="37" max="37" width="5.63"/>
    <col customWidth="1" min="38" max="38" width="7.63"/>
    <col customWidth="1" min="39" max="39" width="25.75"/>
    <col customWidth="1" min="40" max="47" width="2.63"/>
  </cols>
  <sheetData>
    <row r="1" ht="15.75" customHeight="1">
      <c r="A1" s="1">
        <v>2026.0</v>
      </c>
      <c r="B1" s="1">
        <v>1.0</v>
      </c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4"/>
      <c r="AN1" s="1"/>
      <c r="AO1" s="1"/>
      <c r="AP1" s="1"/>
      <c r="AQ1" s="1"/>
      <c r="AR1" s="1"/>
      <c r="AS1" s="1"/>
      <c r="AT1" s="1"/>
      <c r="AU1" s="1"/>
    </row>
    <row r="2" ht="15.75" customHeight="1">
      <c r="A2" s="5" t="s">
        <v>0</v>
      </c>
      <c r="B2" s="5" t="s">
        <v>1</v>
      </c>
      <c r="C2" s="5" t="s">
        <v>2</v>
      </c>
      <c r="D2" s="6"/>
      <c r="E2" s="7">
        <f>DATE($A$1,$B$1,1)</f>
        <v>46023</v>
      </c>
      <c r="F2" s="7">
        <f>DATE($A$1,$B$1,2)</f>
        <v>46024</v>
      </c>
      <c r="G2" s="7">
        <f>DATE($A$1,$B$1,3)</f>
        <v>46025</v>
      </c>
      <c r="H2" s="7">
        <f>DATE($A$1,$B$1,4)</f>
        <v>46026</v>
      </c>
      <c r="I2" s="7">
        <f>DATE($A$1,$B$1,5)</f>
        <v>46027</v>
      </c>
      <c r="J2" s="7">
        <f>DATE($A$1,$B$1,6)</f>
        <v>46028</v>
      </c>
      <c r="K2" s="7">
        <f>DATE($A$1,$B$1,7)</f>
        <v>46029</v>
      </c>
      <c r="L2" s="7">
        <f>DATE($A$1,$B$1,8)</f>
        <v>46030</v>
      </c>
      <c r="M2" s="7">
        <f>DATE($A$1,$B$1,9)</f>
        <v>46031</v>
      </c>
      <c r="N2" s="7">
        <f>DATE($A$1,$B$1,10)</f>
        <v>46032</v>
      </c>
      <c r="O2" s="7">
        <f>DATE($A$1,$B$1,11)</f>
        <v>46033</v>
      </c>
      <c r="P2" s="7">
        <f>DATE($A$1,$B$1,12)</f>
        <v>46034</v>
      </c>
      <c r="Q2" s="7">
        <f>DATE($A$1,$B$1,13)</f>
        <v>46035</v>
      </c>
      <c r="R2" s="7">
        <f>DATE($A$1,$B$1,14)</f>
        <v>46036</v>
      </c>
      <c r="S2" s="7">
        <f>DATE($A$1,$B$1,15)</f>
        <v>46037</v>
      </c>
      <c r="T2" s="7">
        <f>DATE($A$1,$B$1,16)</f>
        <v>46038</v>
      </c>
      <c r="U2" s="7">
        <f>DATE($A$1,$B$1,17)</f>
        <v>46039</v>
      </c>
      <c r="V2" s="7">
        <f>DATE($A$1,$B$1,18)</f>
        <v>46040</v>
      </c>
      <c r="W2" s="7">
        <f>DATE($A$1,$B$1,19)</f>
        <v>46041</v>
      </c>
      <c r="X2" s="7">
        <f>DATE($A$1,$B$1,20)</f>
        <v>46042</v>
      </c>
      <c r="Y2" s="7">
        <f>DATE($A$1,$B$1,21)</f>
        <v>46043</v>
      </c>
      <c r="Z2" s="7">
        <f>DATE($A$1,$B$1,22)</f>
        <v>46044</v>
      </c>
      <c r="AA2" s="7">
        <f>DATE($A$1,$B$1,23)</f>
        <v>46045</v>
      </c>
      <c r="AB2" s="7">
        <f>DATE($A$1,$B$1,24)</f>
        <v>46046</v>
      </c>
      <c r="AC2" s="7">
        <f>DATE($A$1,$B$1,25)</f>
        <v>46047</v>
      </c>
      <c r="AD2" s="7">
        <f>DATE($A$1,$B$1,26)</f>
        <v>46048</v>
      </c>
      <c r="AE2" s="7">
        <f>DATE($A$1,$B$1,27)</f>
        <v>46049</v>
      </c>
      <c r="AF2" s="7">
        <f>DATE($A$1,$B$1,28)</f>
        <v>46050</v>
      </c>
      <c r="AG2" s="7">
        <f>DATE($A$1,$B$1,29)</f>
        <v>46051</v>
      </c>
      <c r="AH2" s="7">
        <f>DATE($A$1,$B$1,30)</f>
        <v>46052</v>
      </c>
      <c r="AI2" s="7">
        <f>DATE($A$1,$B$1,31)</f>
        <v>46053</v>
      </c>
      <c r="AJ2" s="8" t="s">
        <v>3</v>
      </c>
      <c r="AK2" s="9"/>
      <c r="AL2" s="8" t="s">
        <v>4</v>
      </c>
      <c r="AM2" s="4"/>
      <c r="AN2" s="1"/>
      <c r="AO2" s="1"/>
      <c r="AP2" s="1"/>
      <c r="AQ2" s="1"/>
      <c r="AR2" s="1"/>
      <c r="AS2" s="1"/>
      <c r="AT2" s="1"/>
      <c r="AU2" s="1"/>
    </row>
    <row r="3" ht="15.75" customHeight="1">
      <c r="A3" s="10"/>
      <c r="B3" s="10"/>
      <c r="C3" s="10"/>
      <c r="D3" s="10"/>
      <c r="E3" s="11" t="str">
        <f t="shared" ref="E3:AI3" si="1">TEXT(E2,"ddd")</f>
        <v>木</v>
      </c>
      <c r="F3" s="11" t="str">
        <f t="shared" si="1"/>
        <v>金</v>
      </c>
      <c r="G3" s="11" t="str">
        <f t="shared" si="1"/>
        <v>土</v>
      </c>
      <c r="H3" s="11" t="str">
        <f t="shared" si="1"/>
        <v>日</v>
      </c>
      <c r="I3" s="11" t="str">
        <f t="shared" si="1"/>
        <v>月</v>
      </c>
      <c r="J3" s="11" t="str">
        <f t="shared" si="1"/>
        <v>火</v>
      </c>
      <c r="K3" s="11" t="str">
        <f t="shared" si="1"/>
        <v>水</v>
      </c>
      <c r="L3" s="11" t="str">
        <f t="shared" si="1"/>
        <v>木</v>
      </c>
      <c r="M3" s="11" t="str">
        <f t="shared" si="1"/>
        <v>金</v>
      </c>
      <c r="N3" s="11" t="str">
        <f t="shared" si="1"/>
        <v>土</v>
      </c>
      <c r="O3" s="11" t="str">
        <f t="shared" si="1"/>
        <v>日</v>
      </c>
      <c r="P3" s="11" t="str">
        <f t="shared" si="1"/>
        <v>月</v>
      </c>
      <c r="Q3" s="11" t="str">
        <f t="shared" si="1"/>
        <v>火</v>
      </c>
      <c r="R3" s="11" t="str">
        <f t="shared" si="1"/>
        <v>水</v>
      </c>
      <c r="S3" s="11" t="str">
        <f t="shared" si="1"/>
        <v>木</v>
      </c>
      <c r="T3" s="11" t="str">
        <f t="shared" si="1"/>
        <v>金</v>
      </c>
      <c r="U3" s="11" t="str">
        <f t="shared" si="1"/>
        <v>土</v>
      </c>
      <c r="V3" s="11" t="str">
        <f t="shared" si="1"/>
        <v>日</v>
      </c>
      <c r="W3" s="11" t="str">
        <f t="shared" si="1"/>
        <v>月</v>
      </c>
      <c r="X3" s="11" t="str">
        <f t="shared" si="1"/>
        <v>火</v>
      </c>
      <c r="Y3" s="11" t="str">
        <f t="shared" si="1"/>
        <v>水</v>
      </c>
      <c r="Z3" s="11" t="str">
        <f t="shared" si="1"/>
        <v>木</v>
      </c>
      <c r="AA3" s="11" t="str">
        <f t="shared" si="1"/>
        <v>金</v>
      </c>
      <c r="AB3" s="11" t="str">
        <f t="shared" si="1"/>
        <v>土</v>
      </c>
      <c r="AC3" s="11" t="str">
        <f t="shared" si="1"/>
        <v>日</v>
      </c>
      <c r="AD3" s="11" t="str">
        <f t="shared" si="1"/>
        <v>月</v>
      </c>
      <c r="AE3" s="11" t="str">
        <f t="shared" si="1"/>
        <v>火</v>
      </c>
      <c r="AF3" s="11" t="str">
        <f t="shared" si="1"/>
        <v>水</v>
      </c>
      <c r="AG3" s="11" t="str">
        <f t="shared" si="1"/>
        <v>木</v>
      </c>
      <c r="AH3" s="11" t="str">
        <f t="shared" si="1"/>
        <v>金</v>
      </c>
      <c r="AI3" s="11" t="str">
        <f t="shared" si="1"/>
        <v>土</v>
      </c>
      <c r="AJ3" s="9"/>
      <c r="AK3" s="9"/>
      <c r="AL3" s="6"/>
      <c r="AM3" s="4"/>
      <c r="AN3" s="1"/>
      <c r="AO3" s="1"/>
      <c r="AP3" s="1"/>
      <c r="AQ3" s="1"/>
      <c r="AR3" s="1"/>
      <c r="AS3" s="1"/>
      <c r="AT3" s="1"/>
      <c r="AU3" s="1"/>
    </row>
    <row r="4" ht="15.75" customHeight="1">
      <c r="A4" s="12"/>
      <c r="B4" s="12"/>
      <c r="C4" s="12"/>
      <c r="D4" s="13" t="s">
        <v>5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>
        <f t="shared" ref="AJ4:AJ10" si="2">SUM(E4:AI4)</f>
        <v>0</v>
      </c>
      <c r="AK4" s="14">
        <f>330*AJ4</f>
        <v>0</v>
      </c>
      <c r="AL4" s="15"/>
      <c r="AM4" s="4"/>
      <c r="AN4" s="1"/>
      <c r="AO4" s="1"/>
      <c r="AP4" s="1"/>
      <c r="AQ4" s="1"/>
      <c r="AR4" s="1"/>
      <c r="AS4" s="1"/>
      <c r="AT4" s="1"/>
      <c r="AU4" s="1"/>
    </row>
    <row r="5" ht="15.75" customHeight="1">
      <c r="A5" s="16"/>
      <c r="B5" s="16"/>
      <c r="C5" s="16"/>
      <c r="D5" s="13" t="s">
        <v>6</v>
      </c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8"/>
      <c r="AJ5" s="13">
        <f t="shared" si="2"/>
        <v>0</v>
      </c>
      <c r="AK5" s="14">
        <f t="shared" ref="AK5:AK6" si="3">550*AJ5</f>
        <v>0</v>
      </c>
      <c r="AL5" s="19"/>
      <c r="AM5" s="4"/>
      <c r="AN5" s="1"/>
      <c r="AO5" s="1"/>
      <c r="AP5" s="1"/>
      <c r="AQ5" s="1"/>
      <c r="AR5" s="1"/>
      <c r="AS5" s="1"/>
      <c r="AT5" s="1"/>
      <c r="AU5" s="1"/>
    </row>
    <row r="6" ht="15.75" customHeight="1">
      <c r="A6" s="10"/>
      <c r="B6" s="10"/>
      <c r="C6" s="10"/>
      <c r="D6" s="13" t="s">
        <v>7</v>
      </c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3"/>
      <c r="AJ6" s="13">
        <f t="shared" si="2"/>
        <v>0</v>
      </c>
      <c r="AK6" s="14">
        <f t="shared" si="3"/>
        <v>0</v>
      </c>
      <c r="AL6" s="20">
        <f>SUM(AK4:AK6)</f>
        <v>0</v>
      </c>
      <c r="AM6" s="4"/>
      <c r="AN6" s="1"/>
      <c r="AO6" s="1"/>
      <c r="AP6" s="1"/>
      <c r="AQ6" s="1"/>
      <c r="AR6" s="1"/>
      <c r="AS6" s="1"/>
      <c r="AT6" s="1"/>
      <c r="AU6" s="1"/>
    </row>
    <row r="7" ht="15.75" customHeight="1">
      <c r="A7" s="21" t="s">
        <v>8</v>
      </c>
      <c r="B7" s="21" t="s">
        <v>9</v>
      </c>
      <c r="C7" s="21" t="s">
        <v>10</v>
      </c>
      <c r="D7" s="22" t="s">
        <v>5</v>
      </c>
      <c r="E7" s="22">
        <v>0.0</v>
      </c>
      <c r="F7" s="22">
        <v>0.0</v>
      </c>
      <c r="G7" s="22">
        <v>0.0</v>
      </c>
      <c r="H7" s="22">
        <v>0.0</v>
      </c>
      <c r="I7" s="22">
        <v>0.0</v>
      </c>
      <c r="J7" s="22">
        <v>0.0</v>
      </c>
      <c r="K7" s="22">
        <v>0.0</v>
      </c>
      <c r="L7" s="22">
        <v>0.0</v>
      </c>
      <c r="M7" s="22">
        <v>0.0</v>
      </c>
      <c r="N7" s="22">
        <v>0.0</v>
      </c>
      <c r="O7" s="22">
        <v>0.0</v>
      </c>
      <c r="P7" s="22">
        <v>0.0</v>
      </c>
      <c r="Q7" s="22">
        <v>0.0</v>
      </c>
      <c r="R7" s="22">
        <v>0.0</v>
      </c>
      <c r="S7" s="22">
        <v>0.0</v>
      </c>
      <c r="T7" s="22">
        <v>0.0</v>
      </c>
      <c r="U7" s="22">
        <v>0.0</v>
      </c>
      <c r="V7" s="22">
        <v>0.0</v>
      </c>
      <c r="W7" s="22">
        <v>0.0</v>
      </c>
      <c r="X7" s="22">
        <v>0.0</v>
      </c>
      <c r="Y7" s="22">
        <v>0.0</v>
      </c>
      <c r="Z7" s="22">
        <v>0.0</v>
      </c>
      <c r="AA7" s="22">
        <v>0.0</v>
      </c>
      <c r="AB7" s="22">
        <v>0.0</v>
      </c>
      <c r="AC7" s="22">
        <v>0.0</v>
      </c>
      <c r="AD7" s="22">
        <v>0.0</v>
      </c>
      <c r="AE7" s="22">
        <v>0.0</v>
      </c>
      <c r="AF7" s="22">
        <v>0.0</v>
      </c>
      <c r="AG7" s="22">
        <v>0.0</v>
      </c>
      <c r="AH7" s="22">
        <v>0.0</v>
      </c>
      <c r="AI7" s="22">
        <v>0.0</v>
      </c>
      <c r="AJ7" s="22">
        <f t="shared" si="2"/>
        <v>0</v>
      </c>
      <c r="AK7" s="23">
        <f>330*AJ7</f>
        <v>0</v>
      </c>
      <c r="AL7" s="24"/>
      <c r="AM7" s="25"/>
      <c r="AN7" s="1"/>
      <c r="AO7" s="1"/>
      <c r="AP7" s="1"/>
      <c r="AQ7" s="1"/>
      <c r="AR7" s="1"/>
      <c r="AS7" s="1"/>
      <c r="AT7" s="1"/>
      <c r="AU7" s="1"/>
    </row>
    <row r="8" ht="15.75" customHeight="1">
      <c r="A8" s="16"/>
      <c r="B8" s="16"/>
      <c r="C8" s="16"/>
      <c r="D8" s="22" t="s">
        <v>6</v>
      </c>
      <c r="E8" s="22">
        <v>0.0</v>
      </c>
      <c r="F8" s="22">
        <v>0.0</v>
      </c>
      <c r="G8" s="22">
        <v>0.0</v>
      </c>
      <c r="H8" s="22">
        <v>0.0</v>
      </c>
      <c r="I8" s="22">
        <v>0.0</v>
      </c>
      <c r="J8" s="22">
        <v>0.0</v>
      </c>
      <c r="K8" s="22">
        <v>0.0</v>
      </c>
      <c r="L8" s="22">
        <v>0.0</v>
      </c>
      <c r="M8" s="22">
        <v>0.0</v>
      </c>
      <c r="N8" s="22">
        <v>0.0</v>
      </c>
      <c r="O8" s="22">
        <v>0.0</v>
      </c>
      <c r="P8" s="22">
        <v>0.0</v>
      </c>
      <c r="Q8" s="22">
        <v>0.0</v>
      </c>
      <c r="R8" s="22">
        <v>0.0</v>
      </c>
      <c r="S8" s="22">
        <v>0.0</v>
      </c>
      <c r="T8" s="22">
        <v>0.0</v>
      </c>
      <c r="U8" s="22">
        <v>0.0</v>
      </c>
      <c r="V8" s="22">
        <v>0.0</v>
      </c>
      <c r="W8" s="22">
        <v>0.0</v>
      </c>
      <c r="X8" s="22">
        <v>0.0</v>
      </c>
      <c r="Y8" s="22">
        <v>0.0</v>
      </c>
      <c r="Z8" s="22">
        <v>0.0</v>
      </c>
      <c r="AA8" s="22">
        <v>0.0</v>
      </c>
      <c r="AB8" s="22">
        <v>0.0</v>
      </c>
      <c r="AC8" s="22">
        <v>0.0</v>
      </c>
      <c r="AD8" s="22">
        <v>0.0</v>
      </c>
      <c r="AE8" s="22">
        <v>0.0</v>
      </c>
      <c r="AF8" s="22">
        <v>0.0</v>
      </c>
      <c r="AG8" s="22">
        <v>0.0</v>
      </c>
      <c r="AH8" s="22">
        <v>0.0</v>
      </c>
      <c r="AI8" s="22">
        <v>0.0</v>
      </c>
      <c r="AJ8" s="22">
        <f t="shared" si="2"/>
        <v>0</v>
      </c>
      <c r="AK8" s="23">
        <f t="shared" ref="AK8:AK9" si="4">550*AJ8</f>
        <v>0</v>
      </c>
      <c r="AL8" s="24"/>
      <c r="AN8" s="1"/>
      <c r="AO8" s="1"/>
      <c r="AP8" s="1"/>
      <c r="AQ8" s="1"/>
      <c r="AR8" s="1"/>
      <c r="AS8" s="1"/>
      <c r="AT8" s="1"/>
      <c r="AU8" s="1"/>
    </row>
    <row r="9" ht="15.75" customHeight="1">
      <c r="A9" s="10"/>
      <c r="B9" s="10"/>
      <c r="C9" s="10"/>
      <c r="D9" s="22" t="s">
        <v>7</v>
      </c>
      <c r="E9" s="22">
        <v>0.0</v>
      </c>
      <c r="F9" s="22">
        <v>0.0</v>
      </c>
      <c r="G9" s="22">
        <v>0.0</v>
      </c>
      <c r="H9" s="22">
        <v>0.0</v>
      </c>
      <c r="I9" s="22">
        <v>0.0</v>
      </c>
      <c r="J9" s="22">
        <v>0.0</v>
      </c>
      <c r="K9" s="22">
        <v>0.0</v>
      </c>
      <c r="L9" s="22">
        <v>0.0</v>
      </c>
      <c r="M9" s="22">
        <v>0.0</v>
      </c>
      <c r="N9" s="22">
        <v>0.0</v>
      </c>
      <c r="O9" s="22">
        <v>0.0</v>
      </c>
      <c r="P9" s="22">
        <v>0.0</v>
      </c>
      <c r="Q9" s="22">
        <v>0.0</v>
      </c>
      <c r="R9" s="22">
        <v>0.0</v>
      </c>
      <c r="S9" s="22">
        <v>0.0</v>
      </c>
      <c r="T9" s="22">
        <v>0.0</v>
      </c>
      <c r="U9" s="22">
        <v>0.0</v>
      </c>
      <c r="V9" s="22">
        <v>0.0</v>
      </c>
      <c r="W9" s="22">
        <v>0.0</v>
      </c>
      <c r="X9" s="22">
        <v>0.0</v>
      </c>
      <c r="Y9" s="22">
        <v>0.0</v>
      </c>
      <c r="Z9" s="22">
        <v>0.0</v>
      </c>
      <c r="AA9" s="22">
        <v>0.0</v>
      </c>
      <c r="AB9" s="22">
        <v>0.0</v>
      </c>
      <c r="AC9" s="22">
        <v>0.0</v>
      </c>
      <c r="AD9" s="22">
        <v>0.0</v>
      </c>
      <c r="AE9" s="22">
        <v>0.0</v>
      </c>
      <c r="AF9" s="22">
        <v>0.0</v>
      </c>
      <c r="AG9" s="22">
        <v>0.0</v>
      </c>
      <c r="AH9" s="22">
        <v>0.0</v>
      </c>
      <c r="AI9" s="22">
        <v>0.0</v>
      </c>
      <c r="AJ9" s="22">
        <f t="shared" si="2"/>
        <v>0</v>
      </c>
      <c r="AK9" s="23">
        <f t="shared" si="4"/>
        <v>0</v>
      </c>
      <c r="AL9" s="26">
        <f>SUM(AK7:AK9)</f>
        <v>0</v>
      </c>
      <c r="AN9" s="1"/>
      <c r="AO9" s="1"/>
      <c r="AP9" s="1"/>
      <c r="AQ9" s="1"/>
      <c r="AR9" s="1"/>
      <c r="AS9" s="1"/>
      <c r="AT9" s="1"/>
      <c r="AU9" s="1"/>
    </row>
    <row r="10" ht="15.75" customHeight="1">
      <c r="A10" s="12" t="s">
        <v>11</v>
      </c>
      <c r="B10" s="12" t="s">
        <v>12</v>
      </c>
      <c r="C10" s="12" t="s">
        <v>13</v>
      </c>
      <c r="D10" s="13" t="s">
        <v>5</v>
      </c>
      <c r="E10" s="18">
        <v>0.0</v>
      </c>
      <c r="F10" s="18">
        <v>0.0</v>
      </c>
      <c r="G10" s="18">
        <v>0.0</v>
      </c>
      <c r="H10" s="18">
        <v>0.0</v>
      </c>
      <c r="I10" s="18">
        <v>0.0</v>
      </c>
      <c r="J10" s="18">
        <v>0.0</v>
      </c>
      <c r="K10" s="18">
        <v>0.0</v>
      </c>
      <c r="L10" s="18">
        <v>0.0</v>
      </c>
      <c r="M10" s="18">
        <v>0.0</v>
      </c>
      <c r="N10" s="18">
        <v>0.0</v>
      </c>
      <c r="O10" s="18">
        <v>0.0</v>
      </c>
      <c r="P10" s="18">
        <v>0.0</v>
      </c>
      <c r="Q10" s="18">
        <v>0.0</v>
      </c>
      <c r="R10" s="18">
        <v>0.0</v>
      </c>
      <c r="S10" s="18">
        <v>0.0</v>
      </c>
      <c r="T10" s="18">
        <v>0.0</v>
      </c>
      <c r="U10" s="18">
        <v>0.0</v>
      </c>
      <c r="V10" s="18">
        <v>0.0</v>
      </c>
      <c r="W10" s="18">
        <v>0.0</v>
      </c>
      <c r="X10" s="18">
        <v>0.0</v>
      </c>
      <c r="Y10" s="18">
        <v>0.0</v>
      </c>
      <c r="Z10" s="18">
        <v>0.0</v>
      </c>
      <c r="AA10" s="18">
        <v>0.0</v>
      </c>
      <c r="AB10" s="18">
        <v>0.0</v>
      </c>
      <c r="AC10" s="18">
        <v>0.0</v>
      </c>
      <c r="AD10" s="18">
        <v>0.0</v>
      </c>
      <c r="AE10" s="18">
        <v>0.0</v>
      </c>
      <c r="AF10" s="18">
        <v>0.0</v>
      </c>
      <c r="AG10" s="18">
        <v>0.0</v>
      </c>
      <c r="AH10" s="18">
        <v>0.0</v>
      </c>
      <c r="AI10" s="18">
        <v>0.0</v>
      </c>
      <c r="AJ10" s="13">
        <f t="shared" si="2"/>
        <v>0</v>
      </c>
      <c r="AK10" s="14">
        <f>330*AJ10</f>
        <v>0</v>
      </c>
      <c r="AL10" s="19"/>
      <c r="AM10" s="4"/>
      <c r="AN10" s="1"/>
      <c r="AO10" s="1"/>
      <c r="AP10" s="1"/>
      <c r="AQ10" s="1"/>
      <c r="AR10" s="1"/>
      <c r="AS10" s="1"/>
      <c r="AT10" s="1"/>
      <c r="AU10" s="1"/>
    </row>
    <row r="11" ht="15.75" customHeight="1">
      <c r="A11" s="16"/>
      <c r="B11" s="16"/>
      <c r="C11" s="16"/>
      <c r="D11" s="13" t="s">
        <v>6</v>
      </c>
      <c r="E11" s="18">
        <v>0.0</v>
      </c>
      <c r="F11" s="18">
        <v>0.0</v>
      </c>
      <c r="G11" s="18">
        <v>0.0</v>
      </c>
      <c r="H11" s="18">
        <v>0.0</v>
      </c>
      <c r="I11" s="18">
        <v>0.0</v>
      </c>
      <c r="J11" s="18">
        <v>0.0</v>
      </c>
      <c r="K11" s="18">
        <v>0.0</v>
      </c>
      <c r="L11" s="18">
        <v>0.0</v>
      </c>
      <c r="M11" s="18">
        <v>0.0</v>
      </c>
      <c r="N11" s="18">
        <v>0.0</v>
      </c>
      <c r="O11" s="18">
        <v>0.0</v>
      </c>
      <c r="P11" s="18">
        <v>0.0</v>
      </c>
      <c r="Q11" s="18">
        <v>0.0</v>
      </c>
      <c r="R11" s="18">
        <v>0.0</v>
      </c>
      <c r="S11" s="18">
        <v>0.0</v>
      </c>
      <c r="T11" s="18">
        <v>0.0</v>
      </c>
      <c r="U11" s="18">
        <v>0.0</v>
      </c>
      <c r="V11" s="18">
        <v>0.0</v>
      </c>
      <c r="W11" s="18">
        <v>0.0</v>
      </c>
      <c r="X11" s="18">
        <v>0.0</v>
      </c>
      <c r="Y11" s="18">
        <v>0.0</v>
      </c>
      <c r="Z11" s="18">
        <v>0.0</v>
      </c>
      <c r="AA11" s="18">
        <v>0.0</v>
      </c>
      <c r="AB11" s="18">
        <v>0.0</v>
      </c>
      <c r="AC11" s="18">
        <v>0.0</v>
      </c>
      <c r="AD11" s="18">
        <v>0.0</v>
      </c>
      <c r="AE11" s="18">
        <v>0.0</v>
      </c>
      <c r="AF11" s="18">
        <v>0.0</v>
      </c>
      <c r="AG11" s="18">
        <v>0.0</v>
      </c>
      <c r="AH11" s="18">
        <v>0.0</v>
      </c>
      <c r="AI11" s="18">
        <v>0.0</v>
      </c>
      <c r="AJ11" s="13">
        <v>0.0</v>
      </c>
      <c r="AK11" s="14">
        <f t="shared" ref="AK11:AK12" si="5">550*AJ11</f>
        <v>0</v>
      </c>
      <c r="AL11" s="19"/>
      <c r="AM11" s="27"/>
      <c r="AN11" s="1"/>
      <c r="AO11" s="1"/>
      <c r="AP11" s="1"/>
      <c r="AQ11" s="1"/>
      <c r="AR11" s="1"/>
      <c r="AS11" s="1"/>
      <c r="AT11" s="1"/>
      <c r="AU11" s="1"/>
    </row>
    <row r="12" ht="15.75" customHeight="1">
      <c r="A12" s="10"/>
      <c r="B12" s="10"/>
      <c r="C12" s="10"/>
      <c r="D12" s="13" t="s">
        <v>7</v>
      </c>
      <c r="E12" s="13">
        <v>0.0</v>
      </c>
      <c r="F12" s="13">
        <v>0.0</v>
      </c>
      <c r="G12" s="13">
        <v>0.0</v>
      </c>
      <c r="H12" s="13">
        <v>0.0</v>
      </c>
      <c r="I12" s="13">
        <v>0.0</v>
      </c>
      <c r="J12" s="13">
        <v>0.0</v>
      </c>
      <c r="K12" s="13">
        <v>0.0</v>
      </c>
      <c r="L12" s="13">
        <v>0.0</v>
      </c>
      <c r="M12" s="13">
        <v>0.0</v>
      </c>
      <c r="N12" s="13">
        <v>0.0</v>
      </c>
      <c r="O12" s="13">
        <v>0.0</v>
      </c>
      <c r="P12" s="13">
        <v>0.0</v>
      </c>
      <c r="Q12" s="13">
        <v>0.0</v>
      </c>
      <c r="R12" s="13">
        <v>0.0</v>
      </c>
      <c r="S12" s="13">
        <v>0.0</v>
      </c>
      <c r="T12" s="13">
        <v>0.0</v>
      </c>
      <c r="U12" s="13">
        <v>0.0</v>
      </c>
      <c r="V12" s="13">
        <v>0.0</v>
      </c>
      <c r="W12" s="13">
        <v>0.0</v>
      </c>
      <c r="X12" s="13">
        <v>0.0</v>
      </c>
      <c r="Y12" s="13">
        <v>0.0</v>
      </c>
      <c r="Z12" s="13">
        <v>0.0</v>
      </c>
      <c r="AA12" s="13">
        <v>0.0</v>
      </c>
      <c r="AB12" s="13">
        <v>0.0</v>
      </c>
      <c r="AC12" s="13">
        <v>0.0</v>
      </c>
      <c r="AD12" s="13">
        <v>0.0</v>
      </c>
      <c r="AE12" s="13">
        <v>0.0</v>
      </c>
      <c r="AF12" s="13">
        <v>0.0</v>
      </c>
      <c r="AG12" s="13">
        <v>0.0</v>
      </c>
      <c r="AH12" s="13">
        <v>0.0</v>
      </c>
      <c r="AI12" s="13">
        <v>0.0</v>
      </c>
      <c r="AJ12" s="13">
        <f t="shared" ref="AJ12:AJ72" si="6">SUM(E12:AI12)</f>
        <v>0</v>
      </c>
      <c r="AK12" s="14">
        <f t="shared" si="5"/>
        <v>0</v>
      </c>
      <c r="AL12" s="20">
        <f>SUM(AK10:AK12)</f>
        <v>0</v>
      </c>
      <c r="AM12" s="4"/>
      <c r="AN12" s="1"/>
      <c r="AO12" s="1"/>
      <c r="AP12" s="1"/>
      <c r="AQ12" s="1"/>
      <c r="AR12" s="1"/>
      <c r="AS12" s="1"/>
      <c r="AT12" s="1"/>
      <c r="AU12" s="1"/>
    </row>
    <row r="13" ht="15.75" customHeight="1">
      <c r="A13" s="21" t="s">
        <v>14</v>
      </c>
      <c r="B13" s="21" t="s">
        <v>15</v>
      </c>
      <c r="C13" s="21"/>
      <c r="D13" s="22" t="s">
        <v>5</v>
      </c>
      <c r="E13" s="28">
        <v>1.0</v>
      </c>
      <c r="F13" s="28">
        <v>1.0</v>
      </c>
      <c r="G13" s="28">
        <v>1.0</v>
      </c>
      <c r="H13" s="28">
        <v>1.0</v>
      </c>
      <c r="I13" s="28">
        <v>1.0</v>
      </c>
      <c r="J13" s="28">
        <v>1.0</v>
      </c>
      <c r="K13" s="28">
        <v>1.0</v>
      </c>
      <c r="L13" s="28">
        <v>1.0</v>
      </c>
      <c r="M13" s="28">
        <v>1.0</v>
      </c>
      <c r="N13" s="28">
        <v>1.0</v>
      </c>
      <c r="O13" s="28">
        <v>1.0</v>
      </c>
      <c r="P13" s="28">
        <v>1.0</v>
      </c>
      <c r="Q13" s="28">
        <v>1.0</v>
      </c>
      <c r="R13" s="28">
        <v>1.0</v>
      </c>
      <c r="S13" s="28">
        <v>1.0</v>
      </c>
      <c r="T13" s="28">
        <v>1.0</v>
      </c>
      <c r="U13" s="28">
        <v>1.0</v>
      </c>
      <c r="V13" s="28">
        <v>1.0</v>
      </c>
      <c r="W13" s="28">
        <v>1.0</v>
      </c>
      <c r="X13" s="28">
        <v>1.0</v>
      </c>
      <c r="Y13" s="28">
        <v>1.0</v>
      </c>
      <c r="Z13" s="28">
        <v>1.0</v>
      </c>
      <c r="AA13" s="28">
        <v>1.0</v>
      </c>
      <c r="AB13" s="28">
        <v>1.0</v>
      </c>
      <c r="AC13" s="28">
        <v>1.0</v>
      </c>
      <c r="AD13" s="28">
        <v>1.0</v>
      </c>
      <c r="AE13" s="28">
        <v>1.0</v>
      </c>
      <c r="AF13" s="28">
        <v>1.0</v>
      </c>
      <c r="AG13" s="22">
        <v>1.0</v>
      </c>
      <c r="AH13" s="22">
        <v>1.0</v>
      </c>
      <c r="AI13" s="22">
        <v>1.0</v>
      </c>
      <c r="AJ13" s="22">
        <f t="shared" si="6"/>
        <v>31</v>
      </c>
      <c r="AK13" s="23">
        <f>330*AJ13</f>
        <v>10230</v>
      </c>
      <c r="AL13" s="24"/>
      <c r="AM13" s="25"/>
      <c r="AN13" s="1"/>
      <c r="AO13" s="1"/>
      <c r="AP13" s="1"/>
      <c r="AQ13" s="1"/>
      <c r="AR13" s="1"/>
      <c r="AS13" s="1"/>
      <c r="AT13" s="1"/>
      <c r="AU13" s="1"/>
    </row>
    <row r="14" ht="15.75" customHeight="1">
      <c r="A14" s="16"/>
      <c r="B14" s="16"/>
      <c r="C14" s="16"/>
      <c r="D14" s="22" t="s">
        <v>6</v>
      </c>
      <c r="E14" s="28">
        <v>1.0</v>
      </c>
      <c r="F14" s="28">
        <v>1.0</v>
      </c>
      <c r="G14" s="28">
        <v>1.0</v>
      </c>
      <c r="H14" s="28">
        <v>1.0</v>
      </c>
      <c r="I14" s="28">
        <v>1.0</v>
      </c>
      <c r="J14" s="28">
        <v>1.0</v>
      </c>
      <c r="K14" s="28">
        <v>1.0</v>
      </c>
      <c r="L14" s="28">
        <v>1.0</v>
      </c>
      <c r="M14" s="28">
        <v>1.0</v>
      </c>
      <c r="N14" s="28">
        <v>1.0</v>
      </c>
      <c r="O14" s="28">
        <v>1.0</v>
      </c>
      <c r="P14" s="28">
        <v>1.0</v>
      </c>
      <c r="Q14" s="28">
        <v>1.0</v>
      </c>
      <c r="R14" s="28">
        <v>1.0</v>
      </c>
      <c r="S14" s="28">
        <v>1.0</v>
      </c>
      <c r="T14" s="28">
        <v>1.0</v>
      </c>
      <c r="U14" s="28">
        <v>1.0</v>
      </c>
      <c r="V14" s="28">
        <v>1.0</v>
      </c>
      <c r="W14" s="28">
        <v>1.0</v>
      </c>
      <c r="X14" s="28">
        <v>1.0</v>
      </c>
      <c r="Y14" s="28">
        <v>1.0</v>
      </c>
      <c r="Z14" s="28">
        <v>1.0</v>
      </c>
      <c r="AA14" s="28">
        <v>1.0</v>
      </c>
      <c r="AB14" s="28">
        <v>1.0</v>
      </c>
      <c r="AC14" s="28">
        <v>1.0</v>
      </c>
      <c r="AD14" s="28">
        <v>1.0</v>
      </c>
      <c r="AE14" s="28">
        <v>1.0</v>
      </c>
      <c r="AF14" s="28">
        <v>1.0</v>
      </c>
      <c r="AG14" s="22">
        <v>1.0</v>
      </c>
      <c r="AH14" s="22">
        <v>1.0</v>
      </c>
      <c r="AI14" s="22">
        <v>1.0</v>
      </c>
      <c r="AJ14" s="22">
        <f t="shared" si="6"/>
        <v>31</v>
      </c>
      <c r="AK14" s="23">
        <f t="shared" ref="AK14:AK15" si="7">550*AJ14</f>
        <v>17050</v>
      </c>
      <c r="AL14" s="24"/>
      <c r="AM14" s="4"/>
      <c r="AN14" s="1"/>
      <c r="AO14" s="1"/>
      <c r="AP14" s="1"/>
      <c r="AQ14" s="1"/>
      <c r="AR14" s="1"/>
      <c r="AS14" s="1"/>
      <c r="AT14" s="1"/>
      <c r="AU14" s="1"/>
    </row>
    <row r="15" ht="15.75" customHeight="1">
      <c r="A15" s="10"/>
      <c r="B15" s="10"/>
      <c r="C15" s="10"/>
      <c r="D15" s="22" t="s">
        <v>7</v>
      </c>
      <c r="E15" s="28">
        <v>1.0</v>
      </c>
      <c r="F15" s="28">
        <v>1.0</v>
      </c>
      <c r="G15" s="28">
        <v>1.0</v>
      </c>
      <c r="H15" s="28">
        <v>1.0</v>
      </c>
      <c r="I15" s="28">
        <v>1.0</v>
      </c>
      <c r="J15" s="28">
        <v>1.0</v>
      </c>
      <c r="K15" s="28">
        <v>1.0</v>
      </c>
      <c r="L15" s="28">
        <v>1.0</v>
      </c>
      <c r="M15" s="28">
        <v>1.0</v>
      </c>
      <c r="N15" s="28">
        <v>1.0</v>
      </c>
      <c r="O15" s="28">
        <v>1.0</v>
      </c>
      <c r="P15" s="28">
        <v>1.0</v>
      </c>
      <c r="Q15" s="28">
        <v>1.0</v>
      </c>
      <c r="R15" s="28">
        <v>1.0</v>
      </c>
      <c r="S15" s="28">
        <v>1.0</v>
      </c>
      <c r="T15" s="28">
        <v>1.0</v>
      </c>
      <c r="U15" s="28">
        <v>1.0</v>
      </c>
      <c r="V15" s="28">
        <v>1.0</v>
      </c>
      <c r="W15" s="28">
        <v>1.0</v>
      </c>
      <c r="X15" s="28">
        <v>1.0</v>
      </c>
      <c r="Y15" s="28">
        <v>1.0</v>
      </c>
      <c r="Z15" s="28">
        <v>1.0</v>
      </c>
      <c r="AA15" s="28">
        <v>1.0</v>
      </c>
      <c r="AB15" s="28">
        <v>1.0</v>
      </c>
      <c r="AC15" s="28">
        <v>1.0</v>
      </c>
      <c r="AD15" s="28">
        <v>1.0</v>
      </c>
      <c r="AE15" s="28">
        <v>1.0</v>
      </c>
      <c r="AF15" s="28">
        <v>1.0</v>
      </c>
      <c r="AG15" s="22">
        <v>1.0</v>
      </c>
      <c r="AH15" s="22">
        <v>1.0</v>
      </c>
      <c r="AI15" s="22">
        <v>1.0</v>
      </c>
      <c r="AJ15" s="22">
        <f t="shared" si="6"/>
        <v>31</v>
      </c>
      <c r="AK15" s="23">
        <f t="shared" si="7"/>
        <v>17050</v>
      </c>
      <c r="AL15" s="26">
        <f>SUM(AK13:AK15)</f>
        <v>44330</v>
      </c>
      <c r="AM15" s="4"/>
      <c r="AN15" s="1"/>
      <c r="AO15" s="1"/>
      <c r="AP15" s="1"/>
      <c r="AQ15" s="1"/>
      <c r="AR15" s="1"/>
      <c r="AS15" s="1"/>
      <c r="AT15" s="1"/>
      <c r="AU15" s="1"/>
    </row>
    <row r="16" ht="15.75" hidden="1" customHeight="1">
      <c r="A16" s="12" t="s">
        <v>16</v>
      </c>
      <c r="B16" s="12" t="s">
        <v>17</v>
      </c>
      <c r="C16" s="12" t="s">
        <v>10</v>
      </c>
      <c r="D16" s="13" t="s">
        <v>5</v>
      </c>
      <c r="E16" s="18">
        <v>0.0</v>
      </c>
      <c r="F16" s="18">
        <v>0.0</v>
      </c>
      <c r="G16" s="18">
        <v>0.0</v>
      </c>
      <c r="H16" s="18">
        <v>0.0</v>
      </c>
      <c r="I16" s="18">
        <v>0.0</v>
      </c>
      <c r="J16" s="18">
        <v>0.0</v>
      </c>
      <c r="K16" s="18">
        <v>0.0</v>
      </c>
      <c r="L16" s="18">
        <v>0.0</v>
      </c>
      <c r="M16" s="18">
        <v>0.0</v>
      </c>
      <c r="N16" s="18">
        <v>0.0</v>
      </c>
      <c r="O16" s="18">
        <v>0.0</v>
      </c>
      <c r="P16" s="18">
        <v>0.0</v>
      </c>
      <c r="Q16" s="18">
        <v>0.0</v>
      </c>
      <c r="R16" s="18">
        <v>0.0</v>
      </c>
      <c r="S16" s="18">
        <v>0.0</v>
      </c>
      <c r="T16" s="18">
        <v>0.0</v>
      </c>
      <c r="U16" s="18">
        <v>0.0</v>
      </c>
      <c r="V16" s="18">
        <v>0.0</v>
      </c>
      <c r="W16" s="18">
        <v>0.0</v>
      </c>
      <c r="X16" s="18">
        <v>0.0</v>
      </c>
      <c r="Y16" s="18">
        <v>0.0</v>
      </c>
      <c r="Z16" s="18">
        <v>0.0</v>
      </c>
      <c r="AA16" s="18">
        <v>0.0</v>
      </c>
      <c r="AB16" s="18">
        <v>0.0</v>
      </c>
      <c r="AC16" s="18">
        <v>0.0</v>
      </c>
      <c r="AD16" s="18">
        <v>0.0</v>
      </c>
      <c r="AE16" s="18">
        <v>0.0</v>
      </c>
      <c r="AF16" s="18">
        <v>0.0</v>
      </c>
      <c r="AG16" s="18">
        <v>0.0</v>
      </c>
      <c r="AH16" s="18">
        <v>0.0</v>
      </c>
      <c r="AI16" s="18"/>
      <c r="AJ16" s="13">
        <f t="shared" si="6"/>
        <v>0</v>
      </c>
      <c r="AK16" s="14">
        <f>330*AJ16</f>
        <v>0</v>
      </c>
      <c r="AL16" s="19"/>
      <c r="AM16" s="25"/>
      <c r="AN16" s="1"/>
      <c r="AO16" s="1"/>
      <c r="AP16" s="1"/>
      <c r="AQ16" s="1"/>
      <c r="AR16" s="1"/>
      <c r="AS16" s="1"/>
      <c r="AT16" s="1"/>
      <c r="AU16" s="1"/>
    </row>
    <row r="17" ht="15.75" hidden="1" customHeight="1">
      <c r="A17" s="16"/>
      <c r="B17" s="16"/>
      <c r="C17" s="16"/>
      <c r="D17" s="13" t="s">
        <v>6</v>
      </c>
      <c r="E17" s="18">
        <v>0.0</v>
      </c>
      <c r="F17" s="18">
        <v>0.0</v>
      </c>
      <c r="G17" s="18">
        <v>0.0</v>
      </c>
      <c r="H17" s="18">
        <v>0.0</v>
      </c>
      <c r="I17" s="18">
        <v>0.0</v>
      </c>
      <c r="J17" s="18">
        <v>0.0</v>
      </c>
      <c r="K17" s="18">
        <v>0.0</v>
      </c>
      <c r="L17" s="18">
        <v>0.0</v>
      </c>
      <c r="M17" s="18">
        <v>0.0</v>
      </c>
      <c r="N17" s="18">
        <v>0.0</v>
      </c>
      <c r="O17" s="18">
        <v>0.0</v>
      </c>
      <c r="P17" s="18">
        <v>0.0</v>
      </c>
      <c r="Q17" s="18">
        <v>0.0</v>
      </c>
      <c r="R17" s="18">
        <v>0.0</v>
      </c>
      <c r="S17" s="18">
        <v>0.0</v>
      </c>
      <c r="T17" s="18">
        <v>0.0</v>
      </c>
      <c r="U17" s="18">
        <v>0.0</v>
      </c>
      <c r="V17" s="18">
        <v>0.0</v>
      </c>
      <c r="W17" s="18">
        <v>0.0</v>
      </c>
      <c r="X17" s="18">
        <v>0.0</v>
      </c>
      <c r="Y17" s="18">
        <v>0.0</v>
      </c>
      <c r="Z17" s="18">
        <v>0.0</v>
      </c>
      <c r="AA17" s="18">
        <v>0.0</v>
      </c>
      <c r="AB17" s="18">
        <v>0.0</v>
      </c>
      <c r="AC17" s="18">
        <v>0.0</v>
      </c>
      <c r="AD17" s="18">
        <v>0.0</v>
      </c>
      <c r="AE17" s="18">
        <v>0.0</v>
      </c>
      <c r="AF17" s="18">
        <v>0.0</v>
      </c>
      <c r="AG17" s="18">
        <v>0.0</v>
      </c>
      <c r="AH17" s="18">
        <v>0.0</v>
      </c>
      <c r="AI17" s="18"/>
      <c r="AJ17" s="13">
        <f t="shared" si="6"/>
        <v>0</v>
      </c>
      <c r="AK17" s="14">
        <f t="shared" ref="AK17:AK18" si="8">550*AJ17</f>
        <v>0</v>
      </c>
      <c r="AL17" s="19"/>
      <c r="AN17" s="1"/>
      <c r="AO17" s="1"/>
      <c r="AP17" s="1"/>
      <c r="AQ17" s="1"/>
      <c r="AR17" s="1"/>
      <c r="AS17" s="1"/>
      <c r="AT17" s="1"/>
      <c r="AU17" s="1"/>
    </row>
    <row r="18" ht="15.75" hidden="1" customHeight="1">
      <c r="A18" s="10"/>
      <c r="B18" s="10"/>
      <c r="C18" s="10"/>
      <c r="D18" s="13" t="s">
        <v>7</v>
      </c>
      <c r="E18" s="18">
        <v>0.0</v>
      </c>
      <c r="F18" s="18">
        <v>0.0</v>
      </c>
      <c r="G18" s="18">
        <v>0.0</v>
      </c>
      <c r="H18" s="18">
        <v>0.0</v>
      </c>
      <c r="I18" s="18">
        <v>0.0</v>
      </c>
      <c r="J18" s="18">
        <v>0.0</v>
      </c>
      <c r="K18" s="18">
        <v>0.0</v>
      </c>
      <c r="L18" s="18">
        <v>0.0</v>
      </c>
      <c r="M18" s="18">
        <v>0.0</v>
      </c>
      <c r="N18" s="18">
        <v>0.0</v>
      </c>
      <c r="O18" s="18">
        <v>0.0</v>
      </c>
      <c r="P18" s="18">
        <v>0.0</v>
      </c>
      <c r="Q18" s="18">
        <v>0.0</v>
      </c>
      <c r="R18" s="18">
        <v>0.0</v>
      </c>
      <c r="S18" s="18">
        <v>0.0</v>
      </c>
      <c r="T18" s="18">
        <v>0.0</v>
      </c>
      <c r="U18" s="18">
        <v>0.0</v>
      </c>
      <c r="V18" s="18">
        <v>0.0</v>
      </c>
      <c r="W18" s="18">
        <v>0.0</v>
      </c>
      <c r="X18" s="18">
        <v>0.0</v>
      </c>
      <c r="Y18" s="18">
        <v>0.0</v>
      </c>
      <c r="Z18" s="18">
        <v>0.0</v>
      </c>
      <c r="AA18" s="18">
        <v>0.0</v>
      </c>
      <c r="AB18" s="18">
        <v>0.0</v>
      </c>
      <c r="AC18" s="18">
        <v>0.0</v>
      </c>
      <c r="AD18" s="18">
        <v>0.0</v>
      </c>
      <c r="AE18" s="18">
        <v>0.0</v>
      </c>
      <c r="AF18" s="18">
        <v>0.0</v>
      </c>
      <c r="AG18" s="18">
        <v>0.0</v>
      </c>
      <c r="AH18" s="18">
        <v>0.0</v>
      </c>
      <c r="AI18" s="18"/>
      <c r="AJ18" s="13">
        <f t="shared" si="6"/>
        <v>0</v>
      </c>
      <c r="AK18" s="14">
        <f t="shared" si="8"/>
        <v>0</v>
      </c>
      <c r="AL18" s="20">
        <f>SUM(AK16:AK18)</f>
        <v>0</v>
      </c>
      <c r="AN18" s="1"/>
      <c r="AO18" s="1"/>
      <c r="AP18" s="1"/>
      <c r="AQ18" s="1"/>
      <c r="AR18" s="1"/>
      <c r="AS18" s="1"/>
      <c r="AT18" s="1"/>
      <c r="AU18" s="1"/>
    </row>
    <row r="19" ht="15.75" customHeight="1">
      <c r="A19" s="29" t="s">
        <v>18</v>
      </c>
      <c r="B19" s="29" t="s">
        <v>19</v>
      </c>
      <c r="C19" s="29" t="s">
        <v>20</v>
      </c>
      <c r="D19" s="28" t="s">
        <v>5</v>
      </c>
      <c r="E19" s="22">
        <v>0.0</v>
      </c>
      <c r="F19" s="22">
        <v>0.0</v>
      </c>
      <c r="G19" s="22">
        <v>0.0</v>
      </c>
      <c r="H19" s="22">
        <v>0.0</v>
      </c>
      <c r="I19" s="22">
        <v>0.0</v>
      </c>
      <c r="J19" s="22">
        <v>0.0</v>
      </c>
      <c r="K19" s="22">
        <v>0.0</v>
      </c>
      <c r="L19" s="22">
        <v>0.0</v>
      </c>
      <c r="M19" s="22">
        <v>0.0</v>
      </c>
      <c r="N19" s="22">
        <v>0.0</v>
      </c>
      <c r="O19" s="22">
        <v>0.0</v>
      </c>
      <c r="P19" s="22">
        <v>0.0</v>
      </c>
      <c r="Q19" s="22">
        <v>0.0</v>
      </c>
      <c r="R19" s="22">
        <v>0.0</v>
      </c>
      <c r="S19" s="22">
        <v>0.0</v>
      </c>
      <c r="T19" s="22">
        <v>0.0</v>
      </c>
      <c r="U19" s="22">
        <v>0.0</v>
      </c>
      <c r="V19" s="22">
        <v>0.0</v>
      </c>
      <c r="W19" s="22">
        <v>0.0</v>
      </c>
      <c r="X19" s="22">
        <v>0.0</v>
      </c>
      <c r="Y19" s="22">
        <v>0.0</v>
      </c>
      <c r="Z19" s="22">
        <v>0.0</v>
      </c>
      <c r="AA19" s="22">
        <v>0.0</v>
      </c>
      <c r="AB19" s="22">
        <v>0.0</v>
      </c>
      <c r="AC19" s="22">
        <v>0.0</v>
      </c>
      <c r="AD19" s="22">
        <v>0.0</v>
      </c>
      <c r="AE19" s="22">
        <v>0.0</v>
      </c>
      <c r="AF19" s="22">
        <v>0.0</v>
      </c>
      <c r="AG19" s="22">
        <v>0.0</v>
      </c>
      <c r="AH19" s="22">
        <v>0.0</v>
      </c>
      <c r="AI19" s="22">
        <v>0.0</v>
      </c>
      <c r="AJ19" s="28">
        <f t="shared" si="6"/>
        <v>0</v>
      </c>
      <c r="AK19" s="23">
        <f>330*AJ19</f>
        <v>0</v>
      </c>
      <c r="AL19" s="24"/>
      <c r="AM19" s="25"/>
      <c r="AN19" s="1"/>
      <c r="AO19" s="1"/>
      <c r="AP19" s="1"/>
      <c r="AQ19" s="1"/>
      <c r="AR19" s="1"/>
      <c r="AS19" s="1"/>
      <c r="AT19" s="1"/>
      <c r="AU19" s="1"/>
    </row>
    <row r="20" ht="15.75" customHeight="1">
      <c r="A20" s="16"/>
      <c r="B20" s="16"/>
      <c r="C20" s="16"/>
      <c r="D20" s="28" t="s">
        <v>6</v>
      </c>
      <c r="E20" s="22">
        <v>0.0</v>
      </c>
      <c r="F20" s="22">
        <v>0.0</v>
      </c>
      <c r="G20" s="22">
        <v>0.0</v>
      </c>
      <c r="H20" s="22">
        <v>0.0</v>
      </c>
      <c r="I20" s="22">
        <v>0.0</v>
      </c>
      <c r="J20" s="22">
        <v>0.0</v>
      </c>
      <c r="K20" s="22">
        <v>0.0</v>
      </c>
      <c r="L20" s="22">
        <v>0.0</v>
      </c>
      <c r="M20" s="22">
        <v>0.0</v>
      </c>
      <c r="N20" s="22">
        <v>0.0</v>
      </c>
      <c r="O20" s="22">
        <v>0.0</v>
      </c>
      <c r="P20" s="22">
        <v>0.0</v>
      </c>
      <c r="Q20" s="22">
        <v>0.0</v>
      </c>
      <c r="R20" s="22">
        <v>0.0</v>
      </c>
      <c r="S20" s="22">
        <v>0.0</v>
      </c>
      <c r="T20" s="22">
        <v>0.0</v>
      </c>
      <c r="U20" s="22">
        <v>0.0</v>
      </c>
      <c r="V20" s="22">
        <v>0.0</v>
      </c>
      <c r="W20" s="22">
        <v>0.0</v>
      </c>
      <c r="X20" s="22">
        <v>0.0</v>
      </c>
      <c r="Y20" s="22">
        <v>0.0</v>
      </c>
      <c r="Z20" s="22">
        <v>0.0</v>
      </c>
      <c r="AA20" s="22">
        <v>0.0</v>
      </c>
      <c r="AB20" s="22">
        <v>0.0</v>
      </c>
      <c r="AC20" s="22">
        <v>0.0</v>
      </c>
      <c r="AD20" s="22">
        <v>0.0</v>
      </c>
      <c r="AE20" s="22">
        <v>0.0</v>
      </c>
      <c r="AF20" s="22">
        <v>0.0</v>
      </c>
      <c r="AG20" s="22">
        <v>0.0</v>
      </c>
      <c r="AH20" s="22">
        <v>0.0</v>
      </c>
      <c r="AI20" s="22">
        <v>0.0</v>
      </c>
      <c r="AJ20" s="28">
        <f t="shared" si="6"/>
        <v>0</v>
      </c>
      <c r="AK20" s="23">
        <f t="shared" ref="AK20:AK21" si="9">550*AJ20</f>
        <v>0</v>
      </c>
      <c r="AL20" s="24"/>
      <c r="AN20" s="1"/>
      <c r="AO20" s="1"/>
      <c r="AP20" s="1"/>
      <c r="AQ20" s="1"/>
      <c r="AR20" s="1"/>
      <c r="AS20" s="1"/>
      <c r="AT20" s="1"/>
      <c r="AU20" s="1"/>
    </row>
    <row r="21" ht="15.75" customHeight="1">
      <c r="A21" s="10"/>
      <c r="B21" s="10"/>
      <c r="C21" s="10"/>
      <c r="D21" s="28" t="s">
        <v>7</v>
      </c>
      <c r="E21" s="22">
        <v>0.0</v>
      </c>
      <c r="F21" s="22">
        <v>0.0</v>
      </c>
      <c r="G21" s="22">
        <v>0.0</v>
      </c>
      <c r="H21" s="22">
        <v>0.0</v>
      </c>
      <c r="I21" s="22">
        <v>0.0</v>
      </c>
      <c r="J21" s="22">
        <v>0.0</v>
      </c>
      <c r="K21" s="22">
        <v>0.0</v>
      </c>
      <c r="L21" s="22">
        <v>0.0</v>
      </c>
      <c r="M21" s="22">
        <v>0.0</v>
      </c>
      <c r="N21" s="22">
        <v>0.0</v>
      </c>
      <c r="O21" s="22">
        <v>0.0</v>
      </c>
      <c r="P21" s="22">
        <v>0.0</v>
      </c>
      <c r="Q21" s="22">
        <v>0.0</v>
      </c>
      <c r="R21" s="22">
        <v>0.0</v>
      </c>
      <c r="S21" s="22">
        <v>0.0</v>
      </c>
      <c r="T21" s="22">
        <v>0.0</v>
      </c>
      <c r="U21" s="22">
        <v>0.0</v>
      </c>
      <c r="V21" s="22">
        <v>0.0</v>
      </c>
      <c r="W21" s="22">
        <v>0.0</v>
      </c>
      <c r="X21" s="22">
        <v>0.0</v>
      </c>
      <c r="Y21" s="22">
        <v>0.0</v>
      </c>
      <c r="Z21" s="22">
        <v>0.0</v>
      </c>
      <c r="AA21" s="22">
        <v>0.0</v>
      </c>
      <c r="AB21" s="22">
        <v>0.0</v>
      </c>
      <c r="AC21" s="22">
        <v>0.0</v>
      </c>
      <c r="AD21" s="22">
        <v>0.0</v>
      </c>
      <c r="AE21" s="22">
        <v>0.0</v>
      </c>
      <c r="AF21" s="22">
        <v>0.0</v>
      </c>
      <c r="AG21" s="22">
        <v>0.0</v>
      </c>
      <c r="AH21" s="22">
        <v>0.0</v>
      </c>
      <c r="AI21" s="22">
        <v>0.0</v>
      </c>
      <c r="AJ21" s="28">
        <f t="shared" si="6"/>
        <v>0</v>
      </c>
      <c r="AK21" s="23">
        <f t="shared" si="9"/>
        <v>0</v>
      </c>
      <c r="AL21" s="26">
        <f>SUM(AK19:AK21)</f>
        <v>0</v>
      </c>
      <c r="AN21" s="1"/>
      <c r="AO21" s="1"/>
      <c r="AP21" s="1"/>
      <c r="AQ21" s="1"/>
      <c r="AR21" s="1"/>
      <c r="AS21" s="1"/>
      <c r="AT21" s="1"/>
      <c r="AU21" s="1"/>
    </row>
    <row r="22" ht="15.75" customHeight="1">
      <c r="A22" s="12" t="s">
        <v>21</v>
      </c>
      <c r="B22" s="12" t="s">
        <v>22</v>
      </c>
      <c r="C22" s="12" t="s">
        <v>23</v>
      </c>
      <c r="D22" s="14" t="s">
        <v>5</v>
      </c>
      <c r="E22" s="13">
        <v>1.0</v>
      </c>
      <c r="F22" s="13">
        <v>1.0</v>
      </c>
      <c r="G22" s="13">
        <v>1.0</v>
      </c>
      <c r="H22" s="13">
        <v>1.0</v>
      </c>
      <c r="I22" s="13">
        <v>1.0</v>
      </c>
      <c r="J22" s="13">
        <v>1.0</v>
      </c>
      <c r="K22" s="13">
        <v>1.0</v>
      </c>
      <c r="L22" s="13">
        <v>1.0</v>
      </c>
      <c r="M22" s="13">
        <v>1.0</v>
      </c>
      <c r="N22" s="13">
        <v>1.0</v>
      </c>
      <c r="O22" s="13">
        <v>1.0</v>
      </c>
      <c r="P22" s="13">
        <v>1.0</v>
      </c>
      <c r="Q22" s="13">
        <v>1.0</v>
      </c>
      <c r="R22" s="13">
        <v>1.0</v>
      </c>
      <c r="S22" s="13">
        <v>1.0</v>
      </c>
      <c r="T22" s="13">
        <v>1.0</v>
      </c>
      <c r="U22" s="13">
        <v>1.0</v>
      </c>
      <c r="V22" s="13">
        <v>1.0</v>
      </c>
      <c r="W22" s="13">
        <v>1.0</v>
      </c>
      <c r="X22" s="13">
        <v>1.0</v>
      </c>
      <c r="Y22" s="13">
        <v>1.0</v>
      </c>
      <c r="Z22" s="13">
        <v>1.0</v>
      </c>
      <c r="AA22" s="13">
        <v>1.0</v>
      </c>
      <c r="AB22" s="13">
        <v>1.0</v>
      </c>
      <c r="AC22" s="13">
        <v>1.0</v>
      </c>
      <c r="AD22" s="13">
        <v>1.0</v>
      </c>
      <c r="AE22" s="13">
        <v>1.0</v>
      </c>
      <c r="AF22" s="13">
        <v>1.0</v>
      </c>
      <c r="AG22" s="13">
        <v>1.0</v>
      </c>
      <c r="AH22" s="13">
        <v>1.0</v>
      </c>
      <c r="AI22" s="13">
        <v>1.0</v>
      </c>
      <c r="AJ22" s="14">
        <f t="shared" si="6"/>
        <v>31</v>
      </c>
      <c r="AK22" s="14">
        <f>330*AJ22</f>
        <v>10230</v>
      </c>
      <c r="AL22" s="19"/>
      <c r="AM22" s="4"/>
      <c r="AN22" s="1"/>
      <c r="AO22" s="1"/>
      <c r="AP22" s="1"/>
      <c r="AQ22" s="1"/>
      <c r="AR22" s="1"/>
      <c r="AS22" s="1"/>
      <c r="AT22" s="1"/>
      <c r="AU22" s="1"/>
    </row>
    <row r="23" ht="15.75" customHeight="1">
      <c r="A23" s="16"/>
      <c r="B23" s="16"/>
      <c r="C23" s="16"/>
      <c r="D23" s="14" t="s">
        <v>6</v>
      </c>
      <c r="E23" s="13">
        <v>1.0</v>
      </c>
      <c r="F23" s="13">
        <v>1.0</v>
      </c>
      <c r="G23" s="13">
        <v>1.0</v>
      </c>
      <c r="H23" s="13">
        <v>1.0</v>
      </c>
      <c r="I23" s="13">
        <v>1.0</v>
      </c>
      <c r="J23" s="13">
        <v>1.0</v>
      </c>
      <c r="K23" s="13">
        <v>0.0</v>
      </c>
      <c r="L23" s="13">
        <v>1.0</v>
      </c>
      <c r="M23" s="13">
        <v>1.0</v>
      </c>
      <c r="N23" s="13">
        <v>1.0</v>
      </c>
      <c r="O23" s="13">
        <v>1.0</v>
      </c>
      <c r="P23" s="13">
        <v>1.0</v>
      </c>
      <c r="Q23" s="13">
        <v>1.0</v>
      </c>
      <c r="R23" s="13">
        <v>0.0</v>
      </c>
      <c r="S23" s="13">
        <v>1.0</v>
      </c>
      <c r="T23" s="13">
        <v>1.0</v>
      </c>
      <c r="U23" s="13">
        <v>1.0</v>
      </c>
      <c r="V23" s="13">
        <v>1.0</v>
      </c>
      <c r="W23" s="13">
        <v>1.0</v>
      </c>
      <c r="X23" s="13">
        <v>1.0</v>
      </c>
      <c r="Y23" s="13">
        <v>0.0</v>
      </c>
      <c r="Z23" s="13">
        <v>1.0</v>
      </c>
      <c r="AA23" s="13">
        <v>1.0</v>
      </c>
      <c r="AB23" s="13">
        <v>1.0</v>
      </c>
      <c r="AC23" s="13">
        <v>1.0</v>
      </c>
      <c r="AD23" s="13">
        <v>1.0</v>
      </c>
      <c r="AE23" s="13">
        <v>1.0</v>
      </c>
      <c r="AF23" s="13">
        <v>0.0</v>
      </c>
      <c r="AG23" s="13">
        <v>1.0</v>
      </c>
      <c r="AH23" s="13">
        <v>1.0</v>
      </c>
      <c r="AI23" s="13">
        <v>0.0</v>
      </c>
      <c r="AJ23" s="14">
        <f t="shared" si="6"/>
        <v>26</v>
      </c>
      <c r="AK23" s="14">
        <f t="shared" ref="AK23:AK24" si="10">550*AJ23</f>
        <v>14300</v>
      </c>
      <c r="AL23" s="19"/>
      <c r="AM23" s="4"/>
      <c r="AN23" s="1"/>
      <c r="AO23" s="1"/>
      <c r="AP23" s="1"/>
      <c r="AQ23" s="1"/>
      <c r="AR23" s="1"/>
      <c r="AS23" s="1"/>
      <c r="AT23" s="1"/>
      <c r="AU23" s="1"/>
    </row>
    <row r="24" ht="15.75" customHeight="1">
      <c r="A24" s="10"/>
      <c r="B24" s="10"/>
      <c r="C24" s="10"/>
      <c r="D24" s="14" t="s">
        <v>7</v>
      </c>
      <c r="E24" s="13">
        <v>1.0</v>
      </c>
      <c r="F24" s="13">
        <v>1.0</v>
      </c>
      <c r="G24" s="13">
        <v>1.0</v>
      </c>
      <c r="H24" s="13">
        <v>1.0</v>
      </c>
      <c r="I24" s="13">
        <v>1.0</v>
      </c>
      <c r="J24" s="13">
        <v>1.0</v>
      </c>
      <c r="K24" s="13">
        <v>1.0</v>
      </c>
      <c r="L24" s="13">
        <v>1.0</v>
      </c>
      <c r="M24" s="13">
        <v>1.0</v>
      </c>
      <c r="N24" s="13">
        <v>1.0</v>
      </c>
      <c r="O24" s="13">
        <v>1.0</v>
      </c>
      <c r="P24" s="13">
        <v>1.0</v>
      </c>
      <c r="Q24" s="13">
        <v>1.0</v>
      </c>
      <c r="R24" s="13">
        <v>1.0</v>
      </c>
      <c r="S24" s="13">
        <v>1.0</v>
      </c>
      <c r="T24" s="13">
        <v>1.0</v>
      </c>
      <c r="U24" s="13">
        <v>1.0</v>
      </c>
      <c r="V24" s="13">
        <v>1.0</v>
      </c>
      <c r="W24" s="13">
        <v>1.0</v>
      </c>
      <c r="X24" s="13">
        <v>1.0</v>
      </c>
      <c r="Y24" s="13">
        <v>1.0</v>
      </c>
      <c r="Z24" s="13">
        <v>1.0</v>
      </c>
      <c r="AA24" s="13">
        <v>1.0</v>
      </c>
      <c r="AB24" s="13">
        <v>1.0</v>
      </c>
      <c r="AC24" s="13">
        <v>1.0</v>
      </c>
      <c r="AD24" s="13">
        <v>1.0</v>
      </c>
      <c r="AE24" s="13">
        <v>1.0</v>
      </c>
      <c r="AF24" s="13">
        <v>1.0</v>
      </c>
      <c r="AG24" s="13">
        <v>1.0</v>
      </c>
      <c r="AH24" s="13">
        <v>1.0</v>
      </c>
      <c r="AI24" s="13">
        <v>1.0</v>
      </c>
      <c r="AJ24" s="14">
        <f t="shared" si="6"/>
        <v>31</v>
      </c>
      <c r="AK24" s="14">
        <f t="shared" si="10"/>
        <v>17050</v>
      </c>
      <c r="AL24" s="20">
        <f>SUM(AK22:AK24)</f>
        <v>41580</v>
      </c>
      <c r="AM24" s="4"/>
      <c r="AN24" s="1"/>
      <c r="AO24" s="1"/>
      <c r="AP24" s="1"/>
      <c r="AQ24" s="1"/>
      <c r="AR24" s="1"/>
      <c r="AS24" s="1"/>
      <c r="AT24" s="1"/>
      <c r="AU24" s="1"/>
    </row>
    <row r="25" ht="15.75" customHeight="1">
      <c r="A25" s="12" t="s">
        <v>24</v>
      </c>
      <c r="B25" s="12" t="s">
        <v>25</v>
      </c>
      <c r="C25" s="12" t="s">
        <v>26</v>
      </c>
      <c r="D25" s="13" t="s">
        <v>5</v>
      </c>
      <c r="E25" s="30">
        <v>1.0</v>
      </c>
      <c r="F25" s="30">
        <v>1.0</v>
      </c>
      <c r="G25" s="30">
        <v>1.0</v>
      </c>
      <c r="H25" s="30">
        <v>1.0</v>
      </c>
      <c r="I25" s="30">
        <v>1.0</v>
      </c>
      <c r="J25" s="30">
        <v>1.0</v>
      </c>
      <c r="K25" s="30">
        <v>1.0</v>
      </c>
      <c r="L25" s="30">
        <v>1.0</v>
      </c>
      <c r="M25" s="30">
        <v>1.0</v>
      </c>
      <c r="N25" s="30">
        <v>1.0</v>
      </c>
      <c r="O25" s="30">
        <v>1.0</v>
      </c>
      <c r="P25" s="30">
        <v>1.0</v>
      </c>
      <c r="Q25" s="30">
        <v>1.0</v>
      </c>
      <c r="R25" s="30">
        <v>1.0</v>
      </c>
      <c r="S25" s="30">
        <v>1.0</v>
      </c>
      <c r="T25" s="30">
        <v>1.0</v>
      </c>
      <c r="U25" s="30">
        <v>1.0</v>
      </c>
      <c r="V25" s="30">
        <v>1.0</v>
      </c>
      <c r="W25" s="30">
        <v>1.0</v>
      </c>
      <c r="X25" s="30">
        <v>1.0</v>
      </c>
      <c r="Y25" s="30">
        <v>1.0</v>
      </c>
      <c r="Z25" s="30">
        <v>1.0</v>
      </c>
      <c r="AA25" s="30">
        <v>1.0</v>
      </c>
      <c r="AB25" s="30">
        <v>1.0</v>
      </c>
      <c r="AC25" s="30">
        <v>1.0</v>
      </c>
      <c r="AD25" s="30">
        <v>1.0</v>
      </c>
      <c r="AE25" s="30">
        <v>1.0</v>
      </c>
      <c r="AF25" s="30">
        <v>1.0</v>
      </c>
      <c r="AG25" s="30">
        <v>1.0</v>
      </c>
      <c r="AH25" s="30">
        <v>1.0</v>
      </c>
      <c r="AI25" s="30">
        <v>1.0</v>
      </c>
      <c r="AJ25" s="13">
        <f t="shared" si="6"/>
        <v>31</v>
      </c>
      <c r="AK25" s="23">
        <f>330*AJ25</f>
        <v>10230</v>
      </c>
      <c r="AL25" s="24"/>
      <c r="AM25" s="4"/>
      <c r="AN25" s="1"/>
      <c r="AO25" s="1"/>
      <c r="AP25" s="1"/>
      <c r="AQ25" s="1"/>
      <c r="AR25" s="1"/>
      <c r="AS25" s="1"/>
      <c r="AT25" s="1"/>
      <c r="AU25" s="1"/>
    </row>
    <row r="26" ht="15.75" customHeight="1">
      <c r="A26" s="16"/>
      <c r="B26" s="16"/>
      <c r="C26" s="16"/>
      <c r="D26" s="13" t="s">
        <v>6</v>
      </c>
      <c r="E26" s="30">
        <v>1.0</v>
      </c>
      <c r="F26" s="30">
        <v>0.0</v>
      </c>
      <c r="G26" s="30">
        <v>1.0</v>
      </c>
      <c r="H26" s="30">
        <v>1.0</v>
      </c>
      <c r="I26" s="30">
        <v>0.0</v>
      </c>
      <c r="J26" s="30">
        <v>1.0</v>
      </c>
      <c r="K26" s="30">
        <v>1.0</v>
      </c>
      <c r="L26" s="30">
        <v>1.0</v>
      </c>
      <c r="M26" s="30">
        <v>0.0</v>
      </c>
      <c r="N26" s="30">
        <v>1.0</v>
      </c>
      <c r="O26" s="30">
        <v>1.0</v>
      </c>
      <c r="P26" s="30">
        <v>0.0</v>
      </c>
      <c r="Q26" s="30">
        <v>1.0</v>
      </c>
      <c r="R26" s="30">
        <v>1.0</v>
      </c>
      <c r="S26" s="30">
        <v>1.0</v>
      </c>
      <c r="T26" s="30">
        <v>0.0</v>
      </c>
      <c r="U26" s="30">
        <v>1.0</v>
      </c>
      <c r="V26" s="30">
        <v>1.0</v>
      </c>
      <c r="W26" s="30">
        <v>0.0</v>
      </c>
      <c r="X26" s="30">
        <v>1.0</v>
      </c>
      <c r="Y26" s="30">
        <v>1.0</v>
      </c>
      <c r="Z26" s="30">
        <v>1.0</v>
      </c>
      <c r="AA26" s="30">
        <v>0.0</v>
      </c>
      <c r="AB26" s="30">
        <v>1.0</v>
      </c>
      <c r="AC26" s="30">
        <v>1.0</v>
      </c>
      <c r="AD26" s="30">
        <v>0.0</v>
      </c>
      <c r="AE26" s="30">
        <v>1.0</v>
      </c>
      <c r="AF26" s="30">
        <v>1.0</v>
      </c>
      <c r="AG26" s="30">
        <v>1.0</v>
      </c>
      <c r="AH26" s="30">
        <v>0.0</v>
      </c>
      <c r="AI26" s="30">
        <v>1.0</v>
      </c>
      <c r="AJ26" s="13">
        <f t="shared" si="6"/>
        <v>22</v>
      </c>
      <c r="AK26" s="23">
        <f t="shared" ref="AK26:AK27" si="11">550*AJ26</f>
        <v>12100</v>
      </c>
      <c r="AL26" s="24"/>
      <c r="AM26" s="4"/>
      <c r="AN26" s="1"/>
      <c r="AO26" s="1"/>
      <c r="AP26" s="1"/>
      <c r="AQ26" s="1"/>
      <c r="AR26" s="1"/>
      <c r="AS26" s="1"/>
      <c r="AT26" s="1"/>
      <c r="AU26" s="1"/>
    </row>
    <row r="27" ht="15.75" customHeight="1">
      <c r="A27" s="10"/>
      <c r="B27" s="10"/>
      <c r="C27" s="10"/>
      <c r="D27" s="13" t="s">
        <v>7</v>
      </c>
      <c r="E27" s="30">
        <v>1.0</v>
      </c>
      <c r="F27" s="30">
        <v>1.0</v>
      </c>
      <c r="G27" s="30">
        <v>1.0</v>
      </c>
      <c r="H27" s="30">
        <v>1.0</v>
      </c>
      <c r="I27" s="30">
        <v>1.0</v>
      </c>
      <c r="J27" s="30">
        <v>1.0</v>
      </c>
      <c r="K27" s="30">
        <v>1.0</v>
      </c>
      <c r="L27" s="30">
        <v>1.0</v>
      </c>
      <c r="M27" s="30">
        <v>1.0</v>
      </c>
      <c r="N27" s="30">
        <v>1.0</v>
      </c>
      <c r="O27" s="30">
        <v>1.0</v>
      </c>
      <c r="P27" s="30">
        <v>1.0</v>
      </c>
      <c r="Q27" s="30">
        <v>1.0</v>
      </c>
      <c r="R27" s="30">
        <v>1.0</v>
      </c>
      <c r="S27" s="30">
        <v>1.0</v>
      </c>
      <c r="T27" s="30">
        <v>1.0</v>
      </c>
      <c r="U27" s="30">
        <v>1.0</v>
      </c>
      <c r="V27" s="30">
        <v>1.0</v>
      </c>
      <c r="W27" s="30">
        <v>1.0</v>
      </c>
      <c r="X27" s="30">
        <v>1.0</v>
      </c>
      <c r="Y27" s="30">
        <v>1.0</v>
      </c>
      <c r="Z27" s="30">
        <v>1.0</v>
      </c>
      <c r="AA27" s="30">
        <v>1.0</v>
      </c>
      <c r="AB27" s="30">
        <v>1.0</v>
      </c>
      <c r="AC27" s="30">
        <v>1.0</v>
      </c>
      <c r="AD27" s="30">
        <v>1.0</v>
      </c>
      <c r="AE27" s="30">
        <v>1.0</v>
      </c>
      <c r="AF27" s="30">
        <v>1.0</v>
      </c>
      <c r="AG27" s="30">
        <v>1.0</v>
      </c>
      <c r="AH27" s="30">
        <v>1.0</v>
      </c>
      <c r="AI27" s="30">
        <v>1.0</v>
      </c>
      <c r="AJ27" s="13">
        <f t="shared" si="6"/>
        <v>31</v>
      </c>
      <c r="AK27" s="23">
        <f t="shared" si="11"/>
        <v>17050</v>
      </c>
      <c r="AL27" s="26">
        <f>SUM(AK25:AK27)</f>
        <v>39380</v>
      </c>
      <c r="AM27" s="4"/>
      <c r="AN27" s="1"/>
      <c r="AO27" s="1"/>
      <c r="AP27" s="1"/>
      <c r="AQ27" s="1"/>
      <c r="AR27" s="1"/>
      <c r="AS27" s="1"/>
      <c r="AT27" s="1"/>
      <c r="AU27" s="1"/>
    </row>
    <row r="28" ht="15.75" customHeight="1">
      <c r="A28" s="12" t="s">
        <v>27</v>
      </c>
      <c r="B28" s="12" t="s">
        <v>28</v>
      </c>
      <c r="C28" s="12" t="s">
        <v>29</v>
      </c>
      <c r="D28" s="13" t="s">
        <v>5</v>
      </c>
      <c r="E28" s="30">
        <v>0.0</v>
      </c>
      <c r="F28" s="30">
        <v>0.0</v>
      </c>
      <c r="G28" s="18">
        <v>0.0</v>
      </c>
      <c r="H28" s="18">
        <v>0.0</v>
      </c>
      <c r="I28" s="18">
        <v>0.0</v>
      </c>
      <c r="J28" s="18">
        <v>0.0</v>
      </c>
      <c r="K28" s="18">
        <v>0.0</v>
      </c>
      <c r="L28" s="18">
        <v>0.0</v>
      </c>
      <c r="M28" s="18">
        <v>0.0</v>
      </c>
      <c r="N28" s="18">
        <v>0.0</v>
      </c>
      <c r="O28" s="18">
        <v>0.0</v>
      </c>
      <c r="P28" s="18">
        <v>0.0</v>
      </c>
      <c r="Q28" s="18">
        <v>0.0</v>
      </c>
      <c r="R28" s="18">
        <v>0.0</v>
      </c>
      <c r="S28" s="18">
        <v>0.0</v>
      </c>
      <c r="T28" s="18">
        <v>0.0</v>
      </c>
      <c r="U28" s="18">
        <v>0.0</v>
      </c>
      <c r="V28" s="18">
        <v>0.0</v>
      </c>
      <c r="W28" s="18">
        <v>0.0</v>
      </c>
      <c r="X28" s="18">
        <v>0.0</v>
      </c>
      <c r="Y28" s="18">
        <v>0.0</v>
      </c>
      <c r="Z28" s="18">
        <v>0.0</v>
      </c>
      <c r="AA28" s="18">
        <v>0.0</v>
      </c>
      <c r="AB28" s="18">
        <v>0.0</v>
      </c>
      <c r="AC28" s="18">
        <v>0.0</v>
      </c>
      <c r="AD28" s="18">
        <v>0.0</v>
      </c>
      <c r="AE28" s="18">
        <v>0.0</v>
      </c>
      <c r="AF28" s="18">
        <v>0.0</v>
      </c>
      <c r="AG28" s="18">
        <v>0.0</v>
      </c>
      <c r="AH28" s="18">
        <v>0.0</v>
      </c>
      <c r="AI28" s="18">
        <v>0.0</v>
      </c>
      <c r="AJ28" s="13">
        <f t="shared" si="6"/>
        <v>0</v>
      </c>
      <c r="AK28" s="14">
        <f>330*AJ28</f>
        <v>0</v>
      </c>
      <c r="AL28" s="19"/>
      <c r="AM28" s="4"/>
      <c r="AN28" s="1"/>
      <c r="AO28" s="1"/>
      <c r="AP28" s="1"/>
      <c r="AQ28" s="1"/>
      <c r="AR28" s="1"/>
      <c r="AS28" s="1"/>
      <c r="AT28" s="1"/>
      <c r="AU28" s="1"/>
    </row>
    <row r="29" ht="15.75" customHeight="1">
      <c r="A29" s="16"/>
      <c r="B29" s="16"/>
      <c r="C29" s="16"/>
      <c r="D29" s="13" t="s">
        <v>6</v>
      </c>
      <c r="E29" s="30">
        <v>0.0</v>
      </c>
      <c r="F29" s="30">
        <v>0.0</v>
      </c>
      <c r="G29" s="30">
        <v>0.0</v>
      </c>
      <c r="H29" s="30">
        <v>0.0</v>
      </c>
      <c r="I29" s="30">
        <v>0.0</v>
      </c>
      <c r="J29" s="30">
        <v>0.0</v>
      </c>
      <c r="K29" s="30">
        <v>0.0</v>
      </c>
      <c r="L29" s="30">
        <v>0.0</v>
      </c>
      <c r="M29" s="30">
        <v>0.0</v>
      </c>
      <c r="N29" s="30">
        <v>0.0</v>
      </c>
      <c r="O29" s="30">
        <v>0.0</v>
      </c>
      <c r="P29" s="30">
        <v>0.0</v>
      </c>
      <c r="Q29" s="30">
        <v>0.0</v>
      </c>
      <c r="R29" s="30">
        <v>0.0</v>
      </c>
      <c r="S29" s="30">
        <v>0.0</v>
      </c>
      <c r="T29" s="30">
        <v>0.0</v>
      </c>
      <c r="U29" s="30">
        <v>0.0</v>
      </c>
      <c r="V29" s="30">
        <v>0.0</v>
      </c>
      <c r="W29" s="30">
        <v>0.0</v>
      </c>
      <c r="X29" s="30">
        <v>0.0</v>
      </c>
      <c r="Y29" s="30">
        <v>0.0</v>
      </c>
      <c r="Z29" s="30">
        <v>0.0</v>
      </c>
      <c r="AA29" s="30">
        <v>0.0</v>
      </c>
      <c r="AB29" s="30">
        <v>0.0</v>
      </c>
      <c r="AC29" s="30">
        <v>0.0</v>
      </c>
      <c r="AD29" s="30">
        <v>0.0</v>
      </c>
      <c r="AE29" s="30">
        <v>0.0</v>
      </c>
      <c r="AF29" s="30">
        <v>0.0</v>
      </c>
      <c r="AG29" s="30">
        <v>0.0</v>
      </c>
      <c r="AH29" s="30">
        <v>0.0</v>
      </c>
      <c r="AI29" s="30">
        <v>0.0</v>
      </c>
      <c r="AJ29" s="13">
        <f t="shared" si="6"/>
        <v>0</v>
      </c>
      <c r="AK29" s="14">
        <f t="shared" ref="AK29:AK30" si="12">550*AJ29</f>
        <v>0</v>
      </c>
      <c r="AL29" s="19"/>
      <c r="AM29" s="4"/>
      <c r="AN29" s="1"/>
      <c r="AO29" s="1"/>
      <c r="AP29" s="1"/>
      <c r="AQ29" s="1"/>
      <c r="AR29" s="1"/>
      <c r="AS29" s="1"/>
      <c r="AT29" s="1"/>
      <c r="AU29" s="1"/>
    </row>
    <row r="30" ht="15.75" customHeight="1">
      <c r="A30" s="10"/>
      <c r="B30" s="10"/>
      <c r="C30" s="10"/>
      <c r="D30" s="13" t="s">
        <v>7</v>
      </c>
      <c r="E30" s="30">
        <v>0.0</v>
      </c>
      <c r="F30" s="30">
        <v>0.0</v>
      </c>
      <c r="G30" s="30">
        <v>0.0</v>
      </c>
      <c r="H30" s="30">
        <v>0.0</v>
      </c>
      <c r="I30" s="30">
        <v>0.0</v>
      </c>
      <c r="J30" s="30">
        <v>0.0</v>
      </c>
      <c r="K30" s="30">
        <v>0.0</v>
      </c>
      <c r="L30" s="30">
        <v>0.0</v>
      </c>
      <c r="M30" s="30">
        <v>0.0</v>
      </c>
      <c r="N30" s="30">
        <v>0.0</v>
      </c>
      <c r="O30" s="30">
        <v>0.0</v>
      </c>
      <c r="P30" s="30">
        <v>0.0</v>
      </c>
      <c r="Q30" s="30">
        <v>0.0</v>
      </c>
      <c r="R30" s="30">
        <v>0.0</v>
      </c>
      <c r="S30" s="30">
        <v>0.0</v>
      </c>
      <c r="T30" s="30">
        <v>0.0</v>
      </c>
      <c r="U30" s="30">
        <v>0.0</v>
      </c>
      <c r="V30" s="30">
        <v>0.0</v>
      </c>
      <c r="W30" s="30">
        <v>0.0</v>
      </c>
      <c r="X30" s="30">
        <v>0.0</v>
      </c>
      <c r="Y30" s="30">
        <v>0.0</v>
      </c>
      <c r="Z30" s="30">
        <v>0.0</v>
      </c>
      <c r="AA30" s="30">
        <v>0.0</v>
      </c>
      <c r="AB30" s="30">
        <v>0.0</v>
      </c>
      <c r="AC30" s="30">
        <v>0.0</v>
      </c>
      <c r="AD30" s="30">
        <v>0.0</v>
      </c>
      <c r="AE30" s="30">
        <v>0.0</v>
      </c>
      <c r="AF30" s="30">
        <v>0.0</v>
      </c>
      <c r="AG30" s="30">
        <v>0.0</v>
      </c>
      <c r="AH30" s="30">
        <v>0.0</v>
      </c>
      <c r="AI30" s="30">
        <v>0.0</v>
      </c>
      <c r="AJ30" s="13">
        <f t="shared" si="6"/>
        <v>0</v>
      </c>
      <c r="AK30" s="14">
        <f t="shared" si="12"/>
        <v>0</v>
      </c>
      <c r="AL30" s="20">
        <f>SUM(AK28:AK30)</f>
        <v>0</v>
      </c>
      <c r="AM30" s="4"/>
      <c r="AN30" s="1"/>
      <c r="AO30" s="1"/>
      <c r="AP30" s="1"/>
      <c r="AQ30" s="1"/>
      <c r="AR30" s="1"/>
      <c r="AS30" s="1"/>
      <c r="AT30" s="1"/>
      <c r="AU30" s="1"/>
    </row>
    <row r="31" ht="15.75" customHeight="1">
      <c r="A31" s="12"/>
      <c r="B31" s="12"/>
      <c r="C31" s="12"/>
      <c r="D31" s="13" t="s">
        <v>5</v>
      </c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>
        <f t="shared" si="6"/>
        <v>0</v>
      </c>
      <c r="AK31" s="23">
        <f>330*AJ31</f>
        <v>0</v>
      </c>
      <c r="AL31" s="24"/>
      <c r="AM31" s="4"/>
      <c r="AN31" s="1"/>
      <c r="AO31" s="1"/>
      <c r="AP31" s="1"/>
      <c r="AQ31" s="1"/>
      <c r="AR31" s="1"/>
      <c r="AS31" s="1"/>
      <c r="AT31" s="1"/>
      <c r="AU31" s="1"/>
    </row>
    <row r="32" ht="15.75" customHeight="1">
      <c r="A32" s="16"/>
      <c r="B32" s="16"/>
      <c r="C32" s="16"/>
      <c r="D32" s="13" t="s">
        <v>6</v>
      </c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>
        <f t="shared" si="6"/>
        <v>0</v>
      </c>
      <c r="AK32" s="23">
        <f t="shared" ref="AK32:AK33" si="13">550*AJ32</f>
        <v>0</v>
      </c>
      <c r="AL32" s="24"/>
      <c r="AM32" s="4"/>
      <c r="AN32" s="1"/>
      <c r="AO32" s="1"/>
      <c r="AP32" s="1"/>
      <c r="AQ32" s="1"/>
      <c r="AR32" s="1"/>
      <c r="AS32" s="1"/>
      <c r="AT32" s="1"/>
      <c r="AU32" s="1"/>
    </row>
    <row r="33" ht="15.75" customHeight="1">
      <c r="A33" s="10"/>
      <c r="B33" s="10"/>
      <c r="C33" s="10"/>
      <c r="D33" s="13" t="s">
        <v>7</v>
      </c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>
        <f t="shared" si="6"/>
        <v>0</v>
      </c>
      <c r="AK33" s="23">
        <f t="shared" si="13"/>
        <v>0</v>
      </c>
      <c r="AL33" s="26">
        <f>SUM(AK31:AK33)</f>
        <v>0</v>
      </c>
      <c r="AM33" s="4"/>
      <c r="AN33" s="1"/>
      <c r="AO33" s="1"/>
      <c r="AP33" s="1"/>
      <c r="AQ33" s="1"/>
      <c r="AR33" s="1"/>
      <c r="AS33" s="1"/>
      <c r="AT33" s="1"/>
      <c r="AU33" s="1"/>
    </row>
    <row r="34" ht="15.75" customHeight="1">
      <c r="A34" s="12"/>
      <c r="B34" s="12"/>
      <c r="C34" s="12"/>
      <c r="D34" s="13" t="s">
        <v>5</v>
      </c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>
        <f t="shared" si="6"/>
        <v>0</v>
      </c>
      <c r="AK34" s="1"/>
      <c r="AL34" s="1"/>
      <c r="AM34" s="4"/>
      <c r="AN34" s="1"/>
      <c r="AO34" s="1"/>
      <c r="AP34" s="1"/>
      <c r="AQ34" s="1"/>
      <c r="AR34" s="1"/>
      <c r="AS34" s="1"/>
      <c r="AT34" s="1"/>
      <c r="AU34" s="1"/>
    </row>
    <row r="35" ht="15.75" customHeight="1">
      <c r="A35" s="16"/>
      <c r="B35" s="16"/>
      <c r="C35" s="16"/>
      <c r="D35" s="13" t="s">
        <v>6</v>
      </c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>
        <f t="shared" si="6"/>
        <v>0</v>
      </c>
      <c r="AK35" s="1"/>
      <c r="AL35" s="1"/>
      <c r="AM35" s="4"/>
      <c r="AN35" s="1"/>
      <c r="AO35" s="1"/>
      <c r="AP35" s="1"/>
      <c r="AQ35" s="1"/>
      <c r="AR35" s="1"/>
      <c r="AS35" s="1"/>
      <c r="AT35" s="1"/>
      <c r="AU35" s="1"/>
    </row>
    <row r="36" ht="15.75" customHeight="1">
      <c r="A36" s="10"/>
      <c r="B36" s="10"/>
      <c r="C36" s="10"/>
      <c r="D36" s="13" t="s">
        <v>7</v>
      </c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>
        <f t="shared" si="6"/>
        <v>0</v>
      </c>
      <c r="AK36" s="1"/>
      <c r="AL36" s="1"/>
      <c r="AM36" s="4"/>
      <c r="AN36" s="1"/>
      <c r="AO36" s="1"/>
      <c r="AP36" s="1"/>
      <c r="AQ36" s="1"/>
      <c r="AR36" s="1"/>
      <c r="AS36" s="1"/>
      <c r="AT36" s="1"/>
      <c r="AU36" s="1"/>
    </row>
    <row r="37" ht="15.75" customHeight="1">
      <c r="A37" s="12"/>
      <c r="B37" s="12"/>
      <c r="C37" s="12"/>
      <c r="D37" s="13" t="s">
        <v>5</v>
      </c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>
        <f t="shared" si="6"/>
        <v>0</v>
      </c>
      <c r="AK37" s="1"/>
      <c r="AL37" s="1"/>
      <c r="AM37" s="4"/>
      <c r="AN37" s="1"/>
      <c r="AO37" s="1"/>
      <c r="AP37" s="1"/>
      <c r="AQ37" s="1"/>
      <c r="AR37" s="1"/>
      <c r="AS37" s="1"/>
      <c r="AT37" s="1"/>
      <c r="AU37" s="1"/>
    </row>
    <row r="38" ht="15.75" customHeight="1">
      <c r="A38" s="16"/>
      <c r="B38" s="16"/>
      <c r="C38" s="16"/>
      <c r="D38" s="13" t="s">
        <v>6</v>
      </c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>
        <f t="shared" si="6"/>
        <v>0</v>
      </c>
      <c r="AK38" s="1"/>
      <c r="AL38" s="1"/>
      <c r="AM38" s="4"/>
      <c r="AN38" s="1"/>
      <c r="AO38" s="1"/>
      <c r="AP38" s="1"/>
      <c r="AQ38" s="1"/>
      <c r="AR38" s="1"/>
      <c r="AS38" s="1"/>
      <c r="AT38" s="1"/>
      <c r="AU38" s="1"/>
    </row>
    <row r="39" ht="15.75" customHeight="1">
      <c r="A39" s="10"/>
      <c r="B39" s="10"/>
      <c r="C39" s="10"/>
      <c r="D39" s="13" t="s">
        <v>7</v>
      </c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>
        <f t="shared" si="6"/>
        <v>0</v>
      </c>
      <c r="AK39" s="1"/>
      <c r="AL39" s="1"/>
      <c r="AM39" s="4"/>
      <c r="AN39" s="1"/>
      <c r="AO39" s="1"/>
      <c r="AP39" s="1"/>
      <c r="AQ39" s="1"/>
      <c r="AR39" s="1"/>
      <c r="AS39" s="1"/>
      <c r="AT39" s="1"/>
      <c r="AU39" s="1"/>
    </row>
    <row r="40" ht="15.75" customHeight="1">
      <c r="A40" s="12"/>
      <c r="B40" s="12"/>
      <c r="C40" s="12"/>
      <c r="D40" s="13" t="s">
        <v>5</v>
      </c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>
        <f t="shared" si="6"/>
        <v>0</v>
      </c>
      <c r="AK40" s="1"/>
      <c r="AL40" s="1"/>
      <c r="AM40" s="4"/>
      <c r="AN40" s="1"/>
      <c r="AO40" s="1"/>
      <c r="AP40" s="1"/>
      <c r="AQ40" s="1"/>
      <c r="AR40" s="1"/>
      <c r="AS40" s="1"/>
      <c r="AT40" s="1"/>
      <c r="AU40" s="1"/>
    </row>
    <row r="41" ht="15.75" customHeight="1">
      <c r="A41" s="16"/>
      <c r="B41" s="16"/>
      <c r="C41" s="16"/>
      <c r="D41" s="13" t="s">
        <v>6</v>
      </c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>
        <f t="shared" si="6"/>
        <v>0</v>
      </c>
      <c r="AK41" s="1"/>
      <c r="AL41" s="1"/>
      <c r="AM41" s="4"/>
      <c r="AN41" s="1"/>
      <c r="AO41" s="1"/>
      <c r="AP41" s="1"/>
      <c r="AQ41" s="1"/>
      <c r="AR41" s="1"/>
      <c r="AS41" s="1"/>
      <c r="AT41" s="1"/>
      <c r="AU41" s="1"/>
    </row>
    <row r="42" ht="15.75" customHeight="1">
      <c r="A42" s="10"/>
      <c r="B42" s="10"/>
      <c r="C42" s="10"/>
      <c r="D42" s="13" t="s">
        <v>7</v>
      </c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>
        <f t="shared" si="6"/>
        <v>0</v>
      </c>
      <c r="AK42" s="1"/>
      <c r="AL42" s="1"/>
      <c r="AM42" s="4"/>
      <c r="AN42" s="1"/>
      <c r="AO42" s="1"/>
      <c r="AP42" s="1"/>
      <c r="AQ42" s="1"/>
      <c r="AR42" s="1"/>
      <c r="AS42" s="1"/>
      <c r="AT42" s="1"/>
      <c r="AU42" s="1"/>
    </row>
    <row r="43" ht="15.75" customHeight="1">
      <c r="A43" s="12"/>
      <c r="B43" s="12"/>
      <c r="C43" s="12"/>
      <c r="D43" s="13" t="s">
        <v>5</v>
      </c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>
        <f t="shared" si="6"/>
        <v>0</v>
      </c>
      <c r="AK43" s="1"/>
      <c r="AL43" s="1"/>
      <c r="AM43" s="4"/>
      <c r="AN43" s="1"/>
      <c r="AO43" s="1"/>
      <c r="AP43" s="1"/>
      <c r="AQ43" s="1"/>
      <c r="AR43" s="1"/>
      <c r="AS43" s="1"/>
      <c r="AT43" s="1"/>
      <c r="AU43" s="1"/>
    </row>
    <row r="44" ht="15.75" customHeight="1">
      <c r="A44" s="16"/>
      <c r="B44" s="16"/>
      <c r="C44" s="16"/>
      <c r="D44" s="13" t="s">
        <v>6</v>
      </c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>
        <f t="shared" si="6"/>
        <v>0</v>
      </c>
      <c r="AK44" s="1"/>
      <c r="AL44" s="1"/>
      <c r="AM44" s="4"/>
      <c r="AN44" s="1"/>
      <c r="AO44" s="1"/>
      <c r="AP44" s="1"/>
      <c r="AQ44" s="1"/>
      <c r="AR44" s="1"/>
      <c r="AS44" s="1"/>
      <c r="AT44" s="1"/>
      <c r="AU44" s="1"/>
    </row>
    <row r="45" ht="15.75" customHeight="1">
      <c r="A45" s="10"/>
      <c r="B45" s="10"/>
      <c r="C45" s="10"/>
      <c r="D45" s="13" t="s">
        <v>7</v>
      </c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>
        <f t="shared" si="6"/>
        <v>0</v>
      </c>
      <c r="AK45" s="1"/>
      <c r="AL45" s="1"/>
      <c r="AM45" s="4"/>
      <c r="AN45" s="1"/>
      <c r="AO45" s="1"/>
      <c r="AP45" s="1"/>
      <c r="AQ45" s="1"/>
      <c r="AR45" s="1"/>
      <c r="AS45" s="1"/>
      <c r="AT45" s="1"/>
      <c r="AU45" s="1"/>
    </row>
    <row r="46" ht="15.75" customHeight="1">
      <c r="A46" s="12"/>
      <c r="B46" s="12"/>
      <c r="C46" s="12"/>
      <c r="D46" s="13" t="s">
        <v>5</v>
      </c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>
        <f t="shared" si="6"/>
        <v>0</v>
      </c>
      <c r="AK46" s="1"/>
      <c r="AL46" s="1"/>
      <c r="AM46" s="4"/>
      <c r="AN46" s="1"/>
      <c r="AO46" s="1"/>
      <c r="AP46" s="1"/>
      <c r="AQ46" s="1"/>
      <c r="AR46" s="1"/>
      <c r="AS46" s="1"/>
      <c r="AT46" s="1"/>
      <c r="AU46" s="1"/>
    </row>
    <row r="47" ht="15.75" customHeight="1">
      <c r="A47" s="16"/>
      <c r="B47" s="16"/>
      <c r="C47" s="16"/>
      <c r="D47" s="13" t="s">
        <v>6</v>
      </c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>
        <f t="shared" si="6"/>
        <v>0</v>
      </c>
      <c r="AK47" s="1"/>
      <c r="AL47" s="1"/>
      <c r="AM47" s="4"/>
      <c r="AN47" s="1"/>
      <c r="AO47" s="1"/>
      <c r="AP47" s="1"/>
      <c r="AQ47" s="1"/>
      <c r="AR47" s="1"/>
      <c r="AS47" s="1"/>
      <c r="AT47" s="1"/>
      <c r="AU47" s="1"/>
    </row>
    <row r="48" ht="15.75" customHeight="1">
      <c r="A48" s="10"/>
      <c r="B48" s="10"/>
      <c r="C48" s="10"/>
      <c r="D48" s="13" t="s">
        <v>7</v>
      </c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>
        <f t="shared" si="6"/>
        <v>0</v>
      </c>
      <c r="AK48" s="1"/>
      <c r="AL48" s="1"/>
      <c r="AM48" s="4"/>
      <c r="AN48" s="1"/>
      <c r="AO48" s="1"/>
      <c r="AP48" s="1"/>
      <c r="AQ48" s="1"/>
      <c r="AR48" s="1"/>
      <c r="AS48" s="1"/>
      <c r="AT48" s="1"/>
      <c r="AU48" s="1"/>
    </row>
    <row r="49" ht="15.75" customHeight="1">
      <c r="A49" s="12"/>
      <c r="B49" s="12"/>
      <c r="C49" s="12"/>
      <c r="D49" s="13" t="s">
        <v>5</v>
      </c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>
        <f t="shared" si="6"/>
        <v>0</v>
      </c>
      <c r="AK49" s="1"/>
      <c r="AL49" s="1"/>
      <c r="AM49" s="4"/>
      <c r="AN49" s="1"/>
      <c r="AO49" s="1"/>
      <c r="AP49" s="1"/>
      <c r="AQ49" s="1"/>
      <c r="AR49" s="1"/>
      <c r="AS49" s="1"/>
      <c r="AT49" s="1"/>
      <c r="AU49" s="1"/>
    </row>
    <row r="50" ht="15.75" customHeight="1">
      <c r="A50" s="16"/>
      <c r="B50" s="16"/>
      <c r="C50" s="16"/>
      <c r="D50" s="13" t="s">
        <v>6</v>
      </c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>
        <f t="shared" si="6"/>
        <v>0</v>
      </c>
      <c r="AK50" s="1"/>
      <c r="AL50" s="1"/>
      <c r="AM50" s="4"/>
      <c r="AN50" s="1"/>
      <c r="AO50" s="1"/>
      <c r="AP50" s="1"/>
      <c r="AQ50" s="1"/>
      <c r="AR50" s="1"/>
      <c r="AS50" s="1"/>
      <c r="AT50" s="1"/>
      <c r="AU50" s="1"/>
    </row>
    <row r="51" ht="15.75" customHeight="1">
      <c r="A51" s="10"/>
      <c r="B51" s="10"/>
      <c r="C51" s="10"/>
      <c r="D51" s="13" t="s">
        <v>7</v>
      </c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>
        <f t="shared" si="6"/>
        <v>0</v>
      </c>
      <c r="AK51" s="1"/>
      <c r="AL51" s="1"/>
      <c r="AM51" s="4"/>
      <c r="AN51" s="1"/>
      <c r="AO51" s="1"/>
      <c r="AP51" s="1"/>
      <c r="AQ51" s="1"/>
      <c r="AR51" s="1"/>
      <c r="AS51" s="1"/>
      <c r="AT51" s="1"/>
      <c r="AU51" s="1"/>
    </row>
    <row r="52" ht="15.75" customHeight="1">
      <c r="A52" s="12"/>
      <c r="B52" s="12"/>
      <c r="C52" s="12"/>
      <c r="D52" s="13" t="s">
        <v>5</v>
      </c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>
        <f t="shared" si="6"/>
        <v>0</v>
      </c>
      <c r="AK52" s="1"/>
      <c r="AL52" s="1"/>
      <c r="AM52" s="4"/>
      <c r="AN52" s="1"/>
      <c r="AO52" s="1"/>
      <c r="AP52" s="1"/>
      <c r="AQ52" s="1"/>
      <c r="AR52" s="1"/>
      <c r="AS52" s="1"/>
      <c r="AT52" s="1"/>
      <c r="AU52" s="1"/>
    </row>
    <row r="53" ht="15.75" customHeight="1">
      <c r="A53" s="16"/>
      <c r="B53" s="16"/>
      <c r="C53" s="16"/>
      <c r="D53" s="13" t="s">
        <v>6</v>
      </c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>
        <f t="shared" si="6"/>
        <v>0</v>
      </c>
      <c r="AK53" s="1"/>
      <c r="AL53" s="1"/>
      <c r="AM53" s="4"/>
      <c r="AN53" s="1"/>
      <c r="AO53" s="1"/>
      <c r="AP53" s="1"/>
      <c r="AQ53" s="1"/>
      <c r="AR53" s="1"/>
      <c r="AS53" s="1"/>
      <c r="AT53" s="1"/>
      <c r="AU53" s="1"/>
    </row>
    <row r="54" ht="15.75" customHeight="1">
      <c r="A54" s="10"/>
      <c r="B54" s="10"/>
      <c r="C54" s="10"/>
      <c r="D54" s="13" t="s">
        <v>7</v>
      </c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>
        <f t="shared" si="6"/>
        <v>0</v>
      </c>
      <c r="AK54" s="1"/>
      <c r="AL54" s="1"/>
      <c r="AM54" s="4"/>
      <c r="AN54" s="1"/>
      <c r="AO54" s="1"/>
      <c r="AP54" s="1"/>
      <c r="AQ54" s="1"/>
      <c r="AR54" s="1"/>
      <c r="AS54" s="1"/>
      <c r="AT54" s="1"/>
      <c r="AU54" s="1"/>
    </row>
    <row r="55" ht="15.75" customHeight="1">
      <c r="A55" s="12"/>
      <c r="B55" s="12"/>
      <c r="C55" s="12"/>
      <c r="D55" s="13" t="s">
        <v>5</v>
      </c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>
        <f t="shared" si="6"/>
        <v>0</v>
      </c>
      <c r="AK55" s="1"/>
      <c r="AL55" s="1"/>
      <c r="AM55" s="4"/>
      <c r="AN55" s="1"/>
      <c r="AO55" s="1"/>
      <c r="AP55" s="1"/>
      <c r="AQ55" s="1"/>
      <c r="AR55" s="1"/>
      <c r="AS55" s="1"/>
      <c r="AT55" s="1"/>
      <c r="AU55" s="1"/>
    </row>
    <row r="56" ht="15.75" customHeight="1">
      <c r="A56" s="16"/>
      <c r="B56" s="16"/>
      <c r="C56" s="16"/>
      <c r="D56" s="13" t="s">
        <v>6</v>
      </c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>
        <f t="shared" si="6"/>
        <v>0</v>
      </c>
      <c r="AK56" s="1"/>
      <c r="AL56" s="1"/>
      <c r="AM56" s="4"/>
      <c r="AN56" s="1"/>
      <c r="AO56" s="1"/>
      <c r="AP56" s="1"/>
      <c r="AQ56" s="1"/>
      <c r="AR56" s="1"/>
      <c r="AS56" s="1"/>
      <c r="AT56" s="1"/>
      <c r="AU56" s="1"/>
    </row>
    <row r="57" ht="15.75" customHeight="1">
      <c r="A57" s="10"/>
      <c r="B57" s="10"/>
      <c r="C57" s="10"/>
      <c r="D57" s="13" t="s">
        <v>7</v>
      </c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>
        <f t="shared" si="6"/>
        <v>0</v>
      </c>
      <c r="AK57" s="1"/>
      <c r="AL57" s="1"/>
      <c r="AM57" s="4"/>
      <c r="AN57" s="1"/>
      <c r="AO57" s="1"/>
      <c r="AP57" s="1"/>
      <c r="AQ57" s="1"/>
      <c r="AR57" s="1"/>
      <c r="AS57" s="1"/>
      <c r="AT57" s="1"/>
      <c r="AU57" s="1"/>
    </row>
    <row r="58" ht="15.75" customHeight="1">
      <c r="A58" s="12"/>
      <c r="B58" s="12"/>
      <c r="C58" s="12"/>
      <c r="D58" s="13" t="s">
        <v>5</v>
      </c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>
        <f t="shared" si="6"/>
        <v>0</v>
      </c>
      <c r="AK58" s="1"/>
      <c r="AL58" s="1"/>
      <c r="AM58" s="4"/>
      <c r="AN58" s="1"/>
      <c r="AO58" s="1"/>
      <c r="AP58" s="1"/>
      <c r="AQ58" s="1"/>
      <c r="AR58" s="1"/>
      <c r="AS58" s="1"/>
      <c r="AT58" s="1"/>
      <c r="AU58" s="1"/>
    </row>
    <row r="59" ht="15.75" customHeight="1">
      <c r="A59" s="16"/>
      <c r="B59" s="16"/>
      <c r="C59" s="16"/>
      <c r="D59" s="13" t="s">
        <v>6</v>
      </c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>
        <f t="shared" si="6"/>
        <v>0</v>
      </c>
      <c r="AK59" s="1"/>
      <c r="AL59" s="1"/>
      <c r="AM59" s="4"/>
      <c r="AN59" s="1"/>
      <c r="AO59" s="1"/>
      <c r="AP59" s="1"/>
      <c r="AQ59" s="1"/>
      <c r="AR59" s="1"/>
      <c r="AS59" s="1"/>
      <c r="AT59" s="1"/>
      <c r="AU59" s="1"/>
    </row>
    <row r="60" ht="15.75" customHeight="1">
      <c r="A60" s="10"/>
      <c r="B60" s="10"/>
      <c r="C60" s="10"/>
      <c r="D60" s="13" t="s">
        <v>7</v>
      </c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>
        <f t="shared" si="6"/>
        <v>0</v>
      </c>
      <c r="AK60" s="1"/>
      <c r="AL60" s="1"/>
      <c r="AM60" s="4"/>
      <c r="AN60" s="1"/>
      <c r="AO60" s="1"/>
      <c r="AP60" s="1"/>
      <c r="AQ60" s="1"/>
      <c r="AR60" s="1"/>
      <c r="AS60" s="1"/>
      <c r="AT60" s="1"/>
      <c r="AU60" s="1"/>
    </row>
    <row r="61" ht="15.75" customHeight="1">
      <c r="A61" s="12"/>
      <c r="B61" s="12"/>
      <c r="C61" s="12"/>
      <c r="D61" s="13" t="s">
        <v>5</v>
      </c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>
        <f t="shared" si="6"/>
        <v>0</v>
      </c>
      <c r="AK61" s="1"/>
      <c r="AL61" s="1"/>
      <c r="AM61" s="4"/>
      <c r="AN61" s="1"/>
      <c r="AO61" s="1"/>
      <c r="AP61" s="1"/>
      <c r="AQ61" s="1"/>
      <c r="AR61" s="1"/>
      <c r="AS61" s="1"/>
      <c r="AT61" s="1"/>
      <c r="AU61" s="1"/>
    </row>
    <row r="62" ht="15.75" customHeight="1">
      <c r="A62" s="16"/>
      <c r="B62" s="16"/>
      <c r="C62" s="16"/>
      <c r="D62" s="13" t="s">
        <v>6</v>
      </c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>
        <f t="shared" si="6"/>
        <v>0</v>
      </c>
      <c r="AK62" s="1"/>
      <c r="AL62" s="1"/>
      <c r="AM62" s="4"/>
      <c r="AN62" s="1"/>
      <c r="AO62" s="1"/>
      <c r="AP62" s="1"/>
      <c r="AQ62" s="1"/>
      <c r="AR62" s="1"/>
      <c r="AS62" s="1"/>
      <c r="AT62" s="1"/>
      <c r="AU62" s="1"/>
    </row>
    <row r="63" ht="15.75" customHeight="1">
      <c r="A63" s="10"/>
      <c r="B63" s="10"/>
      <c r="C63" s="10"/>
      <c r="D63" s="13" t="s">
        <v>7</v>
      </c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>
        <f t="shared" si="6"/>
        <v>0</v>
      </c>
      <c r="AK63" s="1"/>
      <c r="AL63" s="1"/>
      <c r="AM63" s="4"/>
      <c r="AN63" s="1"/>
      <c r="AO63" s="1"/>
      <c r="AP63" s="1"/>
      <c r="AQ63" s="1"/>
      <c r="AR63" s="1"/>
      <c r="AS63" s="1"/>
      <c r="AT63" s="1"/>
      <c r="AU63" s="1"/>
    </row>
    <row r="64" ht="15.75" customHeight="1">
      <c r="A64" s="12"/>
      <c r="B64" s="12"/>
      <c r="C64" s="12"/>
      <c r="D64" s="13" t="s">
        <v>5</v>
      </c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>
        <f t="shared" si="6"/>
        <v>0</v>
      </c>
      <c r="AK64" s="1"/>
      <c r="AL64" s="1"/>
      <c r="AM64" s="4"/>
      <c r="AN64" s="1"/>
      <c r="AO64" s="1"/>
      <c r="AP64" s="1"/>
      <c r="AQ64" s="1"/>
      <c r="AR64" s="1"/>
      <c r="AS64" s="1"/>
      <c r="AT64" s="1"/>
      <c r="AU64" s="1"/>
    </row>
    <row r="65" ht="15.75" customHeight="1">
      <c r="A65" s="16"/>
      <c r="B65" s="16"/>
      <c r="C65" s="16"/>
      <c r="D65" s="13" t="s">
        <v>6</v>
      </c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>
        <f t="shared" si="6"/>
        <v>0</v>
      </c>
      <c r="AK65" s="1"/>
      <c r="AL65" s="1"/>
      <c r="AM65" s="4"/>
      <c r="AN65" s="1"/>
      <c r="AO65" s="1"/>
      <c r="AP65" s="1"/>
      <c r="AQ65" s="1"/>
      <c r="AR65" s="1"/>
      <c r="AS65" s="1"/>
      <c r="AT65" s="1"/>
      <c r="AU65" s="1"/>
    </row>
    <row r="66" ht="15.75" customHeight="1">
      <c r="A66" s="10"/>
      <c r="B66" s="10"/>
      <c r="C66" s="10"/>
      <c r="D66" s="13" t="s">
        <v>7</v>
      </c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>
        <f t="shared" si="6"/>
        <v>0</v>
      </c>
      <c r="AK66" s="1"/>
      <c r="AL66" s="1"/>
      <c r="AM66" s="4"/>
      <c r="AN66" s="1"/>
      <c r="AO66" s="1"/>
      <c r="AP66" s="1"/>
      <c r="AQ66" s="1"/>
      <c r="AR66" s="1"/>
      <c r="AS66" s="1"/>
      <c r="AT66" s="1"/>
      <c r="AU66" s="1"/>
    </row>
    <row r="67" ht="15.75" customHeight="1">
      <c r="A67" s="12"/>
      <c r="B67" s="12"/>
      <c r="C67" s="12"/>
      <c r="D67" s="13" t="s">
        <v>5</v>
      </c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>
        <f t="shared" si="6"/>
        <v>0</v>
      </c>
      <c r="AK67" s="1"/>
      <c r="AL67" s="1"/>
      <c r="AM67" s="4"/>
      <c r="AN67" s="1"/>
      <c r="AO67" s="1"/>
      <c r="AP67" s="1"/>
      <c r="AQ67" s="1"/>
      <c r="AR67" s="1"/>
      <c r="AS67" s="1"/>
      <c r="AT67" s="1"/>
      <c r="AU67" s="1"/>
    </row>
    <row r="68" ht="15.75" customHeight="1">
      <c r="A68" s="16"/>
      <c r="B68" s="16"/>
      <c r="C68" s="16"/>
      <c r="D68" s="13" t="s">
        <v>6</v>
      </c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>
        <f t="shared" si="6"/>
        <v>0</v>
      </c>
      <c r="AK68" s="1"/>
      <c r="AL68" s="1"/>
      <c r="AM68" s="4"/>
      <c r="AN68" s="1"/>
      <c r="AO68" s="1"/>
      <c r="AP68" s="1"/>
      <c r="AQ68" s="1"/>
      <c r="AR68" s="1"/>
      <c r="AS68" s="1"/>
      <c r="AT68" s="1"/>
      <c r="AU68" s="1"/>
    </row>
    <row r="69" ht="15.75" customHeight="1">
      <c r="A69" s="10"/>
      <c r="B69" s="10"/>
      <c r="C69" s="10"/>
      <c r="D69" s="13" t="s">
        <v>7</v>
      </c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>
        <f t="shared" si="6"/>
        <v>0</v>
      </c>
      <c r="AK69" s="1"/>
      <c r="AL69" s="1"/>
      <c r="AM69" s="4"/>
      <c r="AN69" s="1"/>
      <c r="AO69" s="1"/>
      <c r="AP69" s="1"/>
      <c r="AQ69" s="1"/>
      <c r="AR69" s="1"/>
      <c r="AS69" s="1"/>
      <c r="AT69" s="1"/>
      <c r="AU69" s="1"/>
    </row>
    <row r="70" ht="15.75" customHeight="1">
      <c r="A70" s="12"/>
      <c r="B70" s="12"/>
      <c r="C70" s="12"/>
      <c r="D70" s="13" t="s">
        <v>5</v>
      </c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>
        <f t="shared" si="6"/>
        <v>0</v>
      </c>
      <c r="AK70" s="1"/>
      <c r="AL70" s="1"/>
      <c r="AM70" s="4"/>
      <c r="AN70" s="1"/>
      <c r="AO70" s="1"/>
      <c r="AP70" s="1"/>
      <c r="AQ70" s="1"/>
      <c r="AR70" s="1"/>
      <c r="AS70" s="1"/>
      <c r="AT70" s="1"/>
      <c r="AU70" s="1"/>
    </row>
    <row r="71" ht="15.75" customHeight="1">
      <c r="A71" s="16"/>
      <c r="B71" s="16"/>
      <c r="C71" s="16"/>
      <c r="D71" s="13" t="s">
        <v>6</v>
      </c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>
        <f t="shared" si="6"/>
        <v>0</v>
      </c>
      <c r="AK71" s="1"/>
      <c r="AL71" s="1"/>
      <c r="AM71" s="4"/>
      <c r="AN71" s="1"/>
      <c r="AO71" s="1"/>
      <c r="AP71" s="1"/>
      <c r="AQ71" s="1"/>
      <c r="AR71" s="1"/>
      <c r="AS71" s="1"/>
      <c r="AT71" s="1"/>
      <c r="AU71" s="1"/>
    </row>
    <row r="72" ht="15.75" customHeight="1">
      <c r="A72" s="10"/>
      <c r="B72" s="10"/>
      <c r="C72" s="10"/>
      <c r="D72" s="13" t="s">
        <v>7</v>
      </c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>
        <f t="shared" si="6"/>
        <v>0</v>
      </c>
      <c r="AK72" s="1"/>
      <c r="AL72" s="1"/>
      <c r="AM72" s="4"/>
      <c r="AN72" s="1"/>
      <c r="AO72" s="1"/>
      <c r="AP72" s="1"/>
      <c r="AQ72" s="1"/>
      <c r="AR72" s="1"/>
      <c r="AS72" s="1"/>
      <c r="AT72" s="1"/>
      <c r="AU72" s="1"/>
    </row>
    <row r="73" ht="15.75" customHeight="1">
      <c r="A73" s="31"/>
      <c r="B73" s="31"/>
      <c r="C73" s="3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4"/>
      <c r="AN73" s="1"/>
      <c r="AO73" s="1"/>
      <c r="AP73" s="1"/>
      <c r="AQ73" s="1"/>
      <c r="AR73" s="1"/>
      <c r="AS73" s="1"/>
      <c r="AT73" s="1"/>
      <c r="AU73" s="1"/>
    </row>
    <row r="74" ht="15.75" customHeight="1">
      <c r="A74" s="31"/>
      <c r="B74" s="31"/>
      <c r="C74" s="3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4"/>
      <c r="AN74" s="1"/>
      <c r="AO74" s="1"/>
      <c r="AP74" s="1"/>
      <c r="AQ74" s="1"/>
      <c r="AR74" s="1"/>
      <c r="AS74" s="1"/>
      <c r="AT74" s="1"/>
      <c r="AU74" s="1"/>
    </row>
    <row r="75" ht="15.75" customHeight="1">
      <c r="A75" s="31"/>
      <c r="B75" s="31"/>
      <c r="C75" s="3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4"/>
      <c r="AN75" s="1"/>
      <c r="AO75" s="1"/>
      <c r="AP75" s="1"/>
      <c r="AQ75" s="1"/>
      <c r="AR75" s="1"/>
      <c r="AS75" s="1"/>
      <c r="AT75" s="1"/>
      <c r="AU75" s="1"/>
    </row>
    <row r="76" ht="15.75" customHeight="1">
      <c r="A76" s="31"/>
      <c r="B76" s="31"/>
      <c r="C76" s="3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4"/>
      <c r="AN76" s="1"/>
      <c r="AO76" s="1"/>
      <c r="AP76" s="1"/>
      <c r="AQ76" s="1"/>
      <c r="AR76" s="1"/>
      <c r="AS76" s="1"/>
      <c r="AT76" s="1"/>
      <c r="AU76" s="1"/>
    </row>
    <row r="77" ht="15.75" customHeight="1">
      <c r="A77" s="31"/>
      <c r="B77" s="31"/>
      <c r="C77" s="3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4"/>
      <c r="AN77" s="1"/>
      <c r="AO77" s="1"/>
      <c r="AP77" s="1"/>
      <c r="AQ77" s="1"/>
      <c r="AR77" s="1"/>
      <c r="AS77" s="1"/>
      <c r="AT77" s="1"/>
      <c r="AU77" s="1"/>
    </row>
    <row r="78" ht="15.75" customHeight="1">
      <c r="A78" s="31"/>
      <c r="B78" s="31"/>
      <c r="C78" s="3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4"/>
      <c r="AN78" s="1"/>
      <c r="AO78" s="1"/>
      <c r="AP78" s="1"/>
      <c r="AQ78" s="1"/>
      <c r="AR78" s="1"/>
      <c r="AS78" s="1"/>
      <c r="AT78" s="1"/>
      <c r="AU78" s="1"/>
    </row>
    <row r="79" ht="15.75" customHeight="1">
      <c r="A79" s="31"/>
      <c r="B79" s="31"/>
      <c r="C79" s="3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4"/>
      <c r="AN79" s="1"/>
      <c r="AO79" s="1"/>
      <c r="AP79" s="1"/>
      <c r="AQ79" s="1"/>
      <c r="AR79" s="1"/>
      <c r="AS79" s="1"/>
      <c r="AT79" s="1"/>
      <c r="AU79" s="1"/>
    </row>
    <row r="80" ht="15.75" customHeight="1">
      <c r="A80" s="31"/>
      <c r="B80" s="31"/>
      <c r="C80" s="3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4"/>
      <c r="AN80" s="1"/>
      <c r="AO80" s="1"/>
      <c r="AP80" s="1"/>
      <c r="AQ80" s="1"/>
      <c r="AR80" s="1"/>
      <c r="AS80" s="1"/>
      <c r="AT80" s="1"/>
      <c r="AU80" s="1"/>
    </row>
    <row r="81" ht="15.75" customHeight="1">
      <c r="A81" s="31"/>
      <c r="B81" s="31"/>
      <c r="C81" s="3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4"/>
      <c r="AN81" s="1"/>
      <c r="AO81" s="1"/>
      <c r="AP81" s="1"/>
      <c r="AQ81" s="1"/>
      <c r="AR81" s="1"/>
      <c r="AS81" s="1"/>
      <c r="AT81" s="1"/>
      <c r="AU81" s="1"/>
    </row>
    <row r="82" ht="15.75" customHeight="1">
      <c r="A82" s="31"/>
      <c r="B82" s="31"/>
      <c r="C82" s="3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4"/>
      <c r="AN82" s="1"/>
      <c r="AO82" s="1"/>
      <c r="AP82" s="1"/>
      <c r="AQ82" s="1"/>
      <c r="AR82" s="1"/>
      <c r="AS82" s="1"/>
      <c r="AT82" s="1"/>
      <c r="AU82" s="1"/>
    </row>
    <row r="83" ht="15.75" customHeight="1">
      <c r="A83" s="31"/>
      <c r="B83" s="31"/>
      <c r="C83" s="3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4"/>
      <c r="AN83" s="1"/>
      <c r="AO83" s="1"/>
      <c r="AP83" s="1"/>
      <c r="AQ83" s="1"/>
      <c r="AR83" s="1"/>
      <c r="AS83" s="1"/>
      <c r="AT83" s="1"/>
      <c r="AU83" s="1"/>
    </row>
    <row r="84" ht="15.75" customHeight="1">
      <c r="A84" s="31"/>
      <c r="B84" s="31"/>
      <c r="C84" s="3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4"/>
      <c r="AN84" s="1"/>
      <c r="AO84" s="1"/>
      <c r="AP84" s="1"/>
      <c r="AQ84" s="1"/>
      <c r="AR84" s="1"/>
      <c r="AS84" s="1"/>
      <c r="AT84" s="1"/>
      <c r="AU84" s="1"/>
    </row>
    <row r="85" ht="15.75" customHeight="1">
      <c r="A85" s="31"/>
      <c r="B85" s="31"/>
      <c r="C85" s="3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4"/>
      <c r="AN85" s="1"/>
      <c r="AO85" s="1"/>
      <c r="AP85" s="1"/>
      <c r="AQ85" s="1"/>
      <c r="AR85" s="1"/>
      <c r="AS85" s="1"/>
      <c r="AT85" s="1"/>
      <c r="AU85" s="1"/>
    </row>
    <row r="86" ht="15.75" customHeight="1">
      <c r="A86" s="31"/>
      <c r="B86" s="31"/>
      <c r="C86" s="3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4"/>
      <c r="AN86" s="1"/>
      <c r="AO86" s="1"/>
      <c r="AP86" s="1"/>
      <c r="AQ86" s="1"/>
      <c r="AR86" s="1"/>
      <c r="AS86" s="1"/>
      <c r="AT86" s="1"/>
      <c r="AU86" s="1"/>
    </row>
    <row r="87" ht="15.75" customHeight="1">
      <c r="A87" s="31"/>
      <c r="B87" s="31"/>
      <c r="C87" s="3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4"/>
      <c r="AN87" s="1"/>
      <c r="AO87" s="1"/>
      <c r="AP87" s="1"/>
      <c r="AQ87" s="1"/>
      <c r="AR87" s="1"/>
      <c r="AS87" s="1"/>
      <c r="AT87" s="1"/>
      <c r="AU87" s="1"/>
    </row>
    <row r="88" ht="15.75" customHeight="1">
      <c r="A88" s="31"/>
      <c r="B88" s="31"/>
      <c r="C88" s="3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4"/>
      <c r="AN88" s="1"/>
      <c r="AO88" s="1"/>
      <c r="AP88" s="1"/>
      <c r="AQ88" s="1"/>
      <c r="AR88" s="1"/>
      <c r="AS88" s="1"/>
      <c r="AT88" s="1"/>
      <c r="AU88" s="1"/>
    </row>
    <row r="89" ht="15.75" customHeight="1">
      <c r="A89" s="31"/>
      <c r="B89" s="31"/>
      <c r="C89" s="3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4"/>
      <c r="AN89" s="1"/>
      <c r="AO89" s="1"/>
      <c r="AP89" s="1"/>
      <c r="AQ89" s="1"/>
      <c r="AR89" s="1"/>
      <c r="AS89" s="1"/>
      <c r="AT89" s="1"/>
      <c r="AU89" s="1"/>
    </row>
    <row r="90" ht="15.75" customHeight="1">
      <c r="A90" s="31"/>
      <c r="B90" s="31"/>
      <c r="C90" s="3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4"/>
      <c r="AN90" s="1"/>
      <c r="AO90" s="1"/>
      <c r="AP90" s="1"/>
      <c r="AQ90" s="1"/>
      <c r="AR90" s="1"/>
      <c r="AS90" s="1"/>
      <c r="AT90" s="1"/>
      <c r="AU90" s="1"/>
    </row>
    <row r="91" ht="15.75" customHeight="1">
      <c r="A91" s="31"/>
      <c r="B91" s="31"/>
      <c r="C91" s="3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4"/>
      <c r="AN91" s="1"/>
      <c r="AO91" s="1"/>
      <c r="AP91" s="1"/>
      <c r="AQ91" s="1"/>
      <c r="AR91" s="1"/>
      <c r="AS91" s="1"/>
      <c r="AT91" s="1"/>
      <c r="AU91" s="1"/>
    </row>
    <row r="92" ht="15.75" customHeight="1">
      <c r="A92" s="31"/>
      <c r="B92" s="31"/>
      <c r="C92" s="3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4"/>
      <c r="AN92" s="1"/>
      <c r="AO92" s="1"/>
      <c r="AP92" s="1"/>
      <c r="AQ92" s="1"/>
      <c r="AR92" s="1"/>
      <c r="AS92" s="1"/>
      <c r="AT92" s="1"/>
      <c r="AU92" s="1"/>
    </row>
    <row r="93" ht="15.75" customHeight="1">
      <c r="A93" s="31"/>
      <c r="B93" s="31"/>
      <c r="C93" s="3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4"/>
      <c r="AN93" s="1"/>
      <c r="AO93" s="1"/>
      <c r="AP93" s="1"/>
      <c r="AQ93" s="1"/>
      <c r="AR93" s="1"/>
      <c r="AS93" s="1"/>
      <c r="AT93" s="1"/>
      <c r="AU93" s="1"/>
    </row>
    <row r="94" ht="15.75" customHeight="1">
      <c r="A94" s="31"/>
      <c r="B94" s="31"/>
      <c r="C94" s="3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4"/>
      <c r="AN94" s="1"/>
      <c r="AO94" s="1"/>
      <c r="AP94" s="1"/>
      <c r="AQ94" s="1"/>
      <c r="AR94" s="1"/>
      <c r="AS94" s="1"/>
      <c r="AT94" s="1"/>
      <c r="AU94" s="1"/>
    </row>
    <row r="95" ht="15.75" customHeight="1">
      <c r="A95" s="31"/>
      <c r="B95" s="31"/>
      <c r="C95" s="3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4"/>
      <c r="AN95" s="1"/>
      <c r="AO95" s="1"/>
      <c r="AP95" s="1"/>
      <c r="AQ95" s="1"/>
      <c r="AR95" s="1"/>
      <c r="AS95" s="1"/>
      <c r="AT95" s="1"/>
      <c r="AU95" s="1"/>
    </row>
    <row r="96" ht="15.75" customHeight="1">
      <c r="A96" s="31"/>
      <c r="B96" s="31"/>
      <c r="C96" s="3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4"/>
      <c r="AN96" s="1"/>
      <c r="AO96" s="1"/>
      <c r="AP96" s="1"/>
      <c r="AQ96" s="1"/>
      <c r="AR96" s="1"/>
      <c r="AS96" s="1"/>
      <c r="AT96" s="1"/>
      <c r="AU96" s="1"/>
    </row>
    <row r="97" ht="15.75" customHeight="1">
      <c r="A97" s="31"/>
      <c r="B97" s="31"/>
      <c r="C97" s="3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4"/>
      <c r="AN97" s="1"/>
      <c r="AO97" s="1"/>
      <c r="AP97" s="1"/>
      <c r="AQ97" s="1"/>
      <c r="AR97" s="1"/>
      <c r="AS97" s="1"/>
      <c r="AT97" s="1"/>
      <c r="AU97" s="1"/>
    </row>
    <row r="98" ht="15.75" customHeight="1">
      <c r="A98" s="31"/>
      <c r="B98" s="31"/>
      <c r="C98" s="3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4"/>
      <c r="AN98" s="1"/>
      <c r="AO98" s="1"/>
      <c r="AP98" s="1"/>
      <c r="AQ98" s="1"/>
      <c r="AR98" s="1"/>
      <c r="AS98" s="1"/>
      <c r="AT98" s="1"/>
      <c r="AU98" s="1"/>
    </row>
    <row r="99" ht="15.75" customHeight="1">
      <c r="A99" s="31"/>
      <c r="B99" s="31"/>
      <c r="C99" s="3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4"/>
      <c r="AN99" s="1"/>
      <c r="AO99" s="1"/>
      <c r="AP99" s="1"/>
      <c r="AQ99" s="1"/>
      <c r="AR99" s="1"/>
      <c r="AS99" s="1"/>
      <c r="AT99" s="1"/>
      <c r="AU99" s="1"/>
    </row>
    <row r="100" ht="15.75" customHeight="1">
      <c r="A100" s="31"/>
      <c r="B100" s="31"/>
      <c r="C100" s="3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4"/>
      <c r="AN100" s="1"/>
      <c r="AO100" s="1"/>
      <c r="AP100" s="1"/>
      <c r="AQ100" s="1"/>
      <c r="AR100" s="1"/>
      <c r="AS100" s="1"/>
      <c r="AT100" s="1"/>
      <c r="AU100" s="1"/>
    </row>
    <row r="101" ht="15.75" customHeight="1">
      <c r="A101" s="31"/>
      <c r="B101" s="31"/>
      <c r="C101" s="3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4"/>
      <c r="AN101" s="1"/>
      <c r="AO101" s="1"/>
      <c r="AP101" s="1"/>
      <c r="AQ101" s="1"/>
      <c r="AR101" s="1"/>
      <c r="AS101" s="1"/>
      <c r="AT101" s="1"/>
      <c r="AU101" s="1"/>
    </row>
    <row r="102" ht="15.75" customHeight="1">
      <c r="A102" s="31"/>
      <c r="B102" s="31"/>
      <c r="C102" s="3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4"/>
      <c r="AN102" s="1"/>
      <c r="AO102" s="1"/>
      <c r="AP102" s="1"/>
      <c r="AQ102" s="1"/>
      <c r="AR102" s="1"/>
      <c r="AS102" s="1"/>
      <c r="AT102" s="1"/>
      <c r="AU102" s="1"/>
    </row>
    <row r="103" ht="15.75" customHeight="1">
      <c r="A103" s="31"/>
      <c r="B103" s="31"/>
      <c r="C103" s="3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4"/>
      <c r="AN103" s="1"/>
      <c r="AO103" s="1"/>
      <c r="AP103" s="1"/>
      <c r="AQ103" s="1"/>
      <c r="AR103" s="1"/>
      <c r="AS103" s="1"/>
      <c r="AT103" s="1"/>
      <c r="AU103" s="1"/>
    </row>
    <row r="104" ht="15.75" customHeight="1">
      <c r="A104" s="31"/>
      <c r="B104" s="31"/>
      <c r="C104" s="3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4"/>
      <c r="AN104" s="1"/>
      <c r="AO104" s="1"/>
      <c r="AP104" s="1"/>
      <c r="AQ104" s="1"/>
      <c r="AR104" s="1"/>
      <c r="AS104" s="1"/>
      <c r="AT104" s="1"/>
      <c r="AU104" s="1"/>
    </row>
    <row r="105" ht="15.75" customHeight="1">
      <c r="A105" s="31"/>
      <c r="B105" s="31"/>
      <c r="C105" s="3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4"/>
      <c r="AN105" s="1"/>
      <c r="AO105" s="1"/>
      <c r="AP105" s="1"/>
      <c r="AQ105" s="1"/>
      <c r="AR105" s="1"/>
      <c r="AS105" s="1"/>
      <c r="AT105" s="1"/>
      <c r="AU105" s="1"/>
    </row>
    <row r="106" ht="15.75" customHeight="1">
      <c r="A106" s="31"/>
      <c r="B106" s="31"/>
      <c r="C106" s="3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4"/>
      <c r="AN106" s="1"/>
      <c r="AO106" s="1"/>
      <c r="AP106" s="1"/>
      <c r="AQ106" s="1"/>
      <c r="AR106" s="1"/>
      <c r="AS106" s="1"/>
      <c r="AT106" s="1"/>
      <c r="AU106" s="1"/>
    </row>
    <row r="107" ht="15.75" customHeight="1">
      <c r="A107" s="31"/>
      <c r="B107" s="31"/>
      <c r="C107" s="3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4"/>
      <c r="AN107" s="1"/>
      <c r="AO107" s="1"/>
      <c r="AP107" s="1"/>
      <c r="AQ107" s="1"/>
      <c r="AR107" s="1"/>
      <c r="AS107" s="1"/>
      <c r="AT107" s="1"/>
      <c r="AU107" s="1"/>
    </row>
    <row r="108" ht="15.75" customHeight="1">
      <c r="A108" s="31"/>
      <c r="B108" s="31"/>
      <c r="C108" s="3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4"/>
      <c r="AN108" s="1"/>
      <c r="AO108" s="1"/>
      <c r="AP108" s="1"/>
      <c r="AQ108" s="1"/>
      <c r="AR108" s="1"/>
      <c r="AS108" s="1"/>
      <c r="AT108" s="1"/>
      <c r="AU108" s="1"/>
    </row>
    <row r="109" ht="15.75" customHeight="1">
      <c r="A109" s="31"/>
      <c r="B109" s="31"/>
      <c r="C109" s="3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4"/>
      <c r="AN109" s="1"/>
      <c r="AO109" s="1"/>
      <c r="AP109" s="1"/>
      <c r="AQ109" s="1"/>
      <c r="AR109" s="1"/>
      <c r="AS109" s="1"/>
      <c r="AT109" s="1"/>
      <c r="AU109" s="1"/>
    </row>
    <row r="110" ht="15.75" customHeight="1">
      <c r="A110" s="31"/>
      <c r="B110" s="31"/>
      <c r="C110" s="3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4"/>
      <c r="AN110" s="1"/>
      <c r="AO110" s="1"/>
      <c r="AP110" s="1"/>
      <c r="AQ110" s="1"/>
      <c r="AR110" s="1"/>
      <c r="AS110" s="1"/>
      <c r="AT110" s="1"/>
      <c r="AU110" s="1"/>
    </row>
    <row r="111" ht="15.75" customHeight="1">
      <c r="A111" s="31"/>
      <c r="B111" s="31"/>
      <c r="C111" s="3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4"/>
      <c r="AN111" s="1"/>
      <c r="AO111" s="1"/>
      <c r="AP111" s="1"/>
      <c r="AQ111" s="1"/>
      <c r="AR111" s="1"/>
      <c r="AS111" s="1"/>
      <c r="AT111" s="1"/>
      <c r="AU111" s="1"/>
    </row>
    <row r="112" ht="15.75" customHeight="1">
      <c r="A112" s="31"/>
      <c r="B112" s="31"/>
      <c r="C112" s="3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4"/>
      <c r="AN112" s="1"/>
      <c r="AO112" s="1"/>
      <c r="AP112" s="1"/>
      <c r="AQ112" s="1"/>
      <c r="AR112" s="1"/>
      <c r="AS112" s="1"/>
      <c r="AT112" s="1"/>
      <c r="AU112" s="1"/>
    </row>
    <row r="113" ht="15.75" customHeight="1">
      <c r="A113" s="31"/>
      <c r="B113" s="31"/>
      <c r="C113" s="3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4"/>
      <c r="AN113" s="1"/>
      <c r="AO113" s="1"/>
      <c r="AP113" s="1"/>
      <c r="AQ113" s="1"/>
      <c r="AR113" s="1"/>
      <c r="AS113" s="1"/>
      <c r="AT113" s="1"/>
      <c r="AU113" s="1"/>
    </row>
    <row r="114" ht="15.75" customHeight="1">
      <c r="A114" s="31"/>
      <c r="B114" s="31"/>
      <c r="C114" s="3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4"/>
      <c r="AN114" s="1"/>
      <c r="AO114" s="1"/>
      <c r="AP114" s="1"/>
      <c r="AQ114" s="1"/>
      <c r="AR114" s="1"/>
      <c r="AS114" s="1"/>
      <c r="AT114" s="1"/>
      <c r="AU114" s="1"/>
    </row>
    <row r="115" ht="15.75" customHeight="1">
      <c r="A115" s="31"/>
      <c r="B115" s="31"/>
      <c r="C115" s="3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4"/>
      <c r="AN115" s="1"/>
      <c r="AO115" s="1"/>
      <c r="AP115" s="1"/>
      <c r="AQ115" s="1"/>
      <c r="AR115" s="1"/>
      <c r="AS115" s="1"/>
      <c r="AT115" s="1"/>
      <c r="AU115" s="1"/>
    </row>
    <row r="116" ht="15.75" customHeight="1">
      <c r="A116" s="31"/>
      <c r="B116" s="31"/>
      <c r="C116" s="3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4"/>
      <c r="AN116" s="1"/>
      <c r="AO116" s="1"/>
      <c r="AP116" s="1"/>
      <c r="AQ116" s="1"/>
      <c r="AR116" s="1"/>
      <c r="AS116" s="1"/>
      <c r="AT116" s="1"/>
      <c r="AU116" s="1"/>
    </row>
    <row r="117" ht="15.75" customHeight="1">
      <c r="A117" s="31"/>
      <c r="B117" s="31"/>
      <c r="C117" s="3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4"/>
      <c r="AN117" s="1"/>
      <c r="AO117" s="1"/>
      <c r="AP117" s="1"/>
      <c r="AQ117" s="1"/>
      <c r="AR117" s="1"/>
      <c r="AS117" s="1"/>
      <c r="AT117" s="1"/>
      <c r="AU117" s="1"/>
    </row>
    <row r="118" ht="15.75" customHeight="1">
      <c r="A118" s="31"/>
      <c r="B118" s="31"/>
      <c r="C118" s="3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4"/>
      <c r="AN118" s="1"/>
      <c r="AO118" s="1"/>
      <c r="AP118" s="1"/>
      <c r="AQ118" s="1"/>
      <c r="AR118" s="1"/>
      <c r="AS118" s="1"/>
      <c r="AT118" s="1"/>
      <c r="AU118" s="1"/>
    </row>
    <row r="119" ht="15.75" customHeight="1">
      <c r="A119" s="31"/>
      <c r="B119" s="31"/>
      <c r="C119" s="3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4"/>
      <c r="AN119" s="1"/>
      <c r="AO119" s="1"/>
      <c r="AP119" s="1"/>
      <c r="AQ119" s="1"/>
      <c r="AR119" s="1"/>
      <c r="AS119" s="1"/>
      <c r="AT119" s="1"/>
      <c r="AU119" s="1"/>
    </row>
    <row r="120" ht="15.75" customHeight="1">
      <c r="A120" s="31"/>
      <c r="B120" s="31"/>
      <c r="C120" s="3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4"/>
      <c r="AN120" s="1"/>
      <c r="AO120" s="1"/>
      <c r="AP120" s="1"/>
      <c r="AQ120" s="1"/>
      <c r="AR120" s="1"/>
      <c r="AS120" s="1"/>
      <c r="AT120" s="1"/>
      <c r="AU120" s="1"/>
    </row>
    <row r="121" ht="15.75" customHeight="1">
      <c r="A121" s="31"/>
      <c r="B121" s="31"/>
      <c r="C121" s="3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4"/>
      <c r="AN121" s="1"/>
      <c r="AO121" s="1"/>
      <c r="AP121" s="1"/>
      <c r="AQ121" s="1"/>
      <c r="AR121" s="1"/>
      <c r="AS121" s="1"/>
      <c r="AT121" s="1"/>
      <c r="AU121" s="1"/>
    </row>
    <row r="122" ht="15.75" customHeight="1">
      <c r="A122" s="31"/>
      <c r="B122" s="31"/>
      <c r="C122" s="3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4"/>
      <c r="AN122" s="1"/>
      <c r="AO122" s="1"/>
      <c r="AP122" s="1"/>
      <c r="AQ122" s="1"/>
      <c r="AR122" s="1"/>
      <c r="AS122" s="1"/>
      <c r="AT122" s="1"/>
      <c r="AU122" s="1"/>
    </row>
    <row r="123" ht="15.75" customHeight="1">
      <c r="A123" s="31"/>
      <c r="B123" s="31"/>
      <c r="C123" s="3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4"/>
      <c r="AN123" s="1"/>
      <c r="AO123" s="1"/>
      <c r="AP123" s="1"/>
      <c r="AQ123" s="1"/>
      <c r="AR123" s="1"/>
      <c r="AS123" s="1"/>
      <c r="AT123" s="1"/>
      <c r="AU123" s="1"/>
    </row>
    <row r="124" ht="15.75" customHeight="1">
      <c r="A124" s="31"/>
      <c r="B124" s="31"/>
      <c r="C124" s="3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4"/>
      <c r="AN124" s="1"/>
      <c r="AO124" s="1"/>
      <c r="AP124" s="1"/>
      <c r="AQ124" s="1"/>
      <c r="AR124" s="1"/>
      <c r="AS124" s="1"/>
      <c r="AT124" s="1"/>
      <c r="AU124" s="1"/>
    </row>
    <row r="125" ht="15.75" customHeight="1">
      <c r="A125" s="31"/>
      <c r="B125" s="31"/>
      <c r="C125" s="3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4"/>
      <c r="AN125" s="1"/>
      <c r="AO125" s="1"/>
      <c r="AP125" s="1"/>
      <c r="AQ125" s="1"/>
      <c r="AR125" s="1"/>
      <c r="AS125" s="1"/>
      <c r="AT125" s="1"/>
      <c r="AU125" s="1"/>
    </row>
    <row r="126" ht="15.75" customHeight="1">
      <c r="A126" s="31"/>
      <c r="B126" s="31"/>
      <c r="C126" s="3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4"/>
      <c r="AN126" s="1"/>
      <c r="AO126" s="1"/>
      <c r="AP126" s="1"/>
      <c r="AQ126" s="1"/>
      <c r="AR126" s="1"/>
      <c r="AS126" s="1"/>
      <c r="AT126" s="1"/>
      <c r="AU126" s="1"/>
    </row>
    <row r="127" ht="15.75" customHeight="1">
      <c r="A127" s="31"/>
      <c r="B127" s="31"/>
      <c r="C127" s="3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4"/>
      <c r="AN127" s="1"/>
      <c r="AO127" s="1"/>
      <c r="AP127" s="1"/>
      <c r="AQ127" s="1"/>
      <c r="AR127" s="1"/>
      <c r="AS127" s="1"/>
      <c r="AT127" s="1"/>
      <c r="AU127" s="1"/>
    </row>
    <row r="128" ht="15.75" customHeight="1">
      <c r="A128" s="31"/>
      <c r="B128" s="31"/>
      <c r="C128" s="3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4"/>
      <c r="AN128" s="1"/>
      <c r="AO128" s="1"/>
      <c r="AP128" s="1"/>
      <c r="AQ128" s="1"/>
      <c r="AR128" s="1"/>
      <c r="AS128" s="1"/>
      <c r="AT128" s="1"/>
      <c r="AU128" s="1"/>
    </row>
    <row r="129" ht="15.75" customHeight="1">
      <c r="A129" s="31"/>
      <c r="B129" s="31"/>
      <c r="C129" s="3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4"/>
      <c r="AN129" s="1"/>
      <c r="AO129" s="1"/>
      <c r="AP129" s="1"/>
      <c r="AQ129" s="1"/>
      <c r="AR129" s="1"/>
      <c r="AS129" s="1"/>
      <c r="AT129" s="1"/>
      <c r="AU129" s="1"/>
    </row>
    <row r="130" ht="15.75" customHeight="1">
      <c r="A130" s="31"/>
      <c r="B130" s="31"/>
      <c r="C130" s="3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4"/>
      <c r="AN130" s="1"/>
      <c r="AO130" s="1"/>
      <c r="AP130" s="1"/>
      <c r="AQ130" s="1"/>
      <c r="AR130" s="1"/>
      <c r="AS130" s="1"/>
      <c r="AT130" s="1"/>
      <c r="AU130" s="1"/>
    </row>
    <row r="131" ht="15.75" customHeight="1">
      <c r="A131" s="31"/>
      <c r="B131" s="31"/>
      <c r="C131" s="3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4"/>
      <c r="AN131" s="1"/>
      <c r="AO131" s="1"/>
      <c r="AP131" s="1"/>
      <c r="AQ131" s="1"/>
      <c r="AR131" s="1"/>
      <c r="AS131" s="1"/>
      <c r="AT131" s="1"/>
      <c r="AU131" s="1"/>
    </row>
    <row r="132" ht="15.75" customHeight="1">
      <c r="A132" s="31"/>
      <c r="B132" s="31"/>
      <c r="C132" s="3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4"/>
      <c r="AN132" s="1"/>
      <c r="AO132" s="1"/>
      <c r="AP132" s="1"/>
      <c r="AQ132" s="1"/>
      <c r="AR132" s="1"/>
      <c r="AS132" s="1"/>
      <c r="AT132" s="1"/>
      <c r="AU132" s="1"/>
    </row>
    <row r="133" ht="15.75" customHeight="1">
      <c r="A133" s="31"/>
      <c r="B133" s="31"/>
      <c r="C133" s="3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4"/>
      <c r="AN133" s="1"/>
      <c r="AO133" s="1"/>
      <c r="AP133" s="1"/>
      <c r="AQ133" s="1"/>
      <c r="AR133" s="1"/>
      <c r="AS133" s="1"/>
      <c r="AT133" s="1"/>
      <c r="AU133" s="1"/>
    </row>
    <row r="134" ht="15.75" customHeight="1">
      <c r="A134" s="31"/>
      <c r="B134" s="31"/>
      <c r="C134" s="3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4"/>
      <c r="AN134" s="1"/>
      <c r="AO134" s="1"/>
      <c r="AP134" s="1"/>
      <c r="AQ134" s="1"/>
      <c r="AR134" s="1"/>
      <c r="AS134" s="1"/>
      <c r="AT134" s="1"/>
      <c r="AU134" s="1"/>
    </row>
    <row r="135" ht="15.75" customHeight="1">
      <c r="A135" s="31"/>
      <c r="B135" s="31"/>
      <c r="C135" s="3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4"/>
      <c r="AN135" s="1"/>
      <c r="AO135" s="1"/>
      <c r="AP135" s="1"/>
      <c r="AQ135" s="1"/>
      <c r="AR135" s="1"/>
      <c r="AS135" s="1"/>
      <c r="AT135" s="1"/>
      <c r="AU135" s="1"/>
    </row>
    <row r="136" ht="15.75" customHeight="1">
      <c r="A136" s="31"/>
      <c r="B136" s="31"/>
      <c r="C136" s="3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4"/>
      <c r="AN136" s="1"/>
      <c r="AO136" s="1"/>
      <c r="AP136" s="1"/>
      <c r="AQ136" s="1"/>
      <c r="AR136" s="1"/>
      <c r="AS136" s="1"/>
      <c r="AT136" s="1"/>
      <c r="AU136" s="1"/>
    </row>
    <row r="137" ht="15.75" customHeight="1">
      <c r="A137" s="31"/>
      <c r="B137" s="31"/>
      <c r="C137" s="3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4"/>
      <c r="AN137" s="1"/>
      <c r="AO137" s="1"/>
      <c r="AP137" s="1"/>
      <c r="AQ137" s="1"/>
      <c r="AR137" s="1"/>
      <c r="AS137" s="1"/>
      <c r="AT137" s="1"/>
      <c r="AU137" s="1"/>
    </row>
    <row r="138" ht="15.75" customHeight="1">
      <c r="A138" s="31"/>
      <c r="B138" s="31"/>
      <c r="C138" s="3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4"/>
      <c r="AN138" s="1"/>
      <c r="AO138" s="1"/>
      <c r="AP138" s="1"/>
      <c r="AQ138" s="1"/>
      <c r="AR138" s="1"/>
      <c r="AS138" s="1"/>
      <c r="AT138" s="1"/>
      <c r="AU138" s="1"/>
    </row>
    <row r="139" ht="15.75" customHeight="1">
      <c r="A139" s="31"/>
      <c r="B139" s="31"/>
      <c r="C139" s="3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4"/>
      <c r="AN139" s="1"/>
      <c r="AO139" s="1"/>
      <c r="AP139" s="1"/>
      <c r="AQ139" s="1"/>
      <c r="AR139" s="1"/>
      <c r="AS139" s="1"/>
      <c r="AT139" s="1"/>
      <c r="AU139" s="1"/>
    </row>
    <row r="140" ht="15.75" customHeight="1">
      <c r="A140" s="31"/>
      <c r="B140" s="31"/>
      <c r="C140" s="3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4"/>
      <c r="AN140" s="1"/>
      <c r="AO140" s="1"/>
      <c r="AP140" s="1"/>
      <c r="AQ140" s="1"/>
      <c r="AR140" s="1"/>
      <c r="AS140" s="1"/>
      <c r="AT140" s="1"/>
      <c r="AU140" s="1"/>
    </row>
    <row r="141" ht="15.75" customHeight="1">
      <c r="A141" s="31"/>
      <c r="B141" s="31"/>
      <c r="C141" s="3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4"/>
      <c r="AN141" s="1"/>
      <c r="AO141" s="1"/>
      <c r="AP141" s="1"/>
      <c r="AQ141" s="1"/>
      <c r="AR141" s="1"/>
      <c r="AS141" s="1"/>
      <c r="AT141" s="1"/>
      <c r="AU141" s="1"/>
    </row>
    <row r="142" ht="15.75" customHeight="1">
      <c r="A142" s="31"/>
      <c r="B142" s="31"/>
      <c r="C142" s="3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4"/>
      <c r="AN142" s="1"/>
      <c r="AO142" s="1"/>
      <c r="AP142" s="1"/>
      <c r="AQ142" s="1"/>
      <c r="AR142" s="1"/>
      <c r="AS142" s="1"/>
      <c r="AT142" s="1"/>
      <c r="AU142" s="1"/>
    </row>
    <row r="143" ht="15.75" customHeight="1">
      <c r="A143" s="31"/>
      <c r="B143" s="31"/>
      <c r="C143" s="3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4"/>
      <c r="AN143" s="1"/>
      <c r="AO143" s="1"/>
      <c r="AP143" s="1"/>
      <c r="AQ143" s="1"/>
      <c r="AR143" s="1"/>
      <c r="AS143" s="1"/>
      <c r="AT143" s="1"/>
      <c r="AU143" s="1"/>
    </row>
    <row r="144" ht="15.75" customHeight="1">
      <c r="A144" s="31"/>
      <c r="B144" s="31"/>
      <c r="C144" s="3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4"/>
      <c r="AN144" s="1"/>
      <c r="AO144" s="1"/>
      <c r="AP144" s="1"/>
      <c r="AQ144" s="1"/>
      <c r="AR144" s="1"/>
      <c r="AS144" s="1"/>
      <c r="AT144" s="1"/>
      <c r="AU144" s="1"/>
    </row>
    <row r="145" ht="15.75" customHeight="1">
      <c r="A145" s="31"/>
      <c r="B145" s="31"/>
      <c r="C145" s="3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4"/>
      <c r="AN145" s="1"/>
      <c r="AO145" s="1"/>
      <c r="AP145" s="1"/>
      <c r="AQ145" s="1"/>
      <c r="AR145" s="1"/>
      <c r="AS145" s="1"/>
      <c r="AT145" s="1"/>
      <c r="AU145" s="1"/>
    </row>
    <row r="146" ht="15.75" customHeight="1">
      <c r="A146" s="31"/>
      <c r="B146" s="31"/>
      <c r="C146" s="3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4"/>
      <c r="AN146" s="1"/>
      <c r="AO146" s="1"/>
      <c r="AP146" s="1"/>
      <c r="AQ146" s="1"/>
      <c r="AR146" s="1"/>
      <c r="AS146" s="1"/>
      <c r="AT146" s="1"/>
      <c r="AU146" s="1"/>
    </row>
    <row r="147" ht="15.75" customHeight="1">
      <c r="A147" s="31"/>
      <c r="B147" s="31"/>
      <c r="C147" s="3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4"/>
      <c r="AN147" s="1"/>
      <c r="AO147" s="1"/>
      <c r="AP147" s="1"/>
      <c r="AQ147" s="1"/>
      <c r="AR147" s="1"/>
      <c r="AS147" s="1"/>
      <c r="AT147" s="1"/>
      <c r="AU147" s="1"/>
    </row>
    <row r="148" ht="15.75" customHeight="1">
      <c r="A148" s="31"/>
      <c r="B148" s="31"/>
      <c r="C148" s="3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4"/>
      <c r="AN148" s="1"/>
      <c r="AO148" s="1"/>
      <c r="AP148" s="1"/>
      <c r="AQ148" s="1"/>
      <c r="AR148" s="1"/>
      <c r="AS148" s="1"/>
      <c r="AT148" s="1"/>
      <c r="AU148" s="1"/>
    </row>
    <row r="149" ht="15.75" customHeight="1">
      <c r="A149" s="31"/>
      <c r="B149" s="31"/>
      <c r="C149" s="3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4"/>
      <c r="AN149" s="1"/>
      <c r="AO149" s="1"/>
      <c r="AP149" s="1"/>
      <c r="AQ149" s="1"/>
      <c r="AR149" s="1"/>
      <c r="AS149" s="1"/>
      <c r="AT149" s="1"/>
      <c r="AU149" s="1"/>
    </row>
    <row r="150" ht="15.75" customHeight="1">
      <c r="A150" s="31"/>
      <c r="B150" s="31"/>
      <c r="C150" s="3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4"/>
      <c r="AN150" s="1"/>
      <c r="AO150" s="1"/>
      <c r="AP150" s="1"/>
      <c r="AQ150" s="1"/>
      <c r="AR150" s="1"/>
      <c r="AS150" s="1"/>
      <c r="AT150" s="1"/>
      <c r="AU150" s="1"/>
    </row>
    <row r="151" ht="15.75" customHeight="1">
      <c r="A151" s="31"/>
      <c r="B151" s="31"/>
      <c r="C151" s="3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4"/>
      <c r="AN151" s="1"/>
      <c r="AO151" s="1"/>
      <c r="AP151" s="1"/>
      <c r="AQ151" s="1"/>
      <c r="AR151" s="1"/>
      <c r="AS151" s="1"/>
      <c r="AT151" s="1"/>
      <c r="AU151" s="1"/>
    </row>
    <row r="152" ht="15.75" customHeight="1">
      <c r="A152" s="31"/>
      <c r="B152" s="31"/>
      <c r="C152" s="3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4"/>
      <c r="AN152" s="1"/>
      <c r="AO152" s="1"/>
      <c r="AP152" s="1"/>
      <c r="AQ152" s="1"/>
      <c r="AR152" s="1"/>
      <c r="AS152" s="1"/>
      <c r="AT152" s="1"/>
      <c r="AU152" s="1"/>
    </row>
    <row r="153" ht="15.75" customHeight="1">
      <c r="A153" s="31"/>
      <c r="B153" s="31"/>
      <c r="C153" s="3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4"/>
      <c r="AN153" s="1"/>
      <c r="AO153" s="1"/>
      <c r="AP153" s="1"/>
      <c r="AQ153" s="1"/>
      <c r="AR153" s="1"/>
      <c r="AS153" s="1"/>
      <c r="AT153" s="1"/>
      <c r="AU153" s="1"/>
    </row>
    <row r="154" ht="15.75" customHeight="1">
      <c r="A154" s="31"/>
      <c r="B154" s="31"/>
      <c r="C154" s="3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4"/>
      <c r="AN154" s="1"/>
      <c r="AO154" s="1"/>
      <c r="AP154" s="1"/>
      <c r="AQ154" s="1"/>
      <c r="AR154" s="1"/>
      <c r="AS154" s="1"/>
      <c r="AT154" s="1"/>
      <c r="AU154" s="1"/>
    </row>
    <row r="155" ht="15.75" customHeight="1">
      <c r="A155" s="31"/>
      <c r="B155" s="31"/>
      <c r="C155" s="3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4"/>
      <c r="AN155" s="1"/>
      <c r="AO155" s="1"/>
      <c r="AP155" s="1"/>
      <c r="AQ155" s="1"/>
      <c r="AR155" s="1"/>
      <c r="AS155" s="1"/>
      <c r="AT155" s="1"/>
      <c r="AU155" s="1"/>
    </row>
    <row r="156" ht="15.75" customHeight="1">
      <c r="A156" s="31"/>
      <c r="B156" s="31"/>
      <c r="C156" s="3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4"/>
      <c r="AN156" s="1"/>
      <c r="AO156" s="1"/>
      <c r="AP156" s="1"/>
      <c r="AQ156" s="1"/>
      <c r="AR156" s="1"/>
      <c r="AS156" s="1"/>
      <c r="AT156" s="1"/>
      <c r="AU156" s="1"/>
    </row>
    <row r="157" ht="15.75" customHeight="1">
      <c r="A157" s="31"/>
      <c r="B157" s="31"/>
      <c r="C157" s="3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4"/>
      <c r="AN157" s="1"/>
      <c r="AO157" s="1"/>
      <c r="AP157" s="1"/>
      <c r="AQ157" s="1"/>
      <c r="AR157" s="1"/>
      <c r="AS157" s="1"/>
      <c r="AT157" s="1"/>
      <c r="AU157" s="1"/>
    </row>
    <row r="158" ht="15.75" customHeight="1">
      <c r="A158" s="31"/>
      <c r="B158" s="31"/>
      <c r="C158" s="3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4"/>
      <c r="AN158" s="1"/>
      <c r="AO158" s="1"/>
      <c r="AP158" s="1"/>
      <c r="AQ158" s="1"/>
      <c r="AR158" s="1"/>
      <c r="AS158" s="1"/>
      <c r="AT158" s="1"/>
      <c r="AU158" s="1"/>
    </row>
    <row r="159" ht="15.75" customHeight="1">
      <c r="A159" s="31"/>
      <c r="B159" s="31"/>
      <c r="C159" s="3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4"/>
      <c r="AN159" s="1"/>
      <c r="AO159" s="1"/>
      <c r="AP159" s="1"/>
      <c r="AQ159" s="1"/>
      <c r="AR159" s="1"/>
      <c r="AS159" s="1"/>
      <c r="AT159" s="1"/>
      <c r="AU159" s="1"/>
    </row>
    <row r="160" ht="15.75" customHeight="1">
      <c r="A160" s="31"/>
      <c r="B160" s="31"/>
      <c r="C160" s="3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4"/>
      <c r="AN160" s="1"/>
      <c r="AO160" s="1"/>
      <c r="AP160" s="1"/>
      <c r="AQ160" s="1"/>
      <c r="AR160" s="1"/>
      <c r="AS160" s="1"/>
      <c r="AT160" s="1"/>
      <c r="AU160" s="1"/>
    </row>
    <row r="161" ht="15.75" customHeight="1">
      <c r="A161" s="31"/>
      <c r="B161" s="31"/>
      <c r="C161" s="3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4"/>
      <c r="AN161" s="1"/>
      <c r="AO161" s="1"/>
      <c r="AP161" s="1"/>
      <c r="AQ161" s="1"/>
      <c r="AR161" s="1"/>
      <c r="AS161" s="1"/>
      <c r="AT161" s="1"/>
      <c r="AU161" s="1"/>
    </row>
    <row r="162" ht="15.75" customHeight="1">
      <c r="A162" s="31"/>
      <c r="B162" s="31"/>
      <c r="C162" s="3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4"/>
      <c r="AN162" s="1"/>
      <c r="AO162" s="1"/>
      <c r="AP162" s="1"/>
      <c r="AQ162" s="1"/>
      <c r="AR162" s="1"/>
      <c r="AS162" s="1"/>
      <c r="AT162" s="1"/>
      <c r="AU162" s="1"/>
    </row>
    <row r="163" ht="15.75" customHeight="1">
      <c r="A163" s="31"/>
      <c r="B163" s="31"/>
      <c r="C163" s="3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4"/>
      <c r="AN163" s="1"/>
      <c r="AO163" s="1"/>
      <c r="AP163" s="1"/>
      <c r="AQ163" s="1"/>
      <c r="AR163" s="1"/>
      <c r="AS163" s="1"/>
      <c r="AT163" s="1"/>
      <c r="AU163" s="1"/>
    </row>
    <row r="164" ht="15.75" customHeight="1">
      <c r="A164" s="31"/>
      <c r="B164" s="31"/>
      <c r="C164" s="3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4"/>
      <c r="AN164" s="1"/>
      <c r="AO164" s="1"/>
      <c r="AP164" s="1"/>
      <c r="AQ164" s="1"/>
      <c r="AR164" s="1"/>
      <c r="AS164" s="1"/>
      <c r="AT164" s="1"/>
      <c r="AU164" s="1"/>
    </row>
    <row r="165" ht="15.75" customHeight="1">
      <c r="A165" s="31"/>
      <c r="B165" s="31"/>
      <c r="C165" s="3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4"/>
      <c r="AN165" s="1"/>
      <c r="AO165" s="1"/>
      <c r="AP165" s="1"/>
      <c r="AQ165" s="1"/>
      <c r="AR165" s="1"/>
      <c r="AS165" s="1"/>
      <c r="AT165" s="1"/>
      <c r="AU165" s="1"/>
    </row>
    <row r="166" ht="15.75" customHeight="1">
      <c r="A166" s="31"/>
      <c r="B166" s="31"/>
      <c r="C166" s="3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4"/>
      <c r="AN166" s="1"/>
      <c r="AO166" s="1"/>
      <c r="AP166" s="1"/>
      <c r="AQ166" s="1"/>
      <c r="AR166" s="1"/>
      <c r="AS166" s="1"/>
      <c r="AT166" s="1"/>
      <c r="AU166" s="1"/>
    </row>
    <row r="167" ht="15.75" customHeight="1">
      <c r="A167" s="31"/>
      <c r="B167" s="31"/>
      <c r="C167" s="3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4"/>
      <c r="AN167" s="1"/>
      <c r="AO167" s="1"/>
      <c r="AP167" s="1"/>
      <c r="AQ167" s="1"/>
      <c r="AR167" s="1"/>
      <c r="AS167" s="1"/>
      <c r="AT167" s="1"/>
      <c r="AU167" s="1"/>
    </row>
    <row r="168" ht="15.75" customHeight="1">
      <c r="A168" s="31"/>
      <c r="B168" s="31"/>
      <c r="C168" s="3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4"/>
      <c r="AN168" s="1"/>
      <c r="AO168" s="1"/>
      <c r="AP168" s="1"/>
      <c r="AQ168" s="1"/>
      <c r="AR168" s="1"/>
      <c r="AS168" s="1"/>
      <c r="AT168" s="1"/>
      <c r="AU168" s="1"/>
    </row>
    <row r="169" ht="15.75" customHeight="1">
      <c r="A169" s="31"/>
      <c r="B169" s="31"/>
      <c r="C169" s="3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4"/>
      <c r="AN169" s="1"/>
      <c r="AO169" s="1"/>
      <c r="AP169" s="1"/>
      <c r="AQ169" s="1"/>
      <c r="AR169" s="1"/>
      <c r="AS169" s="1"/>
      <c r="AT169" s="1"/>
      <c r="AU169" s="1"/>
    </row>
    <row r="170" ht="15.75" customHeight="1">
      <c r="A170" s="31"/>
      <c r="B170" s="31"/>
      <c r="C170" s="3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4"/>
      <c r="AN170" s="1"/>
      <c r="AO170" s="1"/>
      <c r="AP170" s="1"/>
      <c r="AQ170" s="1"/>
      <c r="AR170" s="1"/>
      <c r="AS170" s="1"/>
      <c r="AT170" s="1"/>
      <c r="AU170" s="1"/>
    </row>
    <row r="171" ht="15.75" customHeight="1">
      <c r="A171" s="31"/>
      <c r="B171" s="31"/>
      <c r="C171" s="3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4"/>
      <c r="AN171" s="1"/>
      <c r="AO171" s="1"/>
      <c r="AP171" s="1"/>
      <c r="AQ171" s="1"/>
      <c r="AR171" s="1"/>
      <c r="AS171" s="1"/>
      <c r="AT171" s="1"/>
      <c r="AU171" s="1"/>
    </row>
    <row r="172" ht="15.75" customHeight="1">
      <c r="A172" s="31"/>
      <c r="B172" s="31"/>
      <c r="C172" s="3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4"/>
      <c r="AN172" s="1"/>
      <c r="AO172" s="1"/>
      <c r="AP172" s="1"/>
      <c r="AQ172" s="1"/>
      <c r="AR172" s="1"/>
      <c r="AS172" s="1"/>
      <c r="AT172" s="1"/>
      <c r="AU172" s="1"/>
    </row>
    <row r="173" ht="15.75" customHeight="1">
      <c r="A173" s="31"/>
      <c r="B173" s="31"/>
      <c r="C173" s="3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4"/>
      <c r="AN173" s="1"/>
      <c r="AO173" s="1"/>
      <c r="AP173" s="1"/>
      <c r="AQ173" s="1"/>
      <c r="AR173" s="1"/>
      <c r="AS173" s="1"/>
      <c r="AT173" s="1"/>
      <c r="AU173" s="1"/>
    </row>
    <row r="174" ht="15.75" customHeight="1">
      <c r="A174" s="31"/>
      <c r="B174" s="31"/>
      <c r="C174" s="3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4"/>
      <c r="AN174" s="1"/>
      <c r="AO174" s="1"/>
      <c r="AP174" s="1"/>
      <c r="AQ174" s="1"/>
      <c r="AR174" s="1"/>
      <c r="AS174" s="1"/>
      <c r="AT174" s="1"/>
      <c r="AU174" s="1"/>
    </row>
    <row r="175" ht="15.75" customHeight="1">
      <c r="A175" s="31"/>
      <c r="B175" s="31"/>
      <c r="C175" s="3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4"/>
      <c r="AN175" s="1"/>
      <c r="AO175" s="1"/>
      <c r="AP175" s="1"/>
      <c r="AQ175" s="1"/>
      <c r="AR175" s="1"/>
      <c r="AS175" s="1"/>
      <c r="AT175" s="1"/>
      <c r="AU175" s="1"/>
    </row>
    <row r="176" ht="15.75" customHeight="1">
      <c r="A176" s="31"/>
      <c r="B176" s="31"/>
      <c r="C176" s="3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4"/>
      <c r="AN176" s="1"/>
      <c r="AO176" s="1"/>
      <c r="AP176" s="1"/>
      <c r="AQ176" s="1"/>
      <c r="AR176" s="1"/>
      <c r="AS176" s="1"/>
      <c r="AT176" s="1"/>
      <c r="AU176" s="1"/>
    </row>
    <row r="177" ht="15.75" customHeight="1">
      <c r="A177" s="31"/>
      <c r="B177" s="31"/>
      <c r="C177" s="3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4"/>
      <c r="AN177" s="1"/>
      <c r="AO177" s="1"/>
      <c r="AP177" s="1"/>
      <c r="AQ177" s="1"/>
      <c r="AR177" s="1"/>
      <c r="AS177" s="1"/>
      <c r="AT177" s="1"/>
      <c r="AU177" s="1"/>
    </row>
    <row r="178" ht="15.75" customHeight="1">
      <c r="A178" s="31"/>
      <c r="B178" s="31"/>
      <c r="C178" s="3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4"/>
      <c r="AN178" s="1"/>
      <c r="AO178" s="1"/>
      <c r="AP178" s="1"/>
      <c r="AQ178" s="1"/>
      <c r="AR178" s="1"/>
      <c r="AS178" s="1"/>
      <c r="AT178" s="1"/>
      <c r="AU178" s="1"/>
    </row>
    <row r="179" ht="15.75" customHeight="1">
      <c r="A179" s="31"/>
      <c r="B179" s="31"/>
      <c r="C179" s="3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4"/>
      <c r="AN179" s="1"/>
      <c r="AO179" s="1"/>
      <c r="AP179" s="1"/>
      <c r="AQ179" s="1"/>
      <c r="AR179" s="1"/>
      <c r="AS179" s="1"/>
      <c r="AT179" s="1"/>
      <c r="AU179" s="1"/>
    </row>
    <row r="180" ht="15.75" customHeight="1">
      <c r="A180" s="31"/>
      <c r="B180" s="31"/>
      <c r="C180" s="3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4"/>
      <c r="AN180" s="1"/>
      <c r="AO180" s="1"/>
      <c r="AP180" s="1"/>
      <c r="AQ180" s="1"/>
      <c r="AR180" s="1"/>
      <c r="AS180" s="1"/>
      <c r="AT180" s="1"/>
      <c r="AU180" s="1"/>
    </row>
    <row r="181" ht="15.75" customHeight="1">
      <c r="A181" s="31"/>
      <c r="B181" s="31"/>
      <c r="C181" s="3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4"/>
      <c r="AN181" s="1"/>
      <c r="AO181" s="1"/>
      <c r="AP181" s="1"/>
      <c r="AQ181" s="1"/>
      <c r="AR181" s="1"/>
      <c r="AS181" s="1"/>
      <c r="AT181" s="1"/>
      <c r="AU181" s="1"/>
    </row>
    <row r="182" ht="15.75" customHeight="1">
      <c r="A182" s="31"/>
      <c r="B182" s="31"/>
      <c r="C182" s="3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4"/>
      <c r="AN182" s="1"/>
      <c r="AO182" s="1"/>
      <c r="AP182" s="1"/>
      <c r="AQ182" s="1"/>
      <c r="AR182" s="1"/>
      <c r="AS182" s="1"/>
      <c r="AT182" s="1"/>
      <c r="AU182" s="1"/>
    </row>
    <row r="183" ht="15.75" customHeight="1">
      <c r="A183" s="31"/>
      <c r="B183" s="31"/>
      <c r="C183" s="3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4"/>
      <c r="AN183" s="1"/>
      <c r="AO183" s="1"/>
      <c r="AP183" s="1"/>
      <c r="AQ183" s="1"/>
      <c r="AR183" s="1"/>
      <c r="AS183" s="1"/>
      <c r="AT183" s="1"/>
      <c r="AU183" s="1"/>
    </row>
    <row r="184" ht="15.75" customHeight="1">
      <c r="A184" s="31"/>
      <c r="B184" s="31"/>
      <c r="C184" s="3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4"/>
      <c r="AN184" s="1"/>
      <c r="AO184" s="1"/>
      <c r="AP184" s="1"/>
      <c r="AQ184" s="1"/>
      <c r="AR184" s="1"/>
      <c r="AS184" s="1"/>
      <c r="AT184" s="1"/>
      <c r="AU184" s="1"/>
    </row>
    <row r="185" ht="15.75" customHeight="1">
      <c r="A185" s="31"/>
      <c r="B185" s="31"/>
      <c r="C185" s="3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4"/>
      <c r="AN185" s="1"/>
      <c r="AO185" s="1"/>
      <c r="AP185" s="1"/>
      <c r="AQ185" s="1"/>
      <c r="AR185" s="1"/>
      <c r="AS185" s="1"/>
      <c r="AT185" s="1"/>
      <c r="AU185" s="1"/>
    </row>
    <row r="186" ht="15.75" customHeight="1">
      <c r="A186" s="31"/>
      <c r="B186" s="31"/>
      <c r="C186" s="3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4"/>
      <c r="AN186" s="1"/>
      <c r="AO186" s="1"/>
      <c r="AP186" s="1"/>
      <c r="AQ186" s="1"/>
      <c r="AR186" s="1"/>
      <c r="AS186" s="1"/>
      <c r="AT186" s="1"/>
      <c r="AU186" s="1"/>
    </row>
    <row r="187" ht="15.75" customHeight="1">
      <c r="A187" s="31"/>
      <c r="B187" s="31"/>
      <c r="C187" s="3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4"/>
      <c r="AN187" s="1"/>
      <c r="AO187" s="1"/>
      <c r="AP187" s="1"/>
      <c r="AQ187" s="1"/>
      <c r="AR187" s="1"/>
      <c r="AS187" s="1"/>
      <c r="AT187" s="1"/>
      <c r="AU187" s="1"/>
    </row>
    <row r="188" ht="15.75" customHeight="1">
      <c r="A188" s="31"/>
      <c r="B188" s="31"/>
      <c r="C188" s="3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4"/>
      <c r="AN188" s="1"/>
      <c r="AO188" s="1"/>
      <c r="AP188" s="1"/>
      <c r="AQ188" s="1"/>
      <c r="AR188" s="1"/>
      <c r="AS188" s="1"/>
      <c r="AT188" s="1"/>
      <c r="AU188" s="1"/>
    </row>
    <row r="189" ht="15.75" customHeight="1">
      <c r="A189" s="31"/>
      <c r="B189" s="31"/>
      <c r="C189" s="3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4"/>
      <c r="AN189" s="1"/>
      <c r="AO189" s="1"/>
      <c r="AP189" s="1"/>
      <c r="AQ189" s="1"/>
      <c r="AR189" s="1"/>
      <c r="AS189" s="1"/>
      <c r="AT189" s="1"/>
      <c r="AU189" s="1"/>
    </row>
    <row r="190" ht="15.75" customHeight="1">
      <c r="A190" s="31"/>
      <c r="B190" s="31"/>
      <c r="C190" s="3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4"/>
      <c r="AN190" s="1"/>
      <c r="AO190" s="1"/>
      <c r="AP190" s="1"/>
      <c r="AQ190" s="1"/>
      <c r="AR190" s="1"/>
      <c r="AS190" s="1"/>
      <c r="AT190" s="1"/>
      <c r="AU190" s="1"/>
    </row>
    <row r="191" ht="15.75" customHeight="1">
      <c r="A191" s="31"/>
      <c r="B191" s="31"/>
      <c r="C191" s="3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4"/>
      <c r="AN191" s="1"/>
      <c r="AO191" s="1"/>
      <c r="AP191" s="1"/>
      <c r="AQ191" s="1"/>
      <c r="AR191" s="1"/>
      <c r="AS191" s="1"/>
      <c r="AT191" s="1"/>
      <c r="AU191" s="1"/>
    </row>
    <row r="192" ht="15.75" customHeight="1">
      <c r="A192" s="31"/>
      <c r="B192" s="31"/>
      <c r="C192" s="3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4"/>
      <c r="AN192" s="1"/>
      <c r="AO192" s="1"/>
      <c r="AP192" s="1"/>
      <c r="AQ192" s="1"/>
      <c r="AR192" s="1"/>
      <c r="AS192" s="1"/>
      <c r="AT192" s="1"/>
      <c r="AU192" s="1"/>
    </row>
    <row r="193" ht="15.75" customHeight="1">
      <c r="A193" s="31"/>
      <c r="B193" s="31"/>
      <c r="C193" s="3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4"/>
      <c r="AN193" s="1"/>
      <c r="AO193" s="1"/>
      <c r="AP193" s="1"/>
      <c r="AQ193" s="1"/>
      <c r="AR193" s="1"/>
      <c r="AS193" s="1"/>
      <c r="AT193" s="1"/>
      <c r="AU193" s="1"/>
    </row>
    <row r="194" ht="15.75" customHeight="1">
      <c r="A194" s="31"/>
      <c r="B194" s="31"/>
      <c r="C194" s="3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4"/>
      <c r="AN194" s="1"/>
      <c r="AO194" s="1"/>
      <c r="AP194" s="1"/>
      <c r="AQ194" s="1"/>
      <c r="AR194" s="1"/>
      <c r="AS194" s="1"/>
      <c r="AT194" s="1"/>
      <c r="AU194" s="1"/>
    </row>
    <row r="195" ht="15.75" customHeight="1">
      <c r="A195" s="31"/>
      <c r="B195" s="31"/>
      <c r="C195" s="3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4"/>
      <c r="AN195" s="1"/>
      <c r="AO195" s="1"/>
      <c r="AP195" s="1"/>
      <c r="AQ195" s="1"/>
      <c r="AR195" s="1"/>
      <c r="AS195" s="1"/>
      <c r="AT195" s="1"/>
      <c r="AU195" s="1"/>
    </row>
    <row r="196" ht="15.75" customHeight="1">
      <c r="A196" s="31"/>
      <c r="B196" s="31"/>
      <c r="C196" s="3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4"/>
      <c r="AN196" s="1"/>
      <c r="AO196" s="1"/>
      <c r="AP196" s="1"/>
      <c r="AQ196" s="1"/>
      <c r="AR196" s="1"/>
      <c r="AS196" s="1"/>
      <c r="AT196" s="1"/>
      <c r="AU196" s="1"/>
    </row>
    <row r="197" ht="15.75" customHeight="1">
      <c r="A197" s="31"/>
      <c r="B197" s="31"/>
      <c r="C197" s="3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4"/>
      <c r="AN197" s="1"/>
      <c r="AO197" s="1"/>
      <c r="AP197" s="1"/>
      <c r="AQ197" s="1"/>
      <c r="AR197" s="1"/>
      <c r="AS197" s="1"/>
      <c r="AT197" s="1"/>
      <c r="AU197" s="1"/>
    </row>
    <row r="198" ht="15.75" customHeight="1">
      <c r="A198" s="31"/>
      <c r="B198" s="31"/>
      <c r="C198" s="3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4"/>
      <c r="AN198" s="1"/>
      <c r="AO198" s="1"/>
      <c r="AP198" s="1"/>
      <c r="AQ198" s="1"/>
      <c r="AR198" s="1"/>
      <c r="AS198" s="1"/>
      <c r="AT198" s="1"/>
      <c r="AU198" s="1"/>
    </row>
    <row r="199" ht="15.75" customHeight="1">
      <c r="A199" s="31"/>
      <c r="B199" s="31"/>
      <c r="C199" s="3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4"/>
      <c r="AN199" s="1"/>
      <c r="AO199" s="1"/>
      <c r="AP199" s="1"/>
      <c r="AQ199" s="1"/>
      <c r="AR199" s="1"/>
      <c r="AS199" s="1"/>
      <c r="AT199" s="1"/>
      <c r="AU199" s="1"/>
    </row>
    <row r="200" ht="15.75" customHeight="1">
      <c r="A200" s="31"/>
      <c r="B200" s="31"/>
      <c r="C200" s="3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4"/>
      <c r="AN200" s="1"/>
      <c r="AO200" s="1"/>
      <c r="AP200" s="1"/>
      <c r="AQ200" s="1"/>
      <c r="AR200" s="1"/>
      <c r="AS200" s="1"/>
      <c r="AT200" s="1"/>
      <c r="AU200" s="1"/>
    </row>
    <row r="201" ht="15.75" customHeight="1">
      <c r="A201" s="31"/>
      <c r="B201" s="31"/>
      <c r="C201" s="3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4"/>
      <c r="AN201" s="1"/>
      <c r="AO201" s="1"/>
      <c r="AP201" s="1"/>
      <c r="AQ201" s="1"/>
      <c r="AR201" s="1"/>
      <c r="AS201" s="1"/>
      <c r="AT201" s="1"/>
      <c r="AU201" s="1"/>
    </row>
    <row r="202" ht="15.75" customHeight="1">
      <c r="A202" s="31"/>
      <c r="B202" s="31"/>
      <c r="C202" s="3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4"/>
      <c r="AN202" s="1"/>
      <c r="AO202" s="1"/>
      <c r="AP202" s="1"/>
      <c r="AQ202" s="1"/>
      <c r="AR202" s="1"/>
      <c r="AS202" s="1"/>
      <c r="AT202" s="1"/>
      <c r="AU202" s="1"/>
    </row>
    <row r="203" ht="15.75" customHeight="1">
      <c r="A203" s="31"/>
      <c r="B203" s="31"/>
      <c r="C203" s="3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4"/>
      <c r="AN203" s="1"/>
      <c r="AO203" s="1"/>
      <c r="AP203" s="1"/>
      <c r="AQ203" s="1"/>
      <c r="AR203" s="1"/>
      <c r="AS203" s="1"/>
      <c r="AT203" s="1"/>
      <c r="AU203" s="1"/>
    </row>
    <row r="204" ht="15.75" customHeight="1">
      <c r="A204" s="31"/>
      <c r="B204" s="31"/>
      <c r="C204" s="3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4"/>
      <c r="AN204" s="1"/>
      <c r="AO204" s="1"/>
      <c r="AP204" s="1"/>
      <c r="AQ204" s="1"/>
      <c r="AR204" s="1"/>
      <c r="AS204" s="1"/>
      <c r="AT204" s="1"/>
      <c r="AU204" s="1"/>
    </row>
    <row r="205" ht="15.75" customHeight="1">
      <c r="A205" s="31"/>
      <c r="B205" s="31"/>
      <c r="C205" s="3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4"/>
      <c r="AN205" s="1"/>
      <c r="AO205" s="1"/>
      <c r="AP205" s="1"/>
      <c r="AQ205" s="1"/>
      <c r="AR205" s="1"/>
      <c r="AS205" s="1"/>
      <c r="AT205" s="1"/>
      <c r="AU205" s="1"/>
    </row>
    <row r="206" ht="15.75" customHeight="1">
      <c r="A206" s="31"/>
      <c r="B206" s="31"/>
      <c r="C206" s="3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4"/>
      <c r="AN206" s="1"/>
      <c r="AO206" s="1"/>
      <c r="AP206" s="1"/>
      <c r="AQ206" s="1"/>
      <c r="AR206" s="1"/>
      <c r="AS206" s="1"/>
      <c r="AT206" s="1"/>
      <c r="AU206" s="1"/>
    </row>
    <row r="207" ht="15.75" customHeight="1">
      <c r="A207" s="31"/>
      <c r="B207" s="31"/>
      <c r="C207" s="3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4"/>
      <c r="AN207" s="1"/>
      <c r="AO207" s="1"/>
      <c r="AP207" s="1"/>
      <c r="AQ207" s="1"/>
      <c r="AR207" s="1"/>
      <c r="AS207" s="1"/>
      <c r="AT207" s="1"/>
      <c r="AU207" s="1"/>
    </row>
    <row r="208" ht="15.75" customHeight="1">
      <c r="A208" s="31"/>
      <c r="B208" s="31"/>
      <c r="C208" s="3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4"/>
      <c r="AN208" s="1"/>
      <c r="AO208" s="1"/>
      <c r="AP208" s="1"/>
      <c r="AQ208" s="1"/>
      <c r="AR208" s="1"/>
      <c r="AS208" s="1"/>
      <c r="AT208" s="1"/>
      <c r="AU208" s="1"/>
    </row>
    <row r="209" ht="15.75" customHeight="1">
      <c r="A209" s="31"/>
      <c r="B209" s="31"/>
      <c r="C209" s="3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4"/>
      <c r="AN209" s="1"/>
      <c r="AO209" s="1"/>
      <c r="AP209" s="1"/>
      <c r="AQ209" s="1"/>
      <c r="AR209" s="1"/>
      <c r="AS209" s="1"/>
      <c r="AT209" s="1"/>
      <c r="AU209" s="1"/>
    </row>
    <row r="210" ht="15.75" customHeight="1">
      <c r="A210" s="31"/>
      <c r="B210" s="31"/>
      <c r="C210" s="3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4"/>
      <c r="AN210" s="1"/>
      <c r="AO210" s="1"/>
      <c r="AP210" s="1"/>
      <c r="AQ210" s="1"/>
      <c r="AR210" s="1"/>
      <c r="AS210" s="1"/>
      <c r="AT210" s="1"/>
      <c r="AU210" s="1"/>
    </row>
    <row r="211" ht="15.75" customHeight="1">
      <c r="A211" s="31"/>
      <c r="B211" s="31"/>
      <c r="C211" s="3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4"/>
      <c r="AN211" s="1"/>
      <c r="AO211" s="1"/>
      <c r="AP211" s="1"/>
      <c r="AQ211" s="1"/>
      <c r="AR211" s="1"/>
      <c r="AS211" s="1"/>
      <c r="AT211" s="1"/>
      <c r="AU211" s="1"/>
    </row>
    <row r="212" ht="15.75" customHeight="1">
      <c r="A212" s="31"/>
      <c r="B212" s="31"/>
      <c r="C212" s="3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4"/>
      <c r="AN212" s="1"/>
      <c r="AO212" s="1"/>
      <c r="AP212" s="1"/>
      <c r="AQ212" s="1"/>
      <c r="AR212" s="1"/>
      <c r="AS212" s="1"/>
      <c r="AT212" s="1"/>
      <c r="AU212" s="1"/>
    </row>
    <row r="213" ht="15.75" customHeight="1">
      <c r="A213" s="31"/>
      <c r="B213" s="31"/>
      <c r="C213" s="3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4"/>
      <c r="AN213" s="1"/>
      <c r="AO213" s="1"/>
      <c r="AP213" s="1"/>
      <c r="AQ213" s="1"/>
      <c r="AR213" s="1"/>
      <c r="AS213" s="1"/>
      <c r="AT213" s="1"/>
      <c r="AU213" s="1"/>
    </row>
    <row r="214" ht="15.75" customHeight="1">
      <c r="A214" s="31"/>
      <c r="B214" s="31"/>
      <c r="C214" s="3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4"/>
      <c r="AN214" s="1"/>
      <c r="AO214" s="1"/>
      <c r="AP214" s="1"/>
      <c r="AQ214" s="1"/>
      <c r="AR214" s="1"/>
      <c r="AS214" s="1"/>
      <c r="AT214" s="1"/>
      <c r="AU214" s="1"/>
    </row>
    <row r="215" ht="15.75" customHeight="1">
      <c r="A215" s="31"/>
      <c r="B215" s="31"/>
      <c r="C215" s="3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4"/>
      <c r="AN215" s="1"/>
      <c r="AO215" s="1"/>
      <c r="AP215" s="1"/>
      <c r="AQ215" s="1"/>
      <c r="AR215" s="1"/>
      <c r="AS215" s="1"/>
      <c r="AT215" s="1"/>
      <c r="AU215" s="1"/>
    </row>
    <row r="216" ht="15.75" customHeight="1">
      <c r="A216" s="31"/>
      <c r="B216" s="31"/>
      <c r="C216" s="3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4"/>
      <c r="AN216" s="1"/>
      <c r="AO216" s="1"/>
      <c r="AP216" s="1"/>
      <c r="AQ216" s="1"/>
      <c r="AR216" s="1"/>
      <c r="AS216" s="1"/>
      <c r="AT216" s="1"/>
      <c r="AU216" s="1"/>
    </row>
    <row r="217" ht="15.75" customHeight="1">
      <c r="A217" s="31"/>
      <c r="B217" s="31"/>
      <c r="C217" s="3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4"/>
      <c r="AN217" s="1"/>
      <c r="AO217" s="1"/>
      <c r="AP217" s="1"/>
      <c r="AQ217" s="1"/>
      <c r="AR217" s="1"/>
      <c r="AS217" s="1"/>
      <c r="AT217" s="1"/>
      <c r="AU217" s="1"/>
    </row>
    <row r="218" ht="15.75" customHeight="1">
      <c r="A218" s="31"/>
      <c r="B218" s="31"/>
      <c r="C218" s="3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4"/>
      <c r="AN218" s="1"/>
      <c r="AO218" s="1"/>
      <c r="AP218" s="1"/>
      <c r="AQ218" s="1"/>
      <c r="AR218" s="1"/>
      <c r="AS218" s="1"/>
      <c r="AT218" s="1"/>
      <c r="AU218" s="1"/>
    </row>
    <row r="219" ht="15.75" customHeight="1">
      <c r="A219" s="31"/>
      <c r="B219" s="31"/>
      <c r="C219" s="3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4"/>
      <c r="AN219" s="1"/>
      <c r="AO219" s="1"/>
      <c r="AP219" s="1"/>
      <c r="AQ219" s="1"/>
      <c r="AR219" s="1"/>
      <c r="AS219" s="1"/>
      <c r="AT219" s="1"/>
      <c r="AU219" s="1"/>
    </row>
    <row r="220" ht="15.75" customHeight="1">
      <c r="A220" s="31"/>
      <c r="B220" s="31"/>
      <c r="C220" s="3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4"/>
      <c r="AN220" s="1"/>
      <c r="AO220" s="1"/>
      <c r="AP220" s="1"/>
      <c r="AQ220" s="1"/>
      <c r="AR220" s="1"/>
      <c r="AS220" s="1"/>
      <c r="AT220" s="1"/>
      <c r="AU220" s="1"/>
    </row>
    <row r="221" ht="15.75" customHeight="1">
      <c r="A221" s="31"/>
      <c r="B221" s="31"/>
      <c r="C221" s="3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4"/>
      <c r="AN221" s="1"/>
      <c r="AO221" s="1"/>
      <c r="AP221" s="1"/>
      <c r="AQ221" s="1"/>
      <c r="AR221" s="1"/>
      <c r="AS221" s="1"/>
      <c r="AT221" s="1"/>
      <c r="AU221" s="1"/>
    </row>
    <row r="222" ht="15.75" customHeight="1">
      <c r="A222" s="31"/>
      <c r="B222" s="31"/>
      <c r="C222" s="3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4"/>
      <c r="AN222" s="1"/>
      <c r="AO222" s="1"/>
      <c r="AP222" s="1"/>
      <c r="AQ222" s="1"/>
      <c r="AR222" s="1"/>
      <c r="AS222" s="1"/>
      <c r="AT222" s="1"/>
      <c r="AU222" s="1"/>
    </row>
    <row r="223" ht="15.75" customHeight="1">
      <c r="A223" s="31"/>
      <c r="B223" s="31"/>
      <c r="C223" s="3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4"/>
      <c r="AN223" s="1"/>
      <c r="AO223" s="1"/>
      <c r="AP223" s="1"/>
      <c r="AQ223" s="1"/>
      <c r="AR223" s="1"/>
      <c r="AS223" s="1"/>
      <c r="AT223" s="1"/>
      <c r="AU223" s="1"/>
    </row>
    <row r="224" ht="15.75" customHeight="1">
      <c r="A224" s="31"/>
      <c r="B224" s="31"/>
      <c r="C224" s="3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4"/>
      <c r="AN224" s="1"/>
      <c r="AO224" s="1"/>
      <c r="AP224" s="1"/>
      <c r="AQ224" s="1"/>
      <c r="AR224" s="1"/>
      <c r="AS224" s="1"/>
      <c r="AT224" s="1"/>
      <c r="AU224" s="1"/>
    </row>
    <row r="225" ht="15.75" customHeight="1">
      <c r="A225" s="31"/>
      <c r="B225" s="31"/>
      <c r="C225" s="3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4"/>
      <c r="AN225" s="1"/>
      <c r="AO225" s="1"/>
      <c r="AP225" s="1"/>
      <c r="AQ225" s="1"/>
      <c r="AR225" s="1"/>
      <c r="AS225" s="1"/>
      <c r="AT225" s="1"/>
      <c r="AU225" s="1"/>
    </row>
    <row r="226" ht="15.75" customHeight="1">
      <c r="A226" s="31"/>
      <c r="B226" s="31"/>
      <c r="C226" s="3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4"/>
      <c r="AN226" s="1"/>
      <c r="AO226" s="1"/>
      <c r="AP226" s="1"/>
      <c r="AQ226" s="1"/>
      <c r="AR226" s="1"/>
      <c r="AS226" s="1"/>
      <c r="AT226" s="1"/>
      <c r="AU226" s="1"/>
    </row>
    <row r="227" ht="15.75" customHeight="1">
      <c r="A227" s="31"/>
      <c r="B227" s="31"/>
      <c r="C227" s="3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4"/>
      <c r="AN227" s="1"/>
      <c r="AO227" s="1"/>
      <c r="AP227" s="1"/>
      <c r="AQ227" s="1"/>
      <c r="AR227" s="1"/>
      <c r="AS227" s="1"/>
      <c r="AT227" s="1"/>
      <c r="AU227" s="1"/>
    </row>
    <row r="228" ht="15.75" customHeight="1">
      <c r="A228" s="31"/>
      <c r="B228" s="31"/>
      <c r="C228" s="3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4"/>
      <c r="AN228" s="1"/>
      <c r="AO228" s="1"/>
      <c r="AP228" s="1"/>
      <c r="AQ228" s="1"/>
      <c r="AR228" s="1"/>
      <c r="AS228" s="1"/>
      <c r="AT228" s="1"/>
      <c r="AU228" s="1"/>
    </row>
    <row r="229" ht="15.75" customHeight="1">
      <c r="A229" s="31"/>
      <c r="B229" s="31"/>
      <c r="C229" s="3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4"/>
      <c r="AN229" s="1"/>
      <c r="AO229" s="1"/>
      <c r="AP229" s="1"/>
      <c r="AQ229" s="1"/>
      <c r="AR229" s="1"/>
      <c r="AS229" s="1"/>
      <c r="AT229" s="1"/>
      <c r="AU229" s="1"/>
    </row>
    <row r="230" ht="15.75" customHeight="1">
      <c r="A230" s="31"/>
      <c r="B230" s="31"/>
      <c r="C230" s="3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4"/>
      <c r="AN230" s="1"/>
      <c r="AO230" s="1"/>
      <c r="AP230" s="1"/>
      <c r="AQ230" s="1"/>
      <c r="AR230" s="1"/>
      <c r="AS230" s="1"/>
      <c r="AT230" s="1"/>
      <c r="AU230" s="1"/>
    </row>
    <row r="231" ht="15.75" customHeight="1">
      <c r="A231" s="31"/>
      <c r="B231" s="31"/>
      <c r="C231" s="3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4"/>
      <c r="AN231" s="1"/>
      <c r="AO231" s="1"/>
      <c r="AP231" s="1"/>
      <c r="AQ231" s="1"/>
      <c r="AR231" s="1"/>
      <c r="AS231" s="1"/>
      <c r="AT231" s="1"/>
      <c r="AU231" s="1"/>
    </row>
    <row r="232" ht="15.75" customHeight="1">
      <c r="A232" s="31"/>
      <c r="B232" s="31"/>
      <c r="C232" s="3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4"/>
      <c r="AN232" s="1"/>
      <c r="AO232" s="1"/>
      <c r="AP232" s="1"/>
      <c r="AQ232" s="1"/>
      <c r="AR232" s="1"/>
      <c r="AS232" s="1"/>
      <c r="AT232" s="1"/>
      <c r="AU232" s="1"/>
    </row>
    <row r="233" ht="15.75" customHeight="1">
      <c r="A233" s="31"/>
      <c r="B233" s="31"/>
      <c r="C233" s="3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4"/>
      <c r="AN233" s="1"/>
      <c r="AO233" s="1"/>
      <c r="AP233" s="1"/>
      <c r="AQ233" s="1"/>
      <c r="AR233" s="1"/>
      <c r="AS233" s="1"/>
      <c r="AT233" s="1"/>
      <c r="AU233" s="1"/>
    </row>
    <row r="234" ht="15.75" customHeight="1">
      <c r="A234" s="31"/>
      <c r="B234" s="31"/>
      <c r="C234" s="3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4"/>
      <c r="AN234" s="1"/>
      <c r="AO234" s="1"/>
      <c r="AP234" s="1"/>
      <c r="AQ234" s="1"/>
      <c r="AR234" s="1"/>
      <c r="AS234" s="1"/>
      <c r="AT234" s="1"/>
      <c r="AU234" s="1"/>
    </row>
    <row r="235" ht="15.75" customHeight="1">
      <c r="A235" s="31"/>
      <c r="B235" s="31"/>
      <c r="C235" s="3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4"/>
      <c r="AN235" s="1"/>
      <c r="AO235" s="1"/>
      <c r="AP235" s="1"/>
      <c r="AQ235" s="1"/>
      <c r="AR235" s="1"/>
      <c r="AS235" s="1"/>
      <c r="AT235" s="1"/>
      <c r="AU235" s="1"/>
    </row>
    <row r="236" ht="15.75" customHeight="1">
      <c r="A236" s="31"/>
      <c r="B236" s="31"/>
      <c r="C236" s="3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4"/>
      <c r="AN236" s="1"/>
      <c r="AO236" s="1"/>
      <c r="AP236" s="1"/>
      <c r="AQ236" s="1"/>
      <c r="AR236" s="1"/>
      <c r="AS236" s="1"/>
      <c r="AT236" s="1"/>
      <c r="AU236" s="1"/>
    </row>
    <row r="237" ht="15.75" customHeight="1">
      <c r="A237" s="31"/>
      <c r="B237" s="31"/>
      <c r="C237" s="3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4"/>
      <c r="AN237" s="1"/>
      <c r="AO237" s="1"/>
      <c r="AP237" s="1"/>
      <c r="AQ237" s="1"/>
      <c r="AR237" s="1"/>
      <c r="AS237" s="1"/>
      <c r="AT237" s="1"/>
      <c r="AU237" s="1"/>
    </row>
    <row r="238" ht="15.75" customHeight="1">
      <c r="A238" s="31"/>
      <c r="B238" s="31"/>
      <c r="C238" s="3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4"/>
      <c r="AN238" s="1"/>
      <c r="AO238" s="1"/>
      <c r="AP238" s="1"/>
      <c r="AQ238" s="1"/>
      <c r="AR238" s="1"/>
      <c r="AS238" s="1"/>
      <c r="AT238" s="1"/>
      <c r="AU238" s="1"/>
    </row>
    <row r="239" ht="15.75" customHeight="1">
      <c r="A239" s="31"/>
      <c r="B239" s="31"/>
      <c r="C239" s="3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4"/>
      <c r="AN239" s="1"/>
      <c r="AO239" s="1"/>
      <c r="AP239" s="1"/>
      <c r="AQ239" s="1"/>
      <c r="AR239" s="1"/>
      <c r="AS239" s="1"/>
      <c r="AT239" s="1"/>
      <c r="AU239" s="1"/>
    </row>
    <row r="240" ht="15.75" customHeight="1">
      <c r="A240" s="31"/>
      <c r="B240" s="31"/>
      <c r="C240" s="3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4"/>
      <c r="AN240" s="1"/>
      <c r="AO240" s="1"/>
      <c r="AP240" s="1"/>
      <c r="AQ240" s="1"/>
      <c r="AR240" s="1"/>
      <c r="AS240" s="1"/>
      <c r="AT240" s="1"/>
      <c r="AU240" s="1"/>
    </row>
    <row r="241" ht="15.75" customHeight="1">
      <c r="A241" s="31"/>
      <c r="B241" s="31"/>
      <c r="C241" s="3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4"/>
      <c r="AN241" s="1"/>
      <c r="AO241" s="1"/>
      <c r="AP241" s="1"/>
      <c r="AQ241" s="1"/>
      <c r="AR241" s="1"/>
      <c r="AS241" s="1"/>
      <c r="AT241" s="1"/>
      <c r="AU241" s="1"/>
    </row>
    <row r="242" ht="15.75" customHeight="1">
      <c r="A242" s="31"/>
      <c r="B242" s="31"/>
      <c r="C242" s="3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4"/>
      <c r="AN242" s="1"/>
      <c r="AO242" s="1"/>
      <c r="AP242" s="1"/>
      <c r="AQ242" s="1"/>
      <c r="AR242" s="1"/>
      <c r="AS242" s="1"/>
      <c r="AT242" s="1"/>
      <c r="AU242" s="1"/>
    </row>
    <row r="243" ht="15.75" customHeight="1">
      <c r="A243" s="31"/>
      <c r="B243" s="31"/>
      <c r="C243" s="3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4"/>
      <c r="AN243" s="1"/>
      <c r="AO243" s="1"/>
      <c r="AP243" s="1"/>
      <c r="AQ243" s="1"/>
      <c r="AR243" s="1"/>
      <c r="AS243" s="1"/>
      <c r="AT243" s="1"/>
      <c r="AU243" s="1"/>
    </row>
    <row r="244" ht="15.75" customHeight="1">
      <c r="A244" s="31"/>
      <c r="B244" s="31"/>
      <c r="C244" s="3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4"/>
      <c r="AN244" s="1"/>
      <c r="AO244" s="1"/>
      <c r="AP244" s="1"/>
      <c r="AQ244" s="1"/>
      <c r="AR244" s="1"/>
      <c r="AS244" s="1"/>
      <c r="AT244" s="1"/>
      <c r="AU244" s="1"/>
    </row>
    <row r="245" ht="15.75" customHeight="1">
      <c r="A245" s="31"/>
      <c r="B245" s="31"/>
      <c r="C245" s="3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4"/>
      <c r="AN245" s="1"/>
      <c r="AO245" s="1"/>
      <c r="AP245" s="1"/>
      <c r="AQ245" s="1"/>
      <c r="AR245" s="1"/>
      <c r="AS245" s="1"/>
      <c r="AT245" s="1"/>
      <c r="AU245" s="1"/>
    </row>
    <row r="246" ht="15.75" customHeight="1">
      <c r="A246" s="31"/>
      <c r="B246" s="31"/>
      <c r="C246" s="3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4"/>
      <c r="AN246" s="1"/>
      <c r="AO246" s="1"/>
      <c r="AP246" s="1"/>
      <c r="AQ246" s="1"/>
      <c r="AR246" s="1"/>
      <c r="AS246" s="1"/>
      <c r="AT246" s="1"/>
      <c r="AU246" s="1"/>
    </row>
    <row r="247" ht="15.75" customHeight="1">
      <c r="A247" s="31"/>
      <c r="B247" s="31"/>
      <c r="C247" s="3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4"/>
      <c r="AN247" s="1"/>
      <c r="AO247" s="1"/>
      <c r="AP247" s="1"/>
      <c r="AQ247" s="1"/>
      <c r="AR247" s="1"/>
      <c r="AS247" s="1"/>
      <c r="AT247" s="1"/>
      <c r="AU247" s="1"/>
    </row>
    <row r="248" ht="15.75" customHeight="1">
      <c r="A248" s="31"/>
      <c r="B248" s="31"/>
      <c r="C248" s="3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4"/>
      <c r="AN248" s="1"/>
      <c r="AO248" s="1"/>
      <c r="AP248" s="1"/>
      <c r="AQ248" s="1"/>
      <c r="AR248" s="1"/>
      <c r="AS248" s="1"/>
      <c r="AT248" s="1"/>
      <c r="AU248" s="1"/>
    </row>
    <row r="249" ht="15.75" customHeight="1">
      <c r="A249" s="31"/>
      <c r="B249" s="31"/>
      <c r="C249" s="3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4"/>
      <c r="AN249" s="1"/>
      <c r="AO249" s="1"/>
      <c r="AP249" s="1"/>
      <c r="AQ249" s="1"/>
      <c r="AR249" s="1"/>
      <c r="AS249" s="1"/>
      <c r="AT249" s="1"/>
      <c r="AU249" s="1"/>
    </row>
    <row r="250" ht="15.75" customHeight="1">
      <c r="A250" s="31"/>
      <c r="B250" s="31"/>
      <c r="C250" s="3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4"/>
      <c r="AN250" s="1"/>
      <c r="AO250" s="1"/>
      <c r="AP250" s="1"/>
      <c r="AQ250" s="1"/>
      <c r="AR250" s="1"/>
      <c r="AS250" s="1"/>
      <c r="AT250" s="1"/>
      <c r="AU250" s="1"/>
    </row>
    <row r="251" ht="15.75" customHeight="1">
      <c r="A251" s="31"/>
      <c r="B251" s="31"/>
      <c r="C251" s="3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4"/>
      <c r="AN251" s="1"/>
      <c r="AO251" s="1"/>
      <c r="AP251" s="1"/>
      <c r="AQ251" s="1"/>
      <c r="AR251" s="1"/>
      <c r="AS251" s="1"/>
      <c r="AT251" s="1"/>
      <c r="AU251" s="1"/>
    </row>
    <row r="252" ht="15.75" customHeight="1">
      <c r="A252" s="31"/>
      <c r="B252" s="31"/>
      <c r="C252" s="3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4"/>
      <c r="AN252" s="1"/>
      <c r="AO252" s="1"/>
      <c r="AP252" s="1"/>
      <c r="AQ252" s="1"/>
      <c r="AR252" s="1"/>
      <c r="AS252" s="1"/>
      <c r="AT252" s="1"/>
      <c r="AU252" s="1"/>
    </row>
    <row r="253" ht="15.75" customHeight="1">
      <c r="A253" s="31"/>
      <c r="B253" s="31"/>
      <c r="C253" s="3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4"/>
      <c r="AN253" s="1"/>
      <c r="AO253" s="1"/>
      <c r="AP253" s="1"/>
      <c r="AQ253" s="1"/>
      <c r="AR253" s="1"/>
      <c r="AS253" s="1"/>
      <c r="AT253" s="1"/>
      <c r="AU253" s="1"/>
    </row>
    <row r="254" ht="15.75" customHeight="1">
      <c r="A254" s="31"/>
      <c r="B254" s="31"/>
      <c r="C254" s="3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4"/>
      <c r="AN254" s="1"/>
      <c r="AO254" s="1"/>
      <c r="AP254" s="1"/>
      <c r="AQ254" s="1"/>
      <c r="AR254" s="1"/>
      <c r="AS254" s="1"/>
      <c r="AT254" s="1"/>
      <c r="AU254" s="1"/>
    </row>
    <row r="255" ht="15.75" customHeight="1">
      <c r="A255" s="31"/>
      <c r="B255" s="31"/>
      <c r="C255" s="3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4"/>
      <c r="AN255" s="1"/>
      <c r="AO255" s="1"/>
      <c r="AP255" s="1"/>
      <c r="AQ255" s="1"/>
      <c r="AR255" s="1"/>
      <c r="AS255" s="1"/>
      <c r="AT255" s="1"/>
      <c r="AU255" s="1"/>
    </row>
    <row r="256" ht="15.75" customHeight="1">
      <c r="A256" s="31"/>
      <c r="B256" s="31"/>
      <c r="C256" s="3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4"/>
      <c r="AN256" s="1"/>
      <c r="AO256" s="1"/>
      <c r="AP256" s="1"/>
      <c r="AQ256" s="1"/>
      <c r="AR256" s="1"/>
      <c r="AS256" s="1"/>
      <c r="AT256" s="1"/>
      <c r="AU256" s="1"/>
    </row>
    <row r="257" ht="15.75" customHeight="1">
      <c r="A257" s="31"/>
      <c r="B257" s="31"/>
      <c r="C257" s="3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4"/>
      <c r="AN257" s="1"/>
      <c r="AO257" s="1"/>
      <c r="AP257" s="1"/>
      <c r="AQ257" s="1"/>
      <c r="AR257" s="1"/>
      <c r="AS257" s="1"/>
      <c r="AT257" s="1"/>
      <c r="AU257" s="1"/>
    </row>
    <row r="258" ht="15.75" customHeight="1">
      <c r="A258" s="31"/>
      <c r="B258" s="31"/>
      <c r="C258" s="3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4"/>
      <c r="AN258" s="1"/>
      <c r="AO258" s="1"/>
      <c r="AP258" s="1"/>
      <c r="AQ258" s="1"/>
      <c r="AR258" s="1"/>
      <c r="AS258" s="1"/>
      <c r="AT258" s="1"/>
      <c r="AU258" s="1"/>
    </row>
    <row r="259" ht="15.75" customHeight="1">
      <c r="A259" s="31"/>
      <c r="B259" s="31"/>
      <c r="C259" s="3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4"/>
      <c r="AN259" s="1"/>
      <c r="AO259" s="1"/>
      <c r="AP259" s="1"/>
      <c r="AQ259" s="1"/>
      <c r="AR259" s="1"/>
      <c r="AS259" s="1"/>
      <c r="AT259" s="1"/>
      <c r="AU259" s="1"/>
    </row>
    <row r="260" ht="15.75" customHeight="1">
      <c r="A260" s="31"/>
      <c r="B260" s="31"/>
      <c r="C260" s="3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4"/>
      <c r="AN260" s="1"/>
      <c r="AO260" s="1"/>
      <c r="AP260" s="1"/>
      <c r="AQ260" s="1"/>
      <c r="AR260" s="1"/>
      <c r="AS260" s="1"/>
      <c r="AT260" s="1"/>
      <c r="AU260" s="1"/>
    </row>
    <row r="261" ht="15.75" customHeight="1">
      <c r="A261" s="31"/>
      <c r="B261" s="31"/>
      <c r="C261" s="3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4"/>
      <c r="AN261" s="1"/>
      <c r="AO261" s="1"/>
      <c r="AP261" s="1"/>
      <c r="AQ261" s="1"/>
      <c r="AR261" s="1"/>
      <c r="AS261" s="1"/>
      <c r="AT261" s="1"/>
      <c r="AU261" s="1"/>
    </row>
    <row r="262" ht="15.75" customHeight="1">
      <c r="A262" s="31"/>
      <c r="B262" s="31"/>
      <c r="C262" s="3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4"/>
      <c r="AN262" s="1"/>
      <c r="AO262" s="1"/>
      <c r="AP262" s="1"/>
      <c r="AQ262" s="1"/>
      <c r="AR262" s="1"/>
      <c r="AS262" s="1"/>
      <c r="AT262" s="1"/>
      <c r="AU262" s="1"/>
    </row>
    <row r="263" ht="15.75" customHeight="1">
      <c r="A263" s="31"/>
      <c r="B263" s="31"/>
      <c r="C263" s="3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4"/>
      <c r="AN263" s="1"/>
      <c r="AO263" s="1"/>
      <c r="AP263" s="1"/>
      <c r="AQ263" s="1"/>
      <c r="AR263" s="1"/>
      <c r="AS263" s="1"/>
      <c r="AT263" s="1"/>
      <c r="AU263" s="1"/>
    </row>
    <row r="264" ht="15.75" customHeight="1">
      <c r="A264" s="31"/>
      <c r="B264" s="31"/>
      <c r="C264" s="3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4"/>
      <c r="AN264" s="1"/>
      <c r="AO264" s="1"/>
      <c r="AP264" s="1"/>
      <c r="AQ264" s="1"/>
      <c r="AR264" s="1"/>
      <c r="AS264" s="1"/>
      <c r="AT264" s="1"/>
      <c r="AU264" s="1"/>
    </row>
    <row r="265" ht="15.75" customHeight="1">
      <c r="A265" s="31"/>
      <c r="B265" s="31"/>
      <c r="C265" s="3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4"/>
      <c r="AN265" s="1"/>
      <c r="AO265" s="1"/>
      <c r="AP265" s="1"/>
      <c r="AQ265" s="1"/>
      <c r="AR265" s="1"/>
      <c r="AS265" s="1"/>
      <c r="AT265" s="1"/>
      <c r="AU265" s="1"/>
    </row>
    <row r="266" ht="15.75" customHeight="1">
      <c r="A266" s="31"/>
      <c r="B266" s="31"/>
      <c r="C266" s="3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4"/>
      <c r="AN266" s="1"/>
      <c r="AO266" s="1"/>
      <c r="AP266" s="1"/>
      <c r="AQ266" s="1"/>
      <c r="AR266" s="1"/>
      <c r="AS266" s="1"/>
      <c r="AT266" s="1"/>
      <c r="AU266" s="1"/>
    </row>
    <row r="267" ht="15.75" customHeight="1">
      <c r="A267" s="31"/>
      <c r="B267" s="31"/>
      <c r="C267" s="3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4"/>
      <c r="AN267" s="1"/>
      <c r="AO267" s="1"/>
      <c r="AP267" s="1"/>
      <c r="AQ267" s="1"/>
      <c r="AR267" s="1"/>
      <c r="AS267" s="1"/>
      <c r="AT267" s="1"/>
      <c r="AU267" s="1"/>
    </row>
    <row r="268" ht="15.75" customHeight="1">
      <c r="A268" s="31"/>
      <c r="B268" s="31"/>
      <c r="C268" s="3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4"/>
      <c r="AN268" s="1"/>
      <c r="AO268" s="1"/>
      <c r="AP268" s="1"/>
      <c r="AQ268" s="1"/>
      <c r="AR268" s="1"/>
      <c r="AS268" s="1"/>
      <c r="AT268" s="1"/>
      <c r="AU268" s="1"/>
    </row>
    <row r="269" ht="15.75" customHeight="1">
      <c r="A269" s="31"/>
      <c r="B269" s="31"/>
      <c r="C269" s="3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4"/>
      <c r="AN269" s="1"/>
      <c r="AO269" s="1"/>
      <c r="AP269" s="1"/>
      <c r="AQ269" s="1"/>
      <c r="AR269" s="1"/>
      <c r="AS269" s="1"/>
      <c r="AT269" s="1"/>
      <c r="AU269" s="1"/>
    </row>
    <row r="270" ht="15.75" customHeight="1">
      <c r="A270" s="31"/>
      <c r="B270" s="31"/>
      <c r="C270" s="3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4"/>
      <c r="AN270" s="1"/>
      <c r="AO270" s="1"/>
      <c r="AP270" s="1"/>
      <c r="AQ270" s="1"/>
      <c r="AR270" s="1"/>
      <c r="AS270" s="1"/>
      <c r="AT270" s="1"/>
      <c r="AU270" s="1"/>
    </row>
    <row r="271" ht="15.75" customHeight="1">
      <c r="A271" s="31"/>
      <c r="B271" s="31"/>
      <c r="C271" s="3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4"/>
      <c r="AN271" s="1"/>
      <c r="AO271" s="1"/>
      <c r="AP271" s="1"/>
      <c r="AQ271" s="1"/>
      <c r="AR271" s="1"/>
      <c r="AS271" s="1"/>
      <c r="AT271" s="1"/>
      <c r="AU271" s="1"/>
    </row>
    <row r="272" ht="15.75" customHeight="1">
      <c r="A272" s="31"/>
      <c r="B272" s="31"/>
      <c r="C272" s="3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4"/>
      <c r="AN272" s="1"/>
      <c r="AO272" s="1"/>
      <c r="AP272" s="1"/>
      <c r="AQ272" s="1"/>
      <c r="AR272" s="1"/>
      <c r="AS272" s="1"/>
      <c r="AT272" s="1"/>
      <c r="AU272" s="1"/>
    </row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6">
    <mergeCell ref="A7:A9"/>
    <mergeCell ref="B7:B9"/>
    <mergeCell ref="C7:C9"/>
    <mergeCell ref="AM7:AM9"/>
    <mergeCell ref="A2:A3"/>
    <mergeCell ref="B2:B3"/>
    <mergeCell ref="C2:C3"/>
    <mergeCell ref="D2:D3"/>
    <mergeCell ref="A4:A6"/>
    <mergeCell ref="B4:B6"/>
    <mergeCell ref="C4:C6"/>
    <mergeCell ref="B16:B18"/>
    <mergeCell ref="C16:C18"/>
    <mergeCell ref="AM16:AM18"/>
    <mergeCell ref="A19:A21"/>
    <mergeCell ref="B19:B21"/>
    <mergeCell ref="C19:C21"/>
    <mergeCell ref="AM19:AM21"/>
    <mergeCell ref="A10:A12"/>
    <mergeCell ref="B10:B12"/>
    <mergeCell ref="C10:C12"/>
    <mergeCell ref="A13:A15"/>
    <mergeCell ref="B13:B15"/>
    <mergeCell ref="C13:C15"/>
    <mergeCell ref="A16:A18"/>
    <mergeCell ref="B28:B30"/>
    <mergeCell ref="C28:C30"/>
    <mergeCell ref="A22:A24"/>
    <mergeCell ref="B22:B24"/>
    <mergeCell ref="C22:C24"/>
    <mergeCell ref="A25:A27"/>
    <mergeCell ref="B25:B27"/>
    <mergeCell ref="C25:C27"/>
    <mergeCell ref="A28:A30"/>
    <mergeCell ref="B64:B66"/>
    <mergeCell ref="C64:C66"/>
    <mergeCell ref="A58:A60"/>
    <mergeCell ref="B58:B60"/>
    <mergeCell ref="C58:C60"/>
    <mergeCell ref="A61:A63"/>
    <mergeCell ref="B61:B63"/>
    <mergeCell ref="C61:C63"/>
    <mergeCell ref="A64:A66"/>
    <mergeCell ref="B37:B39"/>
    <mergeCell ref="C37:C39"/>
    <mergeCell ref="A31:A33"/>
    <mergeCell ref="B31:B33"/>
    <mergeCell ref="C31:C33"/>
    <mergeCell ref="A34:A36"/>
    <mergeCell ref="B34:B36"/>
    <mergeCell ref="C34:C36"/>
    <mergeCell ref="A37:A39"/>
    <mergeCell ref="B46:B48"/>
    <mergeCell ref="C46:C48"/>
    <mergeCell ref="A40:A42"/>
    <mergeCell ref="B40:B42"/>
    <mergeCell ref="C40:C42"/>
    <mergeCell ref="A43:A45"/>
    <mergeCell ref="B43:B45"/>
    <mergeCell ref="C43:C45"/>
    <mergeCell ref="A46:A48"/>
    <mergeCell ref="B55:B57"/>
    <mergeCell ref="C55:C57"/>
    <mergeCell ref="A49:A51"/>
    <mergeCell ref="B49:B51"/>
    <mergeCell ref="C49:C51"/>
    <mergeCell ref="A52:A54"/>
    <mergeCell ref="B52:B54"/>
    <mergeCell ref="C52:C54"/>
    <mergeCell ref="A55:A57"/>
    <mergeCell ref="A67:A69"/>
    <mergeCell ref="B67:B69"/>
    <mergeCell ref="C67:C69"/>
    <mergeCell ref="A70:A72"/>
    <mergeCell ref="B70:B72"/>
    <mergeCell ref="C70:C72"/>
  </mergeCells>
  <printOptions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4" width="12.63"/>
    <col customWidth="1" min="5" max="35" width="2.63"/>
    <col customWidth="1" min="36" max="36" width="5.25"/>
    <col customWidth="1" min="37" max="37" width="5.63"/>
    <col customWidth="1" min="38" max="38" width="7.63"/>
    <col customWidth="1" min="39" max="39" width="25.75"/>
    <col customWidth="1" min="40" max="47" width="2.63"/>
  </cols>
  <sheetData>
    <row r="1" ht="15.75" customHeight="1">
      <c r="A1" s="1">
        <v>2025.0</v>
      </c>
      <c r="B1" s="1">
        <v>12.0</v>
      </c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4"/>
      <c r="AN1" s="1"/>
      <c r="AO1" s="1"/>
      <c r="AP1" s="1"/>
      <c r="AQ1" s="1"/>
      <c r="AR1" s="1"/>
      <c r="AS1" s="1"/>
      <c r="AT1" s="1"/>
      <c r="AU1" s="1"/>
    </row>
    <row r="2" ht="15.75" customHeight="1">
      <c r="A2" s="5" t="s">
        <v>0</v>
      </c>
      <c r="B2" s="5" t="s">
        <v>1</v>
      </c>
      <c r="C2" s="5" t="s">
        <v>2</v>
      </c>
      <c r="D2" s="6"/>
      <c r="E2" s="7">
        <f>DATE($A$1,$B$1,1)</f>
        <v>45992</v>
      </c>
      <c r="F2" s="7">
        <f>DATE($A$1,$B$1,2)</f>
        <v>45993</v>
      </c>
      <c r="G2" s="7">
        <f>DATE($A$1,$B$1,3)</f>
        <v>45994</v>
      </c>
      <c r="H2" s="7">
        <f>DATE($A$1,$B$1,4)</f>
        <v>45995</v>
      </c>
      <c r="I2" s="7">
        <f>DATE($A$1,$B$1,5)</f>
        <v>45996</v>
      </c>
      <c r="J2" s="7">
        <f>DATE($A$1,$B$1,6)</f>
        <v>45997</v>
      </c>
      <c r="K2" s="7">
        <f>DATE($A$1,$B$1,7)</f>
        <v>45998</v>
      </c>
      <c r="L2" s="7">
        <f>DATE($A$1,$B$1,8)</f>
        <v>45999</v>
      </c>
      <c r="M2" s="7">
        <f>DATE($A$1,$B$1,9)</f>
        <v>46000</v>
      </c>
      <c r="N2" s="7">
        <f>DATE($A$1,$B$1,10)</f>
        <v>46001</v>
      </c>
      <c r="O2" s="7">
        <f>DATE($A$1,$B$1,11)</f>
        <v>46002</v>
      </c>
      <c r="P2" s="7">
        <f>DATE($A$1,$B$1,12)</f>
        <v>46003</v>
      </c>
      <c r="Q2" s="7">
        <f>DATE($A$1,$B$1,13)</f>
        <v>46004</v>
      </c>
      <c r="R2" s="7">
        <f>DATE($A$1,$B$1,14)</f>
        <v>46005</v>
      </c>
      <c r="S2" s="7">
        <f>DATE($A$1,$B$1,15)</f>
        <v>46006</v>
      </c>
      <c r="T2" s="7">
        <f>DATE($A$1,$B$1,16)</f>
        <v>46007</v>
      </c>
      <c r="U2" s="7">
        <f>DATE($A$1,$B$1,17)</f>
        <v>46008</v>
      </c>
      <c r="V2" s="7">
        <f>DATE($A$1,$B$1,18)</f>
        <v>46009</v>
      </c>
      <c r="W2" s="7">
        <f>DATE($A$1,$B$1,19)</f>
        <v>46010</v>
      </c>
      <c r="X2" s="7">
        <f>DATE($A$1,$B$1,20)</f>
        <v>46011</v>
      </c>
      <c r="Y2" s="7">
        <f>DATE($A$1,$B$1,21)</f>
        <v>46012</v>
      </c>
      <c r="Z2" s="7">
        <f>DATE($A$1,$B$1,22)</f>
        <v>46013</v>
      </c>
      <c r="AA2" s="7">
        <f>DATE($A$1,$B$1,23)</f>
        <v>46014</v>
      </c>
      <c r="AB2" s="7">
        <f>DATE($A$1,$B$1,24)</f>
        <v>46015</v>
      </c>
      <c r="AC2" s="7">
        <f>DATE($A$1,$B$1,25)</f>
        <v>46016</v>
      </c>
      <c r="AD2" s="7">
        <f>DATE($A$1,$B$1,26)</f>
        <v>46017</v>
      </c>
      <c r="AE2" s="7">
        <f>DATE($A$1,$B$1,27)</f>
        <v>46018</v>
      </c>
      <c r="AF2" s="7">
        <f>DATE($A$1,$B$1,28)</f>
        <v>46019</v>
      </c>
      <c r="AG2" s="7">
        <f>DATE($A$1,$B$1,29)</f>
        <v>46020</v>
      </c>
      <c r="AH2" s="7">
        <f>DATE($A$1,$B$1,30)</f>
        <v>46021</v>
      </c>
      <c r="AI2" s="7">
        <f>DATE($A$1,$B$1,31)</f>
        <v>46022</v>
      </c>
      <c r="AJ2" s="8" t="s">
        <v>3</v>
      </c>
      <c r="AK2" s="9"/>
      <c r="AL2" s="8" t="s">
        <v>4</v>
      </c>
      <c r="AM2" s="4"/>
      <c r="AN2" s="1"/>
      <c r="AO2" s="1"/>
      <c r="AP2" s="1"/>
      <c r="AQ2" s="1"/>
      <c r="AR2" s="1"/>
      <c r="AS2" s="1"/>
      <c r="AT2" s="1"/>
      <c r="AU2" s="1"/>
    </row>
    <row r="3" ht="15.75" customHeight="1">
      <c r="A3" s="10"/>
      <c r="B3" s="10"/>
      <c r="C3" s="10"/>
      <c r="D3" s="10"/>
      <c r="E3" s="11" t="str">
        <f t="shared" ref="E3:AI3" si="1">TEXT(E2,"ddd")</f>
        <v>月</v>
      </c>
      <c r="F3" s="11" t="str">
        <f t="shared" si="1"/>
        <v>火</v>
      </c>
      <c r="G3" s="11" t="str">
        <f t="shared" si="1"/>
        <v>水</v>
      </c>
      <c r="H3" s="11" t="str">
        <f t="shared" si="1"/>
        <v>木</v>
      </c>
      <c r="I3" s="11" t="str">
        <f t="shared" si="1"/>
        <v>金</v>
      </c>
      <c r="J3" s="11" t="str">
        <f t="shared" si="1"/>
        <v>土</v>
      </c>
      <c r="K3" s="11" t="str">
        <f t="shared" si="1"/>
        <v>日</v>
      </c>
      <c r="L3" s="11" t="str">
        <f t="shared" si="1"/>
        <v>月</v>
      </c>
      <c r="M3" s="11" t="str">
        <f t="shared" si="1"/>
        <v>火</v>
      </c>
      <c r="N3" s="11" t="str">
        <f t="shared" si="1"/>
        <v>水</v>
      </c>
      <c r="O3" s="11" t="str">
        <f t="shared" si="1"/>
        <v>木</v>
      </c>
      <c r="P3" s="11" t="str">
        <f t="shared" si="1"/>
        <v>金</v>
      </c>
      <c r="Q3" s="11" t="str">
        <f t="shared" si="1"/>
        <v>土</v>
      </c>
      <c r="R3" s="11" t="str">
        <f t="shared" si="1"/>
        <v>日</v>
      </c>
      <c r="S3" s="11" t="str">
        <f t="shared" si="1"/>
        <v>月</v>
      </c>
      <c r="T3" s="11" t="str">
        <f t="shared" si="1"/>
        <v>火</v>
      </c>
      <c r="U3" s="11" t="str">
        <f t="shared" si="1"/>
        <v>水</v>
      </c>
      <c r="V3" s="11" t="str">
        <f t="shared" si="1"/>
        <v>木</v>
      </c>
      <c r="W3" s="11" t="str">
        <f t="shared" si="1"/>
        <v>金</v>
      </c>
      <c r="X3" s="11" t="str">
        <f t="shared" si="1"/>
        <v>土</v>
      </c>
      <c r="Y3" s="11" t="str">
        <f t="shared" si="1"/>
        <v>日</v>
      </c>
      <c r="Z3" s="11" t="str">
        <f t="shared" si="1"/>
        <v>月</v>
      </c>
      <c r="AA3" s="11" t="str">
        <f t="shared" si="1"/>
        <v>火</v>
      </c>
      <c r="AB3" s="11" t="str">
        <f t="shared" si="1"/>
        <v>水</v>
      </c>
      <c r="AC3" s="11" t="str">
        <f t="shared" si="1"/>
        <v>木</v>
      </c>
      <c r="AD3" s="11" t="str">
        <f t="shared" si="1"/>
        <v>金</v>
      </c>
      <c r="AE3" s="11" t="str">
        <f t="shared" si="1"/>
        <v>土</v>
      </c>
      <c r="AF3" s="11" t="str">
        <f t="shared" si="1"/>
        <v>日</v>
      </c>
      <c r="AG3" s="11" t="str">
        <f t="shared" si="1"/>
        <v>月</v>
      </c>
      <c r="AH3" s="11" t="str">
        <f t="shared" si="1"/>
        <v>火</v>
      </c>
      <c r="AI3" s="11" t="str">
        <f t="shared" si="1"/>
        <v>水</v>
      </c>
      <c r="AJ3" s="9"/>
      <c r="AK3" s="9"/>
      <c r="AL3" s="6"/>
      <c r="AM3" s="4"/>
      <c r="AN3" s="1"/>
      <c r="AO3" s="1"/>
      <c r="AP3" s="1"/>
      <c r="AQ3" s="1"/>
      <c r="AR3" s="1"/>
      <c r="AS3" s="1"/>
      <c r="AT3" s="1"/>
      <c r="AU3" s="1"/>
    </row>
    <row r="4" ht="15.75" customHeight="1">
      <c r="A4" s="12"/>
      <c r="B4" s="12"/>
      <c r="C4" s="12"/>
      <c r="D4" s="13" t="s">
        <v>5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>
        <f t="shared" ref="AJ4:AJ10" si="2">SUM(E4:AI4)</f>
        <v>0</v>
      </c>
      <c r="AK4" s="14">
        <f>330*AJ4</f>
        <v>0</v>
      </c>
      <c r="AL4" s="15"/>
      <c r="AM4" s="4"/>
      <c r="AN4" s="1"/>
      <c r="AO4" s="1"/>
      <c r="AP4" s="1"/>
      <c r="AQ4" s="1"/>
      <c r="AR4" s="1"/>
      <c r="AS4" s="1"/>
      <c r="AT4" s="1"/>
      <c r="AU4" s="1"/>
    </row>
    <row r="5" ht="15.75" customHeight="1">
      <c r="A5" s="16"/>
      <c r="B5" s="16"/>
      <c r="C5" s="16"/>
      <c r="D5" s="13" t="s">
        <v>6</v>
      </c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8"/>
      <c r="AJ5" s="13">
        <f t="shared" si="2"/>
        <v>0</v>
      </c>
      <c r="AK5" s="14">
        <f t="shared" ref="AK5:AK6" si="3">550*AJ5</f>
        <v>0</v>
      </c>
      <c r="AL5" s="19"/>
      <c r="AM5" s="4"/>
      <c r="AN5" s="1"/>
      <c r="AO5" s="1"/>
      <c r="AP5" s="1"/>
      <c r="AQ5" s="1"/>
      <c r="AR5" s="1"/>
      <c r="AS5" s="1"/>
      <c r="AT5" s="1"/>
      <c r="AU5" s="1"/>
    </row>
    <row r="6" ht="15.75" customHeight="1">
      <c r="A6" s="10"/>
      <c r="B6" s="10"/>
      <c r="C6" s="10"/>
      <c r="D6" s="13" t="s">
        <v>7</v>
      </c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3"/>
      <c r="AJ6" s="13">
        <f t="shared" si="2"/>
        <v>0</v>
      </c>
      <c r="AK6" s="14">
        <f t="shared" si="3"/>
        <v>0</v>
      </c>
      <c r="AL6" s="20">
        <f>SUM(AK4:AK6)</f>
        <v>0</v>
      </c>
      <c r="AM6" s="4"/>
      <c r="AN6" s="1"/>
      <c r="AO6" s="1"/>
      <c r="AP6" s="1"/>
      <c r="AQ6" s="1"/>
      <c r="AR6" s="1"/>
      <c r="AS6" s="1"/>
      <c r="AT6" s="1"/>
      <c r="AU6" s="1"/>
    </row>
    <row r="7" ht="15.75" customHeight="1">
      <c r="A7" s="21" t="s">
        <v>8</v>
      </c>
      <c r="B7" s="21" t="s">
        <v>9</v>
      </c>
      <c r="C7" s="21" t="s">
        <v>10</v>
      </c>
      <c r="D7" s="22" t="s">
        <v>5</v>
      </c>
      <c r="E7" s="22">
        <v>0.0</v>
      </c>
      <c r="F7" s="22">
        <v>0.0</v>
      </c>
      <c r="G7" s="22">
        <v>0.0</v>
      </c>
      <c r="H7" s="22">
        <v>0.0</v>
      </c>
      <c r="I7" s="22">
        <v>0.0</v>
      </c>
      <c r="J7" s="22">
        <v>0.0</v>
      </c>
      <c r="K7" s="22">
        <v>0.0</v>
      </c>
      <c r="L7" s="22">
        <v>0.0</v>
      </c>
      <c r="M7" s="22">
        <v>0.0</v>
      </c>
      <c r="N7" s="22">
        <v>0.0</v>
      </c>
      <c r="O7" s="22">
        <v>0.0</v>
      </c>
      <c r="P7" s="22">
        <v>0.0</v>
      </c>
      <c r="Q7" s="22">
        <v>0.0</v>
      </c>
      <c r="R7" s="22">
        <v>0.0</v>
      </c>
      <c r="S7" s="22">
        <v>0.0</v>
      </c>
      <c r="T7" s="22">
        <v>0.0</v>
      </c>
      <c r="U7" s="22">
        <v>0.0</v>
      </c>
      <c r="V7" s="22">
        <v>0.0</v>
      </c>
      <c r="W7" s="22">
        <v>0.0</v>
      </c>
      <c r="X7" s="22">
        <v>0.0</v>
      </c>
      <c r="Y7" s="22">
        <v>0.0</v>
      </c>
      <c r="Z7" s="22">
        <v>0.0</v>
      </c>
      <c r="AA7" s="22">
        <v>0.0</v>
      </c>
      <c r="AB7" s="22">
        <v>0.0</v>
      </c>
      <c r="AC7" s="22">
        <v>0.0</v>
      </c>
      <c r="AD7" s="22">
        <v>0.0</v>
      </c>
      <c r="AE7" s="22">
        <v>0.0</v>
      </c>
      <c r="AF7" s="22">
        <v>0.0</v>
      </c>
      <c r="AG7" s="22">
        <v>0.0</v>
      </c>
      <c r="AH7" s="22">
        <v>0.0</v>
      </c>
      <c r="AI7" s="22">
        <v>0.0</v>
      </c>
      <c r="AJ7" s="22">
        <f t="shared" si="2"/>
        <v>0</v>
      </c>
      <c r="AK7" s="23">
        <f>330*AJ7</f>
        <v>0</v>
      </c>
      <c r="AL7" s="24"/>
      <c r="AM7" s="25"/>
      <c r="AN7" s="1"/>
      <c r="AO7" s="1"/>
      <c r="AP7" s="1"/>
      <c r="AQ7" s="1"/>
      <c r="AR7" s="1"/>
      <c r="AS7" s="1"/>
      <c r="AT7" s="1"/>
      <c r="AU7" s="1"/>
    </row>
    <row r="8" ht="15.75" customHeight="1">
      <c r="A8" s="16"/>
      <c r="B8" s="16"/>
      <c r="C8" s="16"/>
      <c r="D8" s="22" t="s">
        <v>6</v>
      </c>
      <c r="E8" s="22">
        <v>0.0</v>
      </c>
      <c r="F8" s="22">
        <v>0.0</v>
      </c>
      <c r="G8" s="22">
        <v>0.0</v>
      </c>
      <c r="H8" s="22">
        <v>0.0</v>
      </c>
      <c r="I8" s="22">
        <v>0.0</v>
      </c>
      <c r="J8" s="22">
        <v>0.0</v>
      </c>
      <c r="K8" s="22">
        <v>0.0</v>
      </c>
      <c r="L8" s="22">
        <v>0.0</v>
      </c>
      <c r="M8" s="22">
        <v>0.0</v>
      </c>
      <c r="N8" s="22">
        <v>0.0</v>
      </c>
      <c r="O8" s="22">
        <v>0.0</v>
      </c>
      <c r="P8" s="22">
        <v>0.0</v>
      </c>
      <c r="Q8" s="22">
        <v>0.0</v>
      </c>
      <c r="R8" s="22">
        <v>0.0</v>
      </c>
      <c r="S8" s="22">
        <v>0.0</v>
      </c>
      <c r="T8" s="22">
        <v>0.0</v>
      </c>
      <c r="U8" s="22">
        <v>0.0</v>
      </c>
      <c r="V8" s="22">
        <v>0.0</v>
      </c>
      <c r="W8" s="22">
        <v>0.0</v>
      </c>
      <c r="X8" s="22">
        <v>0.0</v>
      </c>
      <c r="Y8" s="22">
        <v>0.0</v>
      </c>
      <c r="Z8" s="22">
        <v>0.0</v>
      </c>
      <c r="AA8" s="22">
        <v>0.0</v>
      </c>
      <c r="AB8" s="22">
        <v>0.0</v>
      </c>
      <c r="AC8" s="22">
        <v>0.0</v>
      </c>
      <c r="AD8" s="22">
        <v>0.0</v>
      </c>
      <c r="AE8" s="22">
        <v>0.0</v>
      </c>
      <c r="AF8" s="22">
        <v>0.0</v>
      </c>
      <c r="AG8" s="22">
        <v>0.0</v>
      </c>
      <c r="AH8" s="22">
        <v>0.0</v>
      </c>
      <c r="AI8" s="22">
        <v>0.0</v>
      </c>
      <c r="AJ8" s="22">
        <f t="shared" si="2"/>
        <v>0</v>
      </c>
      <c r="AK8" s="23">
        <f t="shared" ref="AK8:AK9" si="4">550*AJ8</f>
        <v>0</v>
      </c>
      <c r="AL8" s="24"/>
      <c r="AN8" s="1"/>
      <c r="AO8" s="1"/>
      <c r="AP8" s="1"/>
      <c r="AQ8" s="1"/>
      <c r="AR8" s="1"/>
      <c r="AS8" s="1"/>
      <c r="AT8" s="1"/>
      <c r="AU8" s="1"/>
    </row>
    <row r="9" ht="15.75" customHeight="1">
      <c r="A9" s="10"/>
      <c r="B9" s="10"/>
      <c r="C9" s="10"/>
      <c r="D9" s="22" t="s">
        <v>7</v>
      </c>
      <c r="E9" s="22">
        <v>0.0</v>
      </c>
      <c r="F9" s="22">
        <v>0.0</v>
      </c>
      <c r="G9" s="22">
        <v>0.0</v>
      </c>
      <c r="H9" s="22">
        <v>0.0</v>
      </c>
      <c r="I9" s="22">
        <v>0.0</v>
      </c>
      <c r="J9" s="22">
        <v>0.0</v>
      </c>
      <c r="K9" s="22">
        <v>0.0</v>
      </c>
      <c r="L9" s="22">
        <v>0.0</v>
      </c>
      <c r="M9" s="22">
        <v>0.0</v>
      </c>
      <c r="N9" s="22">
        <v>0.0</v>
      </c>
      <c r="O9" s="22">
        <v>0.0</v>
      </c>
      <c r="P9" s="22">
        <v>0.0</v>
      </c>
      <c r="Q9" s="22">
        <v>0.0</v>
      </c>
      <c r="R9" s="22">
        <v>0.0</v>
      </c>
      <c r="S9" s="22">
        <v>0.0</v>
      </c>
      <c r="T9" s="22">
        <v>0.0</v>
      </c>
      <c r="U9" s="22">
        <v>0.0</v>
      </c>
      <c r="V9" s="22">
        <v>0.0</v>
      </c>
      <c r="W9" s="22">
        <v>0.0</v>
      </c>
      <c r="X9" s="22">
        <v>0.0</v>
      </c>
      <c r="Y9" s="22">
        <v>0.0</v>
      </c>
      <c r="Z9" s="22">
        <v>0.0</v>
      </c>
      <c r="AA9" s="22">
        <v>0.0</v>
      </c>
      <c r="AB9" s="22">
        <v>0.0</v>
      </c>
      <c r="AC9" s="22">
        <v>0.0</v>
      </c>
      <c r="AD9" s="22">
        <v>0.0</v>
      </c>
      <c r="AE9" s="22">
        <v>0.0</v>
      </c>
      <c r="AF9" s="22">
        <v>0.0</v>
      </c>
      <c r="AG9" s="22">
        <v>0.0</v>
      </c>
      <c r="AH9" s="22">
        <v>0.0</v>
      </c>
      <c r="AI9" s="22">
        <v>0.0</v>
      </c>
      <c r="AJ9" s="22">
        <f t="shared" si="2"/>
        <v>0</v>
      </c>
      <c r="AK9" s="23">
        <f t="shared" si="4"/>
        <v>0</v>
      </c>
      <c r="AL9" s="26">
        <f>SUM(AK7:AK9)</f>
        <v>0</v>
      </c>
      <c r="AN9" s="1"/>
      <c r="AO9" s="1"/>
      <c r="AP9" s="1"/>
      <c r="AQ9" s="1"/>
      <c r="AR9" s="1"/>
      <c r="AS9" s="1"/>
      <c r="AT9" s="1"/>
      <c r="AU9" s="1"/>
    </row>
    <row r="10" ht="15.75" customHeight="1">
      <c r="A10" s="12" t="s">
        <v>11</v>
      </c>
      <c r="B10" s="12" t="s">
        <v>12</v>
      </c>
      <c r="C10" s="12" t="s">
        <v>13</v>
      </c>
      <c r="D10" s="13" t="s">
        <v>5</v>
      </c>
      <c r="E10" s="18">
        <v>0.0</v>
      </c>
      <c r="F10" s="18">
        <v>0.0</v>
      </c>
      <c r="G10" s="18">
        <v>0.0</v>
      </c>
      <c r="H10" s="18">
        <v>0.0</v>
      </c>
      <c r="I10" s="18">
        <v>0.0</v>
      </c>
      <c r="J10" s="18">
        <v>0.0</v>
      </c>
      <c r="K10" s="18">
        <v>0.0</v>
      </c>
      <c r="L10" s="18">
        <v>0.0</v>
      </c>
      <c r="M10" s="18">
        <v>0.0</v>
      </c>
      <c r="N10" s="18">
        <v>0.0</v>
      </c>
      <c r="O10" s="18">
        <v>0.0</v>
      </c>
      <c r="P10" s="18">
        <v>0.0</v>
      </c>
      <c r="Q10" s="18">
        <v>0.0</v>
      </c>
      <c r="R10" s="18">
        <v>0.0</v>
      </c>
      <c r="S10" s="18">
        <v>0.0</v>
      </c>
      <c r="T10" s="18">
        <v>0.0</v>
      </c>
      <c r="U10" s="18">
        <v>0.0</v>
      </c>
      <c r="V10" s="18">
        <v>0.0</v>
      </c>
      <c r="W10" s="18">
        <v>0.0</v>
      </c>
      <c r="X10" s="18">
        <v>0.0</v>
      </c>
      <c r="Y10" s="18">
        <v>0.0</v>
      </c>
      <c r="Z10" s="18">
        <v>0.0</v>
      </c>
      <c r="AA10" s="18">
        <v>0.0</v>
      </c>
      <c r="AB10" s="18">
        <v>0.0</v>
      </c>
      <c r="AC10" s="18">
        <v>0.0</v>
      </c>
      <c r="AD10" s="18">
        <v>0.0</v>
      </c>
      <c r="AE10" s="18">
        <v>0.0</v>
      </c>
      <c r="AF10" s="18">
        <v>0.0</v>
      </c>
      <c r="AG10" s="18">
        <v>0.0</v>
      </c>
      <c r="AH10" s="18">
        <v>0.0</v>
      </c>
      <c r="AI10" s="18">
        <v>0.0</v>
      </c>
      <c r="AJ10" s="13">
        <f t="shared" si="2"/>
        <v>0</v>
      </c>
      <c r="AK10" s="14">
        <f>330*AJ10</f>
        <v>0</v>
      </c>
      <c r="AL10" s="19"/>
      <c r="AM10" s="4"/>
      <c r="AN10" s="1"/>
      <c r="AO10" s="1"/>
      <c r="AP10" s="1"/>
      <c r="AQ10" s="1"/>
      <c r="AR10" s="1"/>
      <c r="AS10" s="1"/>
      <c r="AT10" s="1"/>
      <c r="AU10" s="1"/>
    </row>
    <row r="11" ht="15.75" customHeight="1">
      <c r="A11" s="16"/>
      <c r="B11" s="16"/>
      <c r="C11" s="16"/>
      <c r="D11" s="13" t="s">
        <v>6</v>
      </c>
      <c r="E11" s="18">
        <v>0.0</v>
      </c>
      <c r="F11" s="18">
        <v>0.0</v>
      </c>
      <c r="G11" s="18">
        <v>0.0</v>
      </c>
      <c r="H11" s="18">
        <v>0.0</v>
      </c>
      <c r="I11" s="18">
        <v>0.0</v>
      </c>
      <c r="J11" s="18">
        <v>0.0</v>
      </c>
      <c r="K11" s="18">
        <v>0.0</v>
      </c>
      <c r="L11" s="18">
        <v>0.0</v>
      </c>
      <c r="M11" s="18">
        <v>0.0</v>
      </c>
      <c r="N11" s="18">
        <v>0.0</v>
      </c>
      <c r="O11" s="18">
        <v>0.0</v>
      </c>
      <c r="P11" s="18">
        <v>0.0</v>
      </c>
      <c r="Q11" s="18">
        <v>0.0</v>
      </c>
      <c r="R11" s="18">
        <v>0.0</v>
      </c>
      <c r="S11" s="18">
        <v>0.0</v>
      </c>
      <c r="T11" s="18">
        <v>0.0</v>
      </c>
      <c r="U11" s="18">
        <v>0.0</v>
      </c>
      <c r="V11" s="18">
        <v>0.0</v>
      </c>
      <c r="W11" s="18">
        <v>0.0</v>
      </c>
      <c r="X11" s="18">
        <v>0.0</v>
      </c>
      <c r="Y11" s="18">
        <v>0.0</v>
      </c>
      <c r="Z11" s="18">
        <v>0.0</v>
      </c>
      <c r="AA11" s="18">
        <v>0.0</v>
      </c>
      <c r="AB11" s="18">
        <v>0.0</v>
      </c>
      <c r="AC11" s="18">
        <v>0.0</v>
      </c>
      <c r="AD11" s="18">
        <v>0.0</v>
      </c>
      <c r="AE11" s="18">
        <v>0.0</v>
      </c>
      <c r="AF11" s="18">
        <v>0.0</v>
      </c>
      <c r="AG11" s="18">
        <v>0.0</v>
      </c>
      <c r="AH11" s="18">
        <v>0.0</v>
      </c>
      <c r="AI11" s="18">
        <v>0.0</v>
      </c>
      <c r="AJ11" s="13">
        <v>0.0</v>
      </c>
      <c r="AK11" s="14">
        <f t="shared" ref="AK11:AK12" si="5">550*AJ11</f>
        <v>0</v>
      </c>
      <c r="AL11" s="19"/>
      <c r="AM11" s="27"/>
      <c r="AN11" s="1"/>
      <c r="AO11" s="1"/>
      <c r="AP11" s="1"/>
      <c r="AQ11" s="1"/>
      <c r="AR11" s="1"/>
      <c r="AS11" s="1"/>
      <c r="AT11" s="1"/>
      <c r="AU11" s="1"/>
    </row>
    <row r="12" ht="15.75" customHeight="1">
      <c r="A12" s="10"/>
      <c r="B12" s="10"/>
      <c r="C12" s="10"/>
      <c r="D12" s="13" t="s">
        <v>7</v>
      </c>
      <c r="E12" s="13">
        <v>0.0</v>
      </c>
      <c r="F12" s="13">
        <v>0.0</v>
      </c>
      <c r="G12" s="13">
        <v>0.0</v>
      </c>
      <c r="H12" s="13">
        <v>0.0</v>
      </c>
      <c r="I12" s="13">
        <v>0.0</v>
      </c>
      <c r="J12" s="13">
        <v>0.0</v>
      </c>
      <c r="K12" s="13">
        <v>0.0</v>
      </c>
      <c r="L12" s="13">
        <v>0.0</v>
      </c>
      <c r="M12" s="13">
        <v>0.0</v>
      </c>
      <c r="N12" s="13">
        <v>0.0</v>
      </c>
      <c r="O12" s="13">
        <v>0.0</v>
      </c>
      <c r="P12" s="13">
        <v>0.0</v>
      </c>
      <c r="Q12" s="13">
        <v>0.0</v>
      </c>
      <c r="R12" s="13">
        <v>0.0</v>
      </c>
      <c r="S12" s="13">
        <v>0.0</v>
      </c>
      <c r="T12" s="13">
        <v>0.0</v>
      </c>
      <c r="U12" s="13">
        <v>0.0</v>
      </c>
      <c r="V12" s="13">
        <v>0.0</v>
      </c>
      <c r="W12" s="13">
        <v>0.0</v>
      </c>
      <c r="X12" s="13">
        <v>0.0</v>
      </c>
      <c r="Y12" s="13">
        <v>0.0</v>
      </c>
      <c r="Z12" s="13">
        <v>0.0</v>
      </c>
      <c r="AA12" s="13">
        <v>0.0</v>
      </c>
      <c r="AB12" s="13">
        <v>0.0</v>
      </c>
      <c r="AC12" s="13">
        <v>0.0</v>
      </c>
      <c r="AD12" s="13">
        <v>0.0</v>
      </c>
      <c r="AE12" s="13">
        <v>0.0</v>
      </c>
      <c r="AF12" s="13">
        <v>0.0</v>
      </c>
      <c r="AG12" s="13">
        <v>0.0</v>
      </c>
      <c r="AH12" s="13">
        <v>0.0</v>
      </c>
      <c r="AI12" s="13">
        <v>0.0</v>
      </c>
      <c r="AJ12" s="13">
        <f t="shared" ref="AJ12:AJ72" si="6">SUM(E12:AI12)</f>
        <v>0</v>
      </c>
      <c r="AK12" s="14">
        <f t="shared" si="5"/>
        <v>0</v>
      </c>
      <c r="AL12" s="20">
        <f>SUM(AK10:AK12)</f>
        <v>0</v>
      </c>
      <c r="AM12" s="4"/>
      <c r="AN12" s="1"/>
      <c r="AO12" s="1"/>
      <c r="AP12" s="1"/>
      <c r="AQ12" s="1"/>
      <c r="AR12" s="1"/>
      <c r="AS12" s="1"/>
      <c r="AT12" s="1"/>
      <c r="AU12" s="1"/>
    </row>
    <row r="13" ht="15.75" customHeight="1">
      <c r="A13" s="21" t="s">
        <v>14</v>
      </c>
      <c r="B13" s="21" t="s">
        <v>15</v>
      </c>
      <c r="C13" s="21"/>
      <c r="D13" s="22" t="s">
        <v>5</v>
      </c>
      <c r="E13" s="28">
        <v>1.0</v>
      </c>
      <c r="F13" s="28">
        <v>1.0</v>
      </c>
      <c r="G13" s="28">
        <v>1.0</v>
      </c>
      <c r="H13" s="28">
        <v>1.0</v>
      </c>
      <c r="I13" s="28">
        <v>1.0</v>
      </c>
      <c r="J13" s="28">
        <v>1.0</v>
      </c>
      <c r="K13" s="28">
        <v>1.0</v>
      </c>
      <c r="L13" s="28">
        <v>1.0</v>
      </c>
      <c r="M13" s="28">
        <v>1.0</v>
      </c>
      <c r="N13" s="28">
        <v>1.0</v>
      </c>
      <c r="O13" s="28">
        <v>1.0</v>
      </c>
      <c r="P13" s="28">
        <v>1.0</v>
      </c>
      <c r="Q13" s="28">
        <v>1.0</v>
      </c>
      <c r="R13" s="28">
        <v>1.0</v>
      </c>
      <c r="S13" s="28">
        <v>1.0</v>
      </c>
      <c r="T13" s="28">
        <v>1.0</v>
      </c>
      <c r="U13" s="28">
        <v>1.0</v>
      </c>
      <c r="V13" s="28">
        <v>1.0</v>
      </c>
      <c r="W13" s="28">
        <v>1.0</v>
      </c>
      <c r="X13" s="28">
        <v>1.0</v>
      </c>
      <c r="Y13" s="28">
        <v>1.0</v>
      </c>
      <c r="Z13" s="28">
        <v>1.0</v>
      </c>
      <c r="AA13" s="28">
        <v>1.0</v>
      </c>
      <c r="AB13" s="28">
        <v>1.0</v>
      </c>
      <c r="AC13" s="28">
        <v>1.0</v>
      </c>
      <c r="AD13" s="28">
        <v>1.0</v>
      </c>
      <c r="AE13" s="28">
        <v>1.0</v>
      </c>
      <c r="AF13" s="28">
        <v>1.0</v>
      </c>
      <c r="AG13" s="22">
        <v>1.0</v>
      </c>
      <c r="AH13" s="22">
        <v>1.0</v>
      </c>
      <c r="AI13" s="22">
        <v>1.0</v>
      </c>
      <c r="AJ13" s="22">
        <f t="shared" si="6"/>
        <v>31</v>
      </c>
      <c r="AK13" s="23">
        <f>330*AJ13</f>
        <v>10230</v>
      </c>
      <c r="AL13" s="24"/>
      <c r="AM13" s="25"/>
      <c r="AN13" s="1"/>
      <c r="AO13" s="1"/>
      <c r="AP13" s="1"/>
      <c r="AQ13" s="1"/>
      <c r="AR13" s="1"/>
      <c r="AS13" s="1"/>
      <c r="AT13" s="1"/>
      <c r="AU13" s="1"/>
    </row>
    <row r="14" ht="15.75" customHeight="1">
      <c r="A14" s="16"/>
      <c r="B14" s="16"/>
      <c r="C14" s="16"/>
      <c r="D14" s="22" t="s">
        <v>6</v>
      </c>
      <c r="E14" s="28">
        <v>1.0</v>
      </c>
      <c r="F14" s="28">
        <v>1.0</v>
      </c>
      <c r="G14" s="28">
        <v>1.0</v>
      </c>
      <c r="H14" s="28">
        <v>1.0</v>
      </c>
      <c r="I14" s="28">
        <v>1.0</v>
      </c>
      <c r="J14" s="28">
        <v>1.0</v>
      </c>
      <c r="K14" s="28">
        <v>1.0</v>
      </c>
      <c r="L14" s="28">
        <v>1.0</v>
      </c>
      <c r="M14" s="28">
        <v>1.0</v>
      </c>
      <c r="N14" s="28">
        <v>1.0</v>
      </c>
      <c r="O14" s="28">
        <v>1.0</v>
      </c>
      <c r="P14" s="28">
        <v>1.0</v>
      </c>
      <c r="Q14" s="28">
        <v>1.0</v>
      </c>
      <c r="R14" s="28">
        <v>1.0</v>
      </c>
      <c r="S14" s="28">
        <v>1.0</v>
      </c>
      <c r="T14" s="28">
        <v>1.0</v>
      </c>
      <c r="U14" s="28">
        <v>1.0</v>
      </c>
      <c r="V14" s="28">
        <v>1.0</v>
      </c>
      <c r="W14" s="28">
        <v>1.0</v>
      </c>
      <c r="X14" s="28">
        <v>1.0</v>
      </c>
      <c r="Y14" s="28">
        <v>1.0</v>
      </c>
      <c r="Z14" s="28">
        <v>1.0</v>
      </c>
      <c r="AA14" s="28">
        <v>1.0</v>
      </c>
      <c r="AB14" s="28">
        <v>1.0</v>
      </c>
      <c r="AC14" s="28">
        <v>1.0</v>
      </c>
      <c r="AD14" s="28">
        <v>1.0</v>
      </c>
      <c r="AE14" s="28">
        <v>1.0</v>
      </c>
      <c r="AF14" s="28">
        <v>1.0</v>
      </c>
      <c r="AG14" s="22">
        <v>1.0</v>
      </c>
      <c r="AH14" s="22">
        <v>1.0</v>
      </c>
      <c r="AI14" s="22">
        <v>1.0</v>
      </c>
      <c r="AJ14" s="22">
        <f t="shared" si="6"/>
        <v>31</v>
      </c>
      <c r="AK14" s="23">
        <f t="shared" ref="AK14:AK15" si="7">550*AJ14</f>
        <v>17050</v>
      </c>
      <c r="AL14" s="24"/>
      <c r="AM14" s="4"/>
      <c r="AN14" s="1"/>
      <c r="AO14" s="1"/>
      <c r="AP14" s="1"/>
      <c r="AQ14" s="1"/>
      <c r="AR14" s="1"/>
      <c r="AS14" s="1"/>
      <c r="AT14" s="1"/>
      <c r="AU14" s="1"/>
    </row>
    <row r="15" ht="15.75" customHeight="1">
      <c r="A15" s="10"/>
      <c r="B15" s="10"/>
      <c r="C15" s="10"/>
      <c r="D15" s="22" t="s">
        <v>7</v>
      </c>
      <c r="E15" s="28">
        <v>1.0</v>
      </c>
      <c r="F15" s="28">
        <v>1.0</v>
      </c>
      <c r="G15" s="28">
        <v>1.0</v>
      </c>
      <c r="H15" s="28">
        <v>1.0</v>
      </c>
      <c r="I15" s="28">
        <v>1.0</v>
      </c>
      <c r="J15" s="28">
        <v>1.0</v>
      </c>
      <c r="K15" s="28">
        <v>1.0</v>
      </c>
      <c r="L15" s="28">
        <v>1.0</v>
      </c>
      <c r="M15" s="28">
        <v>1.0</v>
      </c>
      <c r="N15" s="28">
        <v>1.0</v>
      </c>
      <c r="O15" s="28">
        <v>1.0</v>
      </c>
      <c r="P15" s="28">
        <v>1.0</v>
      </c>
      <c r="Q15" s="28">
        <v>1.0</v>
      </c>
      <c r="R15" s="28">
        <v>1.0</v>
      </c>
      <c r="S15" s="28">
        <v>1.0</v>
      </c>
      <c r="T15" s="28">
        <v>1.0</v>
      </c>
      <c r="U15" s="28">
        <v>1.0</v>
      </c>
      <c r="V15" s="28">
        <v>1.0</v>
      </c>
      <c r="W15" s="28">
        <v>1.0</v>
      </c>
      <c r="X15" s="28">
        <v>1.0</v>
      </c>
      <c r="Y15" s="28">
        <v>1.0</v>
      </c>
      <c r="Z15" s="28">
        <v>1.0</v>
      </c>
      <c r="AA15" s="28">
        <v>1.0</v>
      </c>
      <c r="AB15" s="28">
        <v>1.0</v>
      </c>
      <c r="AC15" s="28">
        <v>1.0</v>
      </c>
      <c r="AD15" s="28">
        <v>1.0</v>
      </c>
      <c r="AE15" s="28">
        <v>1.0</v>
      </c>
      <c r="AF15" s="28">
        <v>1.0</v>
      </c>
      <c r="AG15" s="22">
        <v>1.0</v>
      </c>
      <c r="AH15" s="22">
        <v>1.0</v>
      </c>
      <c r="AI15" s="22">
        <v>1.0</v>
      </c>
      <c r="AJ15" s="22">
        <f t="shared" si="6"/>
        <v>31</v>
      </c>
      <c r="AK15" s="23">
        <f t="shared" si="7"/>
        <v>17050</v>
      </c>
      <c r="AL15" s="26">
        <f>SUM(AK13:AK15)</f>
        <v>44330</v>
      </c>
      <c r="AM15" s="4"/>
      <c r="AN15" s="1"/>
      <c r="AO15" s="1"/>
      <c r="AP15" s="1"/>
      <c r="AQ15" s="1"/>
      <c r="AR15" s="1"/>
      <c r="AS15" s="1"/>
      <c r="AT15" s="1"/>
      <c r="AU15" s="1"/>
    </row>
    <row r="16" ht="15.75" hidden="1" customHeight="1">
      <c r="A16" s="12" t="s">
        <v>16</v>
      </c>
      <c r="B16" s="12" t="s">
        <v>17</v>
      </c>
      <c r="C16" s="12" t="s">
        <v>10</v>
      </c>
      <c r="D16" s="13" t="s">
        <v>5</v>
      </c>
      <c r="E16" s="18">
        <v>0.0</v>
      </c>
      <c r="F16" s="18">
        <v>0.0</v>
      </c>
      <c r="G16" s="18">
        <v>0.0</v>
      </c>
      <c r="H16" s="18">
        <v>0.0</v>
      </c>
      <c r="I16" s="18">
        <v>0.0</v>
      </c>
      <c r="J16" s="18">
        <v>0.0</v>
      </c>
      <c r="K16" s="18">
        <v>0.0</v>
      </c>
      <c r="L16" s="18">
        <v>0.0</v>
      </c>
      <c r="M16" s="18">
        <v>0.0</v>
      </c>
      <c r="N16" s="18">
        <v>0.0</v>
      </c>
      <c r="O16" s="18">
        <v>0.0</v>
      </c>
      <c r="P16" s="18">
        <v>0.0</v>
      </c>
      <c r="Q16" s="18">
        <v>0.0</v>
      </c>
      <c r="R16" s="18">
        <v>0.0</v>
      </c>
      <c r="S16" s="18">
        <v>0.0</v>
      </c>
      <c r="T16" s="18">
        <v>0.0</v>
      </c>
      <c r="U16" s="18">
        <v>0.0</v>
      </c>
      <c r="V16" s="18">
        <v>0.0</v>
      </c>
      <c r="W16" s="18">
        <v>0.0</v>
      </c>
      <c r="X16" s="18">
        <v>0.0</v>
      </c>
      <c r="Y16" s="18">
        <v>0.0</v>
      </c>
      <c r="Z16" s="18">
        <v>0.0</v>
      </c>
      <c r="AA16" s="18">
        <v>0.0</v>
      </c>
      <c r="AB16" s="18">
        <v>0.0</v>
      </c>
      <c r="AC16" s="18">
        <v>0.0</v>
      </c>
      <c r="AD16" s="18">
        <v>0.0</v>
      </c>
      <c r="AE16" s="18">
        <v>0.0</v>
      </c>
      <c r="AF16" s="18">
        <v>0.0</v>
      </c>
      <c r="AG16" s="18">
        <v>0.0</v>
      </c>
      <c r="AH16" s="18">
        <v>0.0</v>
      </c>
      <c r="AI16" s="18"/>
      <c r="AJ16" s="13">
        <f t="shared" si="6"/>
        <v>0</v>
      </c>
      <c r="AK16" s="14">
        <f>330*AJ16</f>
        <v>0</v>
      </c>
      <c r="AL16" s="19"/>
      <c r="AM16" s="25"/>
      <c r="AN16" s="1"/>
      <c r="AO16" s="1"/>
      <c r="AP16" s="1"/>
      <c r="AQ16" s="1"/>
      <c r="AR16" s="1"/>
      <c r="AS16" s="1"/>
      <c r="AT16" s="1"/>
      <c r="AU16" s="1"/>
    </row>
    <row r="17" ht="15.75" hidden="1" customHeight="1">
      <c r="A17" s="16"/>
      <c r="B17" s="16"/>
      <c r="C17" s="16"/>
      <c r="D17" s="13" t="s">
        <v>6</v>
      </c>
      <c r="E17" s="18">
        <v>0.0</v>
      </c>
      <c r="F17" s="18">
        <v>0.0</v>
      </c>
      <c r="G17" s="18">
        <v>0.0</v>
      </c>
      <c r="H17" s="18">
        <v>0.0</v>
      </c>
      <c r="I17" s="18">
        <v>0.0</v>
      </c>
      <c r="J17" s="18">
        <v>0.0</v>
      </c>
      <c r="K17" s="18">
        <v>0.0</v>
      </c>
      <c r="L17" s="18">
        <v>0.0</v>
      </c>
      <c r="M17" s="18">
        <v>0.0</v>
      </c>
      <c r="N17" s="18">
        <v>0.0</v>
      </c>
      <c r="O17" s="18">
        <v>0.0</v>
      </c>
      <c r="P17" s="18">
        <v>0.0</v>
      </c>
      <c r="Q17" s="18">
        <v>0.0</v>
      </c>
      <c r="R17" s="18">
        <v>0.0</v>
      </c>
      <c r="S17" s="18">
        <v>0.0</v>
      </c>
      <c r="T17" s="18">
        <v>0.0</v>
      </c>
      <c r="U17" s="18">
        <v>0.0</v>
      </c>
      <c r="V17" s="18">
        <v>0.0</v>
      </c>
      <c r="W17" s="18">
        <v>0.0</v>
      </c>
      <c r="X17" s="18">
        <v>0.0</v>
      </c>
      <c r="Y17" s="18">
        <v>0.0</v>
      </c>
      <c r="Z17" s="18">
        <v>0.0</v>
      </c>
      <c r="AA17" s="18">
        <v>0.0</v>
      </c>
      <c r="AB17" s="18">
        <v>0.0</v>
      </c>
      <c r="AC17" s="18">
        <v>0.0</v>
      </c>
      <c r="AD17" s="18">
        <v>0.0</v>
      </c>
      <c r="AE17" s="18">
        <v>0.0</v>
      </c>
      <c r="AF17" s="18">
        <v>0.0</v>
      </c>
      <c r="AG17" s="18">
        <v>0.0</v>
      </c>
      <c r="AH17" s="18">
        <v>0.0</v>
      </c>
      <c r="AI17" s="18"/>
      <c r="AJ17" s="13">
        <f t="shared" si="6"/>
        <v>0</v>
      </c>
      <c r="AK17" s="14">
        <f t="shared" ref="AK17:AK18" si="8">550*AJ17</f>
        <v>0</v>
      </c>
      <c r="AL17" s="19"/>
      <c r="AN17" s="1"/>
      <c r="AO17" s="1"/>
      <c r="AP17" s="1"/>
      <c r="AQ17" s="1"/>
      <c r="AR17" s="1"/>
      <c r="AS17" s="1"/>
      <c r="AT17" s="1"/>
      <c r="AU17" s="1"/>
    </row>
    <row r="18" ht="15.75" hidden="1" customHeight="1">
      <c r="A18" s="10"/>
      <c r="B18" s="10"/>
      <c r="C18" s="10"/>
      <c r="D18" s="13" t="s">
        <v>7</v>
      </c>
      <c r="E18" s="18">
        <v>0.0</v>
      </c>
      <c r="F18" s="18">
        <v>0.0</v>
      </c>
      <c r="G18" s="18">
        <v>0.0</v>
      </c>
      <c r="H18" s="18">
        <v>0.0</v>
      </c>
      <c r="I18" s="18">
        <v>0.0</v>
      </c>
      <c r="J18" s="18">
        <v>0.0</v>
      </c>
      <c r="K18" s="18">
        <v>0.0</v>
      </c>
      <c r="L18" s="18">
        <v>0.0</v>
      </c>
      <c r="M18" s="18">
        <v>0.0</v>
      </c>
      <c r="N18" s="18">
        <v>0.0</v>
      </c>
      <c r="O18" s="18">
        <v>0.0</v>
      </c>
      <c r="P18" s="18">
        <v>0.0</v>
      </c>
      <c r="Q18" s="18">
        <v>0.0</v>
      </c>
      <c r="R18" s="18">
        <v>0.0</v>
      </c>
      <c r="S18" s="18">
        <v>0.0</v>
      </c>
      <c r="T18" s="18">
        <v>0.0</v>
      </c>
      <c r="U18" s="18">
        <v>0.0</v>
      </c>
      <c r="V18" s="18">
        <v>0.0</v>
      </c>
      <c r="W18" s="18">
        <v>0.0</v>
      </c>
      <c r="X18" s="18">
        <v>0.0</v>
      </c>
      <c r="Y18" s="18">
        <v>0.0</v>
      </c>
      <c r="Z18" s="18">
        <v>0.0</v>
      </c>
      <c r="AA18" s="18">
        <v>0.0</v>
      </c>
      <c r="AB18" s="18">
        <v>0.0</v>
      </c>
      <c r="AC18" s="18">
        <v>0.0</v>
      </c>
      <c r="AD18" s="18">
        <v>0.0</v>
      </c>
      <c r="AE18" s="18">
        <v>0.0</v>
      </c>
      <c r="AF18" s="18">
        <v>0.0</v>
      </c>
      <c r="AG18" s="18">
        <v>0.0</v>
      </c>
      <c r="AH18" s="18">
        <v>0.0</v>
      </c>
      <c r="AI18" s="18"/>
      <c r="AJ18" s="13">
        <f t="shared" si="6"/>
        <v>0</v>
      </c>
      <c r="AK18" s="14">
        <f t="shared" si="8"/>
        <v>0</v>
      </c>
      <c r="AL18" s="20">
        <f>SUM(AK16:AK18)</f>
        <v>0</v>
      </c>
      <c r="AN18" s="1"/>
      <c r="AO18" s="1"/>
      <c r="AP18" s="1"/>
      <c r="AQ18" s="1"/>
      <c r="AR18" s="1"/>
      <c r="AS18" s="1"/>
      <c r="AT18" s="1"/>
      <c r="AU18" s="1"/>
    </row>
    <row r="19" ht="15.75" customHeight="1">
      <c r="A19" s="29" t="s">
        <v>18</v>
      </c>
      <c r="B19" s="29" t="s">
        <v>19</v>
      </c>
      <c r="C19" s="29" t="s">
        <v>20</v>
      </c>
      <c r="D19" s="28" t="s">
        <v>5</v>
      </c>
      <c r="E19" s="22">
        <v>0.0</v>
      </c>
      <c r="F19" s="22">
        <v>0.0</v>
      </c>
      <c r="G19" s="22">
        <v>0.0</v>
      </c>
      <c r="H19" s="22">
        <v>0.0</v>
      </c>
      <c r="I19" s="22">
        <v>0.0</v>
      </c>
      <c r="J19" s="22">
        <v>0.0</v>
      </c>
      <c r="K19" s="22">
        <v>0.0</v>
      </c>
      <c r="L19" s="22">
        <v>0.0</v>
      </c>
      <c r="M19" s="22">
        <v>0.0</v>
      </c>
      <c r="N19" s="22">
        <v>0.0</v>
      </c>
      <c r="O19" s="22">
        <v>0.0</v>
      </c>
      <c r="P19" s="22">
        <v>0.0</v>
      </c>
      <c r="Q19" s="22">
        <v>0.0</v>
      </c>
      <c r="R19" s="22">
        <v>0.0</v>
      </c>
      <c r="S19" s="22">
        <v>0.0</v>
      </c>
      <c r="T19" s="22">
        <v>0.0</v>
      </c>
      <c r="U19" s="22">
        <v>0.0</v>
      </c>
      <c r="V19" s="22">
        <v>0.0</v>
      </c>
      <c r="W19" s="22">
        <v>0.0</v>
      </c>
      <c r="X19" s="22">
        <v>0.0</v>
      </c>
      <c r="Y19" s="22">
        <v>0.0</v>
      </c>
      <c r="Z19" s="22">
        <v>0.0</v>
      </c>
      <c r="AA19" s="22">
        <v>0.0</v>
      </c>
      <c r="AB19" s="22">
        <v>0.0</v>
      </c>
      <c r="AC19" s="22">
        <v>0.0</v>
      </c>
      <c r="AD19" s="22">
        <v>0.0</v>
      </c>
      <c r="AE19" s="22">
        <v>0.0</v>
      </c>
      <c r="AF19" s="22">
        <v>0.0</v>
      </c>
      <c r="AG19" s="22">
        <v>0.0</v>
      </c>
      <c r="AH19" s="22">
        <v>0.0</v>
      </c>
      <c r="AI19" s="22">
        <v>0.0</v>
      </c>
      <c r="AJ19" s="28">
        <f t="shared" si="6"/>
        <v>0</v>
      </c>
      <c r="AK19" s="23">
        <f>330*AJ19</f>
        <v>0</v>
      </c>
      <c r="AL19" s="24"/>
      <c r="AM19" s="25"/>
      <c r="AN19" s="1"/>
      <c r="AO19" s="1"/>
      <c r="AP19" s="1"/>
      <c r="AQ19" s="1"/>
      <c r="AR19" s="1"/>
      <c r="AS19" s="1"/>
      <c r="AT19" s="1"/>
      <c r="AU19" s="1"/>
    </row>
    <row r="20" ht="15.75" customHeight="1">
      <c r="A20" s="16"/>
      <c r="B20" s="16"/>
      <c r="C20" s="16"/>
      <c r="D20" s="28" t="s">
        <v>6</v>
      </c>
      <c r="E20" s="22">
        <v>0.0</v>
      </c>
      <c r="F20" s="22">
        <v>0.0</v>
      </c>
      <c r="G20" s="22">
        <v>0.0</v>
      </c>
      <c r="H20" s="22">
        <v>0.0</v>
      </c>
      <c r="I20" s="22">
        <v>0.0</v>
      </c>
      <c r="J20" s="22">
        <v>0.0</v>
      </c>
      <c r="K20" s="22">
        <v>0.0</v>
      </c>
      <c r="L20" s="22">
        <v>0.0</v>
      </c>
      <c r="M20" s="22">
        <v>0.0</v>
      </c>
      <c r="N20" s="22">
        <v>0.0</v>
      </c>
      <c r="O20" s="22">
        <v>0.0</v>
      </c>
      <c r="P20" s="22">
        <v>0.0</v>
      </c>
      <c r="Q20" s="22">
        <v>0.0</v>
      </c>
      <c r="R20" s="22">
        <v>0.0</v>
      </c>
      <c r="S20" s="22">
        <v>0.0</v>
      </c>
      <c r="T20" s="22">
        <v>0.0</v>
      </c>
      <c r="U20" s="22">
        <v>0.0</v>
      </c>
      <c r="V20" s="22">
        <v>0.0</v>
      </c>
      <c r="W20" s="22">
        <v>0.0</v>
      </c>
      <c r="X20" s="22">
        <v>0.0</v>
      </c>
      <c r="Y20" s="22">
        <v>0.0</v>
      </c>
      <c r="Z20" s="22">
        <v>0.0</v>
      </c>
      <c r="AA20" s="22">
        <v>0.0</v>
      </c>
      <c r="AB20" s="22">
        <v>0.0</v>
      </c>
      <c r="AC20" s="22">
        <v>0.0</v>
      </c>
      <c r="AD20" s="22">
        <v>0.0</v>
      </c>
      <c r="AE20" s="22">
        <v>0.0</v>
      </c>
      <c r="AF20" s="22">
        <v>0.0</v>
      </c>
      <c r="AG20" s="22">
        <v>0.0</v>
      </c>
      <c r="AH20" s="22">
        <v>0.0</v>
      </c>
      <c r="AI20" s="22">
        <v>0.0</v>
      </c>
      <c r="AJ20" s="28">
        <f t="shared" si="6"/>
        <v>0</v>
      </c>
      <c r="AK20" s="23">
        <f t="shared" ref="AK20:AK21" si="9">550*AJ20</f>
        <v>0</v>
      </c>
      <c r="AL20" s="24"/>
      <c r="AN20" s="1"/>
      <c r="AO20" s="1"/>
      <c r="AP20" s="1"/>
      <c r="AQ20" s="1"/>
      <c r="AR20" s="1"/>
      <c r="AS20" s="1"/>
      <c r="AT20" s="1"/>
      <c r="AU20" s="1"/>
    </row>
    <row r="21" ht="15.75" customHeight="1">
      <c r="A21" s="10"/>
      <c r="B21" s="10"/>
      <c r="C21" s="10"/>
      <c r="D21" s="28" t="s">
        <v>7</v>
      </c>
      <c r="E21" s="22">
        <v>0.0</v>
      </c>
      <c r="F21" s="22">
        <v>0.0</v>
      </c>
      <c r="G21" s="22">
        <v>0.0</v>
      </c>
      <c r="H21" s="22">
        <v>0.0</v>
      </c>
      <c r="I21" s="22">
        <v>0.0</v>
      </c>
      <c r="J21" s="22">
        <v>0.0</v>
      </c>
      <c r="K21" s="22">
        <v>0.0</v>
      </c>
      <c r="L21" s="22">
        <v>0.0</v>
      </c>
      <c r="M21" s="22">
        <v>0.0</v>
      </c>
      <c r="N21" s="22">
        <v>0.0</v>
      </c>
      <c r="O21" s="22">
        <v>0.0</v>
      </c>
      <c r="P21" s="22">
        <v>0.0</v>
      </c>
      <c r="Q21" s="22">
        <v>0.0</v>
      </c>
      <c r="R21" s="22">
        <v>0.0</v>
      </c>
      <c r="S21" s="22">
        <v>0.0</v>
      </c>
      <c r="T21" s="22">
        <v>0.0</v>
      </c>
      <c r="U21" s="22">
        <v>0.0</v>
      </c>
      <c r="V21" s="22">
        <v>0.0</v>
      </c>
      <c r="W21" s="22">
        <v>0.0</v>
      </c>
      <c r="X21" s="22">
        <v>0.0</v>
      </c>
      <c r="Y21" s="22">
        <v>0.0</v>
      </c>
      <c r="Z21" s="22">
        <v>0.0</v>
      </c>
      <c r="AA21" s="22">
        <v>0.0</v>
      </c>
      <c r="AB21" s="22">
        <v>0.0</v>
      </c>
      <c r="AC21" s="22">
        <v>0.0</v>
      </c>
      <c r="AD21" s="22">
        <v>0.0</v>
      </c>
      <c r="AE21" s="22">
        <v>0.0</v>
      </c>
      <c r="AF21" s="22">
        <v>0.0</v>
      </c>
      <c r="AG21" s="22">
        <v>0.0</v>
      </c>
      <c r="AH21" s="22">
        <v>0.0</v>
      </c>
      <c r="AI21" s="22">
        <v>0.0</v>
      </c>
      <c r="AJ21" s="28">
        <f t="shared" si="6"/>
        <v>0</v>
      </c>
      <c r="AK21" s="23">
        <f t="shared" si="9"/>
        <v>0</v>
      </c>
      <c r="AL21" s="26">
        <f>SUM(AK19:AK21)</f>
        <v>0</v>
      </c>
      <c r="AN21" s="1"/>
      <c r="AO21" s="1"/>
      <c r="AP21" s="1"/>
      <c r="AQ21" s="1"/>
      <c r="AR21" s="1"/>
      <c r="AS21" s="1"/>
      <c r="AT21" s="1"/>
      <c r="AU21" s="1"/>
    </row>
    <row r="22" ht="15.75" customHeight="1">
      <c r="A22" s="12" t="s">
        <v>21</v>
      </c>
      <c r="B22" s="12" t="s">
        <v>22</v>
      </c>
      <c r="C22" s="12" t="s">
        <v>23</v>
      </c>
      <c r="D22" s="14" t="s">
        <v>5</v>
      </c>
      <c r="E22" s="13">
        <v>1.0</v>
      </c>
      <c r="F22" s="13">
        <v>1.0</v>
      </c>
      <c r="G22" s="13">
        <v>1.0</v>
      </c>
      <c r="H22" s="13">
        <v>1.0</v>
      </c>
      <c r="I22" s="13">
        <v>1.0</v>
      </c>
      <c r="J22" s="13">
        <v>1.0</v>
      </c>
      <c r="K22" s="13">
        <v>1.0</v>
      </c>
      <c r="L22" s="13">
        <v>1.0</v>
      </c>
      <c r="M22" s="13">
        <v>1.0</v>
      </c>
      <c r="N22" s="13">
        <v>1.0</v>
      </c>
      <c r="O22" s="13">
        <v>1.0</v>
      </c>
      <c r="P22" s="13">
        <v>1.0</v>
      </c>
      <c r="Q22" s="13">
        <v>1.0</v>
      </c>
      <c r="R22" s="13">
        <v>1.0</v>
      </c>
      <c r="S22" s="13">
        <v>1.0</v>
      </c>
      <c r="T22" s="13">
        <v>1.0</v>
      </c>
      <c r="U22" s="13">
        <v>1.0</v>
      </c>
      <c r="V22" s="13">
        <v>1.0</v>
      </c>
      <c r="W22" s="13">
        <v>1.0</v>
      </c>
      <c r="X22" s="13">
        <v>1.0</v>
      </c>
      <c r="Y22" s="13">
        <v>1.0</v>
      </c>
      <c r="Z22" s="13">
        <v>1.0</v>
      </c>
      <c r="AA22" s="13">
        <v>1.0</v>
      </c>
      <c r="AB22" s="13">
        <v>1.0</v>
      </c>
      <c r="AC22" s="13">
        <v>1.0</v>
      </c>
      <c r="AD22" s="13">
        <v>1.0</v>
      </c>
      <c r="AE22" s="13">
        <v>1.0</v>
      </c>
      <c r="AF22" s="13">
        <v>1.0</v>
      </c>
      <c r="AG22" s="13">
        <v>1.0</v>
      </c>
      <c r="AH22" s="13">
        <v>1.0</v>
      </c>
      <c r="AI22" s="13">
        <v>1.0</v>
      </c>
      <c r="AJ22" s="14">
        <f t="shared" si="6"/>
        <v>31</v>
      </c>
      <c r="AK22" s="14">
        <f>330*AJ22</f>
        <v>10230</v>
      </c>
      <c r="AL22" s="19"/>
      <c r="AM22" s="4"/>
      <c r="AN22" s="1"/>
      <c r="AO22" s="1"/>
      <c r="AP22" s="1"/>
      <c r="AQ22" s="1"/>
      <c r="AR22" s="1"/>
      <c r="AS22" s="1"/>
      <c r="AT22" s="1"/>
      <c r="AU22" s="1"/>
    </row>
    <row r="23" ht="15.75" customHeight="1">
      <c r="A23" s="16"/>
      <c r="B23" s="16"/>
      <c r="C23" s="16"/>
      <c r="D23" s="14" t="s">
        <v>6</v>
      </c>
      <c r="E23" s="13">
        <v>1.0</v>
      </c>
      <c r="F23" s="13">
        <v>1.0</v>
      </c>
      <c r="G23" s="13">
        <v>0.0</v>
      </c>
      <c r="H23" s="13">
        <v>1.0</v>
      </c>
      <c r="I23" s="13">
        <v>1.0</v>
      </c>
      <c r="J23" s="13">
        <v>1.0</v>
      </c>
      <c r="K23" s="13">
        <v>1.0</v>
      </c>
      <c r="L23" s="13">
        <v>1.0</v>
      </c>
      <c r="M23" s="13">
        <v>1.0</v>
      </c>
      <c r="N23" s="13">
        <v>0.0</v>
      </c>
      <c r="O23" s="13">
        <v>1.0</v>
      </c>
      <c r="P23" s="13">
        <v>1.0</v>
      </c>
      <c r="Q23" s="13">
        <v>1.0</v>
      </c>
      <c r="R23" s="13">
        <v>1.0</v>
      </c>
      <c r="S23" s="13">
        <v>1.0</v>
      </c>
      <c r="T23" s="13">
        <v>1.0</v>
      </c>
      <c r="U23" s="13">
        <v>0.0</v>
      </c>
      <c r="V23" s="13">
        <v>1.0</v>
      </c>
      <c r="W23" s="13">
        <v>1.0</v>
      </c>
      <c r="X23" s="13">
        <v>1.0</v>
      </c>
      <c r="Y23" s="13">
        <v>1.0</v>
      </c>
      <c r="Z23" s="13">
        <v>1.0</v>
      </c>
      <c r="AA23" s="13">
        <v>1.0</v>
      </c>
      <c r="AB23" s="13">
        <v>0.0</v>
      </c>
      <c r="AC23" s="13">
        <v>1.0</v>
      </c>
      <c r="AD23" s="13">
        <v>1.0</v>
      </c>
      <c r="AE23" s="13">
        <v>1.0</v>
      </c>
      <c r="AF23" s="13">
        <v>1.0</v>
      </c>
      <c r="AG23" s="13">
        <v>1.0</v>
      </c>
      <c r="AH23" s="13">
        <v>1.0</v>
      </c>
      <c r="AI23" s="13">
        <v>0.0</v>
      </c>
      <c r="AJ23" s="14">
        <f t="shared" si="6"/>
        <v>26</v>
      </c>
      <c r="AK23" s="14">
        <f t="shared" ref="AK23:AK24" si="10">550*AJ23</f>
        <v>14300</v>
      </c>
      <c r="AL23" s="19"/>
      <c r="AM23" s="4"/>
      <c r="AN23" s="1"/>
      <c r="AO23" s="1"/>
      <c r="AP23" s="1"/>
      <c r="AQ23" s="1"/>
      <c r="AR23" s="1"/>
      <c r="AS23" s="1"/>
      <c r="AT23" s="1"/>
      <c r="AU23" s="1"/>
    </row>
    <row r="24" ht="15.75" customHeight="1">
      <c r="A24" s="10"/>
      <c r="B24" s="10"/>
      <c r="C24" s="10"/>
      <c r="D24" s="14" t="s">
        <v>7</v>
      </c>
      <c r="E24" s="13">
        <v>1.0</v>
      </c>
      <c r="F24" s="13">
        <v>1.0</v>
      </c>
      <c r="G24" s="13">
        <v>1.0</v>
      </c>
      <c r="H24" s="13">
        <v>1.0</v>
      </c>
      <c r="I24" s="13">
        <v>1.0</v>
      </c>
      <c r="J24" s="13">
        <v>1.0</v>
      </c>
      <c r="K24" s="13">
        <v>1.0</v>
      </c>
      <c r="L24" s="13">
        <v>1.0</v>
      </c>
      <c r="M24" s="13">
        <v>1.0</v>
      </c>
      <c r="N24" s="13">
        <v>1.0</v>
      </c>
      <c r="O24" s="13">
        <v>1.0</v>
      </c>
      <c r="P24" s="13">
        <v>1.0</v>
      </c>
      <c r="Q24" s="13">
        <v>1.0</v>
      </c>
      <c r="R24" s="13">
        <v>1.0</v>
      </c>
      <c r="S24" s="13">
        <v>1.0</v>
      </c>
      <c r="T24" s="13">
        <v>1.0</v>
      </c>
      <c r="U24" s="13">
        <v>1.0</v>
      </c>
      <c r="V24" s="13">
        <v>1.0</v>
      </c>
      <c r="W24" s="13">
        <v>1.0</v>
      </c>
      <c r="X24" s="13">
        <v>1.0</v>
      </c>
      <c r="Y24" s="13">
        <v>1.0</v>
      </c>
      <c r="Z24" s="13">
        <v>1.0</v>
      </c>
      <c r="AA24" s="13">
        <v>1.0</v>
      </c>
      <c r="AB24" s="13">
        <v>1.0</v>
      </c>
      <c r="AC24" s="13">
        <v>1.0</v>
      </c>
      <c r="AD24" s="13">
        <v>1.0</v>
      </c>
      <c r="AE24" s="13">
        <v>1.0</v>
      </c>
      <c r="AF24" s="13">
        <v>1.0</v>
      </c>
      <c r="AG24" s="13">
        <v>1.0</v>
      </c>
      <c r="AH24" s="13">
        <v>1.0</v>
      </c>
      <c r="AI24" s="13">
        <v>1.0</v>
      </c>
      <c r="AJ24" s="14">
        <f t="shared" si="6"/>
        <v>31</v>
      </c>
      <c r="AK24" s="14">
        <f t="shared" si="10"/>
        <v>17050</v>
      </c>
      <c r="AL24" s="20">
        <f>SUM(AK22:AK24)</f>
        <v>41580</v>
      </c>
      <c r="AM24" s="4"/>
      <c r="AN24" s="1"/>
      <c r="AO24" s="1"/>
      <c r="AP24" s="1"/>
      <c r="AQ24" s="1"/>
      <c r="AR24" s="1"/>
      <c r="AS24" s="1"/>
      <c r="AT24" s="1"/>
      <c r="AU24" s="1"/>
    </row>
    <row r="25" ht="15.75" customHeight="1">
      <c r="A25" s="12" t="s">
        <v>24</v>
      </c>
      <c r="B25" s="12" t="s">
        <v>25</v>
      </c>
      <c r="C25" s="12" t="s">
        <v>26</v>
      </c>
      <c r="D25" s="13" t="s">
        <v>5</v>
      </c>
      <c r="E25" s="30">
        <v>1.0</v>
      </c>
      <c r="F25" s="30">
        <v>1.0</v>
      </c>
      <c r="G25" s="30">
        <v>1.0</v>
      </c>
      <c r="H25" s="30">
        <v>1.0</v>
      </c>
      <c r="I25" s="30">
        <v>1.0</v>
      </c>
      <c r="J25" s="30">
        <v>1.0</v>
      </c>
      <c r="K25" s="30">
        <v>1.0</v>
      </c>
      <c r="L25" s="30">
        <v>1.0</v>
      </c>
      <c r="M25" s="30">
        <v>1.0</v>
      </c>
      <c r="N25" s="30">
        <v>1.0</v>
      </c>
      <c r="O25" s="30">
        <v>1.0</v>
      </c>
      <c r="P25" s="30">
        <v>1.0</v>
      </c>
      <c r="Q25" s="30">
        <v>1.0</v>
      </c>
      <c r="R25" s="30">
        <v>1.0</v>
      </c>
      <c r="S25" s="30">
        <v>1.0</v>
      </c>
      <c r="T25" s="30">
        <v>1.0</v>
      </c>
      <c r="U25" s="30">
        <v>1.0</v>
      </c>
      <c r="V25" s="30">
        <v>1.0</v>
      </c>
      <c r="W25" s="30">
        <v>1.0</v>
      </c>
      <c r="X25" s="30">
        <v>1.0</v>
      </c>
      <c r="Y25" s="30">
        <v>1.0</v>
      </c>
      <c r="Z25" s="30">
        <v>1.0</v>
      </c>
      <c r="AA25" s="30">
        <v>1.0</v>
      </c>
      <c r="AB25" s="30">
        <v>1.0</v>
      </c>
      <c r="AC25" s="30">
        <v>1.0</v>
      </c>
      <c r="AD25" s="30">
        <v>1.0</v>
      </c>
      <c r="AE25" s="30">
        <v>1.0</v>
      </c>
      <c r="AF25" s="30">
        <v>1.0</v>
      </c>
      <c r="AG25" s="30">
        <v>1.0</v>
      </c>
      <c r="AH25" s="30">
        <v>1.0</v>
      </c>
      <c r="AI25" s="30">
        <v>1.0</v>
      </c>
      <c r="AJ25" s="13">
        <f t="shared" si="6"/>
        <v>31</v>
      </c>
      <c r="AK25" s="23">
        <f>330*AJ25</f>
        <v>10230</v>
      </c>
      <c r="AL25" s="24"/>
      <c r="AM25" s="4"/>
      <c r="AN25" s="1"/>
      <c r="AO25" s="1"/>
      <c r="AP25" s="1"/>
      <c r="AQ25" s="1"/>
      <c r="AR25" s="1"/>
      <c r="AS25" s="1"/>
      <c r="AT25" s="1"/>
      <c r="AU25" s="1"/>
    </row>
    <row r="26" ht="15.75" customHeight="1">
      <c r="A26" s="16"/>
      <c r="B26" s="16"/>
      <c r="C26" s="16"/>
      <c r="D26" s="13" t="s">
        <v>6</v>
      </c>
      <c r="E26" s="30">
        <v>0.0</v>
      </c>
      <c r="F26" s="30">
        <v>1.0</v>
      </c>
      <c r="G26" s="30">
        <v>1.0</v>
      </c>
      <c r="H26" s="30">
        <v>1.0</v>
      </c>
      <c r="I26" s="30">
        <v>0.0</v>
      </c>
      <c r="J26" s="30">
        <v>1.0</v>
      </c>
      <c r="K26" s="30">
        <v>1.0</v>
      </c>
      <c r="L26" s="30">
        <v>0.0</v>
      </c>
      <c r="M26" s="30">
        <v>1.0</v>
      </c>
      <c r="N26" s="30">
        <v>1.0</v>
      </c>
      <c r="O26" s="30">
        <v>1.0</v>
      </c>
      <c r="P26" s="30">
        <v>0.0</v>
      </c>
      <c r="Q26" s="30">
        <v>1.0</v>
      </c>
      <c r="R26" s="30">
        <v>1.0</v>
      </c>
      <c r="S26" s="30">
        <v>0.0</v>
      </c>
      <c r="T26" s="30">
        <v>1.0</v>
      </c>
      <c r="U26" s="30">
        <v>1.0</v>
      </c>
      <c r="V26" s="30">
        <v>1.0</v>
      </c>
      <c r="W26" s="30">
        <v>0.0</v>
      </c>
      <c r="X26" s="30">
        <v>1.0</v>
      </c>
      <c r="Y26" s="30">
        <v>1.0</v>
      </c>
      <c r="Z26" s="30">
        <v>0.0</v>
      </c>
      <c r="AA26" s="30">
        <v>1.0</v>
      </c>
      <c r="AB26" s="30">
        <v>1.0</v>
      </c>
      <c r="AC26" s="30">
        <v>1.0</v>
      </c>
      <c r="AD26" s="30">
        <v>0.0</v>
      </c>
      <c r="AE26" s="30">
        <v>1.0</v>
      </c>
      <c r="AF26" s="30">
        <v>1.0</v>
      </c>
      <c r="AG26" s="30">
        <v>0.0</v>
      </c>
      <c r="AH26" s="30">
        <v>1.0</v>
      </c>
      <c r="AI26" s="30">
        <v>1.0</v>
      </c>
      <c r="AJ26" s="13">
        <f t="shared" si="6"/>
        <v>22</v>
      </c>
      <c r="AK26" s="23">
        <f t="shared" ref="AK26:AK27" si="11">550*AJ26</f>
        <v>12100</v>
      </c>
      <c r="AL26" s="24"/>
      <c r="AM26" s="4"/>
      <c r="AN26" s="1"/>
      <c r="AO26" s="1"/>
      <c r="AP26" s="1"/>
      <c r="AQ26" s="1"/>
      <c r="AR26" s="1"/>
      <c r="AS26" s="1"/>
      <c r="AT26" s="1"/>
      <c r="AU26" s="1"/>
    </row>
    <row r="27" ht="15.75" customHeight="1">
      <c r="A27" s="10"/>
      <c r="B27" s="10"/>
      <c r="C27" s="10"/>
      <c r="D27" s="13" t="s">
        <v>7</v>
      </c>
      <c r="E27" s="30">
        <v>1.0</v>
      </c>
      <c r="F27" s="30">
        <v>1.0</v>
      </c>
      <c r="G27" s="30">
        <v>1.0</v>
      </c>
      <c r="H27" s="30">
        <v>1.0</v>
      </c>
      <c r="I27" s="30">
        <v>1.0</v>
      </c>
      <c r="J27" s="30">
        <v>1.0</v>
      </c>
      <c r="K27" s="30">
        <v>1.0</v>
      </c>
      <c r="L27" s="30">
        <v>1.0</v>
      </c>
      <c r="M27" s="30">
        <v>1.0</v>
      </c>
      <c r="N27" s="30">
        <v>1.0</v>
      </c>
      <c r="O27" s="30">
        <v>1.0</v>
      </c>
      <c r="P27" s="30">
        <v>1.0</v>
      </c>
      <c r="Q27" s="30">
        <v>1.0</v>
      </c>
      <c r="R27" s="30">
        <v>1.0</v>
      </c>
      <c r="S27" s="30">
        <v>1.0</v>
      </c>
      <c r="T27" s="30">
        <v>1.0</v>
      </c>
      <c r="U27" s="30">
        <v>1.0</v>
      </c>
      <c r="V27" s="30">
        <v>1.0</v>
      </c>
      <c r="W27" s="30">
        <v>1.0</v>
      </c>
      <c r="X27" s="30">
        <v>1.0</v>
      </c>
      <c r="Y27" s="30">
        <v>1.0</v>
      </c>
      <c r="Z27" s="30">
        <v>1.0</v>
      </c>
      <c r="AA27" s="30">
        <v>1.0</v>
      </c>
      <c r="AB27" s="30">
        <v>1.0</v>
      </c>
      <c r="AC27" s="30">
        <v>1.0</v>
      </c>
      <c r="AD27" s="30">
        <v>1.0</v>
      </c>
      <c r="AE27" s="30">
        <v>1.0</v>
      </c>
      <c r="AF27" s="30">
        <v>1.0</v>
      </c>
      <c r="AG27" s="30">
        <v>1.0</v>
      </c>
      <c r="AH27" s="30">
        <v>1.0</v>
      </c>
      <c r="AI27" s="30">
        <v>1.0</v>
      </c>
      <c r="AJ27" s="13">
        <f t="shared" si="6"/>
        <v>31</v>
      </c>
      <c r="AK27" s="23">
        <f t="shared" si="11"/>
        <v>17050</v>
      </c>
      <c r="AL27" s="26">
        <f>SUM(AK25:AK27)</f>
        <v>39380</v>
      </c>
      <c r="AM27" s="4"/>
      <c r="AN27" s="1"/>
      <c r="AO27" s="1"/>
      <c r="AP27" s="1"/>
      <c r="AQ27" s="1"/>
      <c r="AR27" s="1"/>
      <c r="AS27" s="1"/>
      <c r="AT27" s="1"/>
      <c r="AU27" s="1"/>
    </row>
    <row r="28" ht="15.75" customHeight="1">
      <c r="A28" s="12" t="s">
        <v>27</v>
      </c>
      <c r="B28" s="12" t="s">
        <v>28</v>
      </c>
      <c r="C28" s="12" t="s">
        <v>29</v>
      </c>
      <c r="D28" s="13" t="s">
        <v>5</v>
      </c>
      <c r="E28" s="30">
        <v>0.0</v>
      </c>
      <c r="F28" s="30">
        <v>0.0</v>
      </c>
      <c r="G28" s="18">
        <v>0.0</v>
      </c>
      <c r="H28" s="18">
        <v>0.0</v>
      </c>
      <c r="I28" s="18">
        <v>0.0</v>
      </c>
      <c r="J28" s="18">
        <v>0.0</v>
      </c>
      <c r="K28" s="18">
        <v>0.0</v>
      </c>
      <c r="L28" s="18">
        <v>0.0</v>
      </c>
      <c r="M28" s="18">
        <v>0.0</v>
      </c>
      <c r="N28" s="18">
        <v>0.0</v>
      </c>
      <c r="O28" s="18">
        <v>0.0</v>
      </c>
      <c r="P28" s="18">
        <v>0.0</v>
      </c>
      <c r="Q28" s="18">
        <v>0.0</v>
      </c>
      <c r="R28" s="18">
        <v>0.0</v>
      </c>
      <c r="S28" s="18">
        <v>0.0</v>
      </c>
      <c r="T28" s="18">
        <v>0.0</v>
      </c>
      <c r="U28" s="18">
        <v>0.0</v>
      </c>
      <c r="V28" s="18">
        <v>0.0</v>
      </c>
      <c r="W28" s="18">
        <v>0.0</v>
      </c>
      <c r="X28" s="18">
        <v>0.0</v>
      </c>
      <c r="Y28" s="18">
        <v>0.0</v>
      </c>
      <c r="Z28" s="18">
        <v>0.0</v>
      </c>
      <c r="AA28" s="18">
        <v>0.0</v>
      </c>
      <c r="AB28" s="18">
        <v>0.0</v>
      </c>
      <c r="AC28" s="18">
        <v>0.0</v>
      </c>
      <c r="AD28" s="18">
        <v>0.0</v>
      </c>
      <c r="AE28" s="18">
        <v>0.0</v>
      </c>
      <c r="AF28" s="18">
        <v>0.0</v>
      </c>
      <c r="AG28" s="18">
        <v>0.0</v>
      </c>
      <c r="AH28" s="18">
        <v>0.0</v>
      </c>
      <c r="AI28" s="18">
        <v>0.0</v>
      </c>
      <c r="AJ28" s="13">
        <f t="shared" si="6"/>
        <v>0</v>
      </c>
      <c r="AK28" s="14">
        <f>330*AJ28</f>
        <v>0</v>
      </c>
      <c r="AL28" s="19"/>
      <c r="AM28" s="4"/>
      <c r="AN28" s="1"/>
      <c r="AO28" s="1"/>
      <c r="AP28" s="1"/>
      <c r="AQ28" s="1"/>
      <c r="AR28" s="1"/>
      <c r="AS28" s="1"/>
      <c r="AT28" s="1"/>
      <c r="AU28" s="1"/>
    </row>
    <row r="29" ht="15.75" customHeight="1">
      <c r="A29" s="16"/>
      <c r="B29" s="16"/>
      <c r="C29" s="16"/>
      <c r="D29" s="13" t="s">
        <v>6</v>
      </c>
      <c r="E29" s="30">
        <v>0.0</v>
      </c>
      <c r="F29" s="30">
        <v>0.0</v>
      </c>
      <c r="G29" s="30">
        <v>0.0</v>
      </c>
      <c r="H29" s="30">
        <v>0.0</v>
      </c>
      <c r="I29" s="30">
        <v>0.0</v>
      </c>
      <c r="J29" s="30">
        <v>0.0</v>
      </c>
      <c r="K29" s="30">
        <v>0.0</v>
      </c>
      <c r="L29" s="30">
        <v>0.0</v>
      </c>
      <c r="M29" s="30">
        <v>0.0</v>
      </c>
      <c r="N29" s="30">
        <v>0.0</v>
      </c>
      <c r="O29" s="30">
        <v>0.0</v>
      </c>
      <c r="P29" s="30">
        <v>0.0</v>
      </c>
      <c r="Q29" s="30">
        <v>0.0</v>
      </c>
      <c r="R29" s="30">
        <v>0.0</v>
      </c>
      <c r="S29" s="30">
        <v>0.0</v>
      </c>
      <c r="T29" s="30">
        <v>0.0</v>
      </c>
      <c r="U29" s="30">
        <v>0.0</v>
      </c>
      <c r="V29" s="30">
        <v>0.0</v>
      </c>
      <c r="W29" s="30">
        <v>0.0</v>
      </c>
      <c r="X29" s="30">
        <v>0.0</v>
      </c>
      <c r="Y29" s="30">
        <v>0.0</v>
      </c>
      <c r="Z29" s="30">
        <v>0.0</v>
      </c>
      <c r="AA29" s="30">
        <v>0.0</v>
      </c>
      <c r="AB29" s="30">
        <v>0.0</v>
      </c>
      <c r="AC29" s="30">
        <v>0.0</v>
      </c>
      <c r="AD29" s="30">
        <v>0.0</v>
      </c>
      <c r="AE29" s="30">
        <v>0.0</v>
      </c>
      <c r="AF29" s="30">
        <v>0.0</v>
      </c>
      <c r="AG29" s="30">
        <v>0.0</v>
      </c>
      <c r="AH29" s="30">
        <v>0.0</v>
      </c>
      <c r="AI29" s="30">
        <v>0.0</v>
      </c>
      <c r="AJ29" s="13">
        <f t="shared" si="6"/>
        <v>0</v>
      </c>
      <c r="AK29" s="14">
        <f t="shared" ref="AK29:AK30" si="12">550*AJ29</f>
        <v>0</v>
      </c>
      <c r="AL29" s="19"/>
      <c r="AM29" s="4"/>
      <c r="AN29" s="1"/>
      <c r="AO29" s="1"/>
      <c r="AP29" s="1"/>
      <c r="AQ29" s="1"/>
      <c r="AR29" s="1"/>
      <c r="AS29" s="1"/>
      <c r="AT29" s="1"/>
      <c r="AU29" s="1"/>
    </row>
    <row r="30" ht="15.75" customHeight="1">
      <c r="A30" s="10"/>
      <c r="B30" s="10"/>
      <c r="C30" s="10"/>
      <c r="D30" s="13" t="s">
        <v>7</v>
      </c>
      <c r="E30" s="30">
        <v>0.0</v>
      </c>
      <c r="F30" s="30">
        <v>0.0</v>
      </c>
      <c r="G30" s="30">
        <v>0.0</v>
      </c>
      <c r="H30" s="30">
        <v>0.0</v>
      </c>
      <c r="I30" s="30">
        <v>0.0</v>
      </c>
      <c r="J30" s="30">
        <v>0.0</v>
      </c>
      <c r="K30" s="30">
        <v>0.0</v>
      </c>
      <c r="L30" s="30">
        <v>0.0</v>
      </c>
      <c r="M30" s="30">
        <v>0.0</v>
      </c>
      <c r="N30" s="30">
        <v>0.0</v>
      </c>
      <c r="O30" s="30">
        <v>0.0</v>
      </c>
      <c r="P30" s="30">
        <v>0.0</v>
      </c>
      <c r="Q30" s="30">
        <v>0.0</v>
      </c>
      <c r="R30" s="30">
        <v>0.0</v>
      </c>
      <c r="S30" s="30">
        <v>0.0</v>
      </c>
      <c r="T30" s="30">
        <v>0.0</v>
      </c>
      <c r="U30" s="30">
        <v>0.0</v>
      </c>
      <c r="V30" s="30">
        <v>0.0</v>
      </c>
      <c r="W30" s="30">
        <v>0.0</v>
      </c>
      <c r="X30" s="30">
        <v>0.0</v>
      </c>
      <c r="Y30" s="30">
        <v>0.0</v>
      </c>
      <c r="Z30" s="30">
        <v>0.0</v>
      </c>
      <c r="AA30" s="30">
        <v>0.0</v>
      </c>
      <c r="AB30" s="30">
        <v>0.0</v>
      </c>
      <c r="AC30" s="30">
        <v>0.0</v>
      </c>
      <c r="AD30" s="30">
        <v>0.0</v>
      </c>
      <c r="AE30" s="30">
        <v>0.0</v>
      </c>
      <c r="AF30" s="30">
        <v>0.0</v>
      </c>
      <c r="AG30" s="30">
        <v>0.0</v>
      </c>
      <c r="AH30" s="30">
        <v>0.0</v>
      </c>
      <c r="AI30" s="30">
        <v>0.0</v>
      </c>
      <c r="AJ30" s="13">
        <f t="shared" si="6"/>
        <v>0</v>
      </c>
      <c r="AK30" s="14">
        <f t="shared" si="12"/>
        <v>0</v>
      </c>
      <c r="AL30" s="20">
        <f>SUM(AK28:AK30)</f>
        <v>0</v>
      </c>
      <c r="AM30" s="4"/>
      <c r="AN30" s="1"/>
      <c r="AO30" s="1"/>
      <c r="AP30" s="1"/>
      <c r="AQ30" s="1"/>
      <c r="AR30" s="1"/>
      <c r="AS30" s="1"/>
      <c r="AT30" s="1"/>
      <c r="AU30" s="1"/>
    </row>
    <row r="31" ht="15.75" customHeight="1">
      <c r="A31" s="12"/>
      <c r="B31" s="12"/>
      <c r="C31" s="12"/>
      <c r="D31" s="13" t="s">
        <v>5</v>
      </c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>
        <f t="shared" si="6"/>
        <v>0</v>
      </c>
      <c r="AK31" s="23">
        <f>330*AJ31</f>
        <v>0</v>
      </c>
      <c r="AL31" s="24"/>
      <c r="AM31" s="4"/>
      <c r="AN31" s="1"/>
      <c r="AO31" s="1"/>
      <c r="AP31" s="1"/>
      <c r="AQ31" s="1"/>
      <c r="AR31" s="1"/>
      <c r="AS31" s="1"/>
      <c r="AT31" s="1"/>
      <c r="AU31" s="1"/>
    </row>
    <row r="32" ht="15.75" customHeight="1">
      <c r="A32" s="16"/>
      <c r="B32" s="16"/>
      <c r="C32" s="16"/>
      <c r="D32" s="13" t="s">
        <v>6</v>
      </c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>
        <f t="shared" si="6"/>
        <v>0</v>
      </c>
      <c r="AK32" s="23">
        <f t="shared" ref="AK32:AK33" si="13">550*AJ32</f>
        <v>0</v>
      </c>
      <c r="AL32" s="24"/>
      <c r="AM32" s="4"/>
      <c r="AN32" s="1"/>
      <c r="AO32" s="1"/>
      <c r="AP32" s="1"/>
      <c r="AQ32" s="1"/>
      <c r="AR32" s="1"/>
      <c r="AS32" s="1"/>
      <c r="AT32" s="1"/>
      <c r="AU32" s="1"/>
    </row>
    <row r="33" ht="15.75" customHeight="1">
      <c r="A33" s="10"/>
      <c r="B33" s="10"/>
      <c r="C33" s="10"/>
      <c r="D33" s="13" t="s">
        <v>7</v>
      </c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>
        <f t="shared" si="6"/>
        <v>0</v>
      </c>
      <c r="AK33" s="23">
        <f t="shared" si="13"/>
        <v>0</v>
      </c>
      <c r="AL33" s="26">
        <f>SUM(AK31:AK33)</f>
        <v>0</v>
      </c>
      <c r="AM33" s="4"/>
      <c r="AN33" s="1"/>
      <c r="AO33" s="1"/>
      <c r="AP33" s="1"/>
      <c r="AQ33" s="1"/>
      <c r="AR33" s="1"/>
      <c r="AS33" s="1"/>
      <c r="AT33" s="1"/>
      <c r="AU33" s="1"/>
    </row>
    <row r="34" ht="15.75" customHeight="1">
      <c r="A34" s="12"/>
      <c r="B34" s="12"/>
      <c r="C34" s="12"/>
      <c r="D34" s="13" t="s">
        <v>5</v>
      </c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>
        <f t="shared" si="6"/>
        <v>0</v>
      </c>
      <c r="AK34" s="1"/>
      <c r="AL34" s="1"/>
      <c r="AM34" s="4"/>
      <c r="AN34" s="1"/>
      <c r="AO34" s="1"/>
      <c r="AP34" s="1"/>
      <c r="AQ34" s="1"/>
      <c r="AR34" s="1"/>
      <c r="AS34" s="1"/>
      <c r="AT34" s="1"/>
      <c r="AU34" s="1"/>
    </row>
    <row r="35" ht="15.75" customHeight="1">
      <c r="A35" s="16"/>
      <c r="B35" s="16"/>
      <c r="C35" s="16"/>
      <c r="D35" s="13" t="s">
        <v>6</v>
      </c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>
        <f t="shared" si="6"/>
        <v>0</v>
      </c>
      <c r="AK35" s="1"/>
      <c r="AL35" s="1"/>
      <c r="AM35" s="4"/>
      <c r="AN35" s="1"/>
      <c r="AO35" s="1"/>
      <c r="AP35" s="1"/>
      <c r="AQ35" s="1"/>
      <c r="AR35" s="1"/>
      <c r="AS35" s="1"/>
      <c r="AT35" s="1"/>
      <c r="AU35" s="1"/>
    </row>
    <row r="36" ht="15.75" customHeight="1">
      <c r="A36" s="10"/>
      <c r="B36" s="10"/>
      <c r="C36" s="10"/>
      <c r="D36" s="13" t="s">
        <v>7</v>
      </c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>
        <f t="shared" si="6"/>
        <v>0</v>
      </c>
      <c r="AK36" s="1"/>
      <c r="AL36" s="1"/>
      <c r="AM36" s="4"/>
      <c r="AN36" s="1"/>
      <c r="AO36" s="1"/>
      <c r="AP36" s="1"/>
      <c r="AQ36" s="1"/>
      <c r="AR36" s="1"/>
      <c r="AS36" s="1"/>
      <c r="AT36" s="1"/>
      <c r="AU36" s="1"/>
    </row>
    <row r="37" ht="15.75" customHeight="1">
      <c r="A37" s="12"/>
      <c r="B37" s="12"/>
      <c r="C37" s="12"/>
      <c r="D37" s="13" t="s">
        <v>5</v>
      </c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>
        <f t="shared" si="6"/>
        <v>0</v>
      </c>
      <c r="AK37" s="1"/>
      <c r="AL37" s="1"/>
      <c r="AM37" s="4"/>
      <c r="AN37" s="1"/>
      <c r="AO37" s="1"/>
      <c r="AP37" s="1"/>
      <c r="AQ37" s="1"/>
      <c r="AR37" s="1"/>
      <c r="AS37" s="1"/>
      <c r="AT37" s="1"/>
      <c r="AU37" s="1"/>
    </row>
    <row r="38" ht="15.75" customHeight="1">
      <c r="A38" s="16"/>
      <c r="B38" s="16"/>
      <c r="C38" s="16"/>
      <c r="D38" s="13" t="s">
        <v>6</v>
      </c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>
        <f t="shared" si="6"/>
        <v>0</v>
      </c>
      <c r="AK38" s="1"/>
      <c r="AL38" s="1"/>
      <c r="AM38" s="4"/>
      <c r="AN38" s="1"/>
      <c r="AO38" s="1"/>
      <c r="AP38" s="1"/>
      <c r="AQ38" s="1"/>
      <c r="AR38" s="1"/>
      <c r="AS38" s="1"/>
      <c r="AT38" s="1"/>
      <c r="AU38" s="1"/>
    </row>
    <row r="39" ht="15.75" customHeight="1">
      <c r="A39" s="10"/>
      <c r="B39" s="10"/>
      <c r="C39" s="10"/>
      <c r="D39" s="13" t="s">
        <v>7</v>
      </c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>
        <f t="shared" si="6"/>
        <v>0</v>
      </c>
      <c r="AK39" s="1"/>
      <c r="AL39" s="1"/>
      <c r="AM39" s="4"/>
      <c r="AN39" s="1"/>
      <c r="AO39" s="1"/>
      <c r="AP39" s="1"/>
      <c r="AQ39" s="1"/>
      <c r="AR39" s="1"/>
      <c r="AS39" s="1"/>
      <c r="AT39" s="1"/>
      <c r="AU39" s="1"/>
    </row>
    <row r="40" ht="15.75" customHeight="1">
      <c r="A40" s="12"/>
      <c r="B40" s="12"/>
      <c r="C40" s="12"/>
      <c r="D40" s="13" t="s">
        <v>5</v>
      </c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>
        <f t="shared" si="6"/>
        <v>0</v>
      </c>
      <c r="AK40" s="1"/>
      <c r="AL40" s="1"/>
      <c r="AM40" s="4"/>
      <c r="AN40" s="1"/>
      <c r="AO40" s="1"/>
      <c r="AP40" s="1"/>
      <c r="AQ40" s="1"/>
      <c r="AR40" s="1"/>
      <c r="AS40" s="1"/>
      <c r="AT40" s="1"/>
      <c r="AU40" s="1"/>
    </row>
    <row r="41" ht="15.75" customHeight="1">
      <c r="A41" s="16"/>
      <c r="B41" s="16"/>
      <c r="C41" s="16"/>
      <c r="D41" s="13" t="s">
        <v>6</v>
      </c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>
        <f t="shared" si="6"/>
        <v>0</v>
      </c>
      <c r="AK41" s="1"/>
      <c r="AL41" s="1"/>
      <c r="AM41" s="4"/>
      <c r="AN41" s="1"/>
      <c r="AO41" s="1"/>
      <c r="AP41" s="1"/>
      <c r="AQ41" s="1"/>
      <c r="AR41" s="1"/>
      <c r="AS41" s="1"/>
      <c r="AT41" s="1"/>
      <c r="AU41" s="1"/>
    </row>
    <row r="42" ht="15.75" customHeight="1">
      <c r="A42" s="10"/>
      <c r="B42" s="10"/>
      <c r="C42" s="10"/>
      <c r="D42" s="13" t="s">
        <v>7</v>
      </c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>
        <f t="shared" si="6"/>
        <v>0</v>
      </c>
      <c r="AK42" s="1"/>
      <c r="AL42" s="1"/>
      <c r="AM42" s="4"/>
      <c r="AN42" s="1"/>
      <c r="AO42" s="1"/>
      <c r="AP42" s="1"/>
      <c r="AQ42" s="1"/>
      <c r="AR42" s="1"/>
      <c r="AS42" s="1"/>
      <c r="AT42" s="1"/>
      <c r="AU42" s="1"/>
    </row>
    <row r="43" ht="15.75" customHeight="1">
      <c r="A43" s="12"/>
      <c r="B43" s="12"/>
      <c r="C43" s="12"/>
      <c r="D43" s="13" t="s">
        <v>5</v>
      </c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>
        <f t="shared" si="6"/>
        <v>0</v>
      </c>
      <c r="AK43" s="1"/>
      <c r="AL43" s="1"/>
      <c r="AM43" s="4"/>
      <c r="AN43" s="1"/>
      <c r="AO43" s="1"/>
      <c r="AP43" s="1"/>
      <c r="AQ43" s="1"/>
      <c r="AR43" s="1"/>
      <c r="AS43" s="1"/>
      <c r="AT43" s="1"/>
      <c r="AU43" s="1"/>
    </row>
    <row r="44" ht="15.75" customHeight="1">
      <c r="A44" s="16"/>
      <c r="B44" s="16"/>
      <c r="C44" s="16"/>
      <c r="D44" s="13" t="s">
        <v>6</v>
      </c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>
        <f t="shared" si="6"/>
        <v>0</v>
      </c>
      <c r="AK44" s="1"/>
      <c r="AL44" s="1"/>
      <c r="AM44" s="4"/>
      <c r="AN44" s="1"/>
      <c r="AO44" s="1"/>
      <c r="AP44" s="1"/>
      <c r="AQ44" s="1"/>
      <c r="AR44" s="1"/>
      <c r="AS44" s="1"/>
      <c r="AT44" s="1"/>
      <c r="AU44" s="1"/>
    </row>
    <row r="45" ht="15.75" customHeight="1">
      <c r="A45" s="10"/>
      <c r="B45" s="10"/>
      <c r="C45" s="10"/>
      <c r="D45" s="13" t="s">
        <v>7</v>
      </c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>
        <f t="shared" si="6"/>
        <v>0</v>
      </c>
      <c r="AK45" s="1"/>
      <c r="AL45" s="1"/>
      <c r="AM45" s="4"/>
      <c r="AN45" s="1"/>
      <c r="AO45" s="1"/>
      <c r="AP45" s="1"/>
      <c r="AQ45" s="1"/>
      <c r="AR45" s="1"/>
      <c r="AS45" s="1"/>
      <c r="AT45" s="1"/>
      <c r="AU45" s="1"/>
    </row>
    <row r="46" ht="15.75" customHeight="1">
      <c r="A46" s="12"/>
      <c r="B46" s="12"/>
      <c r="C46" s="12"/>
      <c r="D46" s="13" t="s">
        <v>5</v>
      </c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>
        <f t="shared" si="6"/>
        <v>0</v>
      </c>
      <c r="AK46" s="1"/>
      <c r="AL46" s="1"/>
      <c r="AM46" s="4"/>
      <c r="AN46" s="1"/>
      <c r="AO46" s="1"/>
      <c r="AP46" s="1"/>
      <c r="AQ46" s="1"/>
      <c r="AR46" s="1"/>
      <c r="AS46" s="1"/>
      <c r="AT46" s="1"/>
      <c r="AU46" s="1"/>
    </row>
    <row r="47" ht="15.75" customHeight="1">
      <c r="A47" s="16"/>
      <c r="B47" s="16"/>
      <c r="C47" s="16"/>
      <c r="D47" s="13" t="s">
        <v>6</v>
      </c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>
        <f t="shared" si="6"/>
        <v>0</v>
      </c>
      <c r="AK47" s="1"/>
      <c r="AL47" s="1"/>
      <c r="AM47" s="4"/>
      <c r="AN47" s="1"/>
      <c r="AO47" s="1"/>
      <c r="AP47" s="1"/>
      <c r="AQ47" s="1"/>
      <c r="AR47" s="1"/>
      <c r="AS47" s="1"/>
      <c r="AT47" s="1"/>
      <c r="AU47" s="1"/>
    </row>
    <row r="48" ht="15.75" customHeight="1">
      <c r="A48" s="10"/>
      <c r="B48" s="10"/>
      <c r="C48" s="10"/>
      <c r="D48" s="13" t="s">
        <v>7</v>
      </c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>
        <f t="shared" si="6"/>
        <v>0</v>
      </c>
      <c r="AK48" s="1"/>
      <c r="AL48" s="1"/>
      <c r="AM48" s="4"/>
      <c r="AN48" s="1"/>
      <c r="AO48" s="1"/>
      <c r="AP48" s="1"/>
      <c r="AQ48" s="1"/>
      <c r="AR48" s="1"/>
      <c r="AS48" s="1"/>
      <c r="AT48" s="1"/>
      <c r="AU48" s="1"/>
    </row>
    <row r="49" ht="15.75" customHeight="1">
      <c r="A49" s="12"/>
      <c r="B49" s="12"/>
      <c r="C49" s="12"/>
      <c r="D49" s="13" t="s">
        <v>5</v>
      </c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>
        <f t="shared" si="6"/>
        <v>0</v>
      </c>
      <c r="AK49" s="1"/>
      <c r="AL49" s="1"/>
      <c r="AM49" s="4"/>
      <c r="AN49" s="1"/>
      <c r="AO49" s="1"/>
      <c r="AP49" s="1"/>
      <c r="AQ49" s="1"/>
      <c r="AR49" s="1"/>
      <c r="AS49" s="1"/>
      <c r="AT49" s="1"/>
      <c r="AU49" s="1"/>
    </row>
    <row r="50" ht="15.75" customHeight="1">
      <c r="A50" s="16"/>
      <c r="B50" s="16"/>
      <c r="C50" s="16"/>
      <c r="D50" s="13" t="s">
        <v>6</v>
      </c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>
        <f t="shared" si="6"/>
        <v>0</v>
      </c>
      <c r="AK50" s="1"/>
      <c r="AL50" s="1"/>
      <c r="AM50" s="4"/>
      <c r="AN50" s="1"/>
      <c r="AO50" s="1"/>
      <c r="AP50" s="1"/>
      <c r="AQ50" s="1"/>
      <c r="AR50" s="1"/>
      <c r="AS50" s="1"/>
      <c r="AT50" s="1"/>
      <c r="AU50" s="1"/>
    </row>
    <row r="51" ht="15.75" customHeight="1">
      <c r="A51" s="10"/>
      <c r="B51" s="10"/>
      <c r="C51" s="10"/>
      <c r="D51" s="13" t="s">
        <v>7</v>
      </c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>
        <f t="shared" si="6"/>
        <v>0</v>
      </c>
      <c r="AK51" s="1"/>
      <c r="AL51" s="1"/>
      <c r="AM51" s="4"/>
      <c r="AN51" s="1"/>
      <c r="AO51" s="1"/>
      <c r="AP51" s="1"/>
      <c r="AQ51" s="1"/>
      <c r="AR51" s="1"/>
      <c r="AS51" s="1"/>
      <c r="AT51" s="1"/>
      <c r="AU51" s="1"/>
    </row>
    <row r="52" ht="15.75" customHeight="1">
      <c r="A52" s="12"/>
      <c r="B52" s="12"/>
      <c r="C52" s="12"/>
      <c r="D52" s="13" t="s">
        <v>5</v>
      </c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>
        <f t="shared" si="6"/>
        <v>0</v>
      </c>
      <c r="AK52" s="1"/>
      <c r="AL52" s="1"/>
      <c r="AM52" s="4"/>
      <c r="AN52" s="1"/>
      <c r="AO52" s="1"/>
      <c r="AP52" s="1"/>
      <c r="AQ52" s="1"/>
      <c r="AR52" s="1"/>
      <c r="AS52" s="1"/>
      <c r="AT52" s="1"/>
      <c r="AU52" s="1"/>
    </row>
    <row r="53" ht="15.75" customHeight="1">
      <c r="A53" s="16"/>
      <c r="B53" s="16"/>
      <c r="C53" s="16"/>
      <c r="D53" s="13" t="s">
        <v>6</v>
      </c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>
        <f t="shared" si="6"/>
        <v>0</v>
      </c>
      <c r="AK53" s="1"/>
      <c r="AL53" s="1"/>
      <c r="AM53" s="4"/>
      <c r="AN53" s="1"/>
      <c r="AO53" s="1"/>
      <c r="AP53" s="1"/>
      <c r="AQ53" s="1"/>
      <c r="AR53" s="1"/>
      <c r="AS53" s="1"/>
      <c r="AT53" s="1"/>
      <c r="AU53" s="1"/>
    </row>
    <row r="54" ht="15.75" customHeight="1">
      <c r="A54" s="10"/>
      <c r="B54" s="10"/>
      <c r="C54" s="10"/>
      <c r="D54" s="13" t="s">
        <v>7</v>
      </c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>
        <f t="shared" si="6"/>
        <v>0</v>
      </c>
      <c r="AK54" s="1"/>
      <c r="AL54" s="1"/>
      <c r="AM54" s="4"/>
      <c r="AN54" s="1"/>
      <c r="AO54" s="1"/>
      <c r="AP54" s="1"/>
      <c r="AQ54" s="1"/>
      <c r="AR54" s="1"/>
      <c r="AS54" s="1"/>
      <c r="AT54" s="1"/>
      <c r="AU54" s="1"/>
    </row>
    <row r="55" ht="15.75" customHeight="1">
      <c r="A55" s="12"/>
      <c r="B55" s="12"/>
      <c r="C55" s="12"/>
      <c r="D55" s="13" t="s">
        <v>5</v>
      </c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>
        <f t="shared" si="6"/>
        <v>0</v>
      </c>
      <c r="AK55" s="1"/>
      <c r="AL55" s="1"/>
      <c r="AM55" s="4"/>
      <c r="AN55" s="1"/>
      <c r="AO55" s="1"/>
      <c r="AP55" s="1"/>
      <c r="AQ55" s="1"/>
      <c r="AR55" s="1"/>
      <c r="AS55" s="1"/>
      <c r="AT55" s="1"/>
      <c r="AU55" s="1"/>
    </row>
    <row r="56" ht="15.75" customHeight="1">
      <c r="A56" s="16"/>
      <c r="B56" s="16"/>
      <c r="C56" s="16"/>
      <c r="D56" s="13" t="s">
        <v>6</v>
      </c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>
        <f t="shared" si="6"/>
        <v>0</v>
      </c>
      <c r="AK56" s="1"/>
      <c r="AL56" s="1"/>
      <c r="AM56" s="4"/>
      <c r="AN56" s="1"/>
      <c r="AO56" s="1"/>
      <c r="AP56" s="1"/>
      <c r="AQ56" s="1"/>
      <c r="AR56" s="1"/>
      <c r="AS56" s="1"/>
      <c r="AT56" s="1"/>
      <c r="AU56" s="1"/>
    </row>
    <row r="57" ht="15.75" customHeight="1">
      <c r="A57" s="10"/>
      <c r="B57" s="10"/>
      <c r="C57" s="10"/>
      <c r="D57" s="13" t="s">
        <v>7</v>
      </c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>
        <f t="shared" si="6"/>
        <v>0</v>
      </c>
      <c r="AK57" s="1"/>
      <c r="AL57" s="1"/>
      <c r="AM57" s="4"/>
      <c r="AN57" s="1"/>
      <c r="AO57" s="1"/>
      <c r="AP57" s="1"/>
      <c r="AQ57" s="1"/>
      <c r="AR57" s="1"/>
      <c r="AS57" s="1"/>
      <c r="AT57" s="1"/>
      <c r="AU57" s="1"/>
    </row>
    <row r="58" ht="15.75" customHeight="1">
      <c r="A58" s="12"/>
      <c r="B58" s="12"/>
      <c r="C58" s="12"/>
      <c r="D58" s="13" t="s">
        <v>5</v>
      </c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>
        <f t="shared" si="6"/>
        <v>0</v>
      </c>
      <c r="AK58" s="1"/>
      <c r="AL58" s="1"/>
      <c r="AM58" s="4"/>
      <c r="AN58" s="1"/>
      <c r="AO58" s="1"/>
      <c r="AP58" s="1"/>
      <c r="AQ58" s="1"/>
      <c r="AR58" s="1"/>
      <c r="AS58" s="1"/>
      <c r="AT58" s="1"/>
      <c r="AU58" s="1"/>
    </row>
    <row r="59" ht="15.75" customHeight="1">
      <c r="A59" s="16"/>
      <c r="B59" s="16"/>
      <c r="C59" s="16"/>
      <c r="D59" s="13" t="s">
        <v>6</v>
      </c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>
        <f t="shared" si="6"/>
        <v>0</v>
      </c>
      <c r="AK59" s="1"/>
      <c r="AL59" s="1"/>
      <c r="AM59" s="4"/>
      <c r="AN59" s="1"/>
      <c r="AO59" s="1"/>
      <c r="AP59" s="1"/>
      <c r="AQ59" s="1"/>
      <c r="AR59" s="1"/>
      <c r="AS59" s="1"/>
      <c r="AT59" s="1"/>
      <c r="AU59" s="1"/>
    </row>
    <row r="60" ht="15.75" customHeight="1">
      <c r="A60" s="10"/>
      <c r="B60" s="10"/>
      <c r="C60" s="10"/>
      <c r="D60" s="13" t="s">
        <v>7</v>
      </c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>
        <f t="shared" si="6"/>
        <v>0</v>
      </c>
      <c r="AK60" s="1"/>
      <c r="AL60" s="1"/>
      <c r="AM60" s="4"/>
      <c r="AN60" s="1"/>
      <c r="AO60" s="1"/>
      <c r="AP60" s="1"/>
      <c r="AQ60" s="1"/>
      <c r="AR60" s="1"/>
      <c r="AS60" s="1"/>
      <c r="AT60" s="1"/>
      <c r="AU60" s="1"/>
    </row>
    <row r="61" ht="15.75" customHeight="1">
      <c r="A61" s="12"/>
      <c r="B61" s="12"/>
      <c r="C61" s="12"/>
      <c r="D61" s="13" t="s">
        <v>5</v>
      </c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>
        <f t="shared" si="6"/>
        <v>0</v>
      </c>
      <c r="AK61" s="1"/>
      <c r="AL61" s="1"/>
      <c r="AM61" s="4"/>
      <c r="AN61" s="1"/>
      <c r="AO61" s="1"/>
      <c r="AP61" s="1"/>
      <c r="AQ61" s="1"/>
      <c r="AR61" s="1"/>
      <c r="AS61" s="1"/>
      <c r="AT61" s="1"/>
      <c r="AU61" s="1"/>
    </row>
    <row r="62" ht="15.75" customHeight="1">
      <c r="A62" s="16"/>
      <c r="B62" s="16"/>
      <c r="C62" s="16"/>
      <c r="D62" s="13" t="s">
        <v>6</v>
      </c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>
        <f t="shared" si="6"/>
        <v>0</v>
      </c>
      <c r="AK62" s="1"/>
      <c r="AL62" s="1"/>
      <c r="AM62" s="4"/>
      <c r="AN62" s="1"/>
      <c r="AO62" s="1"/>
      <c r="AP62" s="1"/>
      <c r="AQ62" s="1"/>
      <c r="AR62" s="1"/>
      <c r="AS62" s="1"/>
      <c r="AT62" s="1"/>
      <c r="AU62" s="1"/>
    </row>
    <row r="63" ht="15.75" customHeight="1">
      <c r="A63" s="10"/>
      <c r="B63" s="10"/>
      <c r="C63" s="10"/>
      <c r="D63" s="13" t="s">
        <v>7</v>
      </c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>
        <f t="shared" si="6"/>
        <v>0</v>
      </c>
      <c r="AK63" s="1"/>
      <c r="AL63" s="1"/>
      <c r="AM63" s="4"/>
      <c r="AN63" s="1"/>
      <c r="AO63" s="1"/>
      <c r="AP63" s="1"/>
      <c r="AQ63" s="1"/>
      <c r="AR63" s="1"/>
      <c r="AS63" s="1"/>
      <c r="AT63" s="1"/>
      <c r="AU63" s="1"/>
    </row>
    <row r="64" ht="15.75" customHeight="1">
      <c r="A64" s="12"/>
      <c r="B64" s="12"/>
      <c r="C64" s="12"/>
      <c r="D64" s="13" t="s">
        <v>5</v>
      </c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>
        <f t="shared" si="6"/>
        <v>0</v>
      </c>
      <c r="AK64" s="1"/>
      <c r="AL64" s="1"/>
      <c r="AM64" s="4"/>
      <c r="AN64" s="1"/>
      <c r="AO64" s="1"/>
      <c r="AP64" s="1"/>
      <c r="AQ64" s="1"/>
      <c r="AR64" s="1"/>
      <c r="AS64" s="1"/>
      <c r="AT64" s="1"/>
      <c r="AU64" s="1"/>
    </row>
    <row r="65" ht="15.75" customHeight="1">
      <c r="A65" s="16"/>
      <c r="B65" s="16"/>
      <c r="C65" s="16"/>
      <c r="D65" s="13" t="s">
        <v>6</v>
      </c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>
        <f t="shared" si="6"/>
        <v>0</v>
      </c>
      <c r="AK65" s="1"/>
      <c r="AL65" s="1"/>
      <c r="AM65" s="4"/>
      <c r="AN65" s="1"/>
      <c r="AO65" s="1"/>
      <c r="AP65" s="1"/>
      <c r="AQ65" s="1"/>
      <c r="AR65" s="1"/>
      <c r="AS65" s="1"/>
      <c r="AT65" s="1"/>
      <c r="AU65" s="1"/>
    </row>
    <row r="66" ht="15.75" customHeight="1">
      <c r="A66" s="10"/>
      <c r="B66" s="10"/>
      <c r="C66" s="10"/>
      <c r="D66" s="13" t="s">
        <v>7</v>
      </c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>
        <f t="shared" si="6"/>
        <v>0</v>
      </c>
      <c r="AK66" s="1"/>
      <c r="AL66" s="1"/>
      <c r="AM66" s="4"/>
      <c r="AN66" s="1"/>
      <c r="AO66" s="1"/>
      <c r="AP66" s="1"/>
      <c r="AQ66" s="1"/>
      <c r="AR66" s="1"/>
      <c r="AS66" s="1"/>
      <c r="AT66" s="1"/>
      <c r="AU66" s="1"/>
    </row>
    <row r="67" ht="15.75" customHeight="1">
      <c r="A67" s="12"/>
      <c r="B67" s="12"/>
      <c r="C67" s="12"/>
      <c r="D67" s="13" t="s">
        <v>5</v>
      </c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>
        <f t="shared" si="6"/>
        <v>0</v>
      </c>
      <c r="AK67" s="1"/>
      <c r="AL67" s="1"/>
      <c r="AM67" s="4"/>
      <c r="AN67" s="1"/>
      <c r="AO67" s="1"/>
      <c r="AP67" s="1"/>
      <c r="AQ67" s="1"/>
      <c r="AR67" s="1"/>
      <c r="AS67" s="1"/>
      <c r="AT67" s="1"/>
      <c r="AU67" s="1"/>
    </row>
    <row r="68" ht="15.75" customHeight="1">
      <c r="A68" s="16"/>
      <c r="B68" s="16"/>
      <c r="C68" s="16"/>
      <c r="D68" s="13" t="s">
        <v>6</v>
      </c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>
        <f t="shared" si="6"/>
        <v>0</v>
      </c>
      <c r="AK68" s="1"/>
      <c r="AL68" s="1"/>
      <c r="AM68" s="4"/>
      <c r="AN68" s="1"/>
      <c r="AO68" s="1"/>
      <c r="AP68" s="1"/>
      <c r="AQ68" s="1"/>
      <c r="AR68" s="1"/>
      <c r="AS68" s="1"/>
      <c r="AT68" s="1"/>
      <c r="AU68" s="1"/>
    </row>
    <row r="69" ht="15.75" customHeight="1">
      <c r="A69" s="10"/>
      <c r="B69" s="10"/>
      <c r="C69" s="10"/>
      <c r="D69" s="13" t="s">
        <v>7</v>
      </c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>
        <f t="shared" si="6"/>
        <v>0</v>
      </c>
      <c r="AK69" s="1"/>
      <c r="AL69" s="1"/>
      <c r="AM69" s="4"/>
      <c r="AN69" s="1"/>
      <c r="AO69" s="1"/>
      <c r="AP69" s="1"/>
      <c r="AQ69" s="1"/>
      <c r="AR69" s="1"/>
      <c r="AS69" s="1"/>
      <c r="AT69" s="1"/>
      <c r="AU69" s="1"/>
    </row>
    <row r="70" ht="15.75" customHeight="1">
      <c r="A70" s="12"/>
      <c r="B70" s="12"/>
      <c r="C70" s="12"/>
      <c r="D70" s="13" t="s">
        <v>5</v>
      </c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>
        <f t="shared" si="6"/>
        <v>0</v>
      </c>
      <c r="AK70" s="1"/>
      <c r="AL70" s="1"/>
      <c r="AM70" s="4"/>
      <c r="AN70" s="1"/>
      <c r="AO70" s="1"/>
      <c r="AP70" s="1"/>
      <c r="AQ70" s="1"/>
      <c r="AR70" s="1"/>
      <c r="AS70" s="1"/>
      <c r="AT70" s="1"/>
      <c r="AU70" s="1"/>
    </row>
    <row r="71" ht="15.75" customHeight="1">
      <c r="A71" s="16"/>
      <c r="B71" s="16"/>
      <c r="C71" s="16"/>
      <c r="D71" s="13" t="s">
        <v>6</v>
      </c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>
        <f t="shared" si="6"/>
        <v>0</v>
      </c>
      <c r="AK71" s="1"/>
      <c r="AL71" s="1"/>
      <c r="AM71" s="4"/>
      <c r="AN71" s="1"/>
      <c r="AO71" s="1"/>
      <c r="AP71" s="1"/>
      <c r="AQ71" s="1"/>
      <c r="AR71" s="1"/>
      <c r="AS71" s="1"/>
      <c r="AT71" s="1"/>
      <c r="AU71" s="1"/>
    </row>
    <row r="72" ht="15.75" customHeight="1">
      <c r="A72" s="10"/>
      <c r="B72" s="10"/>
      <c r="C72" s="10"/>
      <c r="D72" s="13" t="s">
        <v>7</v>
      </c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>
        <f t="shared" si="6"/>
        <v>0</v>
      </c>
      <c r="AK72" s="1"/>
      <c r="AL72" s="1"/>
      <c r="AM72" s="4"/>
      <c r="AN72" s="1"/>
      <c r="AO72" s="1"/>
      <c r="AP72" s="1"/>
      <c r="AQ72" s="1"/>
      <c r="AR72" s="1"/>
      <c r="AS72" s="1"/>
      <c r="AT72" s="1"/>
      <c r="AU72" s="1"/>
    </row>
    <row r="73" ht="15.75" customHeight="1">
      <c r="A73" s="31"/>
      <c r="B73" s="31"/>
      <c r="C73" s="3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4"/>
      <c r="AN73" s="1"/>
      <c r="AO73" s="1"/>
      <c r="AP73" s="1"/>
      <c r="AQ73" s="1"/>
      <c r="AR73" s="1"/>
      <c r="AS73" s="1"/>
      <c r="AT73" s="1"/>
      <c r="AU73" s="1"/>
    </row>
    <row r="74" ht="15.75" customHeight="1">
      <c r="A74" s="31"/>
      <c r="B74" s="31"/>
      <c r="C74" s="3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4"/>
      <c r="AN74" s="1"/>
      <c r="AO74" s="1"/>
      <c r="AP74" s="1"/>
      <c r="AQ74" s="1"/>
      <c r="AR74" s="1"/>
      <c r="AS74" s="1"/>
      <c r="AT74" s="1"/>
      <c r="AU74" s="1"/>
    </row>
    <row r="75" ht="15.75" customHeight="1">
      <c r="A75" s="31"/>
      <c r="B75" s="31"/>
      <c r="C75" s="3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4"/>
      <c r="AN75" s="1"/>
      <c r="AO75" s="1"/>
      <c r="AP75" s="1"/>
      <c r="AQ75" s="1"/>
      <c r="AR75" s="1"/>
      <c r="AS75" s="1"/>
      <c r="AT75" s="1"/>
      <c r="AU75" s="1"/>
    </row>
    <row r="76" ht="15.75" customHeight="1">
      <c r="A76" s="31"/>
      <c r="B76" s="31"/>
      <c r="C76" s="3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4"/>
      <c r="AN76" s="1"/>
      <c r="AO76" s="1"/>
      <c r="AP76" s="1"/>
      <c r="AQ76" s="1"/>
      <c r="AR76" s="1"/>
      <c r="AS76" s="1"/>
      <c r="AT76" s="1"/>
      <c r="AU76" s="1"/>
    </row>
    <row r="77" ht="15.75" customHeight="1">
      <c r="A77" s="31"/>
      <c r="B77" s="31"/>
      <c r="C77" s="3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4"/>
      <c r="AN77" s="1"/>
      <c r="AO77" s="1"/>
      <c r="AP77" s="1"/>
      <c r="AQ77" s="1"/>
      <c r="AR77" s="1"/>
      <c r="AS77" s="1"/>
      <c r="AT77" s="1"/>
      <c r="AU77" s="1"/>
    </row>
    <row r="78" ht="15.75" customHeight="1">
      <c r="A78" s="31"/>
      <c r="B78" s="31"/>
      <c r="C78" s="3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4"/>
      <c r="AN78" s="1"/>
      <c r="AO78" s="1"/>
      <c r="AP78" s="1"/>
      <c r="AQ78" s="1"/>
      <c r="AR78" s="1"/>
      <c r="AS78" s="1"/>
      <c r="AT78" s="1"/>
      <c r="AU78" s="1"/>
    </row>
    <row r="79" ht="15.75" customHeight="1">
      <c r="A79" s="31"/>
      <c r="B79" s="31"/>
      <c r="C79" s="3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4"/>
      <c r="AN79" s="1"/>
      <c r="AO79" s="1"/>
      <c r="AP79" s="1"/>
      <c r="AQ79" s="1"/>
      <c r="AR79" s="1"/>
      <c r="AS79" s="1"/>
      <c r="AT79" s="1"/>
      <c r="AU79" s="1"/>
    </row>
    <row r="80" ht="15.75" customHeight="1">
      <c r="A80" s="31"/>
      <c r="B80" s="31"/>
      <c r="C80" s="3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4"/>
      <c r="AN80" s="1"/>
      <c r="AO80" s="1"/>
      <c r="AP80" s="1"/>
      <c r="AQ80" s="1"/>
      <c r="AR80" s="1"/>
      <c r="AS80" s="1"/>
      <c r="AT80" s="1"/>
      <c r="AU80" s="1"/>
    </row>
    <row r="81" ht="15.75" customHeight="1">
      <c r="A81" s="31"/>
      <c r="B81" s="31"/>
      <c r="C81" s="3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4"/>
      <c r="AN81" s="1"/>
      <c r="AO81" s="1"/>
      <c r="AP81" s="1"/>
      <c r="AQ81" s="1"/>
      <c r="AR81" s="1"/>
      <c r="AS81" s="1"/>
      <c r="AT81" s="1"/>
      <c r="AU81" s="1"/>
    </row>
    <row r="82" ht="15.75" customHeight="1">
      <c r="A82" s="31"/>
      <c r="B82" s="31"/>
      <c r="C82" s="3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4"/>
      <c r="AN82" s="1"/>
      <c r="AO82" s="1"/>
      <c r="AP82" s="1"/>
      <c r="AQ82" s="1"/>
      <c r="AR82" s="1"/>
      <c r="AS82" s="1"/>
      <c r="AT82" s="1"/>
      <c r="AU82" s="1"/>
    </row>
    <row r="83" ht="15.75" customHeight="1">
      <c r="A83" s="31"/>
      <c r="B83" s="31"/>
      <c r="C83" s="3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4"/>
      <c r="AN83" s="1"/>
      <c r="AO83" s="1"/>
      <c r="AP83" s="1"/>
      <c r="AQ83" s="1"/>
      <c r="AR83" s="1"/>
      <c r="AS83" s="1"/>
      <c r="AT83" s="1"/>
      <c r="AU83" s="1"/>
    </row>
    <row r="84" ht="15.75" customHeight="1">
      <c r="A84" s="31"/>
      <c r="B84" s="31"/>
      <c r="C84" s="3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4"/>
      <c r="AN84" s="1"/>
      <c r="AO84" s="1"/>
      <c r="AP84" s="1"/>
      <c r="AQ84" s="1"/>
      <c r="AR84" s="1"/>
      <c r="AS84" s="1"/>
      <c r="AT84" s="1"/>
      <c r="AU84" s="1"/>
    </row>
    <row r="85" ht="15.75" customHeight="1">
      <c r="A85" s="31"/>
      <c r="B85" s="31"/>
      <c r="C85" s="3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4"/>
      <c r="AN85" s="1"/>
      <c r="AO85" s="1"/>
      <c r="AP85" s="1"/>
      <c r="AQ85" s="1"/>
      <c r="AR85" s="1"/>
      <c r="AS85" s="1"/>
      <c r="AT85" s="1"/>
      <c r="AU85" s="1"/>
    </row>
    <row r="86" ht="15.75" customHeight="1">
      <c r="A86" s="31"/>
      <c r="B86" s="31"/>
      <c r="C86" s="3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4"/>
      <c r="AN86" s="1"/>
      <c r="AO86" s="1"/>
      <c r="AP86" s="1"/>
      <c r="AQ86" s="1"/>
      <c r="AR86" s="1"/>
      <c r="AS86" s="1"/>
      <c r="AT86" s="1"/>
      <c r="AU86" s="1"/>
    </row>
    <row r="87" ht="15.75" customHeight="1">
      <c r="A87" s="31"/>
      <c r="B87" s="31"/>
      <c r="C87" s="3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4"/>
      <c r="AN87" s="1"/>
      <c r="AO87" s="1"/>
      <c r="AP87" s="1"/>
      <c r="AQ87" s="1"/>
      <c r="AR87" s="1"/>
      <c r="AS87" s="1"/>
      <c r="AT87" s="1"/>
      <c r="AU87" s="1"/>
    </row>
    <row r="88" ht="15.75" customHeight="1">
      <c r="A88" s="31"/>
      <c r="B88" s="31"/>
      <c r="C88" s="3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4"/>
      <c r="AN88" s="1"/>
      <c r="AO88" s="1"/>
      <c r="AP88" s="1"/>
      <c r="AQ88" s="1"/>
      <c r="AR88" s="1"/>
      <c r="AS88" s="1"/>
      <c r="AT88" s="1"/>
      <c r="AU88" s="1"/>
    </row>
    <row r="89" ht="15.75" customHeight="1">
      <c r="A89" s="31"/>
      <c r="B89" s="31"/>
      <c r="C89" s="3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4"/>
      <c r="AN89" s="1"/>
      <c r="AO89" s="1"/>
      <c r="AP89" s="1"/>
      <c r="AQ89" s="1"/>
      <c r="AR89" s="1"/>
      <c r="AS89" s="1"/>
      <c r="AT89" s="1"/>
      <c r="AU89" s="1"/>
    </row>
    <row r="90" ht="15.75" customHeight="1">
      <c r="A90" s="31"/>
      <c r="B90" s="31"/>
      <c r="C90" s="3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4"/>
      <c r="AN90" s="1"/>
      <c r="AO90" s="1"/>
      <c r="AP90" s="1"/>
      <c r="AQ90" s="1"/>
      <c r="AR90" s="1"/>
      <c r="AS90" s="1"/>
      <c r="AT90" s="1"/>
      <c r="AU90" s="1"/>
    </row>
    <row r="91" ht="15.75" customHeight="1">
      <c r="A91" s="31"/>
      <c r="B91" s="31"/>
      <c r="C91" s="3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4"/>
      <c r="AN91" s="1"/>
      <c r="AO91" s="1"/>
      <c r="AP91" s="1"/>
      <c r="AQ91" s="1"/>
      <c r="AR91" s="1"/>
      <c r="AS91" s="1"/>
      <c r="AT91" s="1"/>
      <c r="AU91" s="1"/>
    </row>
    <row r="92" ht="15.75" customHeight="1">
      <c r="A92" s="31"/>
      <c r="B92" s="31"/>
      <c r="C92" s="3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4"/>
      <c r="AN92" s="1"/>
      <c r="AO92" s="1"/>
      <c r="AP92" s="1"/>
      <c r="AQ92" s="1"/>
      <c r="AR92" s="1"/>
      <c r="AS92" s="1"/>
      <c r="AT92" s="1"/>
      <c r="AU92" s="1"/>
    </row>
    <row r="93" ht="15.75" customHeight="1">
      <c r="A93" s="31"/>
      <c r="B93" s="31"/>
      <c r="C93" s="3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4"/>
      <c r="AN93" s="1"/>
      <c r="AO93" s="1"/>
      <c r="AP93" s="1"/>
      <c r="AQ93" s="1"/>
      <c r="AR93" s="1"/>
      <c r="AS93" s="1"/>
      <c r="AT93" s="1"/>
      <c r="AU93" s="1"/>
    </row>
    <row r="94" ht="15.75" customHeight="1">
      <c r="A94" s="31"/>
      <c r="B94" s="31"/>
      <c r="C94" s="3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4"/>
      <c r="AN94" s="1"/>
      <c r="AO94" s="1"/>
      <c r="AP94" s="1"/>
      <c r="AQ94" s="1"/>
      <c r="AR94" s="1"/>
      <c r="AS94" s="1"/>
      <c r="AT94" s="1"/>
      <c r="AU94" s="1"/>
    </row>
    <row r="95" ht="15.75" customHeight="1">
      <c r="A95" s="31"/>
      <c r="B95" s="31"/>
      <c r="C95" s="3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4"/>
      <c r="AN95" s="1"/>
      <c r="AO95" s="1"/>
      <c r="AP95" s="1"/>
      <c r="AQ95" s="1"/>
      <c r="AR95" s="1"/>
      <c r="AS95" s="1"/>
      <c r="AT95" s="1"/>
      <c r="AU95" s="1"/>
    </row>
    <row r="96" ht="15.75" customHeight="1">
      <c r="A96" s="31"/>
      <c r="B96" s="31"/>
      <c r="C96" s="3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4"/>
      <c r="AN96" s="1"/>
      <c r="AO96" s="1"/>
      <c r="AP96" s="1"/>
      <c r="AQ96" s="1"/>
      <c r="AR96" s="1"/>
      <c r="AS96" s="1"/>
      <c r="AT96" s="1"/>
      <c r="AU96" s="1"/>
    </row>
    <row r="97" ht="15.75" customHeight="1">
      <c r="A97" s="31"/>
      <c r="B97" s="31"/>
      <c r="C97" s="3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4"/>
      <c r="AN97" s="1"/>
      <c r="AO97" s="1"/>
      <c r="AP97" s="1"/>
      <c r="AQ97" s="1"/>
      <c r="AR97" s="1"/>
      <c r="AS97" s="1"/>
      <c r="AT97" s="1"/>
      <c r="AU97" s="1"/>
    </row>
    <row r="98" ht="15.75" customHeight="1">
      <c r="A98" s="31"/>
      <c r="B98" s="31"/>
      <c r="C98" s="3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4"/>
      <c r="AN98" s="1"/>
      <c r="AO98" s="1"/>
      <c r="AP98" s="1"/>
      <c r="AQ98" s="1"/>
      <c r="AR98" s="1"/>
      <c r="AS98" s="1"/>
      <c r="AT98" s="1"/>
      <c r="AU98" s="1"/>
    </row>
    <row r="99" ht="15.75" customHeight="1">
      <c r="A99" s="31"/>
      <c r="B99" s="31"/>
      <c r="C99" s="3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4"/>
      <c r="AN99" s="1"/>
      <c r="AO99" s="1"/>
      <c r="AP99" s="1"/>
      <c r="AQ99" s="1"/>
      <c r="AR99" s="1"/>
      <c r="AS99" s="1"/>
      <c r="AT99" s="1"/>
      <c r="AU99" s="1"/>
    </row>
    <row r="100" ht="15.75" customHeight="1">
      <c r="A100" s="31"/>
      <c r="B100" s="31"/>
      <c r="C100" s="3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4"/>
      <c r="AN100" s="1"/>
      <c r="AO100" s="1"/>
      <c r="AP100" s="1"/>
      <c r="AQ100" s="1"/>
      <c r="AR100" s="1"/>
      <c r="AS100" s="1"/>
      <c r="AT100" s="1"/>
      <c r="AU100" s="1"/>
    </row>
    <row r="101" ht="15.75" customHeight="1">
      <c r="A101" s="31"/>
      <c r="B101" s="31"/>
      <c r="C101" s="3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4"/>
      <c r="AN101" s="1"/>
      <c r="AO101" s="1"/>
      <c r="AP101" s="1"/>
      <c r="AQ101" s="1"/>
      <c r="AR101" s="1"/>
      <c r="AS101" s="1"/>
      <c r="AT101" s="1"/>
      <c r="AU101" s="1"/>
    </row>
    <row r="102" ht="15.75" customHeight="1">
      <c r="A102" s="31"/>
      <c r="B102" s="31"/>
      <c r="C102" s="3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4"/>
      <c r="AN102" s="1"/>
      <c r="AO102" s="1"/>
      <c r="AP102" s="1"/>
      <c r="AQ102" s="1"/>
      <c r="AR102" s="1"/>
      <c r="AS102" s="1"/>
      <c r="AT102" s="1"/>
      <c r="AU102" s="1"/>
    </row>
    <row r="103" ht="15.75" customHeight="1">
      <c r="A103" s="31"/>
      <c r="B103" s="31"/>
      <c r="C103" s="3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4"/>
      <c r="AN103" s="1"/>
      <c r="AO103" s="1"/>
      <c r="AP103" s="1"/>
      <c r="AQ103" s="1"/>
      <c r="AR103" s="1"/>
      <c r="AS103" s="1"/>
      <c r="AT103" s="1"/>
      <c r="AU103" s="1"/>
    </row>
    <row r="104" ht="15.75" customHeight="1">
      <c r="A104" s="31"/>
      <c r="B104" s="31"/>
      <c r="C104" s="3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4"/>
      <c r="AN104" s="1"/>
      <c r="AO104" s="1"/>
      <c r="AP104" s="1"/>
      <c r="AQ104" s="1"/>
      <c r="AR104" s="1"/>
      <c r="AS104" s="1"/>
      <c r="AT104" s="1"/>
      <c r="AU104" s="1"/>
    </row>
    <row r="105" ht="15.75" customHeight="1">
      <c r="A105" s="31"/>
      <c r="B105" s="31"/>
      <c r="C105" s="3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4"/>
      <c r="AN105" s="1"/>
      <c r="AO105" s="1"/>
      <c r="AP105" s="1"/>
      <c r="AQ105" s="1"/>
      <c r="AR105" s="1"/>
      <c r="AS105" s="1"/>
      <c r="AT105" s="1"/>
      <c r="AU105" s="1"/>
    </row>
    <row r="106" ht="15.75" customHeight="1">
      <c r="A106" s="31"/>
      <c r="B106" s="31"/>
      <c r="C106" s="3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4"/>
      <c r="AN106" s="1"/>
      <c r="AO106" s="1"/>
      <c r="AP106" s="1"/>
      <c r="AQ106" s="1"/>
      <c r="AR106" s="1"/>
      <c r="AS106" s="1"/>
      <c r="AT106" s="1"/>
      <c r="AU106" s="1"/>
    </row>
    <row r="107" ht="15.75" customHeight="1">
      <c r="A107" s="31"/>
      <c r="B107" s="31"/>
      <c r="C107" s="3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4"/>
      <c r="AN107" s="1"/>
      <c r="AO107" s="1"/>
      <c r="AP107" s="1"/>
      <c r="AQ107" s="1"/>
      <c r="AR107" s="1"/>
      <c r="AS107" s="1"/>
      <c r="AT107" s="1"/>
      <c r="AU107" s="1"/>
    </row>
    <row r="108" ht="15.75" customHeight="1">
      <c r="A108" s="31"/>
      <c r="B108" s="31"/>
      <c r="C108" s="3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4"/>
      <c r="AN108" s="1"/>
      <c r="AO108" s="1"/>
      <c r="AP108" s="1"/>
      <c r="AQ108" s="1"/>
      <c r="AR108" s="1"/>
      <c r="AS108" s="1"/>
      <c r="AT108" s="1"/>
      <c r="AU108" s="1"/>
    </row>
    <row r="109" ht="15.75" customHeight="1">
      <c r="A109" s="31"/>
      <c r="B109" s="31"/>
      <c r="C109" s="3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4"/>
      <c r="AN109" s="1"/>
      <c r="AO109" s="1"/>
      <c r="AP109" s="1"/>
      <c r="AQ109" s="1"/>
      <c r="AR109" s="1"/>
      <c r="AS109" s="1"/>
      <c r="AT109" s="1"/>
      <c r="AU109" s="1"/>
    </row>
    <row r="110" ht="15.75" customHeight="1">
      <c r="A110" s="31"/>
      <c r="B110" s="31"/>
      <c r="C110" s="3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4"/>
      <c r="AN110" s="1"/>
      <c r="AO110" s="1"/>
      <c r="AP110" s="1"/>
      <c r="AQ110" s="1"/>
      <c r="AR110" s="1"/>
      <c r="AS110" s="1"/>
      <c r="AT110" s="1"/>
      <c r="AU110" s="1"/>
    </row>
    <row r="111" ht="15.75" customHeight="1">
      <c r="A111" s="31"/>
      <c r="B111" s="31"/>
      <c r="C111" s="3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4"/>
      <c r="AN111" s="1"/>
      <c r="AO111" s="1"/>
      <c r="AP111" s="1"/>
      <c r="AQ111" s="1"/>
      <c r="AR111" s="1"/>
      <c r="AS111" s="1"/>
      <c r="AT111" s="1"/>
      <c r="AU111" s="1"/>
    </row>
    <row r="112" ht="15.75" customHeight="1">
      <c r="A112" s="31"/>
      <c r="B112" s="31"/>
      <c r="C112" s="3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4"/>
      <c r="AN112" s="1"/>
      <c r="AO112" s="1"/>
      <c r="AP112" s="1"/>
      <c r="AQ112" s="1"/>
      <c r="AR112" s="1"/>
      <c r="AS112" s="1"/>
      <c r="AT112" s="1"/>
      <c r="AU112" s="1"/>
    </row>
    <row r="113" ht="15.75" customHeight="1">
      <c r="A113" s="31"/>
      <c r="B113" s="31"/>
      <c r="C113" s="3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4"/>
      <c r="AN113" s="1"/>
      <c r="AO113" s="1"/>
      <c r="AP113" s="1"/>
      <c r="AQ113" s="1"/>
      <c r="AR113" s="1"/>
      <c r="AS113" s="1"/>
      <c r="AT113" s="1"/>
      <c r="AU113" s="1"/>
    </row>
    <row r="114" ht="15.75" customHeight="1">
      <c r="A114" s="31"/>
      <c r="B114" s="31"/>
      <c r="C114" s="3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4"/>
      <c r="AN114" s="1"/>
      <c r="AO114" s="1"/>
      <c r="AP114" s="1"/>
      <c r="AQ114" s="1"/>
      <c r="AR114" s="1"/>
      <c r="AS114" s="1"/>
      <c r="AT114" s="1"/>
      <c r="AU114" s="1"/>
    </row>
    <row r="115" ht="15.75" customHeight="1">
      <c r="A115" s="31"/>
      <c r="B115" s="31"/>
      <c r="C115" s="3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4"/>
      <c r="AN115" s="1"/>
      <c r="AO115" s="1"/>
      <c r="AP115" s="1"/>
      <c r="AQ115" s="1"/>
      <c r="AR115" s="1"/>
      <c r="AS115" s="1"/>
      <c r="AT115" s="1"/>
      <c r="AU115" s="1"/>
    </row>
    <row r="116" ht="15.75" customHeight="1">
      <c r="A116" s="31"/>
      <c r="B116" s="31"/>
      <c r="C116" s="3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4"/>
      <c r="AN116" s="1"/>
      <c r="AO116" s="1"/>
      <c r="AP116" s="1"/>
      <c r="AQ116" s="1"/>
      <c r="AR116" s="1"/>
      <c r="AS116" s="1"/>
      <c r="AT116" s="1"/>
      <c r="AU116" s="1"/>
    </row>
    <row r="117" ht="15.75" customHeight="1">
      <c r="A117" s="31"/>
      <c r="B117" s="31"/>
      <c r="C117" s="3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4"/>
      <c r="AN117" s="1"/>
      <c r="AO117" s="1"/>
      <c r="AP117" s="1"/>
      <c r="AQ117" s="1"/>
      <c r="AR117" s="1"/>
      <c r="AS117" s="1"/>
      <c r="AT117" s="1"/>
      <c r="AU117" s="1"/>
    </row>
    <row r="118" ht="15.75" customHeight="1">
      <c r="A118" s="31"/>
      <c r="B118" s="31"/>
      <c r="C118" s="3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4"/>
      <c r="AN118" s="1"/>
      <c r="AO118" s="1"/>
      <c r="AP118" s="1"/>
      <c r="AQ118" s="1"/>
      <c r="AR118" s="1"/>
      <c r="AS118" s="1"/>
      <c r="AT118" s="1"/>
      <c r="AU118" s="1"/>
    </row>
    <row r="119" ht="15.75" customHeight="1">
      <c r="A119" s="31"/>
      <c r="B119" s="31"/>
      <c r="C119" s="3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4"/>
      <c r="AN119" s="1"/>
      <c r="AO119" s="1"/>
      <c r="AP119" s="1"/>
      <c r="AQ119" s="1"/>
      <c r="AR119" s="1"/>
      <c r="AS119" s="1"/>
      <c r="AT119" s="1"/>
      <c r="AU119" s="1"/>
    </row>
    <row r="120" ht="15.75" customHeight="1">
      <c r="A120" s="31"/>
      <c r="B120" s="31"/>
      <c r="C120" s="3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4"/>
      <c r="AN120" s="1"/>
      <c r="AO120" s="1"/>
      <c r="AP120" s="1"/>
      <c r="AQ120" s="1"/>
      <c r="AR120" s="1"/>
      <c r="AS120" s="1"/>
      <c r="AT120" s="1"/>
      <c r="AU120" s="1"/>
    </row>
    <row r="121" ht="15.75" customHeight="1">
      <c r="A121" s="31"/>
      <c r="B121" s="31"/>
      <c r="C121" s="3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4"/>
      <c r="AN121" s="1"/>
      <c r="AO121" s="1"/>
      <c r="AP121" s="1"/>
      <c r="AQ121" s="1"/>
      <c r="AR121" s="1"/>
      <c r="AS121" s="1"/>
      <c r="AT121" s="1"/>
      <c r="AU121" s="1"/>
    </row>
    <row r="122" ht="15.75" customHeight="1">
      <c r="A122" s="31"/>
      <c r="B122" s="31"/>
      <c r="C122" s="3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4"/>
      <c r="AN122" s="1"/>
      <c r="AO122" s="1"/>
      <c r="AP122" s="1"/>
      <c r="AQ122" s="1"/>
      <c r="AR122" s="1"/>
      <c r="AS122" s="1"/>
      <c r="AT122" s="1"/>
      <c r="AU122" s="1"/>
    </row>
    <row r="123" ht="15.75" customHeight="1">
      <c r="A123" s="31"/>
      <c r="B123" s="31"/>
      <c r="C123" s="3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4"/>
      <c r="AN123" s="1"/>
      <c r="AO123" s="1"/>
      <c r="AP123" s="1"/>
      <c r="AQ123" s="1"/>
      <c r="AR123" s="1"/>
      <c r="AS123" s="1"/>
      <c r="AT123" s="1"/>
      <c r="AU123" s="1"/>
    </row>
    <row r="124" ht="15.75" customHeight="1">
      <c r="A124" s="31"/>
      <c r="B124" s="31"/>
      <c r="C124" s="3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4"/>
      <c r="AN124" s="1"/>
      <c r="AO124" s="1"/>
      <c r="AP124" s="1"/>
      <c r="AQ124" s="1"/>
      <c r="AR124" s="1"/>
      <c r="AS124" s="1"/>
      <c r="AT124" s="1"/>
      <c r="AU124" s="1"/>
    </row>
    <row r="125" ht="15.75" customHeight="1">
      <c r="A125" s="31"/>
      <c r="B125" s="31"/>
      <c r="C125" s="3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4"/>
      <c r="AN125" s="1"/>
      <c r="AO125" s="1"/>
      <c r="AP125" s="1"/>
      <c r="AQ125" s="1"/>
      <c r="AR125" s="1"/>
      <c r="AS125" s="1"/>
      <c r="AT125" s="1"/>
      <c r="AU125" s="1"/>
    </row>
    <row r="126" ht="15.75" customHeight="1">
      <c r="A126" s="31"/>
      <c r="B126" s="31"/>
      <c r="C126" s="3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4"/>
      <c r="AN126" s="1"/>
      <c r="AO126" s="1"/>
      <c r="AP126" s="1"/>
      <c r="AQ126" s="1"/>
      <c r="AR126" s="1"/>
      <c r="AS126" s="1"/>
      <c r="AT126" s="1"/>
      <c r="AU126" s="1"/>
    </row>
    <row r="127" ht="15.75" customHeight="1">
      <c r="A127" s="31"/>
      <c r="B127" s="31"/>
      <c r="C127" s="3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4"/>
      <c r="AN127" s="1"/>
      <c r="AO127" s="1"/>
      <c r="AP127" s="1"/>
      <c r="AQ127" s="1"/>
      <c r="AR127" s="1"/>
      <c r="AS127" s="1"/>
      <c r="AT127" s="1"/>
      <c r="AU127" s="1"/>
    </row>
    <row r="128" ht="15.75" customHeight="1">
      <c r="A128" s="31"/>
      <c r="B128" s="31"/>
      <c r="C128" s="3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4"/>
      <c r="AN128" s="1"/>
      <c r="AO128" s="1"/>
      <c r="AP128" s="1"/>
      <c r="AQ128" s="1"/>
      <c r="AR128" s="1"/>
      <c r="AS128" s="1"/>
      <c r="AT128" s="1"/>
      <c r="AU128" s="1"/>
    </row>
    <row r="129" ht="15.75" customHeight="1">
      <c r="A129" s="31"/>
      <c r="B129" s="31"/>
      <c r="C129" s="3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4"/>
      <c r="AN129" s="1"/>
      <c r="AO129" s="1"/>
      <c r="AP129" s="1"/>
      <c r="AQ129" s="1"/>
      <c r="AR129" s="1"/>
      <c r="AS129" s="1"/>
      <c r="AT129" s="1"/>
      <c r="AU129" s="1"/>
    </row>
    <row r="130" ht="15.75" customHeight="1">
      <c r="A130" s="31"/>
      <c r="B130" s="31"/>
      <c r="C130" s="3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4"/>
      <c r="AN130" s="1"/>
      <c r="AO130" s="1"/>
      <c r="AP130" s="1"/>
      <c r="AQ130" s="1"/>
      <c r="AR130" s="1"/>
      <c r="AS130" s="1"/>
      <c r="AT130" s="1"/>
      <c r="AU130" s="1"/>
    </row>
    <row r="131" ht="15.75" customHeight="1">
      <c r="A131" s="31"/>
      <c r="B131" s="31"/>
      <c r="C131" s="3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4"/>
      <c r="AN131" s="1"/>
      <c r="AO131" s="1"/>
      <c r="AP131" s="1"/>
      <c r="AQ131" s="1"/>
      <c r="AR131" s="1"/>
      <c r="AS131" s="1"/>
      <c r="AT131" s="1"/>
      <c r="AU131" s="1"/>
    </row>
    <row r="132" ht="15.75" customHeight="1">
      <c r="A132" s="31"/>
      <c r="B132" s="31"/>
      <c r="C132" s="3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4"/>
      <c r="AN132" s="1"/>
      <c r="AO132" s="1"/>
      <c r="AP132" s="1"/>
      <c r="AQ132" s="1"/>
      <c r="AR132" s="1"/>
      <c r="AS132" s="1"/>
      <c r="AT132" s="1"/>
      <c r="AU132" s="1"/>
    </row>
    <row r="133" ht="15.75" customHeight="1">
      <c r="A133" s="31"/>
      <c r="B133" s="31"/>
      <c r="C133" s="3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4"/>
      <c r="AN133" s="1"/>
      <c r="AO133" s="1"/>
      <c r="AP133" s="1"/>
      <c r="AQ133" s="1"/>
      <c r="AR133" s="1"/>
      <c r="AS133" s="1"/>
      <c r="AT133" s="1"/>
      <c r="AU133" s="1"/>
    </row>
    <row r="134" ht="15.75" customHeight="1">
      <c r="A134" s="31"/>
      <c r="B134" s="31"/>
      <c r="C134" s="3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4"/>
      <c r="AN134" s="1"/>
      <c r="AO134" s="1"/>
      <c r="AP134" s="1"/>
      <c r="AQ134" s="1"/>
      <c r="AR134" s="1"/>
      <c r="AS134" s="1"/>
      <c r="AT134" s="1"/>
      <c r="AU134" s="1"/>
    </row>
    <row r="135" ht="15.75" customHeight="1">
      <c r="A135" s="31"/>
      <c r="B135" s="31"/>
      <c r="C135" s="3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4"/>
      <c r="AN135" s="1"/>
      <c r="AO135" s="1"/>
      <c r="AP135" s="1"/>
      <c r="AQ135" s="1"/>
      <c r="AR135" s="1"/>
      <c r="AS135" s="1"/>
      <c r="AT135" s="1"/>
      <c r="AU135" s="1"/>
    </row>
    <row r="136" ht="15.75" customHeight="1">
      <c r="A136" s="31"/>
      <c r="B136" s="31"/>
      <c r="C136" s="3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4"/>
      <c r="AN136" s="1"/>
      <c r="AO136" s="1"/>
      <c r="AP136" s="1"/>
      <c r="AQ136" s="1"/>
      <c r="AR136" s="1"/>
      <c r="AS136" s="1"/>
      <c r="AT136" s="1"/>
      <c r="AU136" s="1"/>
    </row>
    <row r="137" ht="15.75" customHeight="1">
      <c r="A137" s="31"/>
      <c r="B137" s="31"/>
      <c r="C137" s="3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4"/>
      <c r="AN137" s="1"/>
      <c r="AO137" s="1"/>
      <c r="AP137" s="1"/>
      <c r="AQ137" s="1"/>
      <c r="AR137" s="1"/>
      <c r="AS137" s="1"/>
      <c r="AT137" s="1"/>
      <c r="AU137" s="1"/>
    </row>
    <row r="138" ht="15.75" customHeight="1">
      <c r="A138" s="31"/>
      <c r="B138" s="31"/>
      <c r="C138" s="3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4"/>
      <c r="AN138" s="1"/>
      <c r="AO138" s="1"/>
      <c r="AP138" s="1"/>
      <c r="AQ138" s="1"/>
      <c r="AR138" s="1"/>
      <c r="AS138" s="1"/>
      <c r="AT138" s="1"/>
      <c r="AU138" s="1"/>
    </row>
    <row r="139" ht="15.75" customHeight="1">
      <c r="A139" s="31"/>
      <c r="B139" s="31"/>
      <c r="C139" s="3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4"/>
      <c r="AN139" s="1"/>
      <c r="AO139" s="1"/>
      <c r="AP139" s="1"/>
      <c r="AQ139" s="1"/>
      <c r="AR139" s="1"/>
      <c r="AS139" s="1"/>
      <c r="AT139" s="1"/>
      <c r="AU139" s="1"/>
    </row>
    <row r="140" ht="15.75" customHeight="1">
      <c r="A140" s="31"/>
      <c r="B140" s="31"/>
      <c r="C140" s="3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4"/>
      <c r="AN140" s="1"/>
      <c r="AO140" s="1"/>
      <c r="AP140" s="1"/>
      <c r="AQ140" s="1"/>
      <c r="AR140" s="1"/>
      <c r="AS140" s="1"/>
      <c r="AT140" s="1"/>
      <c r="AU140" s="1"/>
    </row>
    <row r="141" ht="15.75" customHeight="1">
      <c r="A141" s="31"/>
      <c r="B141" s="31"/>
      <c r="C141" s="3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4"/>
      <c r="AN141" s="1"/>
      <c r="AO141" s="1"/>
      <c r="AP141" s="1"/>
      <c r="AQ141" s="1"/>
      <c r="AR141" s="1"/>
      <c r="AS141" s="1"/>
      <c r="AT141" s="1"/>
      <c r="AU141" s="1"/>
    </row>
    <row r="142" ht="15.75" customHeight="1">
      <c r="A142" s="31"/>
      <c r="B142" s="31"/>
      <c r="C142" s="3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4"/>
      <c r="AN142" s="1"/>
      <c r="AO142" s="1"/>
      <c r="AP142" s="1"/>
      <c r="AQ142" s="1"/>
      <c r="AR142" s="1"/>
      <c r="AS142" s="1"/>
      <c r="AT142" s="1"/>
      <c r="AU142" s="1"/>
    </row>
    <row r="143" ht="15.75" customHeight="1">
      <c r="A143" s="31"/>
      <c r="B143" s="31"/>
      <c r="C143" s="3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4"/>
      <c r="AN143" s="1"/>
      <c r="AO143" s="1"/>
      <c r="AP143" s="1"/>
      <c r="AQ143" s="1"/>
      <c r="AR143" s="1"/>
      <c r="AS143" s="1"/>
      <c r="AT143" s="1"/>
      <c r="AU143" s="1"/>
    </row>
    <row r="144" ht="15.75" customHeight="1">
      <c r="A144" s="31"/>
      <c r="B144" s="31"/>
      <c r="C144" s="3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4"/>
      <c r="AN144" s="1"/>
      <c r="AO144" s="1"/>
      <c r="AP144" s="1"/>
      <c r="AQ144" s="1"/>
      <c r="AR144" s="1"/>
      <c r="AS144" s="1"/>
      <c r="AT144" s="1"/>
      <c r="AU144" s="1"/>
    </row>
    <row r="145" ht="15.75" customHeight="1">
      <c r="A145" s="31"/>
      <c r="B145" s="31"/>
      <c r="C145" s="3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4"/>
      <c r="AN145" s="1"/>
      <c r="AO145" s="1"/>
      <c r="AP145" s="1"/>
      <c r="AQ145" s="1"/>
      <c r="AR145" s="1"/>
      <c r="AS145" s="1"/>
      <c r="AT145" s="1"/>
      <c r="AU145" s="1"/>
    </row>
    <row r="146" ht="15.75" customHeight="1">
      <c r="A146" s="31"/>
      <c r="B146" s="31"/>
      <c r="C146" s="3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4"/>
      <c r="AN146" s="1"/>
      <c r="AO146" s="1"/>
      <c r="AP146" s="1"/>
      <c r="AQ146" s="1"/>
      <c r="AR146" s="1"/>
      <c r="AS146" s="1"/>
      <c r="AT146" s="1"/>
      <c r="AU146" s="1"/>
    </row>
    <row r="147" ht="15.75" customHeight="1">
      <c r="A147" s="31"/>
      <c r="B147" s="31"/>
      <c r="C147" s="3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4"/>
      <c r="AN147" s="1"/>
      <c r="AO147" s="1"/>
      <c r="AP147" s="1"/>
      <c r="AQ147" s="1"/>
      <c r="AR147" s="1"/>
      <c r="AS147" s="1"/>
      <c r="AT147" s="1"/>
      <c r="AU147" s="1"/>
    </row>
    <row r="148" ht="15.75" customHeight="1">
      <c r="A148" s="31"/>
      <c r="B148" s="31"/>
      <c r="C148" s="3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4"/>
      <c r="AN148" s="1"/>
      <c r="AO148" s="1"/>
      <c r="AP148" s="1"/>
      <c r="AQ148" s="1"/>
      <c r="AR148" s="1"/>
      <c r="AS148" s="1"/>
      <c r="AT148" s="1"/>
      <c r="AU148" s="1"/>
    </row>
    <row r="149" ht="15.75" customHeight="1">
      <c r="A149" s="31"/>
      <c r="B149" s="31"/>
      <c r="C149" s="3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4"/>
      <c r="AN149" s="1"/>
      <c r="AO149" s="1"/>
      <c r="AP149" s="1"/>
      <c r="AQ149" s="1"/>
      <c r="AR149" s="1"/>
      <c r="AS149" s="1"/>
      <c r="AT149" s="1"/>
      <c r="AU149" s="1"/>
    </row>
    <row r="150" ht="15.75" customHeight="1">
      <c r="A150" s="31"/>
      <c r="B150" s="31"/>
      <c r="C150" s="3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4"/>
      <c r="AN150" s="1"/>
      <c r="AO150" s="1"/>
      <c r="AP150" s="1"/>
      <c r="AQ150" s="1"/>
      <c r="AR150" s="1"/>
      <c r="AS150" s="1"/>
      <c r="AT150" s="1"/>
      <c r="AU150" s="1"/>
    </row>
    <row r="151" ht="15.75" customHeight="1">
      <c r="A151" s="31"/>
      <c r="B151" s="31"/>
      <c r="C151" s="3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4"/>
      <c r="AN151" s="1"/>
      <c r="AO151" s="1"/>
      <c r="AP151" s="1"/>
      <c r="AQ151" s="1"/>
      <c r="AR151" s="1"/>
      <c r="AS151" s="1"/>
      <c r="AT151" s="1"/>
      <c r="AU151" s="1"/>
    </row>
    <row r="152" ht="15.75" customHeight="1">
      <c r="A152" s="31"/>
      <c r="B152" s="31"/>
      <c r="C152" s="3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4"/>
      <c r="AN152" s="1"/>
      <c r="AO152" s="1"/>
      <c r="AP152" s="1"/>
      <c r="AQ152" s="1"/>
      <c r="AR152" s="1"/>
      <c r="AS152" s="1"/>
      <c r="AT152" s="1"/>
      <c r="AU152" s="1"/>
    </row>
    <row r="153" ht="15.75" customHeight="1">
      <c r="A153" s="31"/>
      <c r="B153" s="31"/>
      <c r="C153" s="3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4"/>
      <c r="AN153" s="1"/>
      <c r="AO153" s="1"/>
      <c r="AP153" s="1"/>
      <c r="AQ153" s="1"/>
      <c r="AR153" s="1"/>
      <c r="AS153" s="1"/>
      <c r="AT153" s="1"/>
      <c r="AU153" s="1"/>
    </row>
    <row r="154" ht="15.75" customHeight="1">
      <c r="A154" s="31"/>
      <c r="B154" s="31"/>
      <c r="C154" s="3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4"/>
      <c r="AN154" s="1"/>
      <c r="AO154" s="1"/>
      <c r="AP154" s="1"/>
      <c r="AQ154" s="1"/>
      <c r="AR154" s="1"/>
      <c r="AS154" s="1"/>
      <c r="AT154" s="1"/>
      <c r="AU154" s="1"/>
    </row>
    <row r="155" ht="15.75" customHeight="1">
      <c r="A155" s="31"/>
      <c r="B155" s="31"/>
      <c r="C155" s="3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4"/>
      <c r="AN155" s="1"/>
      <c r="AO155" s="1"/>
      <c r="AP155" s="1"/>
      <c r="AQ155" s="1"/>
      <c r="AR155" s="1"/>
      <c r="AS155" s="1"/>
      <c r="AT155" s="1"/>
      <c r="AU155" s="1"/>
    </row>
    <row r="156" ht="15.75" customHeight="1">
      <c r="A156" s="31"/>
      <c r="B156" s="31"/>
      <c r="C156" s="3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4"/>
      <c r="AN156" s="1"/>
      <c r="AO156" s="1"/>
      <c r="AP156" s="1"/>
      <c r="AQ156" s="1"/>
      <c r="AR156" s="1"/>
      <c r="AS156" s="1"/>
      <c r="AT156" s="1"/>
      <c r="AU156" s="1"/>
    </row>
    <row r="157" ht="15.75" customHeight="1">
      <c r="A157" s="31"/>
      <c r="B157" s="31"/>
      <c r="C157" s="3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4"/>
      <c r="AN157" s="1"/>
      <c r="AO157" s="1"/>
      <c r="AP157" s="1"/>
      <c r="AQ157" s="1"/>
      <c r="AR157" s="1"/>
      <c r="AS157" s="1"/>
      <c r="AT157" s="1"/>
      <c r="AU157" s="1"/>
    </row>
    <row r="158" ht="15.75" customHeight="1">
      <c r="A158" s="31"/>
      <c r="B158" s="31"/>
      <c r="C158" s="3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4"/>
      <c r="AN158" s="1"/>
      <c r="AO158" s="1"/>
      <c r="AP158" s="1"/>
      <c r="AQ158" s="1"/>
      <c r="AR158" s="1"/>
      <c r="AS158" s="1"/>
      <c r="AT158" s="1"/>
      <c r="AU158" s="1"/>
    </row>
    <row r="159" ht="15.75" customHeight="1">
      <c r="A159" s="31"/>
      <c r="B159" s="31"/>
      <c r="C159" s="3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4"/>
      <c r="AN159" s="1"/>
      <c r="AO159" s="1"/>
      <c r="AP159" s="1"/>
      <c r="AQ159" s="1"/>
      <c r="AR159" s="1"/>
      <c r="AS159" s="1"/>
      <c r="AT159" s="1"/>
      <c r="AU159" s="1"/>
    </row>
    <row r="160" ht="15.75" customHeight="1">
      <c r="A160" s="31"/>
      <c r="B160" s="31"/>
      <c r="C160" s="3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4"/>
      <c r="AN160" s="1"/>
      <c r="AO160" s="1"/>
      <c r="AP160" s="1"/>
      <c r="AQ160" s="1"/>
      <c r="AR160" s="1"/>
      <c r="AS160" s="1"/>
      <c r="AT160" s="1"/>
      <c r="AU160" s="1"/>
    </row>
    <row r="161" ht="15.75" customHeight="1">
      <c r="A161" s="31"/>
      <c r="B161" s="31"/>
      <c r="C161" s="3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4"/>
      <c r="AN161" s="1"/>
      <c r="AO161" s="1"/>
      <c r="AP161" s="1"/>
      <c r="AQ161" s="1"/>
      <c r="AR161" s="1"/>
      <c r="AS161" s="1"/>
      <c r="AT161" s="1"/>
      <c r="AU161" s="1"/>
    </row>
    <row r="162" ht="15.75" customHeight="1">
      <c r="A162" s="31"/>
      <c r="B162" s="31"/>
      <c r="C162" s="3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4"/>
      <c r="AN162" s="1"/>
      <c r="AO162" s="1"/>
      <c r="AP162" s="1"/>
      <c r="AQ162" s="1"/>
      <c r="AR162" s="1"/>
      <c r="AS162" s="1"/>
      <c r="AT162" s="1"/>
      <c r="AU162" s="1"/>
    </row>
    <row r="163" ht="15.75" customHeight="1">
      <c r="A163" s="31"/>
      <c r="B163" s="31"/>
      <c r="C163" s="3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4"/>
      <c r="AN163" s="1"/>
      <c r="AO163" s="1"/>
      <c r="AP163" s="1"/>
      <c r="AQ163" s="1"/>
      <c r="AR163" s="1"/>
      <c r="AS163" s="1"/>
      <c r="AT163" s="1"/>
      <c r="AU163" s="1"/>
    </row>
    <row r="164" ht="15.75" customHeight="1">
      <c r="A164" s="31"/>
      <c r="B164" s="31"/>
      <c r="C164" s="3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4"/>
      <c r="AN164" s="1"/>
      <c r="AO164" s="1"/>
      <c r="AP164" s="1"/>
      <c r="AQ164" s="1"/>
      <c r="AR164" s="1"/>
      <c r="AS164" s="1"/>
      <c r="AT164" s="1"/>
      <c r="AU164" s="1"/>
    </row>
    <row r="165" ht="15.75" customHeight="1">
      <c r="A165" s="31"/>
      <c r="B165" s="31"/>
      <c r="C165" s="3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4"/>
      <c r="AN165" s="1"/>
      <c r="AO165" s="1"/>
      <c r="AP165" s="1"/>
      <c r="AQ165" s="1"/>
      <c r="AR165" s="1"/>
      <c r="AS165" s="1"/>
      <c r="AT165" s="1"/>
      <c r="AU165" s="1"/>
    </row>
    <row r="166" ht="15.75" customHeight="1">
      <c r="A166" s="31"/>
      <c r="B166" s="31"/>
      <c r="C166" s="3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4"/>
      <c r="AN166" s="1"/>
      <c r="AO166" s="1"/>
      <c r="AP166" s="1"/>
      <c r="AQ166" s="1"/>
      <c r="AR166" s="1"/>
      <c r="AS166" s="1"/>
      <c r="AT166" s="1"/>
      <c r="AU166" s="1"/>
    </row>
    <row r="167" ht="15.75" customHeight="1">
      <c r="A167" s="31"/>
      <c r="B167" s="31"/>
      <c r="C167" s="3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4"/>
      <c r="AN167" s="1"/>
      <c r="AO167" s="1"/>
      <c r="AP167" s="1"/>
      <c r="AQ167" s="1"/>
      <c r="AR167" s="1"/>
      <c r="AS167" s="1"/>
      <c r="AT167" s="1"/>
      <c r="AU167" s="1"/>
    </row>
    <row r="168" ht="15.75" customHeight="1">
      <c r="A168" s="31"/>
      <c r="B168" s="31"/>
      <c r="C168" s="3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4"/>
      <c r="AN168" s="1"/>
      <c r="AO168" s="1"/>
      <c r="AP168" s="1"/>
      <c r="AQ168" s="1"/>
      <c r="AR168" s="1"/>
      <c r="AS168" s="1"/>
      <c r="AT168" s="1"/>
      <c r="AU168" s="1"/>
    </row>
    <row r="169" ht="15.75" customHeight="1">
      <c r="A169" s="31"/>
      <c r="B169" s="31"/>
      <c r="C169" s="3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4"/>
      <c r="AN169" s="1"/>
      <c r="AO169" s="1"/>
      <c r="AP169" s="1"/>
      <c r="AQ169" s="1"/>
      <c r="AR169" s="1"/>
      <c r="AS169" s="1"/>
      <c r="AT169" s="1"/>
      <c r="AU169" s="1"/>
    </row>
    <row r="170" ht="15.75" customHeight="1">
      <c r="A170" s="31"/>
      <c r="B170" s="31"/>
      <c r="C170" s="3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4"/>
      <c r="AN170" s="1"/>
      <c r="AO170" s="1"/>
      <c r="AP170" s="1"/>
      <c r="AQ170" s="1"/>
      <c r="AR170" s="1"/>
      <c r="AS170" s="1"/>
      <c r="AT170" s="1"/>
      <c r="AU170" s="1"/>
    </row>
    <row r="171" ht="15.75" customHeight="1">
      <c r="A171" s="31"/>
      <c r="B171" s="31"/>
      <c r="C171" s="3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4"/>
      <c r="AN171" s="1"/>
      <c r="AO171" s="1"/>
      <c r="AP171" s="1"/>
      <c r="AQ171" s="1"/>
      <c r="AR171" s="1"/>
      <c r="AS171" s="1"/>
      <c r="AT171" s="1"/>
      <c r="AU171" s="1"/>
    </row>
    <row r="172" ht="15.75" customHeight="1">
      <c r="A172" s="31"/>
      <c r="B172" s="31"/>
      <c r="C172" s="3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4"/>
      <c r="AN172" s="1"/>
      <c r="AO172" s="1"/>
      <c r="AP172" s="1"/>
      <c r="AQ172" s="1"/>
      <c r="AR172" s="1"/>
      <c r="AS172" s="1"/>
      <c r="AT172" s="1"/>
      <c r="AU172" s="1"/>
    </row>
    <row r="173" ht="15.75" customHeight="1">
      <c r="A173" s="31"/>
      <c r="B173" s="31"/>
      <c r="C173" s="3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4"/>
      <c r="AN173" s="1"/>
      <c r="AO173" s="1"/>
      <c r="AP173" s="1"/>
      <c r="AQ173" s="1"/>
      <c r="AR173" s="1"/>
      <c r="AS173" s="1"/>
      <c r="AT173" s="1"/>
      <c r="AU173" s="1"/>
    </row>
    <row r="174" ht="15.75" customHeight="1">
      <c r="A174" s="31"/>
      <c r="B174" s="31"/>
      <c r="C174" s="3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4"/>
      <c r="AN174" s="1"/>
      <c r="AO174" s="1"/>
      <c r="AP174" s="1"/>
      <c r="AQ174" s="1"/>
      <c r="AR174" s="1"/>
      <c r="AS174" s="1"/>
      <c r="AT174" s="1"/>
      <c r="AU174" s="1"/>
    </row>
    <row r="175" ht="15.75" customHeight="1">
      <c r="A175" s="31"/>
      <c r="B175" s="31"/>
      <c r="C175" s="3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4"/>
      <c r="AN175" s="1"/>
      <c r="AO175" s="1"/>
      <c r="AP175" s="1"/>
      <c r="AQ175" s="1"/>
      <c r="AR175" s="1"/>
      <c r="AS175" s="1"/>
      <c r="AT175" s="1"/>
      <c r="AU175" s="1"/>
    </row>
    <row r="176" ht="15.75" customHeight="1">
      <c r="A176" s="31"/>
      <c r="B176" s="31"/>
      <c r="C176" s="3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4"/>
      <c r="AN176" s="1"/>
      <c r="AO176" s="1"/>
      <c r="AP176" s="1"/>
      <c r="AQ176" s="1"/>
      <c r="AR176" s="1"/>
      <c r="AS176" s="1"/>
      <c r="AT176" s="1"/>
      <c r="AU176" s="1"/>
    </row>
    <row r="177" ht="15.75" customHeight="1">
      <c r="A177" s="31"/>
      <c r="B177" s="31"/>
      <c r="C177" s="3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4"/>
      <c r="AN177" s="1"/>
      <c r="AO177" s="1"/>
      <c r="AP177" s="1"/>
      <c r="AQ177" s="1"/>
      <c r="AR177" s="1"/>
      <c r="AS177" s="1"/>
      <c r="AT177" s="1"/>
      <c r="AU177" s="1"/>
    </row>
    <row r="178" ht="15.75" customHeight="1">
      <c r="A178" s="31"/>
      <c r="B178" s="31"/>
      <c r="C178" s="3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4"/>
      <c r="AN178" s="1"/>
      <c r="AO178" s="1"/>
      <c r="AP178" s="1"/>
      <c r="AQ178" s="1"/>
      <c r="AR178" s="1"/>
      <c r="AS178" s="1"/>
      <c r="AT178" s="1"/>
      <c r="AU178" s="1"/>
    </row>
    <row r="179" ht="15.75" customHeight="1">
      <c r="A179" s="31"/>
      <c r="B179" s="31"/>
      <c r="C179" s="3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4"/>
      <c r="AN179" s="1"/>
      <c r="AO179" s="1"/>
      <c r="AP179" s="1"/>
      <c r="AQ179" s="1"/>
      <c r="AR179" s="1"/>
      <c r="AS179" s="1"/>
      <c r="AT179" s="1"/>
      <c r="AU179" s="1"/>
    </row>
    <row r="180" ht="15.75" customHeight="1">
      <c r="A180" s="31"/>
      <c r="B180" s="31"/>
      <c r="C180" s="3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4"/>
      <c r="AN180" s="1"/>
      <c r="AO180" s="1"/>
      <c r="AP180" s="1"/>
      <c r="AQ180" s="1"/>
      <c r="AR180" s="1"/>
      <c r="AS180" s="1"/>
      <c r="AT180" s="1"/>
      <c r="AU180" s="1"/>
    </row>
    <row r="181" ht="15.75" customHeight="1">
      <c r="A181" s="31"/>
      <c r="B181" s="31"/>
      <c r="C181" s="3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4"/>
      <c r="AN181" s="1"/>
      <c r="AO181" s="1"/>
      <c r="AP181" s="1"/>
      <c r="AQ181" s="1"/>
      <c r="AR181" s="1"/>
      <c r="AS181" s="1"/>
      <c r="AT181" s="1"/>
      <c r="AU181" s="1"/>
    </row>
    <row r="182" ht="15.75" customHeight="1">
      <c r="A182" s="31"/>
      <c r="B182" s="31"/>
      <c r="C182" s="3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4"/>
      <c r="AN182" s="1"/>
      <c r="AO182" s="1"/>
      <c r="AP182" s="1"/>
      <c r="AQ182" s="1"/>
      <c r="AR182" s="1"/>
      <c r="AS182" s="1"/>
      <c r="AT182" s="1"/>
      <c r="AU182" s="1"/>
    </row>
    <row r="183" ht="15.75" customHeight="1">
      <c r="A183" s="31"/>
      <c r="B183" s="31"/>
      <c r="C183" s="3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4"/>
      <c r="AN183" s="1"/>
      <c r="AO183" s="1"/>
      <c r="AP183" s="1"/>
      <c r="AQ183" s="1"/>
      <c r="AR183" s="1"/>
      <c r="AS183" s="1"/>
      <c r="AT183" s="1"/>
      <c r="AU183" s="1"/>
    </row>
    <row r="184" ht="15.75" customHeight="1">
      <c r="A184" s="31"/>
      <c r="B184" s="31"/>
      <c r="C184" s="3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4"/>
      <c r="AN184" s="1"/>
      <c r="AO184" s="1"/>
      <c r="AP184" s="1"/>
      <c r="AQ184" s="1"/>
      <c r="AR184" s="1"/>
      <c r="AS184" s="1"/>
      <c r="AT184" s="1"/>
      <c r="AU184" s="1"/>
    </row>
    <row r="185" ht="15.75" customHeight="1">
      <c r="A185" s="31"/>
      <c r="B185" s="31"/>
      <c r="C185" s="3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4"/>
      <c r="AN185" s="1"/>
      <c r="AO185" s="1"/>
      <c r="AP185" s="1"/>
      <c r="AQ185" s="1"/>
      <c r="AR185" s="1"/>
      <c r="AS185" s="1"/>
      <c r="AT185" s="1"/>
      <c r="AU185" s="1"/>
    </row>
    <row r="186" ht="15.75" customHeight="1">
      <c r="A186" s="31"/>
      <c r="B186" s="31"/>
      <c r="C186" s="3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4"/>
      <c r="AN186" s="1"/>
      <c r="AO186" s="1"/>
      <c r="AP186" s="1"/>
      <c r="AQ186" s="1"/>
      <c r="AR186" s="1"/>
      <c r="AS186" s="1"/>
      <c r="AT186" s="1"/>
      <c r="AU186" s="1"/>
    </row>
    <row r="187" ht="15.75" customHeight="1">
      <c r="A187" s="31"/>
      <c r="B187" s="31"/>
      <c r="C187" s="3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4"/>
      <c r="AN187" s="1"/>
      <c r="AO187" s="1"/>
      <c r="AP187" s="1"/>
      <c r="AQ187" s="1"/>
      <c r="AR187" s="1"/>
      <c r="AS187" s="1"/>
      <c r="AT187" s="1"/>
      <c r="AU187" s="1"/>
    </row>
    <row r="188" ht="15.75" customHeight="1">
      <c r="A188" s="31"/>
      <c r="B188" s="31"/>
      <c r="C188" s="3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4"/>
      <c r="AN188" s="1"/>
      <c r="AO188" s="1"/>
      <c r="AP188" s="1"/>
      <c r="AQ188" s="1"/>
      <c r="AR188" s="1"/>
      <c r="AS188" s="1"/>
      <c r="AT188" s="1"/>
      <c r="AU188" s="1"/>
    </row>
    <row r="189" ht="15.75" customHeight="1">
      <c r="A189" s="31"/>
      <c r="B189" s="31"/>
      <c r="C189" s="3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4"/>
      <c r="AN189" s="1"/>
      <c r="AO189" s="1"/>
      <c r="AP189" s="1"/>
      <c r="AQ189" s="1"/>
      <c r="AR189" s="1"/>
      <c r="AS189" s="1"/>
      <c r="AT189" s="1"/>
      <c r="AU189" s="1"/>
    </row>
    <row r="190" ht="15.75" customHeight="1">
      <c r="A190" s="31"/>
      <c r="B190" s="31"/>
      <c r="C190" s="3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4"/>
      <c r="AN190" s="1"/>
      <c r="AO190" s="1"/>
      <c r="AP190" s="1"/>
      <c r="AQ190" s="1"/>
      <c r="AR190" s="1"/>
      <c r="AS190" s="1"/>
      <c r="AT190" s="1"/>
      <c r="AU190" s="1"/>
    </row>
    <row r="191" ht="15.75" customHeight="1">
      <c r="A191" s="31"/>
      <c r="B191" s="31"/>
      <c r="C191" s="3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4"/>
      <c r="AN191" s="1"/>
      <c r="AO191" s="1"/>
      <c r="AP191" s="1"/>
      <c r="AQ191" s="1"/>
      <c r="AR191" s="1"/>
      <c r="AS191" s="1"/>
      <c r="AT191" s="1"/>
      <c r="AU191" s="1"/>
    </row>
    <row r="192" ht="15.75" customHeight="1">
      <c r="A192" s="31"/>
      <c r="B192" s="31"/>
      <c r="C192" s="3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4"/>
      <c r="AN192" s="1"/>
      <c r="AO192" s="1"/>
      <c r="AP192" s="1"/>
      <c r="AQ192" s="1"/>
      <c r="AR192" s="1"/>
      <c r="AS192" s="1"/>
      <c r="AT192" s="1"/>
      <c r="AU192" s="1"/>
    </row>
    <row r="193" ht="15.75" customHeight="1">
      <c r="A193" s="31"/>
      <c r="B193" s="31"/>
      <c r="C193" s="3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4"/>
      <c r="AN193" s="1"/>
      <c r="AO193" s="1"/>
      <c r="AP193" s="1"/>
      <c r="AQ193" s="1"/>
      <c r="AR193" s="1"/>
      <c r="AS193" s="1"/>
      <c r="AT193" s="1"/>
      <c r="AU193" s="1"/>
    </row>
    <row r="194" ht="15.75" customHeight="1">
      <c r="A194" s="31"/>
      <c r="B194" s="31"/>
      <c r="C194" s="3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4"/>
      <c r="AN194" s="1"/>
      <c r="AO194" s="1"/>
      <c r="AP194" s="1"/>
      <c r="AQ194" s="1"/>
      <c r="AR194" s="1"/>
      <c r="AS194" s="1"/>
      <c r="AT194" s="1"/>
      <c r="AU194" s="1"/>
    </row>
    <row r="195" ht="15.75" customHeight="1">
      <c r="A195" s="31"/>
      <c r="B195" s="31"/>
      <c r="C195" s="3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4"/>
      <c r="AN195" s="1"/>
      <c r="AO195" s="1"/>
      <c r="AP195" s="1"/>
      <c r="AQ195" s="1"/>
      <c r="AR195" s="1"/>
      <c r="AS195" s="1"/>
      <c r="AT195" s="1"/>
      <c r="AU195" s="1"/>
    </row>
    <row r="196" ht="15.75" customHeight="1">
      <c r="A196" s="31"/>
      <c r="B196" s="31"/>
      <c r="C196" s="3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4"/>
      <c r="AN196" s="1"/>
      <c r="AO196" s="1"/>
      <c r="AP196" s="1"/>
      <c r="AQ196" s="1"/>
      <c r="AR196" s="1"/>
      <c r="AS196" s="1"/>
      <c r="AT196" s="1"/>
      <c r="AU196" s="1"/>
    </row>
    <row r="197" ht="15.75" customHeight="1">
      <c r="A197" s="31"/>
      <c r="B197" s="31"/>
      <c r="C197" s="3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4"/>
      <c r="AN197" s="1"/>
      <c r="AO197" s="1"/>
      <c r="AP197" s="1"/>
      <c r="AQ197" s="1"/>
      <c r="AR197" s="1"/>
      <c r="AS197" s="1"/>
      <c r="AT197" s="1"/>
      <c r="AU197" s="1"/>
    </row>
    <row r="198" ht="15.75" customHeight="1">
      <c r="A198" s="31"/>
      <c r="B198" s="31"/>
      <c r="C198" s="3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4"/>
      <c r="AN198" s="1"/>
      <c r="AO198" s="1"/>
      <c r="AP198" s="1"/>
      <c r="AQ198" s="1"/>
      <c r="AR198" s="1"/>
      <c r="AS198" s="1"/>
      <c r="AT198" s="1"/>
      <c r="AU198" s="1"/>
    </row>
    <row r="199" ht="15.75" customHeight="1">
      <c r="A199" s="31"/>
      <c r="B199" s="31"/>
      <c r="C199" s="3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4"/>
      <c r="AN199" s="1"/>
      <c r="AO199" s="1"/>
      <c r="AP199" s="1"/>
      <c r="AQ199" s="1"/>
      <c r="AR199" s="1"/>
      <c r="AS199" s="1"/>
      <c r="AT199" s="1"/>
      <c r="AU199" s="1"/>
    </row>
    <row r="200" ht="15.75" customHeight="1">
      <c r="A200" s="31"/>
      <c r="B200" s="31"/>
      <c r="C200" s="3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4"/>
      <c r="AN200" s="1"/>
      <c r="AO200" s="1"/>
      <c r="AP200" s="1"/>
      <c r="AQ200" s="1"/>
      <c r="AR200" s="1"/>
      <c r="AS200" s="1"/>
      <c r="AT200" s="1"/>
      <c r="AU200" s="1"/>
    </row>
    <row r="201" ht="15.75" customHeight="1">
      <c r="A201" s="31"/>
      <c r="B201" s="31"/>
      <c r="C201" s="3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4"/>
      <c r="AN201" s="1"/>
      <c r="AO201" s="1"/>
      <c r="AP201" s="1"/>
      <c r="AQ201" s="1"/>
      <c r="AR201" s="1"/>
      <c r="AS201" s="1"/>
      <c r="AT201" s="1"/>
      <c r="AU201" s="1"/>
    </row>
    <row r="202" ht="15.75" customHeight="1">
      <c r="A202" s="31"/>
      <c r="B202" s="31"/>
      <c r="C202" s="3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4"/>
      <c r="AN202" s="1"/>
      <c r="AO202" s="1"/>
      <c r="AP202" s="1"/>
      <c r="AQ202" s="1"/>
      <c r="AR202" s="1"/>
      <c r="AS202" s="1"/>
      <c r="AT202" s="1"/>
      <c r="AU202" s="1"/>
    </row>
    <row r="203" ht="15.75" customHeight="1">
      <c r="A203" s="31"/>
      <c r="B203" s="31"/>
      <c r="C203" s="3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4"/>
      <c r="AN203" s="1"/>
      <c r="AO203" s="1"/>
      <c r="AP203" s="1"/>
      <c r="AQ203" s="1"/>
      <c r="AR203" s="1"/>
      <c r="AS203" s="1"/>
      <c r="AT203" s="1"/>
      <c r="AU203" s="1"/>
    </row>
    <row r="204" ht="15.75" customHeight="1">
      <c r="A204" s="31"/>
      <c r="B204" s="31"/>
      <c r="C204" s="3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4"/>
      <c r="AN204" s="1"/>
      <c r="AO204" s="1"/>
      <c r="AP204" s="1"/>
      <c r="AQ204" s="1"/>
      <c r="AR204" s="1"/>
      <c r="AS204" s="1"/>
      <c r="AT204" s="1"/>
      <c r="AU204" s="1"/>
    </row>
    <row r="205" ht="15.75" customHeight="1">
      <c r="A205" s="31"/>
      <c r="B205" s="31"/>
      <c r="C205" s="3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4"/>
      <c r="AN205" s="1"/>
      <c r="AO205" s="1"/>
      <c r="AP205" s="1"/>
      <c r="AQ205" s="1"/>
      <c r="AR205" s="1"/>
      <c r="AS205" s="1"/>
      <c r="AT205" s="1"/>
      <c r="AU205" s="1"/>
    </row>
    <row r="206" ht="15.75" customHeight="1">
      <c r="A206" s="31"/>
      <c r="B206" s="31"/>
      <c r="C206" s="3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4"/>
      <c r="AN206" s="1"/>
      <c r="AO206" s="1"/>
      <c r="AP206" s="1"/>
      <c r="AQ206" s="1"/>
      <c r="AR206" s="1"/>
      <c r="AS206" s="1"/>
      <c r="AT206" s="1"/>
      <c r="AU206" s="1"/>
    </row>
    <row r="207" ht="15.75" customHeight="1">
      <c r="A207" s="31"/>
      <c r="B207" s="31"/>
      <c r="C207" s="3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4"/>
      <c r="AN207" s="1"/>
      <c r="AO207" s="1"/>
      <c r="AP207" s="1"/>
      <c r="AQ207" s="1"/>
      <c r="AR207" s="1"/>
      <c r="AS207" s="1"/>
      <c r="AT207" s="1"/>
      <c r="AU207" s="1"/>
    </row>
    <row r="208" ht="15.75" customHeight="1">
      <c r="A208" s="31"/>
      <c r="B208" s="31"/>
      <c r="C208" s="3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4"/>
      <c r="AN208" s="1"/>
      <c r="AO208" s="1"/>
      <c r="AP208" s="1"/>
      <c r="AQ208" s="1"/>
      <c r="AR208" s="1"/>
      <c r="AS208" s="1"/>
      <c r="AT208" s="1"/>
      <c r="AU208" s="1"/>
    </row>
    <row r="209" ht="15.75" customHeight="1">
      <c r="A209" s="31"/>
      <c r="B209" s="31"/>
      <c r="C209" s="3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4"/>
      <c r="AN209" s="1"/>
      <c r="AO209" s="1"/>
      <c r="AP209" s="1"/>
      <c r="AQ209" s="1"/>
      <c r="AR209" s="1"/>
      <c r="AS209" s="1"/>
      <c r="AT209" s="1"/>
      <c r="AU209" s="1"/>
    </row>
    <row r="210" ht="15.75" customHeight="1">
      <c r="A210" s="31"/>
      <c r="B210" s="31"/>
      <c r="C210" s="3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4"/>
      <c r="AN210" s="1"/>
      <c r="AO210" s="1"/>
      <c r="AP210" s="1"/>
      <c r="AQ210" s="1"/>
      <c r="AR210" s="1"/>
      <c r="AS210" s="1"/>
      <c r="AT210" s="1"/>
      <c r="AU210" s="1"/>
    </row>
    <row r="211" ht="15.75" customHeight="1">
      <c r="A211" s="31"/>
      <c r="B211" s="31"/>
      <c r="C211" s="3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4"/>
      <c r="AN211" s="1"/>
      <c r="AO211" s="1"/>
      <c r="AP211" s="1"/>
      <c r="AQ211" s="1"/>
      <c r="AR211" s="1"/>
      <c r="AS211" s="1"/>
      <c r="AT211" s="1"/>
      <c r="AU211" s="1"/>
    </row>
    <row r="212" ht="15.75" customHeight="1">
      <c r="A212" s="31"/>
      <c r="B212" s="31"/>
      <c r="C212" s="3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4"/>
      <c r="AN212" s="1"/>
      <c r="AO212" s="1"/>
      <c r="AP212" s="1"/>
      <c r="AQ212" s="1"/>
      <c r="AR212" s="1"/>
      <c r="AS212" s="1"/>
      <c r="AT212" s="1"/>
      <c r="AU212" s="1"/>
    </row>
    <row r="213" ht="15.75" customHeight="1">
      <c r="A213" s="31"/>
      <c r="B213" s="31"/>
      <c r="C213" s="3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4"/>
      <c r="AN213" s="1"/>
      <c r="AO213" s="1"/>
      <c r="AP213" s="1"/>
      <c r="AQ213" s="1"/>
      <c r="AR213" s="1"/>
      <c r="AS213" s="1"/>
      <c r="AT213" s="1"/>
      <c r="AU213" s="1"/>
    </row>
    <row r="214" ht="15.75" customHeight="1">
      <c r="A214" s="31"/>
      <c r="B214" s="31"/>
      <c r="C214" s="3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4"/>
      <c r="AN214" s="1"/>
      <c r="AO214" s="1"/>
      <c r="AP214" s="1"/>
      <c r="AQ214" s="1"/>
      <c r="AR214" s="1"/>
      <c r="AS214" s="1"/>
      <c r="AT214" s="1"/>
      <c r="AU214" s="1"/>
    </row>
    <row r="215" ht="15.75" customHeight="1">
      <c r="A215" s="31"/>
      <c r="B215" s="31"/>
      <c r="C215" s="3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4"/>
      <c r="AN215" s="1"/>
      <c r="AO215" s="1"/>
      <c r="AP215" s="1"/>
      <c r="AQ215" s="1"/>
      <c r="AR215" s="1"/>
      <c r="AS215" s="1"/>
      <c r="AT215" s="1"/>
      <c r="AU215" s="1"/>
    </row>
    <row r="216" ht="15.75" customHeight="1">
      <c r="A216" s="31"/>
      <c r="B216" s="31"/>
      <c r="C216" s="3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4"/>
      <c r="AN216" s="1"/>
      <c r="AO216" s="1"/>
      <c r="AP216" s="1"/>
      <c r="AQ216" s="1"/>
      <c r="AR216" s="1"/>
      <c r="AS216" s="1"/>
      <c r="AT216" s="1"/>
      <c r="AU216" s="1"/>
    </row>
    <row r="217" ht="15.75" customHeight="1">
      <c r="A217" s="31"/>
      <c r="B217" s="31"/>
      <c r="C217" s="3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4"/>
      <c r="AN217" s="1"/>
      <c r="AO217" s="1"/>
      <c r="AP217" s="1"/>
      <c r="AQ217" s="1"/>
      <c r="AR217" s="1"/>
      <c r="AS217" s="1"/>
      <c r="AT217" s="1"/>
      <c r="AU217" s="1"/>
    </row>
    <row r="218" ht="15.75" customHeight="1">
      <c r="A218" s="31"/>
      <c r="B218" s="31"/>
      <c r="C218" s="3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4"/>
      <c r="AN218" s="1"/>
      <c r="AO218" s="1"/>
      <c r="AP218" s="1"/>
      <c r="AQ218" s="1"/>
      <c r="AR218" s="1"/>
      <c r="AS218" s="1"/>
      <c r="AT218" s="1"/>
      <c r="AU218" s="1"/>
    </row>
    <row r="219" ht="15.75" customHeight="1">
      <c r="A219" s="31"/>
      <c r="B219" s="31"/>
      <c r="C219" s="3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4"/>
      <c r="AN219" s="1"/>
      <c r="AO219" s="1"/>
      <c r="AP219" s="1"/>
      <c r="AQ219" s="1"/>
      <c r="AR219" s="1"/>
      <c r="AS219" s="1"/>
      <c r="AT219" s="1"/>
      <c r="AU219" s="1"/>
    </row>
    <row r="220" ht="15.75" customHeight="1">
      <c r="A220" s="31"/>
      <c r="B220" s="31"/>
      <c r="C220" s="3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4"/>
      <c r="AN220" s="1"/>
      <c r="AO220" s="1"/>
      <c r="AP220" s="1"/>
      <c r="AQ220" s="1"/>
      <c r="AR220" s="1"/>
      <c r="AS220" s="1"/>
      <c r="AT220" s="1"/>
      <c r="AU220" s="1"/>
    </row>
    <row r="221" ht="15.75" customHeight="1">
      <c r="A221" s="31"/>
      <c r="B221" s="31"/>
      <c r="C221" s="3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4"/>
      <c r="AN221" s="1"/>
      <c r="AO221" s="1"/>
      <c r="AP221" s="1"/>
      <c r="AQ221" s="1"/>
      <c r="AR221" s="1"/>
      <c r="AS221" s="1"/>
      <c r="AT221" s="1"/>
      <c r="AU221" s="1"/>
    </row>
    <row r="222" ht="15.75" customHeight="1">
      <c r="A222" s="31"/>
      <c r="B222" s="31"/>
      <c r="C222" s="3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4"/>
      <c r="AN222" s="1"/>
      <c r="AO222" s="1"/>
      <c r="AP222" s="1"/>
      <c r="AQ222" s="1"/>
      <c r="AR222" s="1"/>
      <c r="AS222" s="1"/>
      <c r="AT222" s="1"/>
      <c r="AU222" s="1"/>
    </row>
    <row r="223" ht="15.75" customHeight="1">
      <c r="A223" s="31"/>
      <c r="B223" s="31"/>
      <c r="C223" s="3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4"/>
      <c r="AN223" s="1"/>
      <c r="AO223" s="1"/>
      <c r="AP223" s="1"/>
      <c r="AQ223" s="1"/>
      <c r="AR223" s="1"/>
      <c r="AS223" s="1"/>
      <c r="AT223" s="1"/>
      <c r="AU223" s="1"/>
    </row>
    <row r="224" ht="15.75" customHeight="1">
      <c r="A224" s="31"/>
      <c r="B224" s="31"/>
      <c r="C224" s="3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4"/>
      <c r="AN224" s="1"/>
      <c r="AO224" s="1"/>
      <c r="AP224" s="1"/>
      <c r="AQ224" s="1"/>
      <c r="AR224" s="1"/>
      <c r="AS224" s="1"/>
      <c r="AT224" s="1"/>
      <c r="AU224" s="1"/>
    </row>
    <row r="225" ht="15.75" customHeight="1">
      <c r="A225" s="31"/>
      <c r="B225" s="31"/>
      <c r="C225" s="3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4"/>
      <c r="AN225" s="1"/>
      <c r="AO225" s="1"/>
      <c r="AP225" s="1"/>
      <c r="AQ225" s="1"/>
      <c r="AR225" s="1"/>
      <c r="AS225" s="1"/>
      <c r="AT225" s="1"/>
      <c r="AU225" s="1"/>
    </row>
    <row r="226" ht="15.75" customHeight="1">
      <c r="A226" s="31"/>
      <c r="B226" s="31"/>
      <c r="C226" s="3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4"/>
      <c r="AN226" s="1"/>
      <c r="AO226" s="1"/>
      <c r="AP226" s="1"/>
      <c r="AQ226" s="1"/>
      <c r="AR226" s="1"/>
      <c r="AS226" s="1"/>
      <c r="AT226" s="1"/>
      <c r="AU226" s="1"/>
    </row>
    <row r="227" ht="15.75" customHeight="1">
      <c r="A227" s="31"/>
      <c r="B227" s="31"/>
      <c r="C227" s="3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4"/>
      <c r="AN227" s="1"/>
      <c r="AO227" s="1"/>
      <c r="AP227" s="1"/>
      <c r="AQ227" s="1"/>
      <c r="AR227" s="1"/>
      <c r="AS227" s="1"/>
      <c r="AT227" s="1"/>
      <c r="AU227" s="1"/>
    </row>
    <row r="228" ht="15.75" customHeight="1">
      <c r="A228" s="31"/>
      <c r="B228" s="31"/>
      <c r="C228" s="3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4"/>
      <c r="AN228" s="1"/>
      <c r="AO228" s="1"/>
      <c r="AP228" s="1"/>
      <c r="AQ228" s="1"/>
      <c r="AR228" s="1"/>
      <c r="AS228" s="1"/>
      <c r="AT228" s="1"/>
      <c r="AU228" s="1"/>
    </row>
    <row r="229" ht="15.75" customHeight="1">
      <c r="A229" s="31"/>
      <c r="B229" s="31"/>
      <c r="C229" s="3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4"/>
      <c r="AN229" s="1"/>
      <c r="AO229" s="1"/>
      <c r="AP229" s="1"/>
      <c r="AQ229" s="1"/>
      <c r="AR229" s="1"/>
      <c r="AS229" s="1"/>
      <c r="AT229" s="1"/>
      <c r="AU229" s="1"/>
    </row>
    <row r="230" ht="15.75" customHeight="1">
      <c r="A230" s="31"/>
      <c r="B230" s="31"/>
      <c r="C230" s="3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4"/>
      <c r="AN230" s="1"/>
      <c r="AO230" s="1"/>
      <c r="AP230" s="1"/>
      <c r="AQ230" s="1"/>
      <c r="AR230" s="1"/>
      <c r="AS230" s="1"/>
      <c r="AT230" s="1"/>
      <c r="AU230" s="1"/>
    </row>
    <row r="231" ht="15.75" customHeight="1">
      <c r="A231" s="31"/>
      <c r="B231" s="31"/>
      <c r="C231" s="3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4"/>
      <c r="AN231" s="1"/>
      <c r="AO231" s="1"/>
      <c r="AP231" s="1"/>
      <c r="AQ231" s="1"/>
      <c r="AR231" s="1"/>
      <c r="AS231" s="1"/>
      <c r="AT231" s="1"/>
      <c r="AU231" s="1"/>
    </row>
    <row r="232" ht="15.75" customHeight="1">
      <c r="A232" s="31"/>
      <c r="B232" s="31"/>
      <c r="C232" s="3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4"/>
      <c r="AN232" s="1"/>
      <c r="AO232" s="1"/>
      <c r="AP232" s="1"/>
      <c r="AQ232" s="1"/>
      <c r="AR232" s="1"/>
      <c r="AS232" s="1"/>
      <c r="AT232" s="1"/>
      <c r="AU232" s="1"/>
    </row>
    <row r="233" ht="15.75" customHeight="1">
      <c r="A233" s="31"/>
      <c r="B233" s="31"/>
      <c r="C233" s="3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4"/>
      <c r="AN233" s="1"/>
      <c r="AO233" s="1"/>
      <c r="AP233" s="1"/>
      <c r="AQ233" s="1"/>
      <c r="AR233" s="1"/>
      <c r="AS233" s="1"/>
      <c r="AT233" s="1"/>
      <c r="AU233" s="1"/>
    </row>
    <row r="234" ht="15.75" customHeight="1">
      <c r="A234" s="31"/>
      <c r="B234" s="31"/>
      <c r="C234" s="3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4"/>
      <c r="AN234" s="1"/>
      <c r="AO234" s="1"/>
      <c r="AP234" s="1"/>
      <c r="AQ234" s="1"/>
      <c r="AR234" s="1"/>
      <c r="AS234" s="1"/>
      <c r="AT234" s="1"/>
      <c r="AU234" s="1"/>
    </row>
    <row r="235" ht="15.75" customHeight="1">
      <c r="A235" s="31"/>
      <c r="B235" s="31"/>
      <c r="C235" s="3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4"/>
      <c r="AN235" s="1"/>
      <c r="AO235" s="1"/>
      <c r="AP235" s="1"/>
      <c r="AQ235" s="1"/>
      <c r="AR235" s="1"/>
      <c r="AS235" s="1"/>
      <c r="AT235" s="1"/>
      <c r="AU235" s="1"/>
    </row>
    <row r="236" ht="15.75" customHeight="1">
      <c r="A236" s="31"/>
      <c r="B236" s="31"/>
      <c r="C236" s="3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4"/>
      <c r="AN236" s="1"/>
      <c r="AO236" s="1"/>
      <c r="AP236" s="1"/>
      <c r="AQ236" s="1"/>
      <c r="AR236" s="1"/>
      <c r="AS236" s="1"/>
      <c r="AT236" s="1"/>
      <c r="AU236" s="1"/>
    </row>
    <row r="237" ht="15.75" customHeight="1">
      <c r="A237" s="31"/>
      <c r="B237" s="31"/>
      <c r="C237" s="3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4"/>
      <c r="AN237" s="1"/>
      <c r="AO237" s="1"/>
      <c r="AP237" s="1"/>
      <c r="AQ237" s="1"/>
      <c r="AR237" s="1"/>
      <c r="AS237" s="1"/>
      <c r="AT237" s="1"/>
      <c r="AU237" s="1"/>
    </row>
    <row r="238" ht="15.75" customHeight="1">
      <c r="A238" s="31"/>
      <c r="B238" s="31"/>
      <c r="C238" s="3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4"/>
      <c r="AN238" s="1"/>
      <c r="AO238" s="1"/>
      <c r="AP238" s="1"/>
      <c r="AQ238" s="1"/>
      <c r="AR238" s="1"/>
      <c r="AS238" s="1"/>
      <c r="AT238" s="1"/>
      <c r="AU238" s="1"/>
    </row>
    <row r="239" ht="15.75" customHeight="1">
      <c r="A239" s="31"/>
      <c r="B239" s="31"/>
      <c r="C239" s="3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4"/>
      <c r="AN239" s="1"/>
      <c r="AO239" s="1"/>
      <c r="AP239" s="1"/>
      <c r="AQ239" s="1"/>
      <c r="AR239" s="1"/>
      <c r="AS239" s="1"/>
      <c r="AT239" s="1"/>
      <c r="AU239" s="1"/>
    </row>
    <row r="240" ht="15.75" customHeight="1">
      <c r="A240" s="31"/>
      <c r="B240" s="31"/>
      <c r="C240" s="3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4"/>
      <c r="AN240" s="1"/>
      <c r="AO240" s="1"/>
      <c r="AP240" s="1"/>
      <c r="AQ240" s="1"/>
      <c r="AR240" s="1"/>
      <c r="AS240" s="1"/>
      <c r="AT240" s="1"/>
      <c r="AU240" s="1"/>
    </row>
    <row r="241" ht="15.75" customHeight="1">
      <c r="A241" s="31"/>
      <c r="B241" s="31"/>
      <c r="C241" s="3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4"/>
      <c r="AN241" s="1"/>
      <c r="AO241" s="1"/>
      <c r="AP241" s="1"/>
      <c r="AQ241" s="1"/>
      <c r="AR241" s="1"/>
      <c r="AS241" s="1"/>
      <c r="AT241" s="1"/>
      <c r="AU241" s="1"/>
    </row>
    <row r="242" ht="15.75" customHeight="1">
      <c r="A242" s="31"/>
      <c r="B242" s="31"/>
      <c r="C242" s="3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4"/>
      <c r="AN242" s="1"/>
      <c r="AO242" s="1"/>
      <c r="AP242" s="1"/>
      <c r="AQ242" s="1"/>
      <c r="AR242" s="1"/>
      <c r="AS242" s="1"/>
      <c r="AT242" s="1"/>
      <c r="AU242" s="1"/>
    </row>
    <row r="243" ht="15.75" customHeight="1">
      <c r="A243" s="31"/>
      <c r="B243" s="31"/>
      <c r="C243" s="3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4"/>
      <c r="AN243" s="1"/>
      <c r="AO243" s="1"/>
      <c r="AP243" s="1"/>
      <c r="AQ243" s="1"/>
      <c r="AR243" s="1"/>
      <c r="AS243" s="1"/>
      <c r="AT243" s="1"/>
      <c r="AU243" s="1"/>
    </row>
    <row r="244" ht="15.75" customHeight="1">
      <c r="A244" s="31"/>
      <c r="B244" s="31"/>
      <c r="C244" s="3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4"/>
      <c r="AN244" s="1"/>
      <c r="AO244" s="1"/>
      <c r="AP244" s="1"/>
      <c r="AQ244" s="1"/>
      <c r="AR244" s="1"/>
      <c r="AS244" s="1"/>
      <c r="AT244" s="1"/>
      <c r="AU244" s="1"/>
    </row>
    <row r="245" ht="15.75" customHeight="1">
      <c r="A245" s="31"/>
      <c r="B245" s="31"/>
      <c r="C245" s="3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4"/>
      <c r="AN245" s="1"/>
      <c r="AO245" s="1"/>
      <c r="AP245" s="1"/>
      <c r="AQ245" s="1"/>
      <c r="AR245" s="1"/>
      <c r="AS245" s="1"/>
      <c r="AT245" s="1"/>
      <c r="AU245" s="1"/>
    </row>
    <row r="246" ht="15.75" customHeight="1">
      <c r="A246" s="31"/>
      <c r="B246" s="31"/>
      <c r="C246" s="3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4"/>
      <c r="AN246" s="1"/>
      <c r="AO246" s="1"/>
      <c r="AP246" s="1"/>
      <c r="AQ246" s="1"/>
      <c r="AR246" s="1"/>
      <c r="AS246" s="1"/>
      <c r="AT246" s="1"/>
      <c r="AU246" s="1"/>
    </row>
    <row r="247" ht="15.75" customHeight="1">
      <c r="A247" s="31"/>
      <c r="B247" s="31"/>
      <c r="C247" s="3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4"/>
      <c r="AN247" s="1"/>
      <c r="AO247" s="1"/>
      <c r="AP247" s="1"/>
      <c r="AQ247" s="1"/>
      <c r="AR247" s="1"/>
      <c r="AS247" s="1"/>
      <c r="AT247" s="1"/>
      <c r="AU247" s="1"/>
    </row>
    <row r="248" ht="15.75" customHeight="1">
      <c r="A248" s="31"/>
      <c r="B248" s="31"/>
      <c r="C248" s="3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4"/>
      <c r="AN248" s="1"/>
      <c r="AO248" s="1"/>
      <c r="AP248" s="1"/>
      <c r="AQ248" s="1"/>
      <c r="AR248" s="1"/>
      <c r="AS248" s="1"/>
      <c r="AT248" s="1"/>
      <c r="AU248" s="1"/>
    </row>
    <row r="249" ht="15.75" customHeight="1">
      <c r="A249" s="31"/>
      <c r="B249" s="31"/>
      <c r="C249" s="3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4"/>
      <c r="AN249" s="1"/>
      <c r="AO249" s="1"/>
      <c r="AP249" s="1"/>
      <c r="AQ249" s="1"/>
      <c r="AR249" s="1"/>
      <c r="AS249" s="1"/>
      <c r="AT249" s="1"/>
      <c r="AU249" s="1"/>
    </row>
    <row r="250" ht="15.75" customHeight="1">
      <c r="A250" s="31"/>
      <c r="B250" s="31"/>
      <c r="C250" s="3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4"/>
      <c r="AN250" s="1"/>
      <c r="AO250" s="1"/>
      <c r="AP250" s="1"/>
      <c r="AQ250" s="1"/>
      <c r="AR250" s="1"/>
      <c r="AS250" s="1"/>
      <c r="AT250" s="1"/>
      <c r="AU250" s="1"/>
    </row>
    <row r="251" ht="15.75" customHeight="1">
      <c r="A251" s="31"/>
      <c r="B251" s="31"/>
      <c r="C251" s="3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4"/>
      <c r="AN251" s="1"/>
      <c r="AO251" s="1"/>
      <c r="AP251" s="1"/>
      <c r="AQ251" s="1"/>
      <c r="AR251" s="1"/>
      <c r="AS251" s="1"/>
      <c r="AT251" s="1"/>
      <c r="AU251" s="1"/>
    </row>
    <row r="252" ht="15.75" customHeight="1">
      <c r="A252" s="31"/>
      <c r="B252" s="31"/>
      <c r="C252" s="3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4"/>
      <c r="AN252" s="1"/>
      <c r="AO252" s="1"/>
      <c r="AP252" s="1"/>
      <c r="AQ252" s="1"/>
      <c r="AR252" s="1"/>
      <c r="AS252" s="1"/>
      <c r="AT252" s="1"/>
      <c r="AU252" s="1"/>
    </row>
    <row r="253" ht="15.75" customHeight="1">
      <c r="A253" s="31"/>
      <c r="B253" s="31"/>
      <c r="C253" s="3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4"/>
      <c r="AN253" s="1"/>
      <c r="AO253" s="1"/>
      <c r="AP253" s="1"/>
      <c r="AQ253" s="1"/>
      <c r="AR253" s="1"/>
      <c r="AS253" s="1"/>
      <c r="AT253" s="1"/>
      <c r="AU253" s="1"/>
    </row>
    <row r="254" ht="15.75" customHeight="1">
      <c r="A254" s="31"/>
      <c r="B254" s="31"/>
      <c r="C254" s="3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4"/>
      <c r="AN254" s="1"/>
      <c r="AO254" s="1"/>
      <c r="AP254" s="1"/>
      <c r="AQ254" s="1"/>
      <c r="AR254" s="1"/>
      <c r="AS254" s="1"/>
      <c r="AT254" s="1"/>
      <c r="AU254" s="1"/>
    </row>
    <row r="255" ht="15.75" customHeight="1">
      <c r="A255" s="31"/>
      <c r="B255" s="31"/>
      <c r="C255" s="3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4"/>
      <c r="AN255" s="1"/>
      <c r="AO255" s="1"/>
      <c r="AP255" s="1"/>
      <c r="AQ255" s="1"/>
      <c r="AR255" s="1"/>
      <c r="AS255" s="1"/>
      <c r="AT255" s="1"/>
      <c r="AU255" s="1"/>
    </row>
    <row r="256" ht="15.75" customHeight="1">
      <c r="A256" s="31"/>
      <c r="B256" s="31"/>
      <c r="C256" s="3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4"/>
      <c r="AN256" s="1"/>
      <c r="AO256" s="1"/>
      <c r="AP256" s="1"/>
      <c r="AQ256" s="1"/>
      <c r="AR256" s="1"/>
      <c r="AS256" s="1"/>
      <c r="AT256" s="1"/>
      <c r="AU256" s="1"/>
    </row>
    <row r="257" ht="15.75" customHeight="1">
      <c r="A257" s="31"/>
      <c r="B257" s="31"/>
      <c r="C257" s="3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4"/>
      <c r="AN257" s="1"/>
      <c r="AO257" s="1"/>
      <c r="AP257" s="1"/>
      <c r="AQ257" s="1"/>
      <c r="AR257" s="1"/>
      <c r="AS257" s="1"/>
      <c r="AT257" s="1"/>
      <c r="AU257" s="1"/>
    </row>
    <row r="258" ht="15.75" customHeight="1">
      <c r="A258" s="31"/>
      <c r="B258" s="31"/>
      <c r="C258" s="3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4"/>
      <c r="AN258" s="1"/>
      <c r="AO258" s="1"/>
      <c r="AP258" s="1"/>
      <c r="AQ258" s="1"/>
      <c r="AR258" s="1"/>
      <c r="AS258" s="1"/>
      <c r="AT258" s="1"/>
      <c r="AU258" s="1"/>
    </row>
    <row r="259" ht="15.75" customHeight="1">
      <c r="A259" s="31"/>
      <c r="B259" s="31"/>
      <c r="C259" s="3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4"/>
      <c r="AN259" s="1"/>
      <c r="AO259" s="1"/>
      <c r="AP259" s="1"/>
      <c r="AQ259" s="1"/>
      <c r="AR259" s="1"/>
      <c r="AS259" s="1"/>
      <c r="AT259" s="1"/>
      <c r="AU259" s="1"/>
    </row>
    <row r="260" ht="15.75" customHeight="1">
      <c r="A260" s="31"/>
      <c r="B260" s="31"/>
      <c r="C260" s="3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4"/>
      <c r="AN260" s="1"/>
      <c r="AO260" s="1"/>
      <c r="AP260" s="1"/>
      <c r="AQ260" s="1"/>
      <c r="AR260" s="1"/>
      <c r="AS260" s="1"/>
      <c r="AT260" s="1"/>
      <c r="AU260" s="1"/>
    </row>
    <row r="261" ht="15.75" customHeight="1">
      <c r="A261" s="31"/>
      <c r="B261" s="31"/>
      <c r="C261" s="3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4"/>
      <c r="AN261" s="1"/>
      <c r="AO261" s="1"/>
      <c r="AP261" s="1"/>
      <c r="AQ261" s="1"/>
      <c r="AR261" s="1"/>
      <c r="AS261" s="1"/>
      <c r="AT261" s="1"/>
      <c r="AU261" s="1"/>
    </row>
    <row r="262" ht="15.75" customHeight="1">
      <c r="A262" s="31"/>
      <c r="B262" s="31"/>
      <c r="C262" s="3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4"/>
      <c r="AN262" s="1"/>
      <c r="AO262" s="1"/>
      <c r="AP262" s="1"/>
      <c r="AQ262" s="1"/>
      <c r="AR262" s="1"/>
      <c r="AS262" s="1"/>
      <c r="AT262" s="1"/>
      <c r="AU262" s="1"/>
    </row>
    <row r="263" ht="15.75" customHeight="1">
      <c r="A263" s="31"/>
      <c r="B263" s="31"/>
      <c r="C263" s="3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4"/>
      <c r="AN263" s="1"/>
      <c r="AO263" s="1"/>
      <c r="AP263" s="1"/>
      <c r="AQ263" s="1"/>
      <c r="AR263" s="1"/>
      <c r="AS263" s="1"/>
      <c r="AT263" s="1"/>
      <c r="AU263" s="1"/>
    </row>
    <row r="264" ht="15.75" customHeight="1">
      <c r="A264" s="31"/>
      <c r="B264" s="31"/>
      <c r="C264" s="3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4"/>
      <c r="AN264" s="1"/>
      <c r="AO264" s="1"/>
      <c r="AP264" s="1"/>
      <c r="AQ264" s="1"/>
      <c r="AR264" s="1"/>
      <c r="AS264" s="1"/>
      <c r="AT264" s="1"/>
      <c r="AU264" s="1"/>
    </row>
    <row r="265" ht="15.75" customHeight="1">
      <c r="A265" s="31"/>
      <c r="B265" s="31"/>
      <c r="C265" s="3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4"/>
      <c r="AN265" s="1"/>
      <c r="AO265" s="1"/>
      <c r="AP265" s="1"/>
      <c r="AQ265" s="1"/>
      <c r="AR265" s="1"/>
      <c r="AS265" s="1"/>
      <c r="AT265" s="1"/>
      <c r="AU265" s="1"/>
    </row>
    <row r="266" ht="15.75" customHeight="1">
      <c r="A266" s="31"/>
      <c r="B266" s="31"/>
      <c r="C266" s="3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4"/>
      <c r="AN266" s="1"/>
      <c r="AO266" s="1"/>
      <c r="AP266" s="1"/>
      <c r="AQ266" s="1"/>
      <c r="AR266" s="1"/>
      <c r="AS266" s="1"/>
      <c r="AT266" s="1"/>
      <c r="AU266" s="1"/>
    </row>
    <row r="267" ht="15.75" customHeight="1">
      <c r="A267" s="31"/>
      <c r="B267" s="31"/>
      <c r="C267" s="3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4"/>
      <c r="AN267" s="1"/>
      <c r="AO267" s="1"/>
      <c r="AP267" s="1"/>
      <c r="AQ267" s="1"/>
      <c r="AR267" s="1"/>
      <c r="AS267" s="1"/>
      <c r="AT267" s="1"/>
      <c r="AU267" s="1"/>
    </row>
    <row r="268" ht="15.75" customHeight="1">
      <c r="A268" s="31"/>
      <c r="B268" s="31"/>
      <c r="C268" s="3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4"/>
      <c r="AN268" s="1"/>
      <c r="AO268" s="1"/>
      <c r="AP268" s="1"/>
      <c r="AQ268" s="1"/>
      <c r="AR268" s="1"/>
      <c r="AS268" s="1"/>
      <c r="AT268" s="1"/>
      <c r="AU268" s="1"/>
    </row>
    <row r="269" ht="15.75" customHeight="1">
      <c r="A269" s="31"/>
      <c r="B269" s="31"/>
      <c r="C269" s="3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4"/>
      <c r="AN269" s="1"/>
      <c r="AO269" s="1"/>
      <c r="AP269" s="1"/>
      <c r="AQ269" s="1"/>
      <c r="AR269" s="1"/>
      <c r="AS269" s="1"/>
      <c r="AT269" s="1"/>
      <c r="AU269" s="1"/>
    </row>
    <row r="270" ht="15.75" customHeight="1">
      <c r="A270" s="31"/>
      <c r="B270" s="31"/>
      <c r="C270" s="3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4"/>
      <c r="AN270" s="1"/>
      <c r="AO270" s="1"/>
      <c r="AP270" s="1"/>
      <c r="AQ270" s="1"/>
      <c r="AR270" s="1"/>
      <c r="AS270" s="1"/>
      <c r="AT270" s="1"/>
      <c r="AU270" s="1"/>
    </row>
    <row r="271" ht="15.75" customHeight="1">
      <c r="A271" s="31"/>
      <c r="B271" s="31"/>
      <c r="C271" s="3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4"/>
      <c r="AN271" s="1"/>
      <c r="AO271" s="1"/>
      <c r="AP271" s="1"/>
      <c r="AQ271" s="1"/>
      <c r="AR271" s="1"/>
      <c r="AS271" s="1"/>
      <c r="AT271" s="1"/>
      <c r="AU271" s="1"/>
    </row>
    <row r="272" ht="15.75" customHeight="1">
      <c r="A272" s="31"/>
      <c r="B272" s="31"/>
      <c r="C272" s="3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4"/>
      <c r="AN272" s="1"/>
      <c r="AO272" s="1"/>
      <c r="AP272" s="1"/>
      <c r="AQ272" s="1"/>
      <c r="AR272" s="1"/>
      <c r="AS272" s="1"/>
      <c r="AT272" s="1"/>
      <c r="AU272" s="1"/>
    </row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6">
    <mergeCell ref="A7:A9"/>
    <mergeCell ref="B7:B9"/>
    <mergeCell ref="C7:C9"/>
    <mergeCell ref="AM7:AM9"/>
    <mergeCell ref="A2:A3"/>
    <mergeCell ref="B2:B3"/>
    <mergeCell ref="C2:C3"/>
    <mergeCell ref="D2:D3"/>
    <mergeCell ref="A4:A6"/>
    <mergeCell ref="B4:B6"/>
    <mergeCell ref="C4:C6"/>
    <mergeCell ref="B16:B18"/>
    <mergeCell ref="C16:C18"/>
    <mergeCell ref="AM16:AM18"/>
    <mergeCell ref="A19:A21"/>
    <mergeCell ref="B19:B21"/>
    <mergeCell ref="C19:C21"/>
    <mergeCell ref="AM19:AM21"/>
    <mergeCell ref="A10:A12"/>
    <mergeCell ref="B10:B12"/>
    <mergeCell ref="C10:C12"/>
    <mergeCell ref="A13:A15"/>
    <mergeCell ref="B13:B15"/>
    <mergeCell ref="C13:C15"/>
    <mergeCell ref="A16:A18"/>
    <mergeCell ref="B28:B30"/>
    <mergeCell ref="C28:C30"/>
    <mergeCell ref="A22:A24"/>
    <mergeCell ref="B22:B24"/>
    <mergeCell ref="C22:C24"/>
    <mergeCell ref="A25:A27"/>
    <mergeCell ref="B25:B27"/>
    <mergeCell ref="C25:C27"/>
    <mergeCell ref="A28:A30"/>
    <mergeCell ref="B64:B66"/>
    <mergeCell ref="C64:C66"/>
    <mergeCell ref="A58:A60"/>
    <mergeCell ref="B58:B60"/>
    <mergeCell ref="C58:C60"/>
    <mergeCell ref="A61:A63"/>
    <mergeCell ref="B61:B63"/>
    <mergeCell ref="C61:C63"/>
    <mergeCell ref="A64:A66"/>
    <mergeCell ref="B37:B39"/>
    <mergeCell ref="C37:C39"/>
    <mergeCell ref="A31:A33"/>
    <mergeCell ref="B31:B33"/>
    <mergeCell ref="C31:C33"/>
    <mergeCell ref="A34:A36"/>
    <mergeCell ref="B34:B36"/>
    <mergeCell ref="C34:C36"/>
    <mergeCell ref="A37:A39"/>
    <mergeCell ref="B46:B48"/>
    <mergeCell ref="C46:C48"/>
    <mergeCell ref="A40:A42"/>
    <mergeCell ref="B40:B42"/>
    <mergeCell ref="C40:C42"/>
    <mergeCell ref="A43:A45"/>
    <mergeCell ref="B43:B45"/>
    <mergeCell ref="C43:C45"/>
    <mergeCell ref="A46:A48"/>
    <mergeCell ref="B55:B57"/>
    <mergeCell ref="C55:C57"/>
    <mergeCell ref="A49:A51"/>
    <mergeCell ref="B49:B51"/>
    <mergeCell ref="C49:C51"/>
    <mergeCell ref="A52:A54"/>
    <mergeCell ref="B52:B54"/>
    <mergeCell ref="C52:C54"/>
    <mergeCell ref="A55:A57"/>
    <mergeCell ref="A67:A69"/>
    <mergeCell ref="B67:B69"/>
    <mergeCell ref="C67:C69"/>
    <mergeCell ref="A70:A72"/>
    <mergeCell ref="B70:B72"/>
    <mergeCell ref="C70:C72"/>
  </mergeCells>
  <printOptions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4" width="12.63"/>
    <col customWidth="1" min="5" max="35" width="2.63"/>
    <col customWidth="1" min="36" max="36" width="5.25"/>
    <col customWidth="1" min="37" max="37" width="5.63"/>
    <col customWidth="1" min="38" max="38" width="7.63"/>
    <col customWidth="1" min="39" max="39" width="25.75"/>
    <col customWidth="1" min="40" max="47" width="2.63"/>
  </cols>
  <sheetData>
    <row r="1" ht="15.75" customHeight="1">
      <c r="A1" s="1">
        <v>2025.0</v>
      </c>
      <c r="B1" s="1">
        <v>11.0</v>
      </c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4"/>
      <c r="AN1" s="1"/>
      <c r="AO1" s="1"/>
      <c r="AP1" s="1"/>
      <c r="AQ1" s="1"/>
      <c r="AR1" s="1"/>
      <c r="AS1" s="1"/>
      <c r="AT1" s="1"/>
      <c r="AU1" s="1"/>
    </row>
    <row r="2" ht="15.75" customHeight="1">
      <c r="A2" s="5" t="s">
        <v>0</v>
      </c>
      <c r="B2" s="5" t="s">
        <v>1</v>
      </c>
      <c r="C2" s="5" t="s">
        <v>2</v>
      </c>
      <c r="D2" s="6"/>
      <c r="E2" s="7">
        <f>DATE($A$1,$B$1,1)</f>
        <v>45962</v>
      </c>
      <c r="F2" s="7">
        <f>DATE($A$1,$B$1,2)</f>
        <v>45963</v>
      </c>
      <c r="G2" s="7">
        <f>DATE($A$1,$B$1,3)</f>
        <v>45964</v>
      </c>
      <c r="H2" s="7">
        <f>DATE($A$1,$B$1,4)</f>
        <v>45965</v>
      </c>
      <c r="I2" s="7">
        <f>DATE($A$1,$B$1,5)</f>
        <v>45966</v>
      </c>
      <c r="J2" s="7">
        <f>DATE($A$1,$B$1,6)</f>
        <v>45967</v>
      </c>
      <c r="K2" s="7">
        <f>DATE($A$1,$B$1,7)</f>
        <v>45968</v>
      </c>
      <c r="L2" s="7">
        <f>DATE($A$1,$B$1,8)</f>
        <v>45969</v>
      </c>
      <c r="M2" s="7">
        <f>DATE($A$1,$B$1,9)</f>
        <v>45970</v>
      </c>
      <c r="N2" s="7">
        <f>DATE($A$1,$B$1,10)</f>
        <v>45971</v>
      </c>
      <c r="O2" s="7">
        <f>DATE($A$1,$B$1,11)</f>
        <v>45972</v>
      </c>
      <c r="P2" s="7">
        <f>DATE($A$1,$B$1,12)</f>
        <v>45973</v>
      </c>
      <c r="Q2" s="7">
        <f>DATE($A$1,$B$1,13)</f>
        <v>45974</v>
      </c>
      <c r="R2" s="7">
        <f>DATE($A$1,$B$1,14)</f>
        <v>45975</v>
      </c>
      <c r="S2" s="7">
        <f>DATE($A$1,$B$1,15)</f>
        <v>45976</v>
      </c>
      <c r="T2" s="7">
        <f>DATE($A$1,$B$1,16)</f>
        <v>45977</v>
      </c>
      <c r="U2" s="7">
        <f>DATE($A$1,$B$1,17)</f>
        <v>45978</v>
      </c>
      <c r="V2" s="7">
        <f>DATE($A$1,$B$1,18)</f>
        <v>45979</v>
      </c>
      <c r="W2" s="7">
        <f>DATE($A$1,$B$1,19)</f>
        <v>45980</v>
      </c>
      <c r="X2" s="7">
        <f>DATE($A$1,$B$1,20)</f>
        <v>45981</v>
      </c>
      <c r="Y2" s="7">
        <f>DATE($A$1,$B$1,21)</f>
        <v>45982</v>
      </c>
      <c r="Z2" s="7">
        <f>DATE($A$1,$B$1,22)</f>
        <v>45983</v>
      </c>
      <c r="AA2" s="7">
        <f>DATE($A$1,$B$1,23)</f>
        <v>45984</v>
      </c>
      <c r="AB2" s="7">
        <f>DATE($A$1,$B$1,24)</f>
        <v>45985</v>
      </c>
      <c r="AC2" s="7">
        <f>DATE($A$1,$B$1,25)</f>
        <v>45986</v>
      </c>
      <c r="AD2" s="7">
        <f>DATE($A$1,$B$1,26)</f>
        <v>45987</v>
      </c>
      <c r="AE2" s="7">
        <f>DATE($A$1,$B$1,27)</f>
        <v>45988</v>
      </c>
      <c r="AF2" s="7">
        <f>DATE($A$1,$B$1,28)</f>
        <v>45989</v>
      </c>
      <c r="AG2" s="7">
        <f>DATE($A$1,$B$1,29)</f>
        <v>45990</v>
      </c>
      <c r="AH2" s="7">
        <f>DATE($A$1,$B$1,30)</f>
        <v>45991</v>
      </c>
      <c r="AI2" s="7">
        <f>DATE($A$1,$B$1,31)</f>
        <v>45992</v>
      </c>
      <c r="AJ2" s="8" t="s">
        <v>3</v>
      </c>
      <c r="AK2" s="9"/>
      <c r="AL2" s="8" t="s">
        <v>4</v>
      </c>
      <c r="AM2" s="4"/>
      <c r="AN2" s="1"/>
      <c r="AO2" s="1"/>
      <c r="AP2" s="1"/>
      <c r="AQ2" s="1"/>
      <c r="AR2" s="1"/>
      <c r="AS2" s="1"/>
      <c r="AT2" s="1"/>
      <c r="AU2" s="1"/>
    </row>
    <row r="3" ht="15.75" customHeight="1">
      <c r="A3" s="10"/>
      <c r="B3" s="10"/>
      <c r="C3" s="10"/>
      <c r="D3" s="10"/>
      <c r="E3" s="11" t="str">
        <f t="shared" ref="E3:AI3" si="1">TEXT(E2,"ddd")</f>
        <v>土</v>
      </c>
      <c r="F3" s="11" t="str">
        <f t="shared" si="1"/>
        <v>日</v>
      </c>
      <c r="G3" s="11" t="str">
        <f t="shared" si="1"/>
        <v>月</v>
      </c>
      <c r="H3" s="11" t="str">
        <f t="shared" si="1"/>
        <v>火</v>
      </c>
      <c r="I3" s="11" t="str">
        <f t="shared" si="1"/>
        <v>水</v>
      </c>
      <c r="J3" s="11" t="str">
        <f t="shared" si="1"/>
        <v>木</v>
      </c>
      <c r="K3" s="11" t="str">
        <f t="shared" si="1"/>
        <v>金</v>
      </c>
      <c r="L3" s="11" t="str">
        <f t="shared" si="1"/>
        <v>土</v>
      </c>
      <c r="M3" s="11" t="str">
        <f t="shared" si="1"/>
        <v>日</v>
      </c>
      <c r="N3" s="11" t="str">
        <f t="shared" si="1"/>
        <v>月</v>
      </c>
      <c r="O3" s="11" t="str">
        <f t="shared" si="1"/>
        <v>火</v>
      </c>
      <c r="P3" s="11" t="str">
        <f t="shared" si="1"/>
        <v>水</v>
      </c>
      <c r="Q3" s="11" t="str">
        <f t="shared" si="1"/>
        <v>木</v>
      </c>
      <c r="R3" s="11" t="str">
        <f t="shared" si="1"/>
        <v>金</v>
      </c>
      <c r="S3" s="11" t="str">
        <f t="shared" si="1"/>
        <v>土</v>
      </c>
      <c r="T3" s="11" t="str">
        <f t="shared" si="1"/>
        <v>日</v>
      </c>
      <c r="U3" s="11" t="str">
        <f t="shared" si="1"/>
        <v>月</v>
      </c>
      <c r="V3" s="11" t="str">
        <f t="shared" si="1"/>
        <v>火</v>
      </c>
      <c r="W3" s="11" t="str">
        <f t="shared" si="1"/>
        <v>水</v>
      </c>
      <c r="X3" s="11" t="str">
        <f t="shared" si="1"/>
        <v>木</v>
      </c>
      <c r="Y3" s="11" t="str">
        <f t="shared" si="1"/>
        <v>金</v>
      </c>
      <c r="Z3" s="11" t="str">
        <f t="shared" si="1"/>
        <v>土</v>
      </c>
      <c r="AA3" s="11" t="str">
        <f t="shared" si="1"/>
        <v>日</v>
      </c>
      <c r="AB3" s="11" t="str">
        <f t="shared" si="1"/>
        <v>月</v>
      </c>
      <c r="AC3" s="11" t="str">
        <f t="shared" si="1"/>
        <v>火</v>
      </c>
      <c r="AD3" s="11" t="str">
        <f t="shared" si="1"/>
        <v>水</v>
      </c>
      <c r="AE3" s="11" t="str">
        <f t="shared" si="1"/>
        <v>木</v>
      </c>
      <c r="AF3" s="11" t="str">
        <f t="shared" si="1"/>
        <v>金</v>
      </c>
      <c r="AG3" s="11" t="str">
        <f t="shared" si="1"/>
        <v>土</v>
      </c>
      <c r="AH3" s="11" t="str">
        <f t="shared" si="1"/>
        <v>日</v>
      </c>
      <c r="AI3" s="11" t="str">
        <f t="shared" si="1"/>
        <v>月</v>
      </c>
      <c r="AJ3" s="9"/>
      <c r="AK3" s="9"/>
      <c r="AL3" s="6"/>
      <c r="AM3" s="4"/>
      <c r="AN3" s="1"/>
      <c r="AO3" s="1"/>
      <c r="AP3" s="1"/>
      <c r="AQ3" s="1"/>
      <c r="AR3" s="1"/>
      <c r="AS3" s="1"/>
      <c r="AT3" s="1"/>
      <c r="AU3" s="1"/>
    </row>
    <row r="4" ht="15.75" customHeight="1">
      <c r="A4" s="12" t="s">
        <v>30</v>
      </c>
      <c r="B4" s="12" t="s">
        <v>31</v>
      </c>
      <c r="C4" s="12" t="s">
        <v>32</v>
      </c>
      <c r="D4" s="13" t="s">
        <v>5</v>
      </c>
      <c r="E4" s="13">
        <v>1.0</v>
      </c>
      <c r="F4" s="13">
        <v>1.0</v>
      </c>
      <c r="G4" s="13">
        <v>1.0</v>
      </c>
      <c r="H4" s="13">
        <v>1.0</v>
      </c>
      <c r="I4" s="13">
        <v>1.0</v>
      </c>
      <c r="J4" s="13">
        <v>1.0</v>
      </c>
      <c r="K4" s="13">
        <v>1.0</v>
      </c>
      <c r="L4" s="13">
        <v>1.0</v>
      </c>
      <c r="M4" s="13">
        <v>1.0</v>
      </c>
      <c r="N4" s="13">
        <v>1.0</v>
      </c>
      <c r="O4" s="13">
        <v>1.0</v>
      </c>
      <c r="P4" s="13">
        <v>1.0</v>
      </c>
      <c r="Q4" s="13">
        <v>1.0</v>
      </c>
      <c r="R4" s="13">
        <v>1.0</v>
      </c>
      <c r="S4" s="13">
        <v>1.0</v>
      </c>
      <c r="T4" s="13">
        <v>1.0</v>
      </c>
      <c r="U4" s="13">
        <v>1.0</v>
      </c>
      <c r="V4" s="13">
        <v>1.0</v>
      </c>
      <c r="W4" s="13">
        <v>1.0</v>
      </c>
      <c r="X4" s="13">
        <v>1.0</v>
      </c>
      <c r="Y4" s="13">
        <v>1.0</v>
      </c>
      <c r="Z4" s="13">
        <v>1.0</v>
      </c>
      <c r="AA4" s="13">
        <v>1.0</v>
      </c>
      <c r="AB4" s="13">
        <v>1.0</v>
      </c>
      <c r="AC4" s="13">
        <v>1.0</v>
      </c>
      <c r="AD4" s="13">
        <v>1.0</v>
      </c>
      <c r="AE4" s="13">
        <v>1.0</v>
      </c>
      <c r="AF4" s="13">
        <v>0.0</v>
      </c>
      <c r="AG4" s="13">
        <v>0.0</v>
      </c>
      <c r="AH4" s="13">
        <v>0.0</v>
      </c>
      <c r="AI4" s="13"/>
      <c r="AJ4" s="13">
        <f t="shared" ref="AJ4:AJ10" si="2">SUM(E4:AI4)</f>
        <v>27</v>
      </c>
      <c r="AK4" s="14">
        <f>330*AJ4</f>
        <v>8910</v>
      </c>
      <c r="AL4" s="15"/>
      <c r="AM4" s="4"/>
      <c r="AN4" s="1"/>
      <c r="AO4" s="1"/>
      <c r="AP4" s="1"/>
      <c r="AQ4" s="1"/>
      <c r="AR4" s="1"/>
      <c r="AS4" s="1"/>
      <c r="AT4" s="1"/>
      <c r="AU4" s="1"/>
    </row>
    <row r="5" ht="15.75" customHeight="1">
      <c r="A5" s="16"/>
      <c r="B5" s="16"/>
      <c r="C5" s="16"/>
      <c r="D5" s="13" t="s">
        <v>6</v>
      </c>
      <c r="E5" s="17">
        <v>1.0</v>
      </c>
      <c r="F5" s="17">
        <v>1.0</v>
      </c>
      <c r="G5" s="17">
        <v>0.0</v>
      </c>
      <c r="H5" s="17">
        <v>1.0</v>
      </c>
      <c r="I5" s="17">
        <v>1.0</v>
      </c>
      <c r="J5" s="17">
        <v>1.0</v>
      </c>
      <c r="K5" s="17">
        <v>0.0</v>
      </c>
      <c r="L5" s="17">
        <v>1.0</v>
      </c>
      <c r="M5" s="17">
        <v>1.0</v>
      </c>
      <c r="N5" s="17">
        <v>0.0</v>
      </c>
      <c r="O5" s="17">
        <v>1.0</v>
      </c>
      <c r="P5" s="17">
        <v>1.0</v>
      </c>
      <c r="Q5" s="17">
        <v>0.0</v>
      </c>
      <c r="R5" s="17">
        <v>0.0</v>
      </c>
      <c r="S5" s="17">
        <v>1.0</v>
      </c>
      <c r="T5" s="17">
        <v>1.0</v>
      </c>
      <c r="U5" s="17">
        <v>0.0</v>
      </c>
      <c r="V5" s="17">
        <v>1.0</v>
      </c>
      <c r="W5" s="17">
        <v>1.0</v>
      </c>
      <c r="X5" s="17">
        <v>1.0</v>
      </c>
      <c r="Y5" s="17">
        <v>0.0</v>
      </c>
      <c r="Z5" s="17">
        <v>1.0</v>
      </c>
      <c r="AA5" s="17">
        <v>1.0</v>
      </c>
      <c r="AB5" s="17">
        <v>0.0</v>
      </c>
      <c r="AC5" s="17">
        <v>1.0</v>
      </c>
      <c r="AD5" s="17">
        <v>1.0</v>
      </c>
      <c r="AE5" s="17">
        <v>0.0</v>
      </c>
      <c r="AF5" s="17">
        <v>0.0</v>
      </c>
      <c r="AG5" s="17">
        <v>0.0</v>
      </c>
      <c r="AH5" s="17">
        <v>0.0</v>
      </c>
      <c r="AI5" s="18"/>
      <c r="AJ5" s="13">
        <f t="shared" si="2"/>
        <v>18</v>
      </c>
      <c r="AK5" s="14">
        <f t="shared" ref="AK5:AK6" si="3">550*AJ5</f>
        <v>9900</v>
      </c>
      <c r="AL5" s="19"/>
      <c r="AM5" s="4"/>
      <c r="AN5" s="1"/>
      <c r="AO5" s="1"/>
      <c r="AP5" s="1"/>
      <c r="AQ5" s="1"/>
      <c r="AR5" s="1"/>
      <c r="AS5" s="1"/>
      <c r="AT5" s="1"/>
      <c r="AU5" s="1"/>
    </row>
    <row r="6" ht="15.75" customHeight="1">
      <c r="A6" s="10"/>
      <c r="B6" s="10"/>
      <c r="C6" s="10"/>
      <c r="D6" s="13" t="s">
        <v>7</v>
      </c>
      <c r="E6" s="17">
        <v>1.0</v>
      </c>
      <c r="F6" s="17">
        <v>1.0</v>
      </c>
      <c r="G6" s="17">
        <v>1.0</v>
      </c>
      <c r="H6" s="17">
        <v>1.0</v>
      </c>
      <c r="I6" s="17">
        <v>1.0</v>
      </c>
      <c r="J6" s="17">
        <v>1.0</v>
      </c>
      <c r="K6" s="17">
        <v>1.0</v>
      </c>
      <c r="L6" s="17">
        <v>1.0</v>
      </c>
      <c r="M6" s="17">
        <v>1.0</v>
      </c>
      <c r="N6" s="17">
        <v>1.0</v>
      </c>
      <c r="O6" s="17">
        <v>1.0</v>
      </c>
      <c r="P6" s="17">
        <v>1.0</v>
      </c>
      <c r="Q6" s="17">
        <v>1.0</v>
      </c>
      <c r="R6" s="17">
        <v>1.0</v>
      </c>
      <c r="S6" s="17">
        <v>1.0</v>
      </c>
      <c r="T6" s="17">
        <v>1.0</v>
      </c>
      <c r="U6" s="17">
        <v>1.0</v>
      </c>
      <c r="V6" s="17">
        <v>1.0</v>
      </c>
      <c r="W6" s="17">
        <v>1.0</v>
      </c>
      <c r="X6" s="17">
        <v>1.0</v>
      </c>
      <c r="Y6" s="17">
        <v>1.0</v>
      </c>
      <c r="Z6" s="17">
        <v>1.0</v>
      </c>
      <c r="AA6" s="17">
        <v>1.0</v>
      </c>
      <c r="AB6" s="17">
        <v>1.0</v>
      </c>
      <c r="AC6" s="17">
        <v>1.0</v>
      </c>
      <c r="AD6" s="17">
        <v>1.0</v>
      </c>
      <c r="AE6" s="17">
        <v>0.0</v>
      </c>
      <c r="AF6" s="17">
        <v>0.0</v>
      </c>
      <c r="AG6" s="17">
        <v>0.0</v>
      </c>
      <c r="AH6" s="17">
        <v>0.0</v>
      </c>
      <c r="AI6" s="13"/>
      <c r="AJ6" s="13">
        <f t="shared" si="2"/>
        <v>26</v>
      </c>
      <c r="AK6" s="14">
        <f t="shared" si="3"/>
        <v>14300</v>
      </c>
      <c r="AL6" s="20">
        <f>SUM(AK4:AK6)</f>
        <v>33110</v>
      </c>
      <c r="AM6" s="4"/>
      <c r="AN6" s="1"/>
      <c r="AO6" s="1"/>
      <c r="AP6" s="1"/>
      <c r="AQ6" s="1"/>
      <c r="AR6" s="1"/>
      <c r="AS6" s="1"/>
      <c r="AT6" s="1"/>
      <c r="AU6" s="1"/>
    </row>
    <row r="7" ht="15.75" customHeight="1">
      <c r="A7" s="21" t="s">
        <v>8</v>
      </c>
      <c r="B7" s="21" t="s">
        <v>9</v>
      </c>
      <c r="C7" s="21" t="s">
        <v>10</v>
      </c>
      <c r="D7" s="22" t="s">
        <v>5</v>
      </c>
      <c r="E7" s="22">
        <v>0.0</v>
      </c>
      <c r="F7" s="22">
        <v>0.0</v>
      </c>
      <c r="G7" s="22">
        <v>0.0</v>
      </c>
      <c r="H7" s="22">
        <v>0.0</v>
      </c>
      <c r="I7" s="22">
        <v>0.0</v>
      </c>
      <c r="J7" s="22">
        <v>0.0</v>
      </c>
      <c r="K7" s="22">
        <v>0.0</v>
      </c>
      <c r="L7" s="22">
        <v>0.0</v>
      </c>
      <c r="M7" s="22">
        <v>0.0</v>
      </c>
      <c r="N7" s="22">
        <v>0.0</v>
      </c>
      <c r="O7" s="22">
        <v>0.0</v>
      </c>
      <c r="P7" s="22">
        <v>0.0</v>
      </c>
      <c r="Q7" s="22">
        <v>0.0</v>
      </c>
      <c r="R7" s="22">
        <v>0.0</v>
      </c>
      <c r="S7" s="22">
        <v>0.0</v>
      </c>
      <c r="T7" s="22">
        <v>0.0</v>
      </c>
      <c r="U7" s="22">
        <v>0.0</v>
      </c>
      <c r="V7" s="22">
        <v>0.0</v>
      </c>
      <c r="W7" s="22">
        <v>0.0</v>
      </c>
      <c r="X7" s="22">
        <v>0.0</v>
      </c>
      <c r="Y7" s="22">
        <v>0.0</v>
      </c>
      <c r="Z7" s="22">
        <v>0.0</v>
      </c>
      <c r="AA7" s="22">
        <v>0.0</v>
      </c>
      <c r="AB7" s="22">
        <v>0.0</v>
      </c>
      <c r="AC7" s="22">
        <v>0.0</v>
      </c>
      <c r="AD7" s="22">
        <v>0.0</v>
      </c>
      <c r="AE7" s="22">
        <v>0.0</v>
      </c>
      <c r="AF7" s="22">
        <v>0.0</v>
      </c>
      <c r="AG7" s="22">
        <v>0.0</v>
      </c>
      <c r="AH7" s="22">
        <v>0.0</v>
      </c>
      <c r="AI7" s="22"/>
      <c r="AJ7" s="22">
        <f t="shared" si="2"/>
        <v>0</v>
      </c>
      <c r="AK7" s="23">
        <f>330*AJ7</f>
        <v>0</v>
      </c>
      <c r="AL7" s="24"/>
      <c r="AM7" s="25"/>
      <c r="AN7" s="1"/>
      <c r="AO7" s="1"/>
      <c r="AP7" s="1"/>
      <c r="AQ7" s="1"/>
      <c r="AR7" s="1"/>
      <c r="AS7" s="1"/>
      <c r="AT7" s="1"/>
      <c r="AU7" s="1"/>
    </row>
    <row r="8" ht="15.75" customHeight="1">
      <c r="A8" s="16"/>
      <c r="B8" s="16"/>
      <c r="C8" s="16"/>
      <c r="D8" s="22" t="s">
        <v>6</v>
      </c>
      <c r="E8" s="22">
        <v>0.0</v>
      </c>
      <c r="F8" s="22">
        <v>0.0</v>
      </c>
      <c r="G8" s="22">
        <v>0.0</v>
      </c>
      <c r="H8" s="22">
        <v>0.0</v>
      </c>
      <c r="I8" s="22">
        <v>0.0</v>
      </c>
      <c r="J8" s="22">
        <v>0.0</v>
      </c>
      <c r="K8" s="22">
        <v>0.0</v>
      </c>
      <c r="L8" s="22">
        <v>0.0</v>
      </c>
      <c r="M8" s="22">
        <v>0.0</v>
      </c>
      <c r="N8" s="22">
        <v>0.0</v>
      </c>
      <c r="O8" s="22">
        <v>0.0</v>
      </c>
      <c r="P8" s="22">
        <v>0.0</v>
      </c>
      <c r="Q8" s="22">
        <v>0.0</v>
      </c>
      <c r="R8" s="22">
        <v>0.0</v>
      </c>
      <c r="S8" s="22">
        <v>0.0</v>
      </c>
      <c r="T8" s="22">
        <v>0.0</v>
      </c>
      <c r="U8" s="22">
        <v>0.0</v>
      </c>
      <c r="V8" s="22">
        <v>0.0</v>
      </c>
      <c r="W8" s="22">
        <v>0.0</v>
      </c>
      <c r="X8" s="22">
        <v>0.0</v>
      </c>
      <c r="Y8" s="22">
        <v>0.0</v>
      </c>
      <c r="Z8" s="22">
        <v>0.0</v>
      </c>
      <c r="AA8" s="22">
        <v>0.0</v>
      </c>
      <c r="AB8" s="22">
        <v>0.0</v>
      </c>
      <c r="AC8" s="22">
        <v>0.0</v>
      </c>
      <c r="AD8" s="22">
        <v>0.0</v>
      </c>
      <c r="AE8" s="22">
        <v>0.0</v>
      </c>
      <c r="AF8" s="22">
        <v>0.0</v>
      </c>
      <c r="AG8" s="22">
        <v>0.0</v>
      </c>
      <c r="AH8" s="22">
        <v>0.0</v>
      </c>
      <c r="AI8" s="22"/>
      <c r="AJ8" s="22">
        <f t="shared" si="2"/>
        <v>0</v>
      </c>
      <c r="AK8" s="23">
        <f t="shared" ref="AK8:AK9" si="4">550*AJ8</f>
        <v>0</v>
      </c>
      <c r="AL8" s="24"/>
      <c r="AN8" s="1"/>
      <c r="AO8" s="1"/>
      <c r="AP8" s="1"/>
      <c r="AQ8" s="1"/>
      <c r="AR8" s="1"/>
      <c r="AS8" s="1"/>
      <c r="AT8" s="1"/>
      <c r="AU8" s="1"/>
    </row>
    <row r="9" ht="15.75" customHeight="1">
      <c r="A9" s="10"/>
      <c r="B9" s="10"/>
      <c r="C9" s="10"/>
      <c r="D9" s="22" t="s">
        <v>7</v>
      </c>
      <c r="E9" s="22">
        <v>0.0</v>
      </c>
      <c r="F9" s="22">
        <v>0.0</v>
      </c>
      <c r="G9" s="22">
        <v>0.0</v>
      </c>
      <c r="H9" s="22">
        <v>0.0</v>
      </c>
      <c r="I9" s="22">
        <v>0.0</v>
      </c>
      <c r="J9" s="22">
        <v>0.0</v>
      </c>
      <c r="K9" s="22">
        <v>0.0</v>
      </c>
      <c r="L9" s="22">
        <v>0.0</v>
      </c>
      <c r="M9" s="22">
        <v>0.0</v>
      </c>
      <c r="N9" s="22">
        <v>0.0</v>
      </c>
      <c r="O9" s="22">
        <v>0.0</v>
      </c>
      <c r="P9" s="22">
        <v>0.0</v>
      </c>
      <c r="Q9" s="22">
        <v>0.0</v>
      </c>
      <c r="R9" s="22">
        <v>0.0</v>
      </c>
      <c r="S9" s="22">
        <v>0.0</v>
      </c>
      <c r="T9" s="22">
        <v>0.0</v>
      </c>
      <c r="U9" s="22">
        <v>0.0</v>
      </c>
      <c r="V9" s="22">
        <v>0.0</v>
      </c>
      <c r="W9" s="22">
        <v>0.0</v>
      </c>
      <c r="X9" s="22">
        <v>0.0</v>
      </c>
      <c r="Y9" s="22">
        <v>0.0</v>
      </c>
      <c r="Z9" s="22">
        <v>0.0</v>
      </c>
      <c r="AA9" s="22">
        <v>0.0</v>
      </c>
      <c r="AB9" s="22">
        <v>0.0</v>
      </c>
      <c r="AC9" s="22">
        <v>0.0</v>
      </c>
      <c r="AD9" s="22">
        <v>0.0</v>
      </c>
      <c r="AE9" s="22">
        <v>0.0</v>
      </c>
      <c r="AF9" s="22">
        <v>0.0</v>
      </c>
      <c r="AG9" s="22">
        <v>0.0</v>
      </c>
      <c r="AH9" s="22">
        <v>0.0</v>
      </c>
      <c r="AI9" s="22"/>
      <c r="AJ9" s="22">
        <f t="shared" si="2"/>
        <v>0</v>
      </c>
      <c r="AK9" s="23">
        <f t="shared" si="4"/>
        <v>0</v>
      </c>
      <c r="AL9" s="26">
        <f>SUM(AK7:AK9)</f>
        <v>0</v>
      </c>
      <c r="AN9" s="1"/>
      <c r="AO9" s="1"/>
      <c r="AP9" s="1"/>
      <c r="AQ9" s="1"/>
      <c r="AR9" s="1"/>
      <c r="AS9" s="1"/>
      <c r="AT9" s="1"/>
      <c r="AU9" s="1"/>
    </row>
    <row r="10" ht="15.75" customHeight="1">
      <c r="A10" s="12" t="s">
        <v>11</v>
      </c>
      <c r="B10" s="12" t="s">
        <v>12</v>
      </c>
      <c r="C10" s="12" t="s">
        <v>13</v>
      </c>
      <c r="D10" s="13" t="s">
        <v>5</v>
      </c>
      <c r="E10" s="18">
        <v>0.0</v>
      </c>
      <c r="F10" s="18">
        <v>0.0</v>
      </c>
      <c r="G10" s="18">
        <v>0.0</v>
      </c>
      <c r="H10" s="18">
        <v>0.0</v>
      </c>
      <c r="I10" s="18">
        <v>0.0</v>
      </c>
      <c r="J10" s="18">
        <v>0.0</v>
      </c>
      <c r="K10" s="18">
        <v>0.0</v>
      </c>
      <c r="L10" s="18">
        <v>0.0</v>
      </c>
      <c r="M10" s="18">
        <v>0.0</v>
      </c>
      <c r="N10" s="18">
        <v>0.0</v>
      </c>
      <c r="O10" s="18">
        <v>0.0</v>
      </c>
      <c r="P10" s="18">
        <v>0.0</v>
      </c>
      <c r="Q10" s="18">
        <v>0.0</v>
      </c>
      <c r="R10" s="18">
        <v>0.0</v>
      </c>
      <c r="S10" s="18">
        <v>0.0</v>
      </c>
      <c r="T10" s="18">
        <v>0.0</v>
      </c>
      <c r="U10" s="18">
        <v>0.0</v>
      </c>
      <c r="V10" s="18">
        <v>0.0</v>
      </c>
      <c r="W10" s="18">
        <v>0.0</v>
      </c>
      <c r="X10" s="18">
        <v>0.0</v>
      </c>
      <c r="Y10" s="18">
        <v>0.0</v>
      </c>
      <c r="Z10" s="18">
        <v>0.0</v>
      </c>
      <c r="AA10" s="18">
        <v>0.0</v>
      </c>
      <c r="AB10" s="18">
        <v>0.0</v>
      </c>
      <c r="AC10" s="18">
        <v>0.0</v>
      </c>
      <c r="AD10" s="18">
        <v>0.0</v>
      </c>
      <c r="AE10" s="18">
        <v>0.0</v>
      </c>
      <c r="AF10" s="18">
        <v>0.0</v>
      </c>
      <c r="AG10" s="18">
        <v>0.0</v>
      </c>
      <c r="AH10" s="18">
        <v>0.0</v>
      </c>
      <c r="AI10" s="18"/>
      <c r="AJ10" s="13">
        <f t="shared" si="2"/>
        <v>0</v>
      </c>
      <c r="AK10" s="14">
        <f>330*AJ10</f>
        <v>0</v>
      </c>
      <c r="AL10" s="19"/>
      <c r="AM10" s="4"/>
      <c r="AN10" s="1"/>
      <c r="AO10" s="1"/>
      <c r="AP10" s="1"/>
      <c r="AQ10" s="1"/>
      <c r="AR10" s="1"/>
      <c r="AS10" s="1"/>
      <c r="AT10" s="1"/>
      <c r="AU10" s="1"/>
    </row>
    <row r="11" ht="15.75" customHeight="1">
      <c r="A11" s="16"/>
      <c r="B11" s="16"/>
      <c r="C11" s="16"/>
      <c r="D11" s="13" t="s">
        <v>6</v>
      </c>
      <c r="E11" s="18">
        <v>0.0</v>
      </c>
      <c r="F11" s="18">
        <v>0.0</v>
      </c>
      <c r="G11" s="18">
        <v>0.0</v>
      </c>
      <c r="H11" s="18">
        <v>0.0</v>
      </c>
      <c r="I11" s="18">
        <v>0.0</v>
      </c>
      <c r="J11" s="18">
        <v>0.0</v>
      </c>
      <c r="K11" s="18">
        <v>0.0</v>
      </c>
      <c r="L11" s="18">
        <v>0.0</v>
      </c>
      <c r="M11" s="18">
        <v>0.0</v>
      </c>
      <c r="N11" s="18">
        <v>0.0</v>
      </c>
      <c r="O11" s="18">
        <v>0.0</v>
      </c>
      <c r="P11" s="18">
        <v>0.0</v>
      </c>
      <c r="Q11" s="18">
        <v>0.0</v>
      </c>
      <c r="R11" s="18">
        <v>0.0</v>
      </c>
      <c r="S11" s="18">
        <v>0.0</v>
      </c>
      <c r="T11" s="18">
        <v>0.0</v>
      </c>
      <c r="U11" s="18">
        <v>0.0</v>
      </c>
      <c r="V11" s="18">
        <v>0.0</v>
      </c>
      <c r="W11" s="18">
        <v>0.0</v>
      </c>
      <c r="X11" s="18">
        <v>0.0</v>
      </c>
      <c r="Y11" s="18">
        <v>0.0</v>
      </c>
      <c r="Z11" s="18">
        <v>0.0</v>
      </c>
      <c r="AA11" s="18">
        <v>0.0</v>
      </c>
      <c r="AB11" s="18">
        <v>0.0</v>
      </c>
      <c r="AC11" s="18">
        <v>0.0</v>
      </c>
      <c r="AD11" s="18">
        <v>0.0</v>
      </c>
      <c r="AE11" s="18">
        <v>0.0</v>
      </c>
      <c r="AF11" s="18">
        <v>0.0</v>
      </c>
      <c r="AG11" s="18">
        <v>0.0</v>
      </c>
      <c r="AH11" s="18">
        <v>0.0</v>
      </c>
      <c r="AI11" s="18"/>
      <c r="AJ11" s="13">
        <v>0.0</v>
      </c>
      <c r="AK11" s="14">
        <f t="shared" ref="AK11:AK12" si="5">550*AJ11</f>
        <v>0</v>
      </c>
      <c r="AL11" s="19"/>
      <c r="AM11" s="27"/>
      <c r="AN11" s="1"/>
      <c r="AO11" s="1"/>
      <c r="AP11" s="1"/>
      <c r="AQ11" s="1"/>
      <c r="AR11" s="1"/>
      <c r="AS11" s="1"/>
      <c r="AT11" s="1"/>
      <c r="AU11" s="1"/>
    </row>
    <row r="12" ht="15.75" customHeight="1">
      <c r="A12" s="10"/>
      <c r="B12" s="10"/>
      <c r="C12" s="10"/>
      <c r="D12" s="13" t="s">
        <v>7</v>
      </c>
      <c r="E12" s="13">
        <v>0.0</v>
      </c>
      <c r="F12" s="13">
        <v>0.0</v>
      </c>
      <c r="G12" s="13">
        <v>0.0</v>
      </c>
      <c r="H12" s="13">
        <v>0.0</v>
      </c>
      <c r="I12" s="13">
        <v>0.0</v>
      </c>
      <c r="J12" s="13">
        <v>0.0</v>
      </c>
      <c r="K12" s="13">
        <v>0.0</v>
      </c>
      <c r="L12" s="13">
        <v>0.0</v>
      </c>
      <c r="M12" s="13">
        <v>0.0</v>
      </c>
      <c r="N12" s="13">
        <v>0.0</v>
      </c>
      <c r="O12" s="13">
        <v>0.0</v>
      </c>
      <c r="P12" s="13">
        <v>0.0</v>
      </c>
      <c r="Q12" s="13">
        <v>0.0</v>
      </c>
      <c r="R12" s="13">
        <v>0.0</v>
      </c>
      <c r="S12" s="13">
        <v>0.0</v>
      </c>
      <c r="T12" s="13">
        <v>0.0</v>
      </c>
      <c r="U12" s="13">
        <v>0.0</v>
      </c>
      <c r="V12" s="13">
        <v>0.0</v>
      </c>
      <c r="W12" s="13">
        <v>0.0</v>
      </c>
      <c r="X12" s="13">
        <v>0.0</v>
      </c>
      <c r="Y12" s="13">
        <v>0.0</v>
      </c>
      <c r="Z12" s="13">
        <v>0.0</v>
      </c>
      <c r="AA12" s="13">
        <v>0.0</v>
      </c>
      <c r="AB12" s="13">
        <v>0.0</v>
      </c>
      <c r="AC12" s="13">
        <v>0.0</v>
      </c>
      <c r="AD12" s="13">
        <v>0.0</v>
      </c>
      <c r="AE12" s="13">
        <v>0.0</v>
      </c>
      <c r="AF12" s="13">
        <v>0.0</v>
      </c>
      <c r="AG12" s="13">
        <v>0.0</v>
      </c>
      <c r="AH12" s="13">
        <v>0.0</v>
      </c>
      <c r="AI12" s="13"/>
      <c r="AJ12" s="13">
        <f t="shared" ref="AJ12:AJ72" si="6">SUM(E12:AI12)</f>
        <v>0</v>
      </c>
      <c r="AK12" s="14">
        <f t="shared" si="5"/>
        <v>0</v>
      </c>
      <c r="AL12" s="20">
        <f>SUM(AK10:AK12)</f>
        <v>0</v>
      </c>
      <c r="AM12" s="4"/>
      <c r="AN12" s="1"/>
      <c r="AO12" s="1"/>
      <c r="AP12" s="1"/>
      <c r="AQ12" s="1"/>
      <c r="AR12" s="1"/>
      <c r="AS12" s="1"/>
      <c r="AT12" s="1"/>
      <c r="AU12" s="1"/>
    </row>
    <row r="13" ht="15.75" customHeight="1">
      <c r="A13" s="21" t="s">
        <v>14</v>
      </c>
      <c r="B13" s="21" t="s">
        <v>15</v>
      </c>
      <c r="C13" s="21"/>
      <c r="D13" s="22" t="s">
        <v>5</v>
      </c>
      <c r="E13" s="28">
        <v>1.0</v>
      </c>
      <c r="F13" s="28">
        <v>1.0</v>
      </c>
      <c r="G13" s="28">
        <v>1.0</v>
      </c>
      <c r="H13" s="28">
        <v>1.0</v>
      </c>
      <c r="I13" s="28">
        <v>1.0</v>
      </c>
      <c r="J13" s="28">
        <v>1.0</v>
      </c>
      <c r="K13" s="28">
        <v>1.0</v>
      </c>
      <c r="L13" s="28">
        <v>1.0</v>
      </c>
      <c r="M13" s="28">
        <v>1.0</v>
      </c>
      <c r="N13" s="28">
        <v>1.0</v>
      </c>
      <c r="O13" s="28">
        <v>1.0</v>
      </c>
      <c r="P13" s="28">
        <v>1.0</v>
      </c>
      <c r="Q13" s="28">
        <v>1.0</v>
      </c>
      <c r="R13" s="28">
        <v>1.0</v>
      </c>
      <c r="S13" s="28">
        <v>1.0</v>
      </c>
      <c r="T13" s="28">
        <v>1.0</v>
      </c>
      <c r="U13" s="28">
        <v>1.0</v>
      </c>
      <c r="V13" s="28">
        <v>1.0</v>
      </c>
      <c r="W13" s="28">
        <v>1.0</v>
      </c>
      <c r="X13" s="28">
        <v>1.0</v>
      </c>
      <c r="Y13" s="28">
        <v>1.0</v>
      </c>
      <c r="Z13" s="28">
        <v>1.0</v>
      </c>
      <c r="AA13" s="28">
        <v>1.0</v>
      </c>
      <c r="AB13" s="28">
        <v>1.0</v>
      </c>
      <c r="AC13" s="28">
        <v>1.0</v>
      </c>
      <c r="AD13" s="28">
        <v>1.0</v>
      </c>
      <c r="AE13" s="28">
        <v>1.0</v>
      </c>
      <c r="AF13" s="28">
        <v>1.0</v>
      </c>
      <c r="AG13" s="22">
        <v>1.0</v>
      </c>
      <c r="AH13" s="22">
        <v>1.0</v>
      </c>
      <c r="AI13" s="22"/>
      <c r="AJ13" s="22">
        <f t="shared" si="6"/>
        <v>30</v>
      </c>
      <c r="AK13" s="23">
        <f>330*AJ13</f>
        <v>9900</v>
      </c>
      <c r="AL13" s="24"/>
      <c r="AM13" s="25"/>
      <c r="AN13" s="1"/>
      <c r="AO13" s="1"/>
      <c r="AP13" s="1"/>
      <c r="AQ13" s="1"/>
      <c r="AR13" s="1"/>
      <c r="AS13" s="1"/>
      <c r="AT13" s="1"/>
      <c r="AU13" s="1"/>
    </row>
    <row r="14" ht="15.75" customHeight="1">
      <c r="A14" s="16"/>
      <c r="B14" s="16"/>
      <c r="C14" s="16"/>
      <c r="D14" s="22" t="s">
        <v>6</v>
      </c>
      <c r="E14" s="28">
        <v>1.0</v>
      </c>
      <c r="F14" s="28">
        <v>1.0</v>
      </c>
      <c r="G14" s="28">
        <v>1.0</v>
      </c>
      <c r="H14" s="28">
        <v>1.0</v>
      </c>
      <c r="I14" s="28">
        <v>1.0</v>
      </c>
      <c r="J14" s="28">
        <v>1.0</v>
      </c>
      <c r="K14" s="28">
        <v>1.0</v>
      </c>
      <c r="L14" s="28">
        <v>1.0</v>
      </c>
      <c r="M14" s="28">
        <v>1.0</v>
      </c>
      <c r="N14" s="28">
        <v>1.0</v>
      </c>
      <c r="O14" s="28">
        <v>1.0</v>
      </c>
      <c r="P14" s="28">
        <v>1.0</v>
      </c>
      <c r="Q14" s="28">
        <v>1.0</v>
      </c>
      <c r="R14" s="28">
        <v>1.0</v>
      </c>
      <c r="S14" s="28">
        <v>1.0</v>
      </c>
      <c r="T14" s="28">
        <v>1.0</v>
      </c>
      <c r="U14" s="28">
        <v>1.0</v>
      </c>
      <c r="V14" s="28">
        <v>1.0</v>
      </c>
      <c r="W14" s="28">
        <v>1.0</v>
      </c>
      <c r="X14" s="28">
        <v>1.0</v>
      </c>
      <c r="Y14" s="28">
        <v>1.0</v>
      </c>
      <c r="Z14" s="28">
        <v>1.0</v>
      </c>
      <c r="AA14" s="28">
        <v>1.0</v>
      </c>
      <c r="AB14" s="28">
        <v>1.0</v>
      </c>
      <c r="AC14" s="28">
        <v>1.0</v>
      </c>
      <c r="AD14" s="28">
        <v>1.0</v>
      </c>
      <c r="AE14" s="28">
        <v>1.0</v>
      </c>
      <c r="AF14" s="28">
        <v>1.0</v>
      </c>
      <c r="AG14" s="22">
        <v>1.0</v>
      </c>
      <c r="AH14" s="22">
        <v>1.0</v>
      </c>
      <c r="AI14" s="22"/>
      <c r="AJ14" s="22">
        <f t="shared" si="6"/>
        <v>30</v>
      </c>
      <c r="AK14" s="23">
        <f t="shared" ref="AK14:AK15" si="7">550*AJ14</f>
        <v>16500</v>
      </c>
      <c r="AL14" s="24"/>
      <c r="AM14" s="4"/>
      <c r="AN14" s="1"/>
      <c r="AO14" s="1"/>
      <c r="AP14" s="1"/>
      <c r="AQ14" s="1"/>
      <c r="AR14" s="1"/>
      <c r="AS14" s="1"/>
      <c r="AT14" s="1"/>
      <c r="AU14" s="1"/>
    </row>
    <row r="15" ht="15.75" customHeight="1">
      <c r="A15" s="10"/>
      <c r="B15" s="10"/>
      <c r="C15" s="10"/>
      <c r="D15" s="22" t="s">
        <v>7</v>
      </c>
      <c r="E15" s="28">
        <v>1.0</v>
      </c>
      <c r="F15" s="28">
        <v>1.0</v>
      </c>
      <c r="G15" s="28">
        <v>1.0</v>
      </c>
      <c r="H15" s="28">
        <v>1.0</v>
      </c>
      <c r="I15" s="28">
        <v>1.0</v>
      </c>
      <c r="J15" s="28">
        <v>1.0</v>
      </c>
      <c r="K15" s="28">
        <v>1.0</v>
      </c>
      <c r="L15" s="28">
        <v>1.0</v>
      </c>
      <c r="M15" s="28">
        <v>1.0</v>
      </c>
      <c r="N15" s="28">
        <v>1.0</v>
      </c>
      <c r="O15" s="28">
        <v>1.0</v>
      </c>
      <c r="P15" s="28">
        <v>1.0</v>
      </c>
      <c r="Q15" s="28">
        <v>1.0</v>
      </c>
      <c r="R15" s="28">
        <v>1.0</v>
      </c>
      <c r="S15" s="28">
        <v>1.0</v>
      </c>
      <c r="T15" s="28">
        <v>1.0</v>
      </c>
      <c r="U15" s="28">
        <v>1.0</v>
      </c>
      <c r="V15" s="28">
        <v>1.0</v>
      </c>
      <c r="W15" s="28">
        <v>1.0</v>
      </c>
      <c r="X15" s="28">
        <v>1.0</v>
      </c>
      <c r="Y15" s="28">
        <v>1.0</v>
      </c>
      <c r="Z15" s="28">
        <v>1.0</v>
      </c>
      <c r="AA15" s="28">
        <v>1.0</v>
      </c>
      <c r="AB15" s="28">
        <v>1.0</v>
      </c>
      <c r="AC15" s="28">
        <v>1.0</v>
      </c>
      <c r="AD15" s="28">
        <v>1.0</v>
      </c>
      <c r="AE15" s="28">
        <v>1.0</v>
      </c>
      <c r="AF15" s="28">
        <v>1.0</v>
      </c>
      <c r="AG15" s="22">
        <v>1.0</v>
      </c>
      <c r="AH15" s="22">
        <v>1.0</v>
      </c>
      <c r="AI15" s="22"/>
      <c r="AJ15" s="22">
        <f t="shared" si="6"/>
        <v>30</v>
      </c>
      <c r="AK15" s="23">
        <f t="shared" si="7"/>
        <v>16500</v>
      </c>
      <c r="AL15" s="26">
        <f>SUM(AK13:AK15)</f>
        <v>42900</v>
      </c>
      <c r="AM15" s="4"/>
      <c r="AN15" s="1"/>
      <c r="AO15" s="1"/>
      <c r="AP15" s="1"/>
      <c r="AQ15" s="1"/>
      <c r="AR15" s="1"/>
      <c r="AS15" s="1"/>
      <c r="AT15" s="1"/>
      <c r="AU15" s="1"/>
    </row>
    <row r="16" ht="15.75" hidden="1" customHeight="1">
      <c r="A16" s="12" t="s">
        <v>16</v>
      </c>
      <c r="B16" s="12" t="s">
        <v>17</v>
      </c>
      <c r="C16" s="12" t="s">
        <v>10</v>
      </c>
      <c r="D16" s="13" t="s">
        <v>5</v>
      </c>
      <c r="E16" s="18">
        <v>0.0</v>
      </c>
      <c r="F16" s="18">
        <v>0.0</v>
      </c>
      <c r="G16" s="18">
        <v>0.0</v>
      </c>
      <c r="H16" s="18">
        <v>0.0</v>
      </c>
      <c r="I16" s="18">
        <v>0.0</v>
      </c>
      <c r="J16" s="18">
        <v>0.0</v>
      </c>
      <c r="K16" s="18">
        <v>0.0</v>
      </c>
      <c r="L16" s="18">
        <v>0.0</v>
      </c>
      <c r="M16" s="18">
        <v>0.0</v>
      </c>
      <c r="N16" s="18">
        <v>0.0</v>
      </c>
      <c r="O16" s="18">
        <v>0.0</v>
      </c>
      <c r="P16" s="18">
        <v>0.0</v>
      </c>
      <c r="Q16" s="18">
        <v>0.0</v>
      </c>
      <c r="R16" s="18">
        <v>0.0</v>
      </c>
      <c r="S16" s="18">
        <v>0.0</v>
      </c>
      <c r="T16" s="18">
        <v>0.0</v>
      </c>
      <c r="U16" s="18">
        <v>0.0</v>
      </c>
      <c r="V16" s="18">
        <v>0.0</v>
      </c>
      <c r="W16" s="18">
        <v>0.0</v>
      </c>
      <c r="X16" s="18">
        <v>0.0</v>
      </c>
      <c r="Y16" s="18">
        <v>0.0</v>
      </c>
      <c r="Z16" s="18">
        <v>0.0</v>
      </c>
      <c r="AA16" s="18">
        <v>0.0</v>
      </c>
      <c r="AB16" s="18">
        <v>0.0</v>
      </c>
      <c r="AC16" s="18">
        <v>0.0</v>
      </c>
      <c r="AD16" s="18">
        <v>0.0</v>
      </c>
      <c r="AE16" s="18">
        <v>0.0</v>
      </c>
      <c r="AF16" s="18">
        <v>0.0</v>
      </c>
      <c r="AG16" s="18">
        <v>0.0</v>
      </c>
      <c r="AH16" s="18">
        <v>0.0</v>
      </c>
      <c r="AI16" s="18"/>
      <c r="AJ16" s="13">
        <f t="shared" si="6"/>
        <v>0</v>
      </c>
      <c r="AK16" s="14">
        <f>330*AJ16</f>
        <v>0</v>
      </c>
      <c r="AL16" s="19"/>
      <c r="AM16" s="25"/>
      <c r="AN16" s="1"/>
      <c r="AO16" s="1"/>
      <c r="AP16" s="1"/>
      <c r="AQ16" s="1"/>
      <c r="AR16" s="1"/>
      <c r="AS16" s="1"/>
      <c r="AT16" s="1"/>
      <c r="AU16" s="1"/>
    </row>
    <row r="17" ht="15.75" hidden="1" customHeight="1">
      <c r="A17" s="16"/>
      <c r="B17" s="16"/>
      <c r="C17" s="16"/>
      <c r="D17" s="13" t="s">
        <v>6</v>
      </c>
      <c r="E17" s="18">
        <v>0.0</v>
      </c>
      <c r="F17" s="18">
        <v>0.0</v>
      </c>
      <c r="G17" s="18">
        <v>0.0</v>
      </c>
      <c r="H17" s="18">
        <v>0.0</v>
      </c>
      <c r="I17" s="18">
        <v>0.0</v>
      </c>
      <c r="J17" s="18">
        <v>0.0</v>
      </c>
      <c r="K17" s="18">
        <v>0.0</v>
      </c>
      <c r="L17" s="18">
        <v>0.0</v>
      </c>
      <c r="M17" s="18">
        <v>0.0</v>
      </c>
      <c r="N17" s="18">
        <v>0.0</v>
      </c>
      <c r="O17" s="18">
        <v>0.0</v>
      </c>
      <c r="P17" s="18">
        <v>0.0</v>
      </c>
      <c r="Q17" s="18">
        <v>0.0</v>
      </c>
      <c r="R17" s="18">
        <v>0.0</v>
      </c>
      <c r="S17" s="18">
        <v>0.0</v>
      </c>
      <c r="T17" s="18">
        <v>0.0</v>
      </c>
      <c r="U17" s="18">
        <v>0.0</v>
      </c>
      <c r="V17" s="18">
        <v>0.0</v>
      </c>
      <c r="W17" s="18">
        <v>0.0</v>
      </c>
      <c r="X17" s="18">
        <v>0.0</v>
      </c>
      <c r="Y17" s="18">
        <v>0.0</v>
      </c>
      <c r="Z17" s="18">
        <v>0.0</v>
      </c>
      <c r="AA17" s="18">
        <v>0.0</v>
      </c>
      <c r="AB17" s="18">
        <v>0.0</v>
      </c>
      <c r="AC17" s="18">
        <v>0.0</v>
      </c>
      <c r="AD17" s="18">
        <v>0.0</v>
      </c>
      <c r="AE17" s="18">
        <v>0.0</v>
      </c>
      <c r="AF17" s="18">
        <v>0.0</v>
      </c>
      <c r="AG17" s="18">
        <v>0.0</v>
      </c>
      <c r="AH17" s="18">
        <v>0.0</v>
      </c>
      <c r="AI17" s="18"/>
      <c r="AJ17" s="13">
        <f t="shared" si="6"/>
        <v>0</v>
      </c>
      <c r="AK17" s="14">
        <f t="shared" ref="AK17:AK18" si="8">550*AJ17</f>
        <v>0</v>
      </c>
      <c r="AL17" s="19"/>
      <c r="AN17" s="1"/>
      <c r="AO17" s="1"/>
      <c r="AP17" s="1"/>
      <c r="AQ17" s="1"/>
      <c r="AR17" s="1"/>
      <c r="AS17" s="1"/>
      <c r="AT17" s="1"/>
      <c r="AU17" s="1"/>
    </row>
    <row r="18" ht="15.75" hidden="1" customHeight="1">
      <c r="A18" s="10"/>
      <c r="B18" s="10"/>
      <c r="C18" s="10"/>
      <c r="D18" s="13" t="s">
        <v>7</v>
      </c>
      <c r="E18" s="18">
        <v>0.0</v>
      </c>
      <c r="F18" s="18">
        <v>0.0</v>
      </c>
      <c r="G18" s="18">
        <v>0.0</v>
      </c>
      <c r="H18" s="18">
        <v>0.0</v>
      </c>
      <c r="I18" s="18">
        <v>0.0</v>
      </c>
      <c r="J18" s="18">
        <v>0.0</v>
      </c>
      <c r="K18" s="18">
        <v>0.0</v>
      </c>
      <c r="L18" s="18">
        <v>0.0</v>
      </c>
      <c r="M18" s="18">
        <v>0.0</v>
      </c>
      <c r="N18" s="18">
        <v>0.0</v>
      </c>
      <c r="O18" s="18">
        <v>0.0</v>
      </c>
      <c r="P18" s="18">
        <v>0.0</v>
      </c>
      <c r="Q18" s="18">
        <v>0.0</v>
      </c>
      <c r="R18" s="18">
        <v>0.0</v>
      </c>
      <c r="S18" s="18">
        <v>0.0</v>
      </c>
      <c r="T18" s="18">
        <v>0.0</v>
      </c>
      <c r="U18" s="18">
        <v>0.0</v>
      </c>
      <c r="V18" s="18">
        <v>0.0</v>
      </c>
      <c r="W18" s="18">
        <v>0.0</v>
      </c>
      <c r="X18" s="18">
        <v>0.0</v>
      </c>
      <c r="Y18" s="18">
        <v>0.0</v>
      </c>
      <c r="Z18" s="18">
        <v>0.0</v>
      </c>
      <c r="AA18" s="18">
        <v>0.0</v>
      </c>
      <c r="AB18" s="18">
        <v>0.0</v>
      </c>
      <c r="AC18" s="18">
        <v>0.0</v>
      </c>
      <c r="AD18" s="18">
        <v>0.0</v>
      </c>
      <c r="AE18" s="18">
        <v>0.0</v>
      </c>
      <c r="AF18" s="18">
        <v>0.0</v>
      </c>
      <c r="AG18" s="18">
        <v>0.0</v>
      </c>
      <c r="AH18" s="18">
        <v>0.0</v>
      </c>
      <c r="AI18" s="18"/>
      <c r="AJ18" s="13">
        <f t="shared" si="6"/>
        <v>0</v>
      </c>
      <c r="AK18" s="14">
        <f t="shared" si="8"/>
        <v>0</v>
      </c>
      <c r="AL18" s="20">
        <f>SUM(AK16:AK18)</f>
        <v>0</v>
      </c>
      <c r="AN18" s="1"/>
      <c r="AO18" s="1"/>
      <c r="AP18" s="1"/>
      <c r="AQ18" s="1"/>
      <c r="AR18" s="1"/>
      <c r="AS18" s="1"/>
      <c r="AT18" s="1"/>
      <c r="AU18" s="1"/>
    </row>
    <row r="19" ht="15.75" customHeight="1">
      <c r="A19" s="29" t="s">
        <v>18</v>
      </c>
      <c r="B19" s="29" t="s">
        <v>19</v>
      </c>
      <c r="C19" s="29" t="s">
        <v>33</v>
      </c>
      <c r="D19" s="28" t="s">
        <v>5</v>
      </c>
      <c r="E19" s="22">
        <v>0.0</v>
      </c>
      <c r="F19" s="22">
        <v>0.0</v>
      </c>
      <c r="G19" s="22">
        <v>0.0</v>
      </c>
      <c r="H19" s="22">
        <v>0.0</v>
      </c>
      <c r="I19" s="22">
        <v>0.0</v>
      </c>
      <c r="J19" s="22">
        <v>0.0</v>
      </c>
      <c r="K19" s="22">
        <v>0.0</v>
      </c>
      <c r="L19" s="22">
        <v>0.0</v>
      </c>
      <c r="M19" s="22">
        <v>0.0</v>
      </c>
      <c r="N19" s="22">
        <v>0.0</v>
      </c>
      <c r="O19" s="22">
        <v>0.0</v>
      </c>
      <c r="P19" s="22">
        <v>0.0</v>
      </c>
      <c r="Q19" s="22">
        <v>0.0</v>
      </c>
      <c r="R19" s="22">
        <v>0.0</v>
      </c>
      <c r="S19" s="22">
        <v>0.0</v>
      </c>
      <c r="T19" s="22">
        <v>0.0</v>
      </c>
      <c r="U19" s="22">
        <v>0.0</v>
      </c>
      <c r="V19" s="22">
        <v>0.0</v>
      </c>
      <c r="W19" s="22">
        <v>0.0</v>
      </c>
      <c r="X19" s="22">
        <v>0.0</v>
      </c>
      <c r="Y19" s="22">
        <v>0.0</v>
      </c>
      <c r="Z19" s="22">
        <v>0.0</v>
      </c>
      <c r="AA19" s="22">
        <v>0.0</v>
      </c>
      <c r="AB19" s="22">
        <v>0.0</v>
      </c>
      <c r="AC19" s="22">
        <v>0.0</v>
      </c>
      <c r="AD19" s="22">
        <v>0.0</v>
      </c>
      <c r="AE19" s="22">
        <v>0.0</v>
      </c>
      <c r="AF19" s="22">
        <v>0.0</v>
      </c>
      <c r="AG19" s="22">
        <v>0.0</v>
      </c>
      <c r="AH19" s="22">
        <v>0.0</v>
      </c>
      <c r="AI19" s="22"/>
      <c r="AJ19" s="28">
        <f t="shared" si="6"/>
        <v>0</v>
      </c>
      <c r="AK19" s="23">
        <f>330*AJ19</f>
        <v>0</v>
      </c>
      <c r="AL19" s="24"/>
      <c r="AM19" s="25"/>
      <c r="AN19" s="1"/>
      <c r="AO19" s="1"/>
      <c r="AP19" s="1"/>
      <c r="AQ19" s="1"/>
      <c r="AR19" s="1"/>
      <c r="AS19" s="1"/>
      <c r="AT19" s="1"/>
      <c r="AU19" s="1"/>
    </row>
    <row r="20" ht="15.75" customHeight="1">
      <c r="A20" s="16"/>
      <c r="B20" s="16"/>
      <c r="C20" s="16"/>
      <c r="D20" s="28" t="s">
        <v>6</v>
      </c>
      <c r="E20" s="22">
        <v>0.0</v>
      </c>
      <c r="F20" s="22">
        <v>0.0</v>
      </c>
      <c r="G20" s="22">
        <v>0.0</v>
      </c>
      <c r="H20" s="22">
        <v>0.0</v>
      </c>
      <c r="I20" s="22">
        <v>0.0</v>
      </c>
      <c r="J20" s="22">
        <v>0.0</v>
      </c>
      <c r="K20" s="22">
        <v>0.0</v>
      </c>
      <c r="L20" s="22">
        <v>0.0</v>
      </c>
      <c r="M20" s="22">
        <v>0.0</v>
      </c>
      <c r="N20" s="22">
        <v>0.0</v>
      </c>
      <c r="O20" s="22">
        <v>0.0</v>
      </c>
      <c r="P20" s="22">
        <v>0.0</v>
      </c>
      <c r="Q20" s="22">
        <v>0.0</v>
      </c>
      <c r="R20" s="22">
        <v>0.0</v>
      </c>
      <c r="S20" s="22">
        <v>0.0</v>
      </c>
      <c r="T20" s="22">
        <v>0.0</v>
      </c>
      <c r="U20" s="22">
        <v>0.0</v>
      </c>
      <c r="V20" s="22">
        <v>0.0</v>
      </c>
      <c r="W20" s="22">
        <v>0.0</v>
      </c>
      <c r="X20" s="22">
        <v>0.0</v>
      </c>
      <c r="Y20" s="22">
        <v>0.0</v>
      </c>
      <c r="Z20" s="22">
        <v>0.0</v>
      </c>
      <c r="AA20" s="22">
        <v>0.0</v>
      </c>
      <c r="AB20" s="22">
        <v>0.0</v>
      </c>
      <c r="AC20" s="22">
        <v>0.0</v>
      </c>
      <c r="AD20" s="22">
        <v>0.0</v>
      </c>
      <c r="AE20" s="22">
        <v>0.0</v>
      </c>
      <c r="AF20" s="22">
        <v>0.0</v>
      </c>
      <c r="AG20" s="22">
        <v>0.0</v>
      </c>
      <c r="AH20" s="22">
        <v>0.0</v>
      </c>
      <c r="AI20" s="22"/>
      <c r="AJ20" s="28">
        <f t="shared" si="6"/>
        <v>0</v>
      </c>
      <c r="AK20" s="23">
        <f t="shared" ref="AK20:AK21" si="9">550*AJ20</f>
        <v>0</v>
      </c>
      <c r="AL20" s="24"/>
      <c r="AN20" s="1"/>
      <c r="AO20" s="1"/>
      <c r="AP20" s="1"/>
      <c r="AQ20" s="1"/>
      <c r="AR20" s="1"/>
      <c r="AS20" s="1"/>
      <c r="AT20" s="1"/>
      <c r="AU20" s="1"/>
    </row>
    <row r="21" ht="15.75" customHeight="1">
      <c r="A21" s="10"/>
      <c r="B21" s="10"/>
      <c r="C21" s="10"/>
      <c r="D21" s="28" t="s">
        <v>7</v>
      </c>
      <c r="E21" s="22">
        <v>0.0</v>
      </c>
      <c r="F21" s="22">
        <v>0.0</v>
      </c>
      <c r="G21" s="22">
        <v>0.0</v>
      </c>
      <c r="H21" s="22">
        <v>0.0</v>
      </c>
      <c r="I21" s="22">
        <v>0.0</v>
      </c>
      <c r="J21" s="22">
        <v>0.0</v>
      </c>
      <c r="K21" s="22">
        <v>0.0</v>
      </c>
      <c r="L21" s="22">
        <v>0.0</v>
      </c>
      <c r="M21" s="22">
        <v>0.0</v>
      </c>
      <c r="N21" s="22">
        <v>0.0</v>
      </c>
      <c r="O21" s="22">
        <v>0.0</v>
      </c>
      <c r="P21" s="22">
        <v>0.0</v>
      </c>
      <c r="Q21" s="22">
        <v>0.0</v>
      </c>
      <c r="R21" s="22">
        <v>0.0</v>
      </c>
      <c r="S21" s="22">
        <v>0.0</v>
      </c>
      <c r="T21" s="22">
        <v>0.0</v>
      </c>
      <c r="U21" s="22">
        <v>0.0</v>
      </c>
      <c r="V21" s="22">
        <v>0.0</v>
      </c>
      <c r="W21" s="22">
        <v>0.0</v>
      </c>
      <c r="X21" s="22">
        <v>0.0</v>
      </c>
      <c r="Y21" s="22">
        <v>0.0</v>
      </c>
      <c r="Z21" s="22">
        <v>0.0</v>
      </c>
      <c r="AA21" s="22">
        <v>0.0</v>
      </c>
      <c r="AB21" s="22">
        <v>0.0</v>
      </c>
      <c r="AC21" s="22">
        <v>0.0</v>
      </c>
      <c r="AD21" s="22">
        <v>0.0</v>
      </c>
      <c r="AE21" s="22">
        <v>0.0</v>
      </c>
      <c r="AF21" s="22">
        <v>0.0</v>
      </c>
      <c r="AG21" s="22">
        <v>0.0</v>
      </c>
      <c r="AH21" s="22">
        <v>0.0</v>
      </c>
      <c r="AI21" s="22"/>
      <c r="AJ21" s="28">
        <f t="shared" si="6"/>
        <v>0</v>
      </c>
      <c r="AK21" s="23">
        <f t="shared" si="9"/>
        <v>0</v>
      </c>
      <c r="AL21" s="26">
        <f>SUM(AK19:AK21)</f>
        <v>0</v>
      </c>
      <c r="AN21" s="1"/>
      <c r="AO21" s="1"/>
      <c r="AP21" s="1"/>
      <c r="AQ21" s="1"/>
      <c r="AR21" s="1"/>
      <c r="AS21" s="1"/>
      <c r="AT21" s="1"/>
      <c r="AU21" s="1"/>
    </row>
    <row r="22" ht="15.75" customHeight="1">
      <c r="A22" s="12" t="s">
        <v>21</v>
      </c>
      <c r="B22" s="12" t="s">
        <v>22</v>
      </c>
      <c r="C22" s="12" t="s">
        <v>23</v>
      </c>
      <c r="D22" s="14" t="s">
        <v>5</v>
      </c>
      <c r="E22" s="13">
        <v>1.0</v>
      </c>
      <c r="F22" s="13">
        <v>1.0</v>
      </c>
      <c r="G22" s="13">
        <v>1.0</v>
      </c>
      <c r="H22" s="13">
        <v>1.0</v>
      </c>
      <c r="I22" s="13">
        <v>1.0</v>
      </c>
      <c r="J22" s="13">
        <v>1.0</v>
      </c>
      <c r="K22" s="13">
        <v>1.0</v>
      </c>
      <c r="L22" s="13">
        <v>1.0</v>
      </c>
      <c r="M22" s="13">
        <v>1.0</v>
      </c>
      <c r="N22" s="13">
        <v>1.0</v>
      </c>
      <c r="O22" s="13">
        <v>1.0</v>
      </c>
      <c r="P22" s="13">
        <v>1.0</v>
      </c>
      <c r="Q22" s="13">
        <v>1.0</v>
      </c>
      <c r="R22" s="13">
        <v>1.0</v>
      </c>
      <c r="S22" s="13">
        <v>1.0</v>
      </c>
      <c r="T22" s="13">
        <v>1.0</v>
      </c>
      <c r="U22" s="13">
        <v>1.0</v>
      </c>
      <c r="V22" s="13">
        <v>1.0</v>
      </c>
      <c r="W22" s="13">
        <v>1.0</v>
      </c>
      <c r="X22" s="13">
        <v>1.0</v>
      </c>
      <c r="Y22" s="13">
        <v>1.0</v>
      </c>
      <c r="Z22" s="13">
        <v>1.0</v>
      </c>
      <c r="AA22" s="13">
        <v>1.0</v>
      </c>
      <c r="AB22" s="13">
        <v>1.0</v>
      </c>
      <c r="AC22" s="13">
        <v>1.0</v>
      </c>
      <c r="AD22" s="13">
        <v>1.0</v>
      </c>
      <c r="AE22" s="13">
        <v>1.0</v>
      </c>
      <c r="AF22" s="13">
        <v>1.0</v>
      </c>
      <c r="AG22" s="13">
        <v>1.0</v>
      </c>
      <c r="AH22" s="13">
        <v>1.0</v>
      </c>
      <c r="AI22" s="13"/>
      <c r="AJ22" s="14">
        <f t="shared" si="6"/>
        <v>30</v>
      </c>
      <c r="AK22" s="14">
        <f>330*AJ22</f>
        <v>9900</v>
      </c>
      <c r="AL22" s="19"/>
      <c r="AM22" s="4"/>
      <c r="AN22" s="1"/>
      <c r="AO22" s="1"/>
      <c r="AP22" s="1"/>
      <c r="AQ22" s="1"/>
      <c r="AR22" s="1"/>
      <c r="AS22" s="1"/>
      <c r="AT22" s="1"/>
      <c r="AU22" s="1"/>
    </row>
    <row r="23" ht="15.75" customHeight="1">
      <c r="A23" s="16"/>
      <c r="B23" s="16"/>
      <c r="C23" s="16"/>
      <c r="D23" s="14" t="s">
        <v>6</v>
      </c>
      <c r="E23" s="13">
        <v>1.0</v>
      </c>
      <c r="F23" s="13">
        <v>1.0</v>
      </c>
      <c r="G23" s="13">
        <v>1.0</v>
      </c>
      <c r="H23" s="13">
        <v>1.0</v>
      </c>
      <c r="I23" s="13">
        <v>0.0</v>
      </c>
      <c r="J23" s="13">
        <v>1.0</v>
      </c>
      <c r="K23" s="13">
        <v>1.0</v>
      </c>
      <c r="L23" s="13">
        <v>1.0</v>
      </c>
      <c r="M23" s="13">
        <v>1.0</v>
      </c>
      <c r="N23" s="13">
        <v>1.0</v>
      </c>
      <c r="O23" s="13">
        <v>1.0</v>
      </c>
      <c r="P23" s="13">
        <v>0.0</v>
      </c>
      <c r="Q23" s="13">
        <v>1.0</v>
      </c>
      <c r="R23" s="13">
        <v>1.0</v>
      </c>
      <c r="S23" s="13">
        <v>1.0</v>
      </c>
      <c r="T23" s="13">
        <v>1.0</v>
      </c>
      <c r="U23" s="13">
        <v>1.0</v>
      </c>
      <c r="V23" s="13">
        <v>1.0</v>
      </c>
      <c r="W23" s="13">
        <v>0.0</v>
      </c>
      <c r="X23" s="13">
        <v>1.0</v>
      </c>
      <c r="Y23" s="13">
        <v>1.0</v>
      </c>
      <c r="Z23" s="13">
        <v>1.0</v>
      </c>
      <c r="AA23" s="13">
        <v>1.0</v>
      </c>
      <c r="AB23" s="13">
        <v>1.0</v>
      </c>
      <c r="AC23" s="13">
        <v>1.0</v>
      </c>
      <c r="AD23" s="13">
        <v>0.0</v>
      </c>
      <c r="AE23" s="13">
        <v>1.0</v>
      </c>
      <c r="AF23" s="13">
        <v>1.0</v>
      </c>
      <c r="AG23" s="13">
        <v>1.0</v>
      </c>
      <c r="AH23" s="13">
        <v>1.0</v>
      </c>
      <c r="AI23" s="13"/>
      <c r="AJ23" s="14">
        <f t="shared" si="6"/>
        <v>26</v>
      </c>
      <c r="AK23" s="14">
        <f t="shared" ref="AK23:AK24" si="10">550*AJ23</f>
        <v>14300</v>
      </c>
      <c r="AL23" s="19"/>
      <c r="AM23" s="4"/>
      <c r="AN23" s="1"/>
      <c r="AO23" s="1"/>
      <c r="AP23" s="1"/>
      <c r="AQ23" s="1"/>
      <c r="AR23" s="1"/>
      <c r="AS23" s="1"/>
      <c r="AT23" s="1"/>
      <c r="AU23" s="1"/>
    </row>
    <row r="24" ht="15.75" customHeight="1">
      <c r="A24" s="10"/>
      <c r="B24" s="10"/>
      <c r="C24" s="10"/>
      <c r="D24" s="14" t="s">
        <v>7</v>
      </c>
      <c r="E24" s="13">
        <v>1.0</v>
      </c>
      <c r="F24" s="13">
        <v>1.0</v>
      </c>
      <c r="G24" s="13">
        <v>1.0</v>
      </c>
      <c r="H24" s="13">
        <v>1.0</v>
      </c>
      <c r="I24" s="13">
        <v>1.0</v>
      </c>
      <c r="J24" s="13">
        <v>1.0</v>
      </c>
      <c r="K24" s="13">
        <v>1.0</v>
      </c>
      <c r="L24" s="13">
        <v>1.0</v>
      </c>
      <c r="M24" s="13">
        <v>1.0</v>
      </c>
      <c r="N24" s="13">
        <v>1.0</v>
      </c>
      <c r="O24" s="13">
        <v>1.0</v>
      </c>
      <c r="P24" s="13">
        <v>1.0</v>
      </c>
      <c r="Q24" s="13">
        <v>1.0</v>
      </c>
      <c r="R24" s="13">
        <v>1.0</v>
      </c>
      <c r="S24" s="13">
        <v>1.0</v>
      </c>
      <c r="T24" s="13">
        <v>1.0</v>
      </c>
      <c r="U24" s="13">
        <v>1.0</v>
      </c>
      <c r="V24" s="13">
        <v>1.0</v>
      </c>
      <c r="W24" s="13">
        <v>1.0</v>
      </c>
      <c r="X24" s="13">
        <v>1.0</v>
      </c>
      <c r="Y24" s="13">
        <v>1.0</v>
      </c>
      <c r="Z24" s="13">
        <v>1.0</v>
      </c>
      <c r="AA24" s="13">
        <v>1.0</v>
      </c>
      <c r="AB24" s="13">
        <v>1.0</v>
      </c>
      <c r="AC24" s="13">
        <v>1.0</v>
      </c>
      <c r="AD24" s="13">
        <v>1.0</v>
      </c>
      <c r="AE24" s="13">
        <v>1.0</v>
      </c>
      <c r="AF24" s="13">
        <v>1.0</v>
      </c>
      <c r="AG24" s="13">
        <v>1.0</v>
      </c>
      <c r="AH24" s="13">
        <v>1.0</v>
      </c>
      <c r="AI24" s="13"/>
      <c r="AJ24" s="14">
        <f t="shared" si="6"/>
        <v>30</v>
      </c>
      <c r="AK24" s="14">
        <f t="shared" si="10"/>
        <v>16500</v>
      </c>
      <c r="AL24" s="20">
        <f>SUM(AK22:AK24)</f>
        <v>40700</v>
      </c>
      <c r="AM24" s="4"/>
      <c r="AN24" s="1"/>
      <c r="AO24" s="1"/>
      <c r="AP24" s="1"/>
      <c r="AQ24" s="1"/>
      <c r="AR24" s="1"/>
      <c r="AS24" s="1"/>
      <c r="AT24" s="1"/>
      <c r="AU24" s="1"/>
    </row>
    <row r="25" ht="15.75" customHeight="1">
      <c r="A25" s="12" t="s">
        <v>24</v>
      </c>
      <c r="B25" s="12" t="s">
        <v>25</v>
      </c>
      <c r="C25" s="12" t="s">
        <v>26</v>
      </c>
      <c r="D25" s="13" t="s">
        <v>5</v>
      </c>
      <c r="E25" s="30">
        <v>1.0</v>
      </c>
      <c r="F25" s="30">
        <v>1.0</v>
      </c>
      <c r="G25" s="30">
        <v>1.0</v>
      </c>
      <c r="H25" s="30">
        <v>1.0</v>
      </c>
      <c r="I25" s="30">
        <v>1.0</v>
      </c>
      <c r="J25" s="30">
        <v>1.0</v>
      </c>
      <c r="K25" s="30">
        <v>1.0</v>
      </c>
      <c r="L25" s="30">
        <v>1.0</v>
      </c>
      <c r="M25" s="30">
        <v>1.0</v>
      </c>
      <c r="N25" s="30">
        <v>1.0</v>
      </c>
      <c r="O25" s="30">
        <v>1.0</v>
      </c>
      <c r="P25" s="30">
        <v>1.0</v>
      </c>
      <c r="Q25" s="30">
        <v>1.0</v>
      </c>
      <c r="R25" s="30">
        <v>1.0</v>
      </c>
      <c r="S25" s="30">
        <v>1.0</v>
      </c>
      <c r="T25" s="30">
        <v>1.0</v>
      </c>
      <c r="U25" s="30">
        <v>1.0</v>
      </c>
      <c r="V25" s="30">
        <v>1.0</v>
      </c>
      <c r="W25" s="30">
        <v>1.0</v>
      </c>
      <c r="X25" s="30">
        <v>1.0</v>
      </c>
      <c r="Y25" s="30">
        <v>1.0</v>
      </c>
      <c r="Z25" s="30">
        <v>1.0</v>
      </c>
      <c r="AA25" s="30">
        <v>1.0</v>
      </c>
      <c r="AB25" s="30">
        <v>1.0</v>
      </c>
      <c r="AC25" s="30">
        <v>1.0</v>
      </c>
      <c r="AD25" s="30">
        <v>1.0</v>
      </c>
      <c r="AE25" s="30">
        <v>1.0</v>
      </c>
      <c r="AF25" s="30">
        <v>1.0</v>
      </c>
      <c r="AG25" s="30">
        <v>1.0</v>
      </c>
      <c r="AH25" s="30">
        <v>1.0</v>
      </c>
      <c r="AI25" s="30"/>
      <c r="AJ25" s="13">
        <f t="shared" si="6"/>
        <v>30</v>
      </c>
      <c r="AK25" s="23">
        <f>330*AJ25</f>
        <v>9900</v>
      </c>
      <c r="AL25" s="24"/>
      <c r="AM25" s="4"/>
      <c r="AN25" s="1"/>
      <c r="AO25" s="1"/>
      <c r="AP25" s="1"/>
      <c r="AQ25" s="1"/>
      <c r="AR25" s="1"/>
      <c r="AS25" s="1"/>
      <c r="AT25" s="1"/>
      <c r="AU25" s="1"/>
    </row>
    <row r="26" ht="15.75" customHeight="1">
      <c r="A26" s="16"/>
      <c r="B26" s="16"/>
      <c r="C26" s="16"/>
      <c r="D26" s="13" t="s">
        <v>6</v>
      </c>
      <c r="E26" s="30">
        <v>1.0</v>
      </c>
      <c r="F26" s="30">
        <v>1.0</v>
      </c>
      <c r="G26" s="30">
        <v>0.0</v>
      </c>
      <c r="H26" s="30">
        <v>1.0</v>
      </c>
      <c r="I26" s="30">
        <v>1.0</v>
      </c>
      <c r="J26" s="30">
        <v>1.0</v>
      </c>
      <c r="K26" s="30">
        <v>0.0</v>
      </c>
      <c r="L26" s="30">
        <v>1.0</v>
      </c>
      <c r="M26" s="30">
        <v>1.0</v>
      </c>
      <c r="N26" s="30">
        <v>0.0</v>
      </c>
      <c r="O26" s="30">
        <v>1.0</v>
      </c>
      <c r="P26" s="30">
        <v>1.0</v>
      </c>
      <c r="Q26" s="30">
        <v>1.0</v>
      </c>
      <c r="R26" s="30">
        <v>0.0</v>
      </c>
      <c r="S26" s="30">
        <v>1.0</v>
      </c>
      <c r="T26" s="30">
        <v>1.0</v>
      </c>
      <c r="U26" s="30">
        <v>0.0</v>
      </c>
      <c r="V26" s="30">
        <v>1.0</v>
      </c>
      <c r="W26" s="30">
        <v>1.0</v>
      </c>
      <c r="X26" s="30">
        <v>1.0</v>
      </c>
      <c r="Y26" s="30">
        <v>0.0</v>
      </c>
      <c r="Z26" s="30">
        <v>1.0</v>
      </c>
      <c r="AA26" s="30">
        <v>1.0</v>
      </c>
      <c r="AB26" s="30">
        <v>0.0</v>
      </c>
      <c r="AC26" s="30">
        <v>1.0</v>
      </c>
      <c r="AD26" s="30">
        <v>1.0</v>
      </c>
      <c r="AE26" s="30">
        <v>1.0</v>
      </c>
      <c r="AF26" s="30">
        <v>0.0</v>
      </c>
      <c r="AG26" s="30">
        <v>1.0</v>
      </c>
      <c r="AH26" s="30">
        <v>1.0</v>
      </c>
      <c r="AI26" s="30"/>
      <c r="AJ26" s="13">
        <f t="shared" si="6"/>
        <v>22</v>
      </c>
      <c r="AK26" s="23">
        <f t="shared" ref="AK26:AK27" si="11">550*AJ26</f>
        <v>12100</v>
      </c>
      <c r="AL26" s="24"/>
      <c r="AM26" s="4"/>
      <c r="AN26" s="1"/>
      <c r="AO26" s="1"/>
      <c r="AP26" s="1"/>
      <c r="AQ26" s="1"/>
      <c r="AR26" s="1"/>
      <c r="AS26" s="1"/>
      <c r="AT26" s="1"/>
      <c r="AU26" s="1"/>
    </row>
    <row r="27" ht="15.75" customHeight="1">
      <c r="A27" s="10"/>
      <c r="B27" s="10"/>
      <c r="C27" s="10"/>
      <c r="D27" s="13" t="s">
        <v>7</v>
      </c>
      <c r="E27" s="30">
        <v>1.0</v>
      </c>
      <c r="F27" s="30">
        <v>1.0</v>
      </c>
      <c r="G27" s="30">
        <v>1.0</v>
      </c>
      <c r="H27" s="30">
        <v>1.0</v>
      </c>
      <c r="I27" s="30">
        <v>1.0</v>
      </c>
      <c r="J27" s="30">
        <v>1.0</v>
      </c>
      <c r="K27" s="30">
        <v>1.0</v>
      </c>
      <c r="L27" s="30">
        <v>1.0</v>
      </c>
      <c r="M27" s="30">
        <v>1.0</v>
      </c>
      <c r="N27" s="30">
        <v>1.0</v>
      </c>
      <c r="O27" s="30">
        <v>1.0</v>
      </c>
      <c r="P27" s="30">
        <v>1.0</v>
      </c>
      <c r="Q27" s="30">
        <v>1.0</v>
      </c>
      <c r="R27" s="30">
        <v>1.0</v>
      </c>
      <c r="S27" s="30">
        <v>1.0</v>
      </c>
      <c r="T27" s="30">
        <v>1.0</v>
      </c>
      <c r="U27" s="30">
        <v>1.0</v>
      </c>
      <c r="V27" s="30">
        <v>1.0</v>
      </c>
      <c r="W27" s="30">
        <v>1.0</v>
      </c>
      <c r="X27" s="30">
        <v>1.0</v>
      </c>
      <c r="Y27" s="30">
        <v>1.0</v>
      </c>
      <c r="Z27" s="30">
        <v>1.0</v>
      </c>
      <c r="AA27" s="30">
        <v>1.0</v>
      </c>
      <c r="AB27" s="30">
        <v>1.0</v>
      </c>
      <c r="AC27" s="30">
        <v>1.0</v>
      </c>
      <c r="AD27" s="30">
        <v>1.0</v>
      </c>
      <c r="AE27" s="30">
        <v>1.0</v>
      </c>
      <c r="AF27" s="30">
        <v>1.0</v>
      </c>
      <c r="AG27" s="30">
        <v>1.0</v>
      </c>
      <c r="AH27" s="30">
        <v>1.0</v>
      </c>
      <c r="AI27" s="30"/>
      <c r="AJ27" s="13">
        <f t="shared" si="6"/>
        <v>30</v>
      </c>
      <c r="AK27" s="23">
        <f t="shared" si="11"/>
        <v>16500</v>
      </c>
      <c r="AL27" s="26">
        <f>SUM(AK25:AK27)</f>
        <v>38500</v>
      </c>
      <c r="AM27" s="4"/>
      <c r="AN27" s="1"/>
      <c r="AO27" s="1"/>
      <c r="AP27" s="1"/>
      <c r="AQ27" s="1"/>
      <c r="AR27" s="1"/>
      <c r="AS27" s="1"/>
      <c r="AT27" s="1"/>
      <c r="AU27" s="1"/>
    </row>
    <row r="28" ht="15.75" customHeight="1">
      <c r="A28" s="12" t="s">
        <v>27</v>
      </c>
      <c r="B28" s="12" t="s">
        <v>28</v>
      </c>
      <c r="C28" s="12" t="s">
        <v>29</v>
      </c>
      <c r="D28" s="13" t="s">
        <v>5</v>
      </c>
      <c r="E28" s="30">
        <v>0.0</v>
      </c>
      <c r="F28" s="30">
        <v>0.0</v>
      </c>
      <c r="G28" s="18">
        <v>0.0</v>
      </c>
      <c r="H28" s="18">
        <v>0.0</v>
      </c>
      <c r="I28" s="18">
        <v>0.0</v>
      </c>
      <c r="J28" s="18">
        <v>0.0</v>
      </c>
      <c r="K28" s="18">
        <v>0.0</v>
      </c>
      <c r="L28" s="18">
        <v>0.0</v>
      </c>
      <c r="M28" s="18">
        <v>0.0</v>
      </c>
      <c r="N28" s="18">
        <v>0.0</v>
      </c>
      <c r="O28" s="18">
        <v>0.0</v>
      </c>
      <c r="P28" s="18">
        <v>0.0</v>
      </c>
      <c r="Q28" s="18">
        <v>0.0</v>
      </c>
      <c r="R28" s="18">
        <v>0.0</v>
      </c>
      <c r="S28" s="18">
        <v>0.0</v>
      </c>
      <c r="T28" s="18">
        <v>0.0</v>
      </c>
      <c r="U28" s="18">
        <v>0.0</v>
      </c>
      <c r="V28" s="18">
        <v>0.0</v>
      </c>
      <c r="W28" s="18">
        <v>0.0</v>
      </c>
      <c r="X28" s="18">
        <v>0.0</v>
      </c>
      <c r="Y28" s="18">
        <v>0.0</v>
      </c>
      <c r="Z28" s="18">
        <v>0.0</v>
      </c>
      <c r="AA28" s="18">
        <v>0.0</v>
      </c>
      <c r="AB28" s="18">
        <v>0.0</v>
      </c>
      <c r="AC28" s="18">
        <v>0.0</v>
      </c>
      <c r="AD28" s="18">
        <v>0.0</v>
      </c>
      <c r="AE28" s="18">
        <v>0.0</v>
      </c>
      <c r="AF28" s="18">
        <v>0.0</v>
      </c>
      <c r="AG28" s="18">
        <v>0.0</v>
      </c>
      <c r="AH28" s="18">
        <v>0.0</v>
      </c>
      <c r="AI28" s="18"/>
      <c r="AJ28" s="13">
        <f t="shared" si="6"/>
        <v>0</v>
      </c>
      <c r="AK28" s="14">
        <f>330*AJ28</f>
        <v>0</v>
      </c>
      <c r="AL28" s="19"/>
      <c r="AM28" s="4"/>
      <c r="AN28" s="1"/>
      <c r="AO28" s="1"/>
      <c r="AP28" s="1"/>
      <c r="AQ28" s="1"/>
      <c r="AR28" s="1"/>
      <c r="AS28" s="1"/>
      <c r="AT28" s="1"/>
      <c r="AU28" s="1"/>
    </row>
    <row r="29" ht="15.75" customHeight="1">
      <c r="A29" s="16"/>
      <c r="B29" s="16"/>
      <c r="C29" s="16"/>
      <c r="D29" s="13" t="s">
        <v>6</v>
      </c>
      <c r="E29" s="30">
        <v>0.0</v>
      </c>
      <c r="F29" s="30">
        <v>0.0</v>
      </c>
      <c r="G29" s="30">
        <v>0.0</v>
      </c>
      <c r="H29" s="30">
        <v>0.0</v>
      </c>
      <c r="I29" s="30">
        <v>0.0</v>
      </c>
      <c r="J29" s="30">
        <v>0.0</v>
      </c>
      <c r="K29" s="30">
        <v>0.0</v>
      </c>
      <c r="L29" s="30">
        <v>0.0</v>
      </c>
      <c r="M29" s="30">
        <v>0.0</v>
      </c>
      <c r="N29" s="30">
        <v>0.0</v>
      </c>
      <c r="O29" s="30">
        <v>0.0</v>
      </c>
      <c r="P29" s="30">
        <v>0.0</v>
      </c>
      <c r="Q29" s="30">
        <v>0.0</v>
      </c>
      <c r="R29" s="30">
        <v>0.0</v>
      </c>
      <c r="S29" s="30">
        <v>0.0</v>
      </c>
      <c r="T29" s="30">
        <v>0.0</v>
      </c>
      <c r="U29" s="30">
        <v>0.0</v>
      </c>
      <c r="V29" s="30">
        <v>0.0</v>
      </c>
      <c r="W29" s="30">
        <v>0.0</v>
      </c>
      <c r="X29" s="30">
        <v>0.0</v>
      </c>
      <c r="Y29" s="30">
        <v>0.0</v>
      </c>
      <c r="Z29" s="30">
        <v>0.0</v>
      </c>
      <c r="AA29" s="30">
        <v>0.0</v>
      </c>
      <c r="AB29" s="30">
        <v>0.0</v>
      </c>
      <c r="AC29" s="30">
        <v>0.0</v>
      </c>
      <c r="AD29" s="30">
        <v>0.0</v>
      </c>
      <c r="AE29" s="30">
        <v>0.0</v>
      </c>
      <c r="AF29" s="30">
        <v>0.0</v>
      </c>
      <c r="AG29" s="30">
        <v>0.0</v>
      </c>
      <c r="AH29" s="30">
        <v>0.0</v>
      </c>
      <c r="AI29" s="30"/>
      <c r="AJ29" s="13">
        <f t="shared" si="6"/>
        <v>0</v>
      </c>
      <c r="AK29" s="14">
        <f t="shared" ref="AK29:AK30" si="12">550*AJ29</f>
        <v>0</v>
      </c>
      <c r="AL29" s="19"/>
      <c r="AM29" s="4"/>
      <c r="AN29" s="1"/>
      <c r="AO29" s="1"/>
      <c r="AP29" s="1"/>
      <c r="AQ29" s="1"/>
      <c r="AR29" s="1"/>
      <c r="AS29" s="1"/>
      <c r="AT29" s="1"/>
      <c r="AU29" s="1"/>
    </row>
    <row r="30" ht="15.75" customHeight="1">
      <c r="A30" s="10"/>
      <c r="B30" s="10"/>
      <c r="C30" s="10"/>
      <c r="D30" s="13" t="s">
        <v>7</v>
      </c>
      <c r="E30" s="30">
        <v>0.0</v>
      </c>
      <c r="F30" s="30">
        <v>0.0</v>
      </c>
      <c r="G30" s="30">
        <v>0.0</v>
      </c>
      <c r="H30" s="30">
        <v>0.0</v>
      </c>
      <c r="I30" s="30">
        <v>0.0</v>
      </c>
      <c r="J30" s="30">
        <v>0.0</v>
      </c>
      <c r="K30" s="30">
        <v>0.0</v>
      </c>
      <c r="L30" s="30">
        <v>0.0</v>
      </c>
      <c r="M30" s="30">
        <v>0.0</v>
      </c>
      <c r="N30" s="30">
        <v>0.0</v>
      </c>
      <c r="O30" s="30">
        <v>0.0</v>
      </c>
      <c r="P30" s="30">
        <v>0.0</v>
      </c>
      <c r="Q30" s="30">
        <v>0.0</v>
      </c>
      <c r="R30" s="30">
        <v>0.0</v>
      </c>
      <c r="S30" s="30">
        <v>0.0</v>
      </c>
      <c r="T30" s="30">
        <v>0.0</v>
      </c>
      <c r="U30" s="30">
        <v>0.0</v>
      </c>
      <c r="V30" s="30">
        <v>0.0</v>
      </c>
      <c r="W30" s="30">
        <v>0.0</v>
      </c>
      <c r="X30" s="30">
        <v>0.0</v>
      </c>
      <c r="Y30" s="30">
        <v>0.0</v>
      </c>
      <c r="Z30" s="30">
        <v>0.0</v>
      </c>
      <c r="AA30" s="30">
        <v>0.0</v>
      </c>
      <c r="AB30" s="30">
        <v>0.0</v>
      </c>
      <c r="AC30" s="30">
        <v>0.0</v>
      </c>
      <c r="AD30" s="30">
        <v>0.0</v>
      </c>
      <c r="AE30" s="30">
        <v>0.0</v>
      </c>
      <c r="AF30" s="30">
        <v>0.0</v>
      </c>
      <c r="AG30" s="30">
        <v>0.0</v>
      </c>
      <c r="AH30" s="30">
        <v>0.0</v>
      </c>
      <c r="AI30" s="30"/>
      <c r="AJ30" s="13">
        <f t="shared" si="6"/>
        <v>0</v>
      </c>
      <c r="AK30" s="14">
        <f t="shared" si="12"/>
        <v>0</v>
      </c>
      <c r="AL30" s="20">
        <f>SUM(AK28:AK30)</f>
        <v>0</v>
      </c>
      <c r="AM30" s="4"/>
      <c r="AN30" s="1"/>
      <c r="AO30" s="1"/>
      <c r="AP30" s="1"/>
      <c r="AQ30" s="1"/>
      <c r="AR30" s="1"/>
      <c r="AS30" s="1"/>
      <c r="AT30" s="1"/>
      <c r="AU30" s="1"/>
    </row>
    <row r="31" ht="15.75" customHeight="1">
      <c r="A31" s="12"/>
      <c r="B31" s="12"/>
      <c r="C31" s="12"/>
      <c r="D31" s="13" t="s">
        <v>5</v>
      </c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>
        <f t="shared" si="6"/>
        <v>0</v>
      </c>
      <c r="AK31" s="23">
        <f>330*AJ31</f>
        <v>0</v>
      </c>
      <c r="AL31" s="24"/>
      <c r="AM31" s="4"/>
      <c r="AN31" s="1"/>
      <c r="AO31" s="1"/>
      <c r="AP31" s="1"/>
      <c r="AQ31" s="1"/>
      <c r="AR31" s="1"/>
      <c r="AS31" s="1"/>
      <c r="AT31" s="1"/>
      <c r="AU31" s="1"/>
    </row>
    <row r="32" ht="15.75" customHeight="1">
      <c r="A32" s="16"/>
      <c r="B32" s="16"/>
      <c r="C32" s="16"/>
      <c r="D32" s="13" t="s">
        <v>6</v>
      </c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>
        <f t="shared" si="6"/>
        <v>0</v>
      </c>
      <c r="AK32" s="23">
        <f t="shared" ref="AK32:AK33" si="13">550*AJ32</f>
        <v>0</v>
      </c>
      <c r="AL32" s="24"/>
      <c r="AM32" s="4"/>
      <c r="AN32" s="1"/>
      <c r="AO32" s="1"/>
      <c r="AP32" s="1"/>
      <c r="AQ32" s="1"/>
      <c r="AR32" s="1"/>
      <c r="AS32" s="1"/>
      <c r="AT32" s="1"/>
      <c r="AU32" s="1"/>
    </row>
    <row r="33" ht="15.75" customHeight="1">
      <c r="A33" s="10"/>
      <c r="B33" s="10"/>
      <c r="C33" s="10"/>
      <c r="D33" s="13" t="s">
        <v>7</v>
      </c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>
        <f t="shared" si="6"/>
        <v>0</v>
      </c>
      <c r="AK33" s="23">
        <f t="shared" si="13"/>
        <v>0</v>
      </c>
      <c r="AL33" s="26">
        <f>SUM(AK31:AK33)</f>
        <v>0</v>
      </c>
      <c r="AM33" s="4"/>
      <c r="AN33" s="1"/>
      <c r="AO33" s="1"/>
      <c r="AP33" s="1"/>
      <c r="AQ33" s="1"/>
      <c r="AR33" s="1"/>
      <c r="AS33" s="1"/>
      <c r="AT33" s="1"/>
      <c r="AU33" s="1"/>
    </row>
    <row r="34" ht="15.75" customHeight="1">
      <c r="A34" s="12"/>
      <c r="B34" s="12"/>
      <c r="C34" s="12"/>
      <c r="D34" s="13" t="s">
        <v>5</v>
      </c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>
        <f t="shared" si="6"/>
        <v>0</v>
      </c>
      <c r="AK34" s="1"/>
      <c r="AL34" s="1"/>
      <c r="AM34" s="4"/>
      <c r="AN34" s="1"/>
      <c r="AO34" s="1"/>
      <c r="AP34" s="1"/>
      <c r="AQ34" s="1"/>
      <c r="AR34" s="1"/>
      <c r="AS34" s="1"/>
      <c r="AT34" s="1"/>
      <c r="AU34" s="1"/>
    </row>
    <row r="35" ht="15.75" customHeight="1">
      <c r="A35" s="16"/>
      <c r="B35" s="16"/>
      <c r="C35" s="16"/>
      <c r="D35" s="13" t="s">
        <v>6</v>
      </c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>
        <f t="shared" si="6"/>
        <v>0</v>
      </c>
      <c r="AK35" s="1"/>
      <c r="AL35" s="1"/>
      <c r="AM35" s="4"/>
      <c r="AN35" s="1"/>
      <c r="AO35" s="1"/>
      <c r="AP35" s="1"/>
      <c r="AQ35" s="1"/>
      <c r="AR35" s="1"/>
      <c r="AS35" s="1"/>
      <c r="AT35" s="1"/>
      <c r="AU35" s="1"/>
    </row>
    <row r="36" ht="15.75" customHeight="1">
      <c r="A36" s="10"/>
      <c r="B36" s="10"/>
      <c r="C36" s="10"/>
      <c r="D36" s="13" t="s">
        <v>7</v>
      </c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>
        <f t="shared" si="6"/>
        <v>0</v>
      </c>
      <c r="AK36" s="1"/>
      <c r="AL36" s="1"/>
      <c r="AM36" s="4"/>
      <c r="AN36" s="1"/>
      <c r="AO36" s="1"/>
      <c r="AP36" s="1"/>
      <c r="AQ36" s="1"/>
      <c r="AR36" s="1"/>
      <c r="AS36" s="1"/>
      <c r="AT36" s="1"/>
      <c r="AU36" s="1"/>
    </row>
    <row r="37" ht="15.75" customHeight="1">
      <c r="A37" s="12"/>
      <c r="B37" s="12"/>
      <c r="C37" s="12"/>
      <c r="D37" s="13" t="s">
        <v>5</v>
      </c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>
        <f t="shared" si="6"/>
        <v>0</v>
      </c>
      <c r="AK37" s="1"/>
      <c r="AL37" s="1"/>
      <c r="AM37" s="4"/>
      <c r="AN37" s="1"/>
      <c r="AO37" s="1"/>
      <c r="AP37" s="1"/>
      <c r="AQ37" s="1"/>
      <c r="AR37" s="1"/>
      <c r="AS37" s="1"/>
      <c r="AT37" s="1"/>
      <c r="AU37" s="1"/>
    </row>
    <row r="38" ht="15.75" customHeight="1">
      <c r="A38" s="16"/>
      <c r="B38" s="16"/>
      <c r="C38" s="16"/>
      <c r="D38" s="13" t="s">
        <v>6</v>
      </c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>
        <f t="shared" si="6"/>
        <v>0</v>
      </c>
      <c r="AK38" s="1"/>
      <c r="AL38" s="1"/>
      <c r="AM38" s="4"/>
      <c r="AN38" s="1"/>
      <c r="AO38" s="1"/>
      <c r="AP38" s="1"/>
      <c r="AQ38" s="1"/>
      <c r="AR38" s="1"/>
      <c r="AS38" s="1"/>
      <c r="AT38" s="1"/>
      <c r="AU38" s="1"/>
    </row>
    <row r="39" ht="15.75" customHeight="1">
      <c r="A39" s="10"/>
      <c r="B39" s="10"/>
      <c r="C39" s="10"/>
      <c r="D39" s="13" t="s">
        <v>7</v>
      </c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>
        <f t="shared" si="6"/>
        <v>0</v>
      </c>
      <c r="AK39" s="1"/>
      <c r="AL39" s="1"/>
      <c r="AM39" s="4"/>
      <c r="AN39" s="1"/>
      <c r="AO39" s="1"/>
      <c r="AP39" s="1"/>
      <c r="AQ39" s="1"/>
      <c r="AR39" s="1"/>
      <c r="AS39" s="1"/>
      <c r="AT39" s="1"/>
      <c r="AU39" s="1"/>
    </row>
    <row r="40" ht="15.75" customHeight="1">
      <c r="A40" s="12"/>
      <c r="B40" s="12"/>
      <c r="C40" s="12"/>
      <c r="D40" s="13" t="s">
        <v>5</v>
      </c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>
        <f t="shared" si="6"/>
        <v>0</v>
      </c>
      <c r="AK40" s="1"/>
      <c r="AL40" s="1"/>
      <c r="AM40" s="4"/>
      <c r="AN40" s="1"/>
      <c r="AO40" s="1"/>
      <c r="AP40" s="1"/>
      <c r="AQ40" s="1"/>
      <c r="AR40" s="1"/>
      <c r="AS40" s="1"/>
      <c r="AT40" s="1"/>
      <c r="AU40" s="1"/>
    </row>
    <row r="41" ht="15.75" customHeight="1">
      <c r="A41" s="16"/>
      <c r="B41" s="16"/>
      <c r="C41" s="16"/>
      <c r="D41" s="13" t="s">
        <v>6</v>
      </c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>
        <f t="shared" si="6"/>
        <v>0</v>
      </c>
      <c r="AK41" s="1"/>
      <c r="AL41" s="1"/>
      <c r="AM41" s="4"/>
      <c r="AN41" s="1"/>
      <c r="AO41" s="1"/>
      <c r="AP41" s="1"/>
      <c r="AQ41" s="1"/>
      <c r="AR41" s="1"/>
      <c r="AS41" s="1"/>
      <c r="AT41" s="1"/>
      <c r="AU41" s="1"/>
    </row>
    <row r="42" ht="15.75" customHeight="1">
      <c r="A42" s="10"/>
      <c r="B42" s="10"/>
      <c r="C42" s="10"/>
      <c r="D42" s="13" t="s">
        <v>7</v>
      </c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>
        <f t="shared" si="6"/>
        <v>0</v>
      </c>
      <c r="AK42" s="1"/>
      <c r="AL42" s="1"/>
      <c r="AM42" s="4"/>
      <c r="AN42" s="1"/>
      <c r="AO42" s="1"/>
      <c r="AP42" s="1"/>
      <c r="AQ42" s="1"/>
      <c r="AR42" s="1"/>
      <c r="AS42" s="1"/>
      <c r="AT42" s="1"/>
      <c r="AU42" s="1"/>
    </row>
    <row r="43" ht="15.75" customHeight="1">
      <c r="A43" s="12"/>
      <c r="B43" s="12"/>
      <c r="C43" s="12"/>
      <c r="D43" s="13" t="s">
        <v>5</v>
      </c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>
        <f t="shared" si="6"/>
        <v>0</v>
      </c>
      <c r="AK43" s="1"/>
      <c r="AL43" s="1"/>
      <c r="AM43" s="4"/>
      <c r="AN43" s="1"/>
      <c r="AO43" s="1"/>
      <c r="AP43" s="1"/>
      <c r="AQ43" s="1"/>
      <c r="AR43" s="1"/>
      <c r="AS43" s="1"/>
      <c r="AT43" s="1"/>
      <c r="AU43" s="1"/>
    </row>
    <row r="44" ht="15.75" customHeight="1">
      <c r="A44" s="16"/>
      <c r="B44" s="16"/>
      <c r="C44" s="16"/>
      <c r="D44" s="13" t="s">
        <v>6</v>
      </c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>
        <f t="shared" si="6"/>
        <v>0</v>
      </c>
      <c r="AK44" s="1"/>
      <c r="AL44" s="1"/>
      <c r="AM44" s="4"/>
      <c r="AN44" s="1"/>
      <c r="AO44" s="1"/>
      <c r="AP44" s="1"/>
      <c r="AQ44" s="1"/>
      <c r="AR44" s="1"/>
      <c r="AS44" s="1"/>
      <c r="AT44" s="1"/>
      <c r="AU44" s="1"/>
    </row>
    <row r="45" ht="15.75" customHeight="1">
      <c r="A45" s="10"/>
      <c r="B45" s="10"/>
      <c r="C45" s="10"/>
      <c r="D45" s="13" t="s">
        <v>7</v>
      </c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>
        <f t="shared" si="6"/>
        <v>0</v>
      </c>
      <c r="AK45" s="1"/>
      <c r="AL45" s="1"/>
      <c r="AM45" s="4"/>
      <c r="AN45" s="1"/>
      <c r="AO45" s="1"/>
      <c r="AP45" s="1"/>
      <c r="AQ45" s="1"/>
      <c r="AR45" s="1"/>
      <c r="AS45" s="1"/>
      <c r="AT45" s="1"/>
      <c r="AU45" s="1"/>
    </row>
    <row r="46" ht="15.75" customHeight="1">
      <c r="A46" s="12"/>
      <c r="B46" s="12"/>
      <c r="C46" s="12"/>
      <c r="D46" s="13" t="s">
        <v>5</v>
      </c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>
        <f t="shared" si="6"/>
        <v>0</v>
      </c>
      <c r="AK46" s="1"/>
      <c r="AL46" s="1"/>
      <c r="AM46" s="4"/>
      <c r="AN46" s="1"/>
      <c r="AO46" s="1"/>
      <c r="AP46" s="1"/>
      <c r="AQ46" s="1"/>
      <c r="AR46" s="1"/>
      <c r="AS46" s="1"/>
      <c r="AT46" s="1"/>
      <c r="AU46" s="1"/>
    </row>
    <row r="47" ht="15.75" customHeight="1">
      <c r="A47" s="16"/>
      <c r="B47" s="16"/>
      <c r="C47" s="16"/>
      <c r="D47" s="13" t="s">
        <v>6</v>
      </c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>
        <f t="shared" si="6"/>
        <v>0</v>
      </c>
      <c r="AK47" s="1"/>
      <c r="AL47" s="1"/>
      <c r="AM47" s="4"/>
      <c r="AN47" s="1"/>
      <c r="AO47" s="1"/>
      <c r="AP47" s="1"/>
      <c r="AQ47" s="1"/>
      <c r="AR47" s="1"/>
      <c r="AS47" s="1"/>
      <c r="AT47" s="1"/>
      <c r="AU47" s="1"/>
    </row>
    <row r="48" ht="15.75" customHeight="1">
      <c r="A48" s="10"/>
      <c r="B48" s="10"/>
      <c r="C48" s="10"/>
      <c r="D48" s="13" t="s">
        <v>7</v>
      </c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>
        <f t="shared" si="6"/>
        <v>0</v>
      </c>
      <c r="AK48" s="1"/>
      <c r="AL48" s="1"/>
      <c r="AM48" s="4"/>
      <c r="AN48" s="1"/>
      <c r="AO48" s="1"/>
      <c r="AP48" s="1"/>
      <c r="AQ48" s="1"/>
      <c r="AR48" s="1"/>
      <c r="AS48" s="1"/>
      <c r="AT48" s="1"/>
      <c r="AU48" s="1"/>
    </row>
    <row r="49" ht="15.75" customHeight="1">
      <c r="A49" s="12"/>
      <c r="B49" s="12"/>
      <c r="C49" s="12"/>
      <c r="D49" s="13" t="s">
        <v>5</v>
      </c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>
        <f t="shared" si="6"/>
        <v>0</v>
      </c>
      <c r="AK49" s="1"/>
      <c r="AL49" s="1"/>
      <c r="AM49" s="4"/>
      <c r="AN49" s="1"/>
      <c r="AO49" s="1"/>
      <c r="AP49" s="1"/>
      <c r="AQ49" s="1"/>
      <c r="AR49" s="1"/>
      <c r="AS49" s="1"/>
      <c r="AT49" s="1"/>
      <c r="AU49" s="1"/>
    </row>
    <row r="50" ht="15.75" customHeight="1">
      <c r="A50" s="16"/>
      <c r="B50" s="16"/>
      <c r="C50" s="16"/>
      <c r="D50" s="13" t="s">
        <v>6</v>
      </c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>
        <f t="shared" si="6"/>
        <v>0</v>
      </c>
      <c r="AK50" s="1"/>
      <c r="AL50" s="1"/>
      <c r="AM50" s="4"/>
      <c r="AN50" s="1"/>
      <c r="AO50" s="1"/>
      <c r="AP50" s="1"/>
      <c r="AQ50" s="1"/>
      <c r="AR50" s="1"/>
      <c r="AS50" s="1"/>
      <c r="AT50" s="1"/>
      <c r="AU50" s="1"/>
    </row>
    <row r="51" ht="15.75" customHeight="1">
      <c r="A51" s="10"/>
      <c r="B51" s="10"/>
      <c r="C51" s="10"/>
      <c r="D51" s="13" t="s">
        <v>7</v>
      </c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>
        <f t="shared" si="6"/>
        <v>0</v>
      </c>
      <c r="AK51" s="1"/>
      <c r="AL51" s="1"/>
      <c r="AM51" s="4"/>
      <c r="AN51" s="1"/>
      <c r="AO51" s="1"/>
      <c r="AP51" s="1"/>
      <c r="AQ51" s="1"/>
      <c r="AR51" s="1"/>
      <c r="AS51" s="1"/>
      <c r="AT51" s="1"/>
      <c r="AU51" s="1"/>
    </row>
    <row r="52" ht="15.75" customHeight="1">
      <c r="A52" s="12"/>
      <c r="B52" s="12"/>
      <c r="C52" s="12"/>
      <c r="D52" s="13" t="s">
        <v>5</v>
      </c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>
        <f t="shared" si="6"/>
        <v>0</v>
      </c>
      <c r="AK52" s="1"/>
      <c r="AL52" s="1"/>
      <c r="AM52" s="4"/>
      <c r="AN52" s="1"/>
      <c r="AO52" s="1"/>
      <c r="AP52" s="1"/>
      <c r="AQ52" s="1"/>
      <c r="AR52" s="1"/>
      <c r="AS52" s="1"/>
      <c r="AT52" s="1"/>
      <c r="AU52" s="1"/>
    </row>
    <row r="53" ht="15.75" customHeight="1">
      <c r="A53" s="16"/>
      <c r="B53" s="16"/>
      <c r="C53" s="16"/>
      <c r="D53" s="13" t="s">
        <v>6</v>
      </c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>
        <f t="shared" si="6"/>
        <v>0</v>
      </c>
      <c r="AK53" s="1"/>
      <c r="AL53" s="1"/>
      <c r="AM53" s="4"/>
      <c r="AN53" s="1"/>
      <c r="AO53" s="1"/>
      <c r="AP53" s="1"/>
      <c r="AQ53" s="1"/>
      <c r="AR53" s="1"/>
      <c r="AS53" s="1"/>
      <c r="AT53" s="1"/>
      <c r="AU53" s="1"/>
    </row>
    <row r="54" ht="15.75" customHeight="1">
      <c r="A54" s="10"/>
      <c r="B54" s="10"/>
      <c r="C54" s="10"/>
      <c r="D54" s="13" t="s">
        <v>7</v>
      </c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>
        <f t="shared" si="6"/>
        <v>0</v>
      </c>
      <c r="AK54" s="1"/>
      <c r="AL54" s="1"/>
      <c r="AM54" s="4"/>
      <c r="AN54" s="1"/>
      <c r="AO54" s="1"/>
      <c r="AP54" s="1"/>
      <c r="AQ54" s="1"/>
      <c r="AR54" s="1"/>
      <c r="AS54" s="1"/>
      <c r="AT54" s="1"/>
      <c r="AU54" s="1"/>
    </row>
    <row r="55" ht="15.75" customHeight="1">
      <c r="A55" s="12"/>
      <c r="B55" s="12"/>
      <c r="C55" s="12"/>
      <c r="D55" s="13" t="s">
        <v>5</v>
      </c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>
        <f t="shared" si="6"/>
        <v>0</v>
      </c>
      <c r="AK55" s="1"/>
      <c r="AL55" s="1"/>
      <c r="AM55" s="4"/>
      <c r="AN55" s="1"/>
      <c r="AO55" s="1"/>
      <c r="AP55" s="1"/>
      <c r="AQ55" s="1"/>
      <c r="AR55" s="1"/>
      <c r="AS55" s="1"/>
      <c r="AT55" s="1"/>
      <c r="AU55" s="1"/>
    </row>
    <row r="56" ht="15.75" customHeight="1">
      <c r="A56" s="16"/>
      <c r="B56" s="16"/>
      <c r="C56" s="16"/>
      <c r="D56" s="13" t="s">
        <v>6</v>
      </c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>
        <f t="shared" si="6"/>
        <v>0</v>
      </c>
      <c r="AK56" s="1"/>
      <c r="AL56" s="1"/>
      <c r="AM56" s="4"/>
      <c r="AN56" s="1"/>
      <c r="AO56" s="1"/>
      <c r="AP56" s="1"/>
      <c r="AQ56" s="1"/>
      <c r="AR56" s="1"/>
      <c r="AS56" s="1"/>
      <c r="AT56" s="1"/>
      <c r="AU56" s="1"/>
    </row>
    <row r="57" ht="15.75" customHeight="1">
      <c r="A57" s="10"/>
      <c r="B57" s="10"/>
      <c r="C57" s="10"/>
      <c r="D57" s="13" t="s">
        <v>7</v>
      </c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>
        <f t="shared" si="6"/>
        <v>0</v>
      </c>
      <c r="AK57" s="1"/>
      <c r="AL57" s="1"/>
      <c r="AM57" s="4"/>
      <c r="AN57" s="1"/>
      <c r="AO57" s="1"/>
      <c r="AP57" s="1"/>
      <c r="AQ57" s="1"/>
      <c r="AR57" s="1"/>
      <c r="AS57" s="1"/>
      <c r="AT57" s="1"/>
      <c r="AU57" s="1"/>
    </row>
    <row r="58" ht="15.75" customHeight="1">
      <c r="A58" s="12"/>
      <c r="B58" s="12"/>
      <c r="C58" s="12"/>
      <c r="D58" s="13" t="s">
        <v>5</v>
      </c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>
        <f t="shared" si="6"/>
        <v>0</v>
      </c>
      <c r="AK58" s="1"/>
      <c r="AL58" s="1"/>
      <c r="AM58" s="4"/>
      <c r="AN58" s="1"/>
      <c r="AO58" s="1"/>
      <c r="AP58" s="1"/>
      <c r="AQ58" s="1"/>
      <c r="AR58" s="1"/>
      <c r="AS58" s="1"/>
      <c r="AT58" s="1"/>
      <c r="AU58" s="1"/>
    </row>
    <row r="59" ht="15.75" customHeight="1">
      <c r="A59" s="16"/>
      <c r="B59" s="16"/>
      <c r="C59" s="16"/>
      <c r="D59" s="13" t="s">
        <v>6</v>
      </c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>
        <f t="shared" si="6"/>
        <v>0</v>
      </c>
      <c r="AK59" s="1"/>
      <c r="AL59" s="1"/>
      <c r="AM59" s="4"/>
      <c r="AN59" s="1"/>
      <c r="AO59" s="1"/>
      <c r="AP59" s="1"/>
      <c r="AQ59" s="1"/>
      <c r="AR59" s="1"/>
      <c r="AS59" s="1"/>
      <c r="AT59" s="1"/>
      <c r="AU59" s="1"/>
    </row>
    <row r="60" ht="15.75" customHeight="1">
      <c r="A60" s="10"/>
      <c r="B60" s="10"/>
      <c r="C60" s="10"/>
      <c r="D60" s="13" t="s">
        <v>7</v>
      </c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>
        <f t="shared" si="6"/>
        <v>0</v>
      </c>
      <c r="AK60" s="1"/>
      <c r="AL60" s="1"/>
      <c r="AM60" s="4"/>
      <c r="AN60" s="1"/>
      <c r="AO60" s="1"/>
      <c r="AP60" s="1"/>
      <c r="AQ60" s="1"/>
      <c r="AR60" s="1"/>
      <c r="AS60" s="1"/>
      <c r="AT60" s="1"/>
      <c r="AU60" s="1"/>
    </row>
    <row r="61" ht="15.75" customHeight="1">
      <c r="A61" s="12"/>
      <c r="B61" s="12"/>
      <c r="C61" s="12"/>
      <c r="D61" s="13" t="s">
        <v>5</v>
      </c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>
        <f t="shared" si="6"/>
        <v>0</v>
      </c>
      <c r="AK61" s="1"/>
      <c r="AL61" s="1"/>
      <c r="AM61" s="4"/>
      <c r="AN61" s="1"/>
      <c r="AO61" s="1"/>
      <c r="AP61" s="1"/>
      <c r="AQ61" s="1"/>
      <c r="AR61" s="1"/>
      <c r="AS61" s="1"/>
      <c r="AT61" s="1"/>
      <c r="AU61" s="1"/>
    </row>
    <row r="62" ht="15.75" customHeight="1">
      <c r="A62" s="16"/>
      <c r="B62" s="16"/>
      <c r="C62" s="16"/>
      <c r="D62" s="13" t="s">
        <v>6</v>
      </c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>
        <f t="shared" si="6"/>
        <v>0</v>
      </c>
      <c r="AK62" s="1"/>
      <c r="AL62" s="1"/>
      <c r="AM62" s="4"/>
      <c r="AN62" s="1"/>
      <c r="AO62" s="1"/>
      <c r="AP62" s="1"/>
      <c r="AQ62" s="1"/>
      <c r="AR62" s="1"/>
      <c r="AS62" s="1"/>
      <c r="AT62" s="1"/>
      <c r="AU62" s="1"/>
    </row>
    <row r="63" ht="15.75" customHeight="1">
      <c r="A63" s="10"/>
      <c r="B63" s="10"/>
      <c r="C63" s="10"/>
      <c r="D63" s="13" t="s">
        <v>7</v>
      </c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>
        <f t="shared" si="6"/>
        <v>0</v>
      </c>
      <c r="AK63" s="1"/>
      <c r="AL63" s="1"/>
      <c r="AM63" s="4"/>
      <c r="AN63" s="1"/>
      <c r="AO63" s="1"/>
      <c r="AP63" s="1"/>
      <c r="AQ63" s="1"/>
      <c r="AR63" s="1"/>
      <c r="AS63" s="1"/>
      <c r="AT63" s="1"/>
      <c r="AU63" s="1"/>
    </row>
    <row r="64" ht="15.75" customHeight="1">
      <c r="A64" s="12"/>
      <c r="B64" s="12"/>
      <c r="C64" s="12"/>
      <c r="D64" s="13" t="s">
        <v>5</v>
      </c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>
        <f t="shared" si="6"/>
        <v>0</v>
      </c>
      <c r="AK64" s="1"/>
      <c r="AL64" s="1"/>
      <c r="AM64" s="4"/>
      <c r="AN64" s="1"/>
      <c r="AO64" s="1"/>
      <c r="AP64" s="1"/>
      <c r="AQ64" s="1"/>
      <c r="AR64" s="1"/>
      <c r="AS64" s="1"/>
      <c r="AT64" s="1"/>
      <c r="AU64" s="1"/>
    </row>
    <row r="65" ht="15.75" customHeight="1">
      <c r="A65" s="16"/>
      <c r="B65" s="16"/>
      <c r="C65" s="16"/>
      <c r="D65" s="13" t="s">
        <v>6</v>
      </c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>
        <f t="shared" si="6"/>
        <v>0</v>
      </c>
      <c r="AK65" s="1"/>
      <c r="AL65" s="1"/>
      <c r="AM65" s="4"/>
      <c r="AN65" s="1"/>
      <c r="AO65" s="1"/>
      <c r="AP65" s="1"/>
      <c r="AQ65" s="1"/>
      <c r="AR65" s="1"/>
      <c r="AS65" s="1"/>
      <c r="AT65" s="1"/>
      <c r="AU65" s="1"/>
    </row>
    <row r="66" ht="15.75" customHeight="1">
      <c r="A66" s="10"/>
      <c r="B66" s="10"/>
      <c r="C66" s="10"/>
      <c r="D66" s="13" t="s">
        <v>7</v>
      </c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>
        <f t="shared" si="6"/>
        <v>0</v>
      </c>
      <c r="AK66" s="1"/>
      <c r="AL66" s="1"/>
      <c r="AM66" s="4"/>
      <c r="AN66" s="1"/>
      <c r="AO66" s="1"/>
      <c r="AP66" s="1"/>
      <c r="AQ66" s="1"/>
      <c r="AR66" s="1"/>
      <c r="AS66" s="1"/>
      <c r="AT66" s="1"/>
      <c r="AU66" s="1"/>
    </row>
    <row r="67" ht="15.75" customHeight="1">
      <c r="A67" s="12"/>
      <c r="B67" s="12"/>
      <c r="C67" s="12"/>
      <c r="D67" s="13" t="s">
        <v>5</v>
      </c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>
        <f t="shared" si="6"/>
        <v>0</v>
      </c>
      <c r="AK67" s="1"/>
      <c r="AL67" s="1"/>
      <c r="AM67" s="4"/>
      <c r="AN67" s="1"/>
      <c r="AO67" s="1"/>
      <c r="AP67" s="1"/>
      <c r="AQ67" s="1"/>
      <c r="AR67" s="1"/>
      <c r="AS67" s="1"/>
      <c r="AT67" s="1"/>
      <c r="AU67" s="1"/>
    </row>
    <row r="68" ht="15.75" customHeight="1">
      <c r="A68" s="16"/>
      <c r="B68" s="16"/>
      <c r="C68" s="16"/>
      <c r="D68" s="13" t="s">
        <v>6</v>
      </c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>
        <f t="shared" si="6"/>
        <v>0</v>
      </c>
      <c r="AK68" s="1"/>
      <c r="AL68" s="1"/>
      <c r="AM68" s="4"/>
      <c r="AN68" s="1"/>
      <c r="AO68" s="1"/>
      <c r="AP68" s="1"/>
      <c r="AQ68" s="1"/>
      <c r="AR68" s="1"/>
      <c r="AS68" s="1"/>
      <c r="AT68" s="1"/>
      <c r="AU68" s="1"/>
    </row>
    <row r="69" ht="15.75" customHeight="1">
      <c r="A69" s="10"/>
      <c r="B69" s="10"/>
      <c r="C69" s="10"/>
      <c r="D69" s="13" t="s">
        <v>7</v>
      </c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>
        <f t="shared" si="6"/>
        <v>0</v>
      </c>
      <c r="AK69" s="1"/>
      <c r="AL69" s="1"/>
      <c r="AM69" s="4"/>
      <c r="AN69" s="1"/>
      <c r="AO69" s="1"/>
      <c r="AP69" s="1"/>
      <c r="AQ69" s="1"/>
      <c r="AR69" s="1"/>
      <c r="AS69" s="1"/>
      <c r="AT69" s="1"/>
      <c r="AU69" s="1"/>
    </row>
    <row r="70" ht="15.75" customHeight="1">
      <c r="A70" s="12"/>
      <c r="B70" s="12"/>
      <c r="C70" s="12"/>
      <c r="D70" s="13" t="s">
        <v>5</v>
      </c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>
        <f t="shared" si="6"/>
        <v>0</v>
      </c>
      <c r="AK70" s="1"/>
      <c r="AL70" s="1"/>
      <c r="AM70" s="4"/>
      <c r="AN70" s="1"/>
      <c r="AO70" s="1"/>
      <c r="AP70" s="1"/>
      <c r="AQ70" s="1"/>
      <c r="AR70" s="1"/>
      <c r="AS70" s="1"/>
      <c r="AT70" s="1"/>
      <c r="AU70" s="1"/>
    </row>
    <row r="71" ht="15.75" customHeight="1">
      <c r="A71" s="16"/>
      <c r="B71" s="16"/>
      <c r="C71" s="16"/>
      <c r="D71" s="13" t="s">
        <v>6</v>
      </c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>
        <f t="shared" si="6"/>
        <v>0</v>
      </c>
      <c r="AK71" s="1"/>
      <c r="AL71" s="1"/>
      <c r="AM71" s="4"/>
      <c r="AN71" s="1"/>
      <c r="AO71" s="1"/>
      <c r="AP71" s="1"/>
      <c r="AQ71" s="1"/>
      <c r="AR71" s="1"/>
      <c r="AS71" s="1"/>
      <c r="AT71" s="1"/>
      <c r="AU71" s="1"/>
    </row>
    <row r="72" ht="15.75" customHeight="1">
      <c r="A72" s="10"/>
      <c r="B72" s="10"/>
      <c r="C72" s="10"/>
      <c r="D72" s="13" t="s">
        <v>7</v>
      </c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>
        <f t="shared" si="6"/>
        <v>0</v>
      </c>
      <c r="AK72" s="1"/>
      <c r="AL72" s="1"/>
      <c r="AM72" s="4"/>
      <c r="AN72" s="1"/>
      <c r="AO72" s="1"/>
      <c r="AP72" s="1"/>
      <c r="AQ72" s="1"/>
      <c r="AR72" s="1"/>
      <c r="AS72" s="1"/>
      <c r="AT72" s="1"/>
      <c r="AU72" s="1"/>
    </row>
    <row r="73" ht="15.75" customHeight="1">
      <c r="A73" s="31"/>
      <c r="B73" s="31"/>
      <c r="C73" s="3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4"/>
      <c r="AN73" s="1"/>
      <c r="AO73" s="1"/>
      <c r="AP73" s="1"/>
      <c r="AQ73" s="1"/>
      <c r="AR73" s="1"/>
      <c r="AS73" s="1"/>
      <c r="AT73" s="1"/>
      <c r="AU73" s="1"/>
    </row>
    <row r="74" ht="15.75" customHeight="1">
      <c r="A74" s="31"/>
      <c r="B74" s="31"/>
      <c r="C74" s="3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4"/>
      <c r="AN74" s="1"/>
      <c r="AO74" s="1"/>
      <c r="AP74" s="1"/>
      <c r="AQ74" s="1"/>
      <c r="AR74" s="1"/>
      <c r="AS74" s="1"/>
      <c r="AT74" s="1"/>
      <c r="AU74" s="1"/>
    </row>
    <row r="75" ht="15.75" customHeight="1">
      <c r="A75" s="31"/>
      <c r="B75" s="31"/>
      <c r="C75" s="3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4"/>
      <c r="AN75" s="1"/>
      <c r="AO75" s="1"/>
      <c r="AP75" s="1"/>
      <c r="AQ75" s="1"/>
      <c r="AR75" s="1"/>
      <c r="AS75" s="1"/>
      <c r="AT75" s="1"/>
      <c r="AU75" s="1"/>
    </row>
    <row r="76" ht="15.75" customHeight="1">
      <c r="A76" s="31"/>
      <c r="B76" s="31"/>
      <c r="C76" s="3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4"/>
      <c r="AN76" s="1"/>
      <c r="AO76" s="1"/>
      <c r="AP76" s="1"/>
      <c r="AQ76" s="1"/>
      <c r="AR76" s="1"/>
      <c r="AS76" s="1"/>
      <c r="AT76" s="1"/>
      <c r="AU76" s="1"/>
    </row>
    <row r="77" ht="15.75" customHeight="1">
      <c r="A77" s="31"/>
      <c r="B77" s="31"/>
      <c r="C77" s="3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4"/>
      <c r="AN77" s="1"/>
      <c r="AO77" s="1"/>
      <c r="AP77" s="1"/>
      <c r="AQ77" s="1"/>
      <c r="AR77" s="1"/>
      <c r="AS77" s="1"/>
      <c r="AT77" s="1"/>
      <c r="AU77" s="1"/>
    </row>
    <row r="78" ht="15.75" customHeight="1">
      <c r="A78" s="31"/>
      <c r="B78" s="31"/>
      <c r="C78" s="3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4"/>
      <c r="AN78" s="1"/>
      <c r="AO78" s="1"/>
      <c r="AP78" s="1"/>
      <c r="AQ78" s="1"/>
      <c r="AR78" s="1"/>
      <c r="AS78" s="1"/>
      <c r="AT78" s="1"/>
      <c r="AU78" s="1"/>
    </row>
    <row r="79" ht="15.75" customHeight="1">
      <c r="A79" s="31"/>
      <c r="B79" s="31"/>
      <c r="C79" s="3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4"/>
      <c r="AN79" s="1"/>
      <c r="AO79" s="1"/>
      <c r="AP79" s="1"/>
      <c r="AQ79" s="1"/>
      <c r="AR79" s="1"/>
      <c r="AS79" s="1"/>
      <c r="AT79" s="1"/>
      <c r="AU79" s="1"/>
    </row>
    <row r="80" ht="15.75" customHeight="1">
      <c r="A80" s="31"/>
      <c r="B80" s="31"/>
      <c r="C80" s="3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4"/>
      <c r="AN80" s="1"/>
      <c r="AO80" s="1"/>
      <c r="AP80" s="1"/>
      <c r="AQ80" s="1"/>
      <c r="AR80" s="1"/>
      <c r="AS80" s="1"/>
      <c r="AT80" s="1"/>
      <c r="AU80" s="1"/>
    </row>
    <row r="81" ht="15.75" customHeight="1">
      <c r="A81" s="31"/>
      <c r="B81" s="31"/>
      <c r="C81" s="3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4"/>
      <c r="AN81" s="1"/>
      <c r="AO81" s="1"/>
      <c r="AP81" s="1"/>
      <c r="AQ81" s="1"/>
      <c r="AR81" s="1"/>
      <c r="AS81" s="1"/>
      <c r="AT81" s="1"/>
      <c r="AU81" s="1"/>
    </row>
    <row r="82" ht="15.75" customHeight="1">
      <c r="A82" s="31"/>
      <c r="B82" s="31"/>
      <c r="C82" s="3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4"/>
      <c r="AN82" s="1"/>
      <c r="AO82" s="1"/>
      <c r="AP82" s="1"/>
      <c r="AQ82" s="1"/>
      <c r="AR82" s="1"/>
      <c r="AS82" s="1"/>
      <c r="AT82" s="1"/>
      <c r="AU82" s="1"/>
    </row>
    <row r="83" ht="15.75" customHeight="1">
      <c r="A83" s="31"/>
      <c r="B83" s="31"/>
      <c r="C83" s="3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4"/>
      <c r="AN83" s="1"/>
      <c r="AO83" s="1"/>
      <c r="AP83" s="1"/>
      <c r="AQ83" s="1"/>
      <c r="AR83" s="1"/>
      <c r="AS83" s="1"/>
      <c r="AT83" s="1"/>
      <c r="AU83" s="1"/>
    </row>
    <row r="84" ht="15.75" customHeight="1">
      <c r="A84" s="31"/>
      <c r="B84" s="31"/>
      <c r="C84" s="3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4"/>
      <c r="AN84" s="1"/>
      <c r="AO84" s="1"/>
      <c r="AP84" s="1"/>
      <c r="AQ84" s="1"/>
      <c r="AR84" s="1"/>
      <c r="AS84" s="1"/>
      <c r="AT84" s="1"/>
      <c r="AU84" s="1"/>
    </row>
    <row r="85" ht="15.75" customHeight="1">
      <c r="A85" s="31"/>
      <c r="B85" s="31"/>
      <c r="C85" s="3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4"/>
      <c r="AN85" s="1"/>
      <c r="AO85" s="1"/>
      <c r="AP85" s="1"/>
      <c r="AQ85" s="1"/>
      <c r="AR85" s="1"/>
      <c r="AS85" s="1"/>
      <c r="AT85" s="1"/>
      <c r="AU85" s="1"/>
    </row>
    <row r="86" ht="15.75" customHeight="1">
      <c r="A86" s="31"/>
      <c r="B86" s="31"/>
      <c r="C86" s="3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4"/>
      <c r="AN86" s="1"/>
      <c r="AO86" s="1"/>
      <c r="AP86" s="1"/>
      <c r="AQ86" s="1"/>
      <c r="AR86" s="1"/>
      <c r="AS86" s="1"/>
      <c r="AT86" s="1"/>
      <c r="AU86" s="1"/>
    </row>
    <row r="87" ht="15.75" customHeight="1">
      <c r="A87" s="31"/>
      <c r="B87" s="31"/>
      <c r="C87" s="3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4"/>
      <c r="AN87" s="1"/>
      <c r="AO87" s="1"/>
      <c r="AP87" s="1"/>
      <c r="AQ87" s="1"/>
      <c r="AR87" s="1"/>
      <c r="AS87" s="1"/>
      <c r="AT87" s="1"/>
      <c r="AU87" s="1"/>
    </row>
    <row r="88" ht="15.75" customHeight="1">
      <c r="A88" s="31"/>
      <c r="B88" s="31"/>
      <c r="C88" s="3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4"/>
      <c r="AN88" s="1"/>
      <c r="AO88" s="1"/>
      <c r="AP88" s="1"/>
      <c r="AQ88" s="1"/>
      <c r="AR88" s="1"/>
      <c r="AS88" s="1"/>
      <c r="AT88" s="1"/>
      <c r="AU88" s="1"/>
    </row>
    <row r="89" ht="15.75" customHeight="1">
      <c r="A89" s="31"/>
      <c r="B89" s="31"/>
      <c r="C89" s="3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4"/>
      <c r="AN89" s="1"/>
      <c r="AO89" s="1"/>
      <c r="AP89" s="1"/>
      <c r="AQ89" s="1"/>
      <c r="AR89" s="1"/>
      <c r="AS89" s="1"/>
      <c r="AT89" s="1"/>
      <c r="AU89" s="1"/>
    </row>
    <row r="90" ht="15.75" customHeight="1">
      <c r="A90" s="31"/>
      <c r="B90" s="31"/>
      <c r="C90" s="3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4"/>
      <c r="AN90" s="1"/>
      <c r="AO90" s="1"/>
      <c r="AP90" s="1"/>
      <c r="AQ90" s="1"/>
      <c r="AR90" s="1"/>
      <c r="AS90" s="1"/>
      <c r="AT90" s="1"/>
      <c r="AU90" s="1"/>
    </row>
    <row r="91" ht="15.75" customHeight="1">
      <c r="A91" s="31"/>
      <c r="B91" s="31"/>
      <c r="C91" s="3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4"/>
      <c r="AN91" s="1"/>
      <c r="AO91" s="1"/>
      <c r="AP91" s="1"/>
      <c r="AQ91" s="1"/>
      <c r="AR91" s="1"/>
      <c r="AS91" s="1"/>
      <c r="AT91" s="1"/>
      <c r="AU91" s="1"/>
    </row>
    <row r="92" ht="15.75" customHeight="1">
      <c r="A92" s="31"/>
      <c r="B92" s="31"/>
      <c r="C92" s="3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4"/>
      <c r="AN92" s="1"/>
      <c r="AO92" s="1"/>
      <c r="AP92" s="1"/>
      <c r="AQ92" s="1"/>
      <c r="AR92" s="1"/>
      <c r="AS92" s="1"/>
      <c r="AT92" s="1"/>
      <c r="AU92" s="1"/>
    </row>
    <row r="93" ht="15.75" customHeight="1">
      <c r="A93" s="31"/>
      <c r="B93" s="31"/>
      <c r="C93" s="3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4"/>
      <c r="AN93" s="1"/>
      <c r="AO93" s="1"/>
      <c r="AP93" s="1"/>
      <c r="AQ93" s="1"/>
      <c r="AR93" s="1"/>
      <c r="AS93" s="1"/>
      <c r="AT93" s="1"/>
      <c r="AU93" s="1"/>
    </row>
    <row r="94" ht="15.75" customHeight="1">
      <c r="A94" s="31"/>
      <c r="B94" s="31"/>
      <c r="C94" s="3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4"/>
      <c r="AN94" s="1"/>
      <c r="AO94" s="1"/>
      <c r="AP94" s="1"/>
      <c r="AQ94" s="1"/>
      <c r="AR94" s="1"/>
      <c r="AS94" s="1"/>
      <c r="AT94" s="1"/>
      <c r="AU94" s="1"/>
    </row>
    <row r="95" ht="15.75" customHeight="1">
      <c r="A95" s="31"/>
      <c r="B95" s="31"/>
      <c r="C95" s="3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4"/>
      <c r="AN95" s="1"/>
      <c r="AO95" s="1"/>
      <c r="AP95" s="1"/>
      <c r="AQ95" s="1"/>
      <c r="AR95" s="1"/>
      <c r="AS95" s="1"/>
      <c r="AT95" s="1"/>
      <c r="AU95" s="1"/>
    </row>
    <row r="96" ht="15.75" customHeight="1">
      <c r="A96" s="31"/>
      <c r="B96" s="31"/>
      <c r="C96" s="3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4"/>
      <c r="AN96" s="1"/>
      <c r="AO96" s="1"/>
      <c r="AP96" s="1"/>
      <c r="AQ96" s="1"/>
      <c r="AR96" s="1"/>
      <c r="AS96" s="1"/>
      <c r="AT96" s="1"/>
      <c r="AU96" s="1"/>
    </row>
    <row r="97" ht="15.75" customHeight="1">
      <c r="A97" s="31"/>
      <c r="B97" s="31"/>
      <c r="C97" s="3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4"/>
      <c r="AN97" s="1"/>
      <c r="AO97" s="1"/>
      <c r="AP97" s="1"/>
      <c r="AQ97" s="1"/>
      <c r="AR97" s="1"/>
      <c r="AS97" s="1"/>
      <c r="AT97" s="1"/>
      <c r="AU97" s="1"/>
    </row>
    <row r="98" ht="15.75" customHeight="1">
      <c r="A98" s="31"/>
      <c r="B98" s="31"/>
      <c r="C98" s="3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4"/>
      <c r="AN98" s="1"/>
      <c r="AO98" s="1"/>
      <c r="AP98" s="1"/>
      <c r="AQ98" s="1"/>
      <c r="AR98" s="1"/>
      <c r="AS98" s="1"/>
      <c r="AT98" s="1"/>
      <c r="AU98" s="1"/>
    </row>
    <row r="99" ht="15.75" customHeight="1">
      <c r="A99" s="31"/>
      <c r="B99" s="31"/>
      <c r="C99" s="3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4"/>
      <c r="AN99" s="1"/>
      <c r="AO99" s="1"/>
      <c r="AP99" s="1"/>
      <c r="AQ99" s="1"/>
      <c r="AR99" s="1"/>
      <c r="AS99" s="1"/>
      <c r="AT99" s="1"/>
      <c r="AU99" s="1"/>
    </row>
    <row r="100" ht="15.75" customHeight="1">
      <c r="A100" s="31"/>
      <c r="B100" s="31"/>
      <c r="C100" s="3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4"/>
      <c r="AN100" s="1"/>
      <c r="AO100" s="1"/>
      <c r="AP100" s="1"/>
      <c r="AQ100" s="1"/>
      <c r="AR100" s="1"/>
      <c r="AS100" s="1"/>
      <c r="AT100" s="1"/>
      <c r="AU100" s="1"/>
    </row>
    <row r="101" ht="15.75" customHeight="1">
      <c r="A101" s="31"/>
      <c r="B101" s="31"/>
      <c r="C101" s="3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4"/>
      <c r="AN101" s="1"/>
      <c r="AO101" s="1"/>
      <c r="AP101" s="1"/>
      <c r="AQ101" s="1"/>
      <c r="AR101" s="1"/>
      <c r="AS101" s="1"/>
      <c r="AT101" s="1"/>
      <c r="AU101" s="1"/>
    </row>
    <row r="102" ht="15.75" customHeight="1">
      <c r="A102" s="31"/>
      <c r="B102" s="31"/>
      <c r="C102" s="3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4"/>
      <c r="AN102" s="1"/>
      <c r="AO102" s="1"/>
      <c r="AP102" s="1"/>
      <c r="AQ102" s="1"/>
      <c r="AR102" s="1"/>
      <c r="AS102" s="1"/>
      <c r="AT102" s="1"/>
      <c r="AU102" s="1"/>
    </row>
    <row r="103" ht="15.75" customHeight="1">
      <c r="A103" s="31"/>
      <c r="B103" s="31"/>
      <c r="C103" s="3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4"/>
      <c r="AN103" s="1"/>
      <c r="AO103" s="1"/>
      <c r="AP103" s="1"/>
      <c r="AQ103" s="1"/>
      <c r="AR103" s="1"/>
      <c r="AS103" s="1"/>
      <c r="AT103" s="1"/>
      <c r="AU103" s="1"/>
    </row>
    <row r="104" ht="15.75" customHeight="1">
      <c r="A104" s="31"/>
      <c r="B104" s="31"/>
      <c r="C104" s="3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4"/>
      <c r="AN104" s="1"/>
      <c r="AO104" s="1"/>
      <c r="AP104" s="1"/>
      <c r="AQ104" s="1"/>
      <c r="AR104" s="1"/>
      <c r="AS104" s="1"/>
      <c r="AT104" s="1"/>
      <c r="AU104" s="1"/>
    </row>
    <row r="105" ht="15.75" customHeight="1">
      <c r="A105" s="31"/>
      <c r="B105" s="31"/>
      <c r="C105" s="3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4"/>
      <c r="AN105" s="1"/>
      <c r="AO105" s="1"/>
      <c r="AP105" s="1"/>
      <c r="AQ105" s="1"/>
      <c r="AR105" s="1"/>
      <c r="AS105" s="1"/>
      <c r="AT105" s="1"/>
      <c r="AU105" s="1"/>
    </row>
    <row r="106" ht="15.75" customHeight="1">
      <c r="A106" s="31"/>
      <c r="B106" s="31"/>
      <c r="C106" s="3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4"/>
      <c r="AN106" s="1"/>
      <c r="AO106" s="1"/>
      <c r="AP106" s="1"/>
      <c r="AQ106" s="1"/>
      <c r="AR106" s="1"/>
      <c r="AS106" s="1"/>
      <c r="AT106" s="1"/>
      <c r="AU106" s="1"/>
    </row>
    <row r="107" ht="15.75" customHeight="1">
      <c r="A107" s="31"/>
      <c r="B107" s="31"/>
      <c r="C107" s="3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4"/>
      <c r="AN107" s="1"/>
      <c r="AO107" s="1"/>
      <c r="AP107" s="1"/>
      <c r="AQ107" s="1"/>
      <c r="AR107" s="1"/>
      <c r="AS107" s="1"/>
      <c r="AT107" s="1"/>
      <c r="AU107" s="1"/>
    </row>
    <row r="108" ht="15.75" customHeight="1">
      <c r="A108" s="31"/>
      <c r="B108" s="31"/>
      <c r="C108" s="3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4"/>
      <c r="AN108" s="1"/>
      <c r="AO108" s="1"/>
      <c r="AP108" s="1"/>
      <c r="AQ108" s="1"/>
      <c r="AR108" s="1"/>
      <c r="AS108" s="1"/>
      <c r="AT108" s="1"/>
      <c r="AU108" s="1"/>
    </row>
    <row r="109" ht="15.75" customHeight="1">
      <c r="A109" s="31"/>
      <c r="B109" s="31"/>
      <c r="C109" s="3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4"/>
      <c r="AN109" s="1"/>
      <c r="AO109" s="1"/>
      <c r="AP109" s="1"/>
      <c r="AQ109" s="1"/>
      <c r="AR109" s="1"/>
      <c r="AS109" s="1"/>
      <c r="AT109" s="1"/>
      <c r="AU109" s="1"/>
    </row>
    <row r="110" ht="15.75" customHeight="1">
      <c r="A110" s="31"/>
      <c r="B110" s="31"/>
      <c r="C110" s="3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4"/>
      <c r="AN110" s="1"/>
      <c r="AO110" s="1"/>
      <c r="AP110" s="1"/>
      <c r="AQ110" s="1"/>
      <c r="AR110" s="1"/>
      <c r="AS110" s="1"/>
      <c r="AT110" s="1"/>
      <c r="AU110" s="1"/>
    </row>
    <row r="111" ht="15.75" customHeight="1">
      <c r="A111" s="31"/>
      <c r="B111" s="31"/>
      <c r="C111" s="3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4"/>
      <c r="AN111" s="1"/>
      <c r="AO111" s="1"/>
      <c r="AP111" s="1"/>
      <c r="AQ111" s="1"/>
      <c r="AR111" s="1"/>
      <c r="AS111" s="1"/>
      <c r="AT111" s="1"/>
      <c r="AU111" s="1"/>
    </row>
    <row r="112" ht="15.75" customHeight="1">
      <c r="A112" s="31"/>
      <c r="B112" s="31"/>
      <c r="C112" s="3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4"/>
      <c r="AN112" s="1"/>
      <c r="AO112" s="1"/>
      <c r="AP112" s="1"/>
      <c r="AQ112" s="1"/>
      <c r="AR112" s="1"/>
      <c r="AS112" s="1"/>
      <c r="AT112" s="1"/>
      <c r="AU112" s="1"/>
    </row>
    <row r="113" ht="15.75" customHeight="1">
      <c r="A113" s="31"/>
      <c r="B113" s="31"/>
      <c r="C113" s="3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4"/>
      <c r="AN113" s="1"/>
      <c r="AO113" s="1"/>
      <c r="AP113" s="1"/>
      <c r="AQ113" s="1"/>
      <c r="AR113" s="1"/>
      <c r="AS113" s="1"/>
      <c r="AT113" s="1"/>
      <c r="AU113" s="1"/>
    </row>
    <row r="114" ht="15.75" customHeight="1">
      <c r="A114" s="31"/>
      <c r="B114" s="31"/>
      <c r="C114" s="3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4"/>
      <c r="AN114" s="1"/>
      <c r="AO114" s="1"/>
      <c r="AP114" s="1"/>
      <c r="AQ114" s="1"/>
      <c r="AR114" s="1"/>
      <c r="AS114" s="1"/>
      <c r="AT114" s="1"/>
      <c r="AU114" s="1"/>
    </row>
    <row r="115" ht="15.75" customHeight="1">
      <c r="A115" s="31"/>
      <c r="B115" s="31"/>
      <c r="C115" s="3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4"/>
      <c r="AN115" s="1"/>
      <c r="AO115" s="1"/>
      <c r="AP115" s="1"/>
      <c r="AQ115" s="1"/>
      <c r="AR115" s="1"/>
      <c r="AS115" s="1"/>
      <c r="AT115" s="1"/>
      <c r="AU115" s="1"/>
    </row>
    <row r="116" ht="15.75" customHeight="1">
      <c r="A116" s="31"/>
      <c r="B116" s="31"/>
      <c r="C116" s="3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4"/>
      <c r="AN116" s="1"/>
      <c r="AO116" s="1"/>
      <c r="AP116" s="1"/>
      <c r="AQ116" s="1"/>
      <c r="AR116" s="1"/>
      <c r="AS116" s="1"/>
      <c r="AT116" s="1"/>
      <c r="AU116" s="1"/>
    </row>
    <row r="117" ht="15.75" customHeight="1">
      <c r="A117" s="31"/>
      <c r="B117" s="31"/>
      <c r="C117" s="3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4"/>
      <c r="AN117" s="1"/>
      <c r="AO117" s="1"/>
      <c r="AP117" s="1"/>
      <c r="AQ117" s="1"/>
      <c r="AR117" s="1"/>
      <c r="AS117" s="1"/>
      <c r="AT117" s="1"/>
      <c r="AU117" s="1"/>
    </row>
    <row r="118" ht="15.75" customHeight="1">
      <c r="A118" s="31"/>
      <c r="B118" s="31"/>
      <c r="C118" s="3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4"/>
      <c r="AN118" s="1"/>
      <c r="AO118" s="1"/>
      <c r="AP118" s="1"/>
      <c r="AQ118" s="1"/>
      <c r="AR118" s="1"/>
      <c r="AS118" s="1"/>
      <c r="AT118" s="1"/>
      <c r="AU118" s="1"/>
    </row>
    <row r="119" ht="15.75" customHeight="1">
      <c r="A119" s="31"/>
      <c r="B119" s="31"/>
      <c r="C119" s="3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4"/>
      <c r="AN119" s="1"/>
      <c r="AO119" s="1"/>
      <c r="AP119" s="1"/>
      <c r="AQ119" s="1"/>
      <c r="AR119" s="1"/>
      <c r="AS119" s="1"/>
      <c r="AT119" s="1"/>
      <c r="AU119" s="1"/>
    </row>
    <row r="120" ht="15.75" customHeight="1">
      <c r="A120" s="31"/>
      <c r="B120" s="31"/>
      <c r="C120" s="3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4"/>
      <c r="AN120" s="1"/>
      <c r="AO120" s="1"/>
      <c r="AP120" s="1"/>
      <c r="AQ120" s="1"/>
      <c r="AR120" s="1"/>
      <c r="AS120" s="1"/>
      <c r="AT120" s="1"/>
      <c r="AU120" s="1"/>
    </row>
    <row r="121" ht="15.75" customHeight="1">
      <c r="A121" s="31"/>
      <c r="B121" s="31"/>
      <c r="C121" s="3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4"/>
      <c r="AN121" s="1"/>
      <c r="AO121" s="1"/>
      <c r="AP121" s="1"/>
      <c r="AQ121" s="1"/>
      <c r="AR121" s="1"/>
      <c r="AS121" s="1"/>
      <c r="AT121" s="1"/>
      <c r="AU121" s="1"/>
    </row>
    <row r="122" ht="15.75" customHeight="1">
      <c r="A122" s="31"/>
      <c r="B122" s="31"/>
      <c r="C122" s="3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4"/>
      <c r="AN122" s="1"/>
      <c r="AO122" s="1"/>
      <c r="AP122" s="1"/>
      <c r="AQ122" s="1"/>
      <c r="AR122" s="1"/>
      <c r="AS122" s="1"/>
      <c r="AT122" s="1"/>
      <c r="AU122" s="1"/>
    </row>
    <row r="123" ht="15.75" customHeight="1">
      <c r="A123" s="31"/>
      <c r="B123" s="31"/>
      <c r="C123" s="3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4"/>
      <c r="AN123" s="1"/>
      <c r="AO123" s="1"/>
      <c r="AP123" s="1"/>
      <c r="AQ123" s="1"/>
      <c r="AR123" s="1"/>
      <c r="AS123" s="1"/>
      <c r="AT123" s="1"/>
      <c r="AU123" s="1"/>
    </row>
    <row r="124" ht="15.75" customHeight="1">
      <c r="A124" s="31"/>
      <c r="B124" s="31"/>
      <c r="C124" s="3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4"/>
      <c r="AN124" s="1"/>
      <c r="AO124" s="1"/>
      <c r="AP124" s="1"/>
      <c r="AQ124" s="1"/>
      <c r="AR124" s="1"/>
      <c r="AS124" s="1"/>
      <c r="AT124" s="1"/>
      <c r="AU124" s="1"/>
    </row>
    <row r="125" ht="15.75" customHeight="1">
      <c r="A125" s="31"/>
      <c r="B125" s="31"/>
      <c r="C125" s="3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4"/>
      <c r="AN125" s="1"/>
      <c r="AO125" s="1"/>
      <c r="AP125" s="1"/>
      <c r="AQ125" s="1"/>
      <c r="AR125" s="1"/>
      <c r="AS125" s="1"/>
      <c r="AT125" s="1"/>
      <c r="AU125" s="1"/>
    </row>
    <row r="126" ht="15.75" customHeight="1">
      <c r="A126" s="31"/>
      <c r="B126" s="31"/>
      <c r="C126" s="3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4"/>
      <c r="AN126" s="1"/>
      <c r="AO126" s="1"/>
      <c r="AP126" s="1"/>
      <c r="AQ126" s="1"/>
      <c r="AR126" s="1"/>
      <c r="AS126" s="1"/>
      <c r="AT126" s="1"/>
      <c r="AU126" s="1"/>
    </row>
    <row r="127" ht="15.75" customHeight="1">
      <c r="A127" s="31"/>
      <c r="B127" s="31"/>
      <c r="C127" s="3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4"/>
      <c r="AN127" s="1"/>
      <c r="AO127" s="1"/>
      <c r="AP127" s="1"/>
      <c r="AQ127" s="1"/>
      <c r="AR127" s="1"/>
      <c r="AS127" s="1"/>
      <c r="AT127" s="1"/>
      <c r="AU127" s="1"/>
    </row>
    <row r="128" ht="15.75" customHeight="1">
      <c r="A128" s="31"/>
      <c r="B128" s="31"/>
      <c r="C128" s="3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4"/>
      <c r="AN128" s="1"/>
      <c r="AO128" s="1"/>
      <c r="AP128" s="1"/>
      <c r="AQ128" s="1"/>
      <c r="AR128" s="1"/>
      <c r="AS128" s="1"/>
      <c r="AT128" s="1"/>
      <c r="AU128" s="1"/>
    </row>
    <row r="129" ht="15.75" customHeight="1">
      <c r="A129" s="31"/>
      <c r="B129" s="31"/>
      <c r="C129" s="3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4"/>
      <c r="AN129" s="1"/>
      <c r="AO129" s="1"/>
      <c r="AP129" s="1"/>
      <c r="AQ129" s="1"/>
      <c r="AR129" s="1"/>
      <c r="AS129" s="1"/>
      <c r="AT129" s="1"/>
      <c r="AU129" s="1"/>
    </row>
    <row r="130" ht="15.75" customHeight="1">
      <c r="A130" s="31"/>
      <c r="B130" s="31"/>
      <c r="C130" s="3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4"/>
      <c r="AN130" s="1"/>
      <c r="AO130" s="1"/>
      <c r="AP130" s="1"/>
      <c r="AQ130" s="1"/>
      <c r="AR130" s="1"/>
      <c r="AS130" s="1"/>
      <c r="AT130" s="1"/>
      <c r="AU130" s="1"/>
    </row>
    <row r="131" ht="15.75" customHeight="1">
      <c r="A131" s="31"/>
      <c r="B131" s="31"/>
      <c r="C131" s="3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4"/>
      <c r="AN131" s="1"/>
      <c r="AO131" s="1"/>
      <c r="AP131" s="1"/>
      <c r="AQ131" s="1"/>
      <c r="AR131" s="1"/>
      <c r="AS131" s="1"/>
      <c r="AT131" s="1"/>
      <c r="AU131" s="1"/>
    </row>
    <row r="132" ht="15.75" customHeight="1">
      <c r="A132" s="31"/>
      <c r="B132" s="31"/>
      <c r="C132" s="3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4"/>
      <c r="AN132" s="1"/>
      <c r="AO132" s="1"/>
      <c r="AP132" s="1"/>
      <c r="AQ132" s="1"/>
      <c r="AR132" s="1"/>
      <c r="AS132" s="1"/>
      <c r="AT132" s="1"/>
      <c r="AU132" s="1"/>
    </row>
    <row r="133" ht="15.75" customHeight="1">
      <c r="A133" s="31"/>
      <c r="B133" s="31"/>
      <c r="C133" s="3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4"/>
      <c r="AN133" s="1"/>
      <c r="AO133" s="1"/>
      <c r="AP133" s="1"/>
      <c r="AQ133" s="1"/>
      <c r="AR133" s="1"/>
      <c r="AS133" s="1"/>
      <c r="AT133" s="1"/>
      <c r="AU133" s="1"/>
    </row>
    <row r="134" ht="15.75" customHeight="1">
      <c r="A134" s="31"/>
      <c r="B134" s="31"/>
      <c r="C134" s="3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4"/>
      <c r="AN134" s="1"/>
      <c r="AO134" s="1"/>
      <c r="AP134" s="1"/>
      <c r="AQ134" s="1"/>
      <c r="AR134" s="1"/>
      <c r="AS134" s="1"/>
      <c r="AT134" s="1"/>
      <c r="AU134" s="1"/>
    </row>
    <row r="135" ht="15.75" customHeight="1">
      <c r="A135" s="31"/>
      <c r="B135" s="31"/>
      <c r="C135" s="3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4"/>
      <c r="AN135" s="1"/>
      <c r="AO135" s="1"/>
      <c r="AP135" s="1"/>
      <c r="AQ135" s="1"/>
      <c r="AR135" s="1"/>
      <c r="AS135" s="1"/>
      <c r="AT135" s="1"/>
      <c r="AU135" s="1"/>
    </row>
    <row r="136" ht="15.75" customHeight="1">
      <c r="A136" s="31"/>
      <c r="B136" s="31"/>
      <c r="C136" s="3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4"/>
      <c r="AN136" s="1"/>
      <c r="AO136" s="1"/>
      <c r="AP136" s="1"/>
      <c r="AQ136" s="1"/>
      <c r="AR136" s="1"/>
      <c r="AS136" s="1"/>
      <c r="AT136" s="1"/>
      <c r="AU136" s="1"/>
    </row>
    <row r="137" ht="15.75" customHeight="1">
      <c r="A137" s="31"/>
      <c r="B137" s="31"/>
      <c r="C137" s="3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4"/>
      <c r="AN137" s="1"/>
      <c r="AO137" s="1"/>
      <c r="AP137" s="1"/>
      <c r="AQ137" s="1"/>
      <c r="AR137" s="1"/>
      <c r="AS137" s="1"/>
      <c r="AT137" s="1"/>
      <c r="AU137" s="1"/>
    </row>
    <row r="138" ht="15.75" customHeight="1">
      <c r="A138" s="31"/>
      <c r="B138" s="31"/>
      <c r="C138" s="3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4"/>
      <c r="AN138" s="1"/>
      <c r="AO138" s="1"/>
      <c r="AP138" s="1"/>
      <c r="AQ138" s="1"/>
      <c r="AR138" s="1"/>
      <c r="AS138" s="1"/>
      <c r="AT138" s="1"/>
      <c r="AU138" s="1"/>
    </row>
    <row r="139" ht="15.75" customHeight="1">
      <c r="A139" s="31"/>
      <c r="B139" s="31"/>
      <c r="C139" s="3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4"/>
      <c r="AN139" s="1"/>
      <c r="AO139" s="1"/>
      <c r="AP139" s="1"/>
      <c r="AQ139" s="1"/>
      <c r="AR139" s="1"/>
      <c r="AS139" s="1"/>
      <c r="AT139" s="1"/>
      <c r="AU139" s="1"/>
    </row>
    <row r="140" ht="15.75" customHeight="1">
      <c r="A140" s="31"/>
      <c r="B140" s="31"/>
      <c r="C140" s="3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4"/>
      <c r="AN140" s="1"/>
      <c r="AO140" s="1"/>
      <c r="AP140" s="1"/>
      <c r="AQ140" s="1"/>
      <c r="AR140" s="1"/>
      <c r="AS140" s="1"/>
      <c r="AT140" s="1"/>
      <c r="AU140" s="1"/>
    </row>
    <row r="141" ht="15.75" customHeight="1">
      <c r="A141" s="31"/>
      <c r="B141" s="31"/>
      <c r="C141" s="3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4"/>
      <c r="AN141" s="1"/>
      <c r="AO141" s="1"/>
      <c r="AP141" s="1"/>
      <c r="AQ141" s="1"/>
      <c r="AR141" s="1"/>
      <c r="AS141" s="1"/>
      <c r="AT141" s="1"/>
      <c r="AU141" s="1"/>
    </row>
    <row r="142" ht="15.75" customHeight="1">
      <c r="A142" s="31"/>
      <c r="B142" s="31"/>
      <c r="C142" s="3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4"/>
      <c r="AN142" s="1"/>
      <c r="AO142" s="1"/>
      <c r="AP142" s="1"/>
      <c r="AQ142" s="1"/>
      <c r="AR142" s="1"/>
      <c r="AS142" s="1"/>
      <c r="AT142" s="1"/>
      <c r="AU142" s="1"/>
    </row>
    <row r="143" ht="15.75" customHeight="1">
      <c r="A143" s="31"/>
      <c r="B143" s="31"/>
      <c r="C143" s="3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4"/>
      <c r="AN143" s="1"/>
      <c r="AO143" s="1"/>
      <c r="AP143" s="1"/>
      <c r="AQ143" s="1"/>
      <c r="AR143" s="1"/>
      <c r="AS143" s="1"/>
      <c r="AT143" s="1"/>
      <c r="AU143" s="1"/>
    </row>
    <row r="144" ht="15.75" customHeight="1">
      <c r="A144" s="31"/>
      <c r="B144" s="31"/>
      <c r="C144" s="3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4"/>
      <c r="AN144" s="1"/>
      <c r="AO144" s="1"/>
      <c r="AP144" s="1"/>
      <c r="AQ144" s="1"/>
      <c r="AR144" s="1"/>
      <c r="AS144" s="1"/>
      <c r="AT144" s="1"/>
      <c r="AU144" s="1"/>
    </row>
    <row r="145" ht="15.75" customHeight="1">
      <c r="A145" s="31"/>
      <c r="B145" s="31"/>
      <c r="C145" s="3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4"/>
      <c r="AN145" s="1"/>
      <c r="AO145" s="1"/>
      <c r="AP145" s="1"/>
      <c r="AQ145" s="1"/>
      <c r="AR145" s="1"/>
      <c r="AS145" s="1"/>
      <c r="AT145" s="1"/>
      <c r="AU145" s="1"/>
    </row>
    <row r="146" ht="15.75" customHeight="1">
      <c r="A146" s="31"/>
      <c r="B146" s="31"/>
      <c r="C146" s="3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4"/>
      <c r="AN146" s="1"/>
      <c r="AO146" s="1"/>
      <c r="AP146" s="1"/>
      <c r="AQ146" s="1"/>
      <c r="AR146" s="1"/>
      <c r="AS146" s="1"/>
      <c r="AT146" s="1"/>
      <c r="AU146" s="1"/>
    </row>
    <row r="147" ht="15.75" customHeight="1">
      <c r="A147" s="31"/>
      <c r="B147" s="31"/>
      <c r="C147" s="3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4"/>
      <c r="AN147" s="1"/>
      <c r="AO147" s="1"/>
      <c r="AP147" s="1"/>
      <c r="AQ147" s="1"/>
      <c r="AR147" s="1"/>
      <c r="AS147" s="1"/>
      <c r="AT147" s="1"/>
      <c r="AU147" s="1"/>
    </row>
    <row r="148" ht="15.75" customHeight="1">
      <c r="A148" s="31"/>
      <c r="B148" s="31"/>
      <c r="C148" s="3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4"/>
      <c r="AN148" s="1"/>
      <c r="AO148" s="1"/>
      <c r="AP148" s="1"/>
      <c r="AQ148" s="1"/>
      <c r="AR148" s="1"/>
      <c r="AS148" s="1"/>
      <c r="AT148" s="1"/>
      <c r="AU148" s="1"/>
    </row>
    <row r="149" ht="15.75" customHeight="1">
      <c r="A149" s="31"/>
      <c r="B149" s="31"/>
      <c r="C149" s="3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4"/>
      <c r="AN149" s="1"/>
      <c r="AO149" s="1"/>
      <c r="AP149" s="1"/>
      <c r="AQ149" s="1"/>
      <c r="AR149" s="1"/>
      <c r="AS149" s="1"/>
      <c r="AT149" s="1"/>
      <c r="AU149" s="1"/>
    </row>
    <row r="150" ht="15.75" customHeight="1">
      <c r="A150" s="31"/>
      <c r="B150" s="31"/>
      <c r="C150" s="3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4"/>
      <c r="AN150" s="1"/>
      <c r="AO150" s="1"/>
      <c r="AP150" s="1"/>
      <c r="AQ150" s="1"/>
      <c r="AR150" s="1"/>
      <c r="AS150" s="1"/>
      <c r="AT150" s="1"/>
      <c r="AU150" s="1"/>
    </row>
    <row r="151" ht="15.75" customHeight="1">
      <c r="A151" s="31"/>
      <c r="B151" s="31"/>
      <c r="C151" s="3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4"/>
      <c r="AN151" s="1"/>
      <c r="AO151" s="1"/>
      <c r="AP151" s="1"/>
      <c r="AQ151" s="1"/>
      <c r="AR151" s="1"/>
      <c r="AS151" s="1"/>
      <c r="AT151" s="1"/>
      <c r="AU151" s="1"/>
    </row>
    <row r="152" ht="15.75" customHeight="1">
      <c r="A152" s="31"/>
      <c r="B152" s="31"/>
      <c r="C152" s="3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4"/>
      <c r="AN152" s="1"/>
      <c r="AO152" s="1"/>
      <c r="AP152" s="1"/>
      <c r="AQ152" s="1"/>
      <c r="AR152" s="1"/>
      <c r="AS152" s="1"/>
      <c r="AT152" s="1"/>
      <c r="AU152" s="1"/>
    </row>
    <row r="153" ht="15.75" customHeight="1">
      <c r="A153" s="31"/>
      <c r="B153" s="31"/>
      <c r="C153" s="3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4"/>
      <c r="AN153" s="1"/>
      <c r="AO153" s="1"/>
      <c r="AP153" s="1"/>
      <c r="AQ153" s="1"/>
      <c r="AR153" s="1"/>
      <c r="AS153" s="1"/>
      <c r="AT153" s="1"/>
      <c r="AU153" s="1"/>
    </row>
    <row r="154" ht="15.75" customHeight="1">
      <c r="A154" s="31"/>
      <c r="B154" s="31"/>
      <c r="C154" s="3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4"/>
      <c r="AN154" s="1"/>
      <c r="AO154" s="1"/>
      <c r="AP154" s="1"/>
      <c r="AQ154" s="1"/>
      <c r="AR154" s="1"/>
      <c r="AS154" s="1"/>
      <c r="AT154" s="1"/>
      <c r="AU154" s="1"/>
    </row>
    <row r="155" ht="15.75" customHeight="1">
      <c r="A155" s="31"/>
      <c r="B155" s="31"/>
      <c r="C155" s="3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4"/>
      <c r="AN155" s="1"/>
      <c r="AO155" s="1"/>
      <c r="AP155" s="1"/>
      <c r="AQ155" s="1"/>
      <c r="AR155" s="1"/>
      <c r="AS155" s="1"/>
      <c r="AT155" s="1"/>
      <c r="AU155" s="1"/>
    </row>
    <row r="156" ht="15.75" customHeight="1">
      <c r="A156" s="31"/>
      <c r="B156" s="31"/>
      <c r="C156" s="3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4"/>
      <c r="AN156" s="1"/>
      <c r="AO156" s="1"/>
      <c r="AP156" s="1"/>
      <c r="AQ156" s="1"/>
      <c r="AR156" s="1"/>
      <c r="AS156" s="1"/>
      <c r="AT156" s="1"/>
      <c r="AU156" s="1"/>
    </row>
    <row r="157" ht="15.75" customHeight="1">
      <c r="A157" s="31"/>
      <c r="B157" s="31"/>
      <c r="C157" s="3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4"/>
      <c r="AN157" s="1"/>
      <c r="AO157" s="1"/>
      <c r="AP157" s="1"/>
      <c r="AQ157" s="1"/>
      <c r="AR157" s="1"/>
      <c r="AS157" s="1"/>
      <c r="AT157" s="1"/>
      <c r="AU157" s="1"/>
    </row>
    <row r="158" ht="15.75" customHeight="1">
      <c r="A158" s="31"/>
      <c r="B158" s="31"/>
      <c r="C158" s="3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4"/>
      <c r="AN158" s="1"/>
      <c r="AO158" s="1"/>
      <c r="AP158" s="1"/>
      <c r="AQ158" s="1"/>
      <c r="AR158" s="1"/>
      <c r="AS158" s="1"/>
      <c r="AT158" s="1"/>
      <c r="AU158" s="1"/>
    </row>
    <row r="159" ht="15.75" customHeight="1">
      <c r="A159" s="31"/>
      <c r="B159" s="31"/>
      <c r="C159" s="3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4"/>
      <c r="AN159" s="1"/>
      <c r="AO159" s="1"/>
      <c r="AP159" s="1"/>
      <c r="AQ159" s="1"/>
      <c r="AR159" s="1"/>
      <c r="AS159" s="1"/>
      <c r="AT159" s="1"/>
      <c r="AU159" s="1"/>
    </row>
    <row r="160" ht="15.75" customHeight="1">
      <c r="A160" s="31"/>
      <c r="B160" s="31"/>
      <c r="C160" s="3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4"/>
      <c r="AN160" s="1"/>
      <c r="AO160" s="1"/>
      <c r="AP160" s="1"/>
      <c r="AQ160" s="1"/>
      <c r="AR160" s="1"/>
      <c r="AS160" s="1"/>
      <c r="AT160" s="1"/>
      <c r="AU160" s="1"/>
    </row>
    <row r="161" ht="15.75" customHeight="1">
      <c r="A161" s="31"/>
      <c r="B161" s="31"/>
      <c r="C161" s="3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4"/>
      <c r="AN161" s="1"/>
      <c r="AO161" s="1"/>
      <c r="AP161" s="1"/>
      <c r="AQ161" s="1"/>
      <c r="AR161" s="1"/>
      <c r="AS161" s="1"/>
      <c r="AT161" s="1"/>
      <c r="AU161" s="1"/>
    </row>
    <row r="162" ht="15.75" customHeight="1">
      <c r="A162" s="31"/>
      <c r="B162" s="31"/>
      <c r="C162" s="3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4"/>
      <c r="AN162" s="1"/>
      <c r="AO162" s="1"/>
      <c r="AP162" s="1"/>
      <c r="AQ162" s="1"/>
      <c r="AR162" s="1"/>
      <c r="AS162" s="1"/>
      <c r="AT162" s="1"/>
      <c r="AU162" s="1"/>
    </row>
    <row r="163" ht="15.75" customHeight="1">
      <c r="A163" s="31"/>
      <c r="B163" s="31"/>
      <c r="C163" s="3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4"/>
      <c r="AN163" s="1"/>
      <c r="AO163" s="1"/>
      <c r="AP163" s="1"/>
      <c r="AQ163" s="1"/>
      <c r="AR163" s="1"/>
      <c r="AS163" s="1"/>
      <c r="AT163" s="1"/>
      <c r="AU163" s="1"/>
    </row>
    <row r="164" ht="15.75" customHeight="1">
      <c r="A164" s="31"/>
      <c r="B164" s="31"/>
      <c r="C164" s="3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4"/>
      <c r="AN164" s="1"/>
      <c r="AO164" s="1"/>
      <c r="AP164" s="1"/>
      <c r="AQ164" s="1"/>
      <c r="AR164" s="1"/>
      <c r="AS164" s="1"/>
      <c r="AT164" s="1"/>
      <c r="AU164" s="1"/>
    </row>
    <row r="165" ht="15.75" customHeight="1">
      <c r="A165" s="31"/>
      <c r="B165" s="31"/>
      <c r="C165" s="3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4"/>
      <c r="AN165" s="1"/>
      <c r="AO165" s="1"/>
      <c r="AP165" s="1"/>
      <c r="AQ165" s="1"/>
      <c r="AR165" s="1"/>
      <c r="AS165" s="1"/>
      <c r="AT165" s="1"/>
      <c r="AU165" s="1"/>
    </row>
    <row r="166" ht="15.75" customHeight="1">
      <c r="A166" s="31"/>
      <c r="B166" s="31"/>
      <c r="C166" s="3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4"/>
      <c r="AN166" s="1"/>
      <c r="AO166" s="1"/>
      <c r="AP166" s="1"/>
      <c r="AQ166" s="1"/>
      <c r="AR166" s="1"/>
      <c r="AS166" s="1"/>
      <c r="AT166" s="1"/>
      <c r="AU166" s="1"/>
    </row>
    <row r="167" ht="15.75" customHeight="1">
      <c r="A167" s="31"/>
      <c r="B167" s="31"/>
      <c r="C167" s="3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4"/>
      <c r="AN167" s="1"/>
      <c r="AO167" s="1"/>
      <c r="AP167" s="1"/>
      <c r="AQ167" s="1"/>
      <c r="AR167" s="1"/>
      <c r="AS167" s="1"/>
      <c r="AT167" s="1"/>
      <c r="AU167" s="1"/>
    </row>
    <row r="168" ht="15.75" customHeight="1">
      <c r="A168" s="31"/>
      <c r="B168" s="31"/>
      <c r="C168" s="3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4"/>
      <c r="AN168" s="1"/>
      <c r="AO168" s="1"/>
      <c r="AP168" s="1"/>
      <c r="AQ168" s="1"/>
      <c r="AR168" s="1"/>
      <c r="AS168" s="1"/>
      <c r="AT168" s="1"/>
      <c r="AU168" s="1"/>
    </row>
    <row r="169" ht="15.75" customHeight="1">
      <c r="A169" s="31"/>
      <c r="B169" s="31"/>
      <c r="C169" s="3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4"/>
      <c r="AN169" s="1"/>
      <c r="AO169" s="1"/>
      <c r="AP169" s="1"/>
      <c r="AQ169" s="1"/>
      <c r="AR169" s="1"/>
      <c r="AS169" s="1"/>
      <c r="AT169" s="1"/>
      <c r="AU169" s="1"/>
    </row>
    <row r="170" ht="15.75" customHeight="1">
      <c r="A170" s="31"/>
      <c r="B170" s="31"/>
      <c r="C170" s="3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4"/>
      <c r="AN170" s="1"/>
      <c r="AO170" s="1"/>
      <c r="AP170" s="1"/>
      <c r="AQ170" s="1"/>
      <c r="AR170" s="1"/>
      <c r="AS170" s="1"/>
      <c r="AT170" s="1"/>
      <c r="AU170" s="1"/>
    </row>
    <row r="171" ht="15.75" customHeight="1">
      <c r="A171" s="31"/>
      <c r="B171" s="31"/>
      <c r="C171" s="3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4"/>
      <c r="AN171" s="1"/>
      <c r="AO171" s="1"/>
      <c r="AP171" s="1"/>
      <c r="AQ171" s="1"/>
      <c r="AR171" s="1"/>
      <c r="AS171" s="1"/>
      <c r="AT171" s="1"/>
      <c r="AU171" s="1"/>
    </row>
    <row r="172" ht="15.75" customHeight="1">
      <c r="A172" s="31"/>
      <c r="B172" s="31"/>
      <c r="C172" s="3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4"/>
      <c r="AN172" s="1"/>
      <c r="AO172" s="1"/>
      <c r="AP172" s="1"/>
      <c r="AQ172" s="1"/>
      <c r="AR172" s="1"/>
      <c r="AS172" s="1"/>
      <c r="AT172" s="1"/>
      <c r="AU172" s="1"/>
    </row>
    <row r="173" ht="15.75" customHeight="1">
      <c r="A173" s="31"/>
      <c r="B173" s="31"/>
      <c r="C173" s="3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4"/>
      <c r="AN173" s="1"/>
      <c r="AO173" s="1"/>
      <c r="AP173" s="1"/>
      <c r="AQ173" s="1"/>
      <c r="AR173" s="1"/>
      <c r="AS173" s="1"/>
      <c r="AT173" s="1"/>
      <c r="AU173" s="1"/>
    </row>
    <row r="174" ht="15.75" customHeight="1">
      <c r="A174" s="31"/>
      <c r="B174" s="31"/>
      <c r="C174" s="3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4"/>
      <c r="AN174" s="1"/>
      <c r="AO174" s="1"/>
      <c r="AP174" s="1"/>
      <c r="AQ174" s="1"/>
      <c r="AR174" s="1"/>
      <c r="AS174" s="1"/>
      <c r="AT174" s="1"/>
      <c r="AU174" s="1"/>
    </row>
    <row r="175" ht="15.75" customHeight="1">
      <c r="A175" s="31"/>
      <c r="B175" s="31"/>
      <c r="C175" s="3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4"/>
      <c r="AN175" s="1"/>
      <c r="AO175" s="1"/>
      <c r="AP175" s="1"/>
      <c r="AQ175" s="1"/>
      <c r="AR175" s="1"/>
      <c r="AS175" s="1"/>
      <c r="AT175" s="1"/>
      <c r="AU175" s="1"/>
    </row>
    <row r="176" ht="15.75" customHeight="1">
      <c r="A176" s="31"/>
      <c r="B176" s="31"/>
      <c r="C176" s="3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4"/>
      <c r="AN176" s="1"/>
      <c r="AO176" s="1"/>
      <c r="AP176" s="1"/>
      <c r="AQ176" s="1"/>
      <c r="AR176" s="1"/>
      <c r="AS176" s="1"/>
      <c r="AT176" s="1"/>
      <c r="AU176" s="1"/>
    </row>
    <row r="177" ht="15.75" customHeight="1">
      <c r="A177" s="31"/>
      <c r="B177" s="31"/>
      <c r="C177" s="3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4"/>
      <c r="AN177" s="1"/>
      <c r="AO177" s="1"/>
      <c r="AP177" s="1"/>
      <c r="AQ177" s="1"/>
      <c r="AR177" s="1"/>
      <c r="AS177" s="1"/>
      <c r="AT177" s="1"/>
      <c r="AU177" s="1"/>
    </row>
    <row r="178" ht="15.75" customHeight="1">
      <c r="A178" s="31"/>
      <c r="B178" s="31"/>
      <c r="C178" s="3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4"/>
      <c r="AN178" s="1"/>
      <c r="AO178" s="1"/>
      <c r="AP178" s="1"/>
      <c r="AQ178" s="1"/>
      <c r="AR178" s="1"/>
      <c r="AS178" s="1"/>
      <c r="AT178" s="1"/>
      <c r="AU178" s="1"/>
    </row>
    <row r="179" ht="15.75" customHeight="1">
      <c r="A179" s="31"/>
      <c r="B179" s="31"/>
      <c r="C179" s="3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4"/>
      <c r="AN179" s="1"/>
      <c r="AO179" s="1"/>
      <c r="AP179" s="1"/>
      <c r="AQ179" s="1"/>
      <c r="AR179" s="1"/>
      <c r="AS179" s="1"/>
      <c r="AT179" s="1"/>
      <c r="AU179" s="1"/>
    </row>
    <row r="180" ht="15.75" customHeight="1">
      <c r="A180" s="31"/>
      <c r="B180" s="31"/>
      <c r="C180" s="3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4"/>
      <c r="AN180" s="1"/>
      <c r="AO180" s="1"/>
      <c r="AP180" s="1"/>
      <c r="AQ180" s="1"/>
      <c r="AR180" s="1"/>
      <c r="AS180" s="1"/>
      <c r="AT180" s="1"/>
      <c r="AU180" s="1"/>
    </row>
    <row r="181" ht="15.75" customHeight="1">
      <c r="A181" s="31"/>
      <c r="B181" s="31"/>
      <c r="C181" s="3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4"/>
      <c r="AN181" s="1"/>
      <c r="AO181" s="1"/>
      <c r="AP181" s="1"/>
      <c r="AQ181" s="1"/>
      <c r="AR181" s="1"/>
      <c r="AS181" s="1"/>
      <c r="AT181" s="1"/>
      <c r="AU181" s="1"/>
    </row>
    <row r="182" ht="15.75" customHeight="1">
      <c r="A182" s="31"/>
      <c r="B182" s="31"/>
      <c r="C182" s="3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4"/>
      <c r="AN182" s="1"/>
      <c r="AO182" s="1"/>
      <c r="AP182" s="1"/>
      <c r="AQ182" s="1"/>
      <c r="AR182" s="1"/>
      <c r="AS182" s="1"/>
      <c r="AT182" s="1"/>
      <c r="AU182" s="1"/>
    </row>
    <row r="183" ht="15.75" customHeight="1">
      <c r="A183" s="31"/>
      <c r="B183" s="31"/>
      <c r="C183" s="3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4"/>
      <c r="AN183" s="1"/>
      <c r="AO183" s="1"/>
      <c r="AP183" s="1"/>
      <c r="AQ183" s="1"/>
      <c r="AR183" s="1"/>
      <c r="AS183" s="1"/>
      <c r="AT183" s="1"/>
      <c r="AU183" s="1"/>
    </row>
    <row r="184" ht="15.75" customHeight="1">
      <c r="A184" s="31"/>
      <c r="B184" s="31"/>
      <c r="C184" s="3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4"/>
      <c r="AN184" s="1"/>
      <c r="AO184" s="1"/>
      <c r="AP184" s="1"/>
      <c r="AQ184" s="1"/>
      <c r="AR184" s="1"/>
      <c r="AS184" s="1"/>
      <c r="AT184" s="1"/>
      <c r="AU184" s="1"/>
    </row>
    <row r="185" ht="15.75" customHeight="1">
      <c r="A185" s="31"/>
      <c r="B185" s="31"/>
      <c r="C185" s="3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4"/>
      <c r="AN185" s="1"/>
      <c r="AO185" s="1"/>
      <c r="AP185" s="1"/>
      <c r="AQ185" s="1"/>
      <c r="AR185" s="1"/>
      <c r="AS185" s="1"/>
      <c r="AT185" s="1"/>
      <c r="AU185" s="1"/>
    </row>
    <row r="186" ht="15.75" customHeight="1">
      <c r="A186" s="31"/>
      <c r="B186" s="31"/>
      <c r="C186" s="3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4"/>
      <c r="AN186" s="1"/>
      <c r="AO186" s="1"/>
      <c r="AP186" s="1"/>
      <c r="AQ186" s="1"/>
      <c r="AR186" s="1"/>
      <c r="AS186" s="1"/>
      <c r="AT186" s="1"/>
      <c r="AU186" s="1"/>
    </row>
    <row r="187" ht="15.75" customHeight="1">
      <c r="A187" s="31"/>
      <c r="B187" s="31"/>
      <c r="C187" s="3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4"/>
      <c r="AN187" s="1"/>
      <c r="AO187" s="1"/>
      <c r="AP187" s="1"/>
      <c r="AQ187" s="1"/>
      <c r="AR187" s="1"/>
      <c r="AS187" s="1"/>
      <c r="AT187" s="1"/>
      <c r="AU187" s="1"/>
    </row>
    <row r="188" ht="15.75" customHeight="1">
      <c r="A188" s="31"/>
      <c r="B188" s="31"/>
      <c r="C188" s="3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4"/>
      <c r="AN188" s="1"/>
      <c r="AO188" s="1"/>
      <c r="AP188" s="1"/>
      <c r="AQ188" s="1"/>
      <c r="AR188" s="1"/>
      <c r="AS188" s="1"/>
      <c r="AT188" s="1"/>
      <c r="AU188" s="1"/>
    </row>
    <row r="189" ht="15.75" customHeight="1">
      <c r="A189" s="31"/>
      <c r="B189" s="31"/>
      <c r="C189" s="3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4"/>
      <c r="AN189" s="1"/>
      <c r="AO189" s="1"/>
      <c r="AP189" s="1"/>
      <c r="AQ189" s="1"/>
      <c r="AR189" s="1"/>
      <c r="AS189" s="1"/>
      <c r="AT189" s="1"/>
      <c r="AU189" s="1"/>
    </row>
    <row r="190" ht="15.75" customHeight="1">
      <c r="A190" s="31"/>
      <c r="B190" s="31"/>
      <c r="C190" s="3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4"/>
      <c r="AN190" s="1"/>
      <c r="AO190" s="1"/>
      <c r="AP190" s="1"/>
      <c r="AQ190" s="1"/>
      <c r="AR190" s="1"/>
      <c r="AS190" s="1"/>
      <c r="AT190" s="1"/>
      <c r="AU190" s="1"/>
    </row>
    <row r="191" ht="15.75" customHeight="1">
      <c r="A191" s="31"/>
      <c r="B191" s="31"/>
      <c r="C191" s="3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4"/>
      <c r="AN191" s="1"/>
      <c r="AO191" s="1"/>
      <c r="AP191" s="1"/>
      <c r="AQ191" s="1"/>
      <c r="AR191" s="1"/>
      <c r="AS191" s="1"/>
      <c r="AT191" s="1"/>
      <c r="AU191" s="1"/>
    </row>
    <row r="192" ht="15.75" customHeight="1">
      <c r="A192" s="31"/>
      <c r="B192" s="31"/>
      <c r="C192" s="3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4"/>
      <c r="AN192" s="1"/>
      <c r="AO192" s="1"/>
      <c r="AP192" s="1"/>
      <c r="AQ192" s="1"/>
      <c r="AR192" s="1"/>
      <c r="AS192" s="1"/>
      <c r="AT192" s="1"/>
      <c r="AU192" s="1"/>
    </row>
    <row r="193" ht="15.75" customHeight="1">
      <c r="A193" s="31"/>
      <c r="B193" s="31"/>
      <c r="C193" s="3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4"/>
      <c r="AN193" s="1"/>
      <c r="AO193" s="1"/>
      <c r="AP193" s="1"/>
      <c r="AQ193" s="1"/>
      <c r="AR193" s="1"/>
      <c r="AS193" s="1"/>
      <c r="AT193" s="1"/>
      <c r="AU193" s="1"/>
    </row>
    <row r="194" ht="15.75" customHeight="1">
      <c r="A194" s="31"/>
      <c r="B194" s="31"/>
      <c r="C194" s="3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4"/>
      <c r="AN194" s="1"/>
      <c r="AO194" s="1"/>
      <c r="AP194" s="1"/>
      <c r="AQ194" s="1"/>
      <c r="AR194" s="1"/>
      <c r="AS194" s="1"/>
      <c r="AT194" s="1"/>
      <c r="AU194" s="1"/>
    </row>
    <row r="195" ht="15.75" customHeight="1">
      <c r="A195" s="31"/>
      <c r="B195" s="31"/>
      <c r="C195" s="3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4"/>
      <c r="AN195" s="1"/>
      <c r="AO195" s="1"/>
      <c r="AP195" s="1"/>
      <c r="AQ195" s="1"/>
      <c r="AR195" s="1"/>
      <c r="AS195" s="1"/>
      <c r="AT195" s="1"/>
      <c r="AU195" s="1"/>
    </row>
    <row r="196" ht="15.75" customHeight="1">
      <c r="A196" s="31"/>
      <c r="B196" s="31"/>
      <c r="C196" s="3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4"/>
      <c r="AN196" s="1"/>
      <c r="AO196" s="1"/>
      <c r="AP196" s="1"/>
      <c r="AQ196" s="1"/>
      <c r="AR196" s="1"/>
      <c r="AS196" s="1"/>
      <c r="AT196" s="1"/>
      <c r="AU196" s="1"/>
    </row>
    <row r="197" ht="15.75" customHeight="1">
      <c r="A197" s="31"/>
      <c r="B197" s="31"/>
      <c r="C197" s="3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4"/>
      <c r="AN197" s="1"/>
      <c r="AO197" s="1"/>
      <c r="AP197" s="1"/>
      <c r="AQ197" s="1"/>
      <c r="AR197" s="1"/>
      <c r="AS197" s="1"/>
      <c r="AT197" s="1"/>
      <c r="AU197" s="1"/>
    </row>
    <row r="198" ht="15.75" customHeight="1">
      <c r="A198" s="31"/>
      <c r="B198" s="31"/>
      <c r="C198" s="3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4"/>
      <c r="AN198" s="1"/>
      <c r="AO198" s="1"/>
      <c r="AP198" s="1"/>
      <c r="AQ198" s="1"/>
      <c r="AR198" s="1"/>
      <c r="AS198" s="1"/>
      <c r="AT198" s="1"/>
      <c r="AU198" s="1"/>
    </row>
    <row r="199" ht="15.75" customHeight="1">
      <c r="A199" s="31"/>
      <c r="B199" s="31"/>
      <c r="C199" s="3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4"/>
      <c r="AN199" s="1"/>
      <c r="AO199" s="1"/>
      <c r="AP199" s="1"/>
      <c r="AQ199" s="1"/>
      <c r="AR199" s="1"/>
      <c r="AS199" s="1"/>
      <c r="AT199" s="1"/>
      <c r="AU199" s="1"/>
    </row>
    <row r="200" ht="15.75" customHeight="1">
      <c r="A200" s="31"/>
      <c r="B200" s="31"/>
      <c r="C200" s="3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4"/>
      <c r="AN200" s="1"/>
      <c r="AO200" s="1"/>
      <c r="AP200" s="1"/>
      <c r="AQ200" s="1"/>
      <c r="AR200" s="1"/>
      <c r="AS200" s="1"/>
      <c r="AT200" s="1"/>
      <c r="AU200" s="1"/>
    </row>
    <row r="201" ht="15.75" customHeight="1">
      <c r="A201" s="31"/>
      <c r="B201" s="31"/>
      <c r="C201" s="3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4"/>
      <c r="AN201" s="1"/>
      <c r="AO201" s="1"/>
      <c r="AP201" s="1"/>
      <c r="AQ201" s="1"/>
      <c r="AR201" s="1"/>
      <c r="AS201" s="1"/>
      <c r="AT201" s="1"/>
      <c r="AU201" s="1"/>
    </row>
    <row r="202" ht="15.75" customHeight="1">
      <c r="A202" s="31"/>
      <c r="B202" s="31"/>
      <c r="C202" s="3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4"/>
      <c r="AN202" s="1"/>
      <c r="AO202" s="1"/>
      <c r="AP202" s="1"/>
      <c r="AQ202" s="1"/>
      <c r="AR202" s="1"/>
      <c r="AS202" s="1"/>
      <c r="AT202" s="1"/>
      <c r="AU202" s="1"/>
    </row>
    <row r="203" ht="15.75" customHeight="1">
      <c r="A203" s="31"/>
      <c r="B203" s="31"/>
      <c r="C203" s="3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4"/>
      <c r="AN203" s="1"/>
      <c r="AO203" s="1"/>
      <c r="AP203" s="1"/>
      <c r="AQ203" s="1"/>
      <c r="AR203" s="1"/>
      <c r="AS203" s="1"/>
      <c r="AT203" s="1"/>
      <c r="AU203" s="1"/>
    </row>
    <row r="204" ht="15.75" customHeight="1">
      <c r="A204" s="31"/>
      <c r="B204" s="31"/>
      <c r="C204" s="3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4"/>
      <c r="AN204" s="1"/>
      <c r="AO204" s="1"/>
      <c r="AP204" s="1"/>
      <c r="AQ204" s="1"/>
      <c r="AR204" s="1"/>
      <c r="AS204" s="1"/>
      <c r="AT204" s="1"/>
      <c r="AU204" s="1"/>
    </row>
    <row r="205" ht="15.75" customHeight="1">
      <c r="A205" s="31"/>
      <c r="B205" s="31"/>
      <c r="C205" s="3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4"/>
      <c r="AN205" s="1"/>
      <c r="AO205" s="1"/>
      <c r="AP205" s="1"/>
      <c r="AQ205" s="1"/>
      <c r="AR205" s="1"/>
      <c r="AS205" s="1"/>
      <c r="AT205" s="1"/>
      <c r="AU205" s="1"/>
    </row>
    <row r="206" ht="15.75" customHeight="1">
      <c r="A206" s="31"/>
      <c r="B206" s="31"/>
      <c r="C206" s="3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4"/>
      <c r="AN206" s="1"/>
      <c r="AO206" s="1"/>
      <c r="AP206" s="1"/>
      <c r="AQ206" s="1"/>
      <c r="AR206" s="1"/>
      <c r="AS206" s="1"/>
      <c r="AT206" s="1"/>
      <c r="AU206" s="1"/>
    </row>
    <row r="207" ht="15.75" customHeight="1">
      <c r="A207" s="31"/>
      <c r="B207" s="31"/>
      <c r="C207" s="3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4"/>
      <c r="AN207" s="1"/>
      <c r="AO207" s="1"/>
      <c r="AP207" s="1"/>
      <c r="AQ207" s="1"/>
      <c r="AR207" s="1"/>
      <c r="AS207" s="1"/>
      <c r="AT207" s="1"/>
      <c r="AU207" s="1"/>
    </row>
    <row r="208" ht="15.75" customHeight="1">
      <c r="A208" s="31"/>
      <c r="B208" s="31"/>
      <c r="C208" s="3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4"/>
      <c r="AN208" s="1"/>
      <c r="AO208" s="1"/>
      <c r="AP208" s="1"/>
      <c r="AQ208" s="1"/>
      <c r="AR208" s="1"/>
      <c r="AS208" s="1"/>
      <c r="AT208" s="1"/>
      <c r="AU208" s="1"/>
    </row>
    <row r="209" ht="15.75" customHeight="1">
      <c r="A209" s="31"/>
      <c r="B209" s="31"/>
      <c r="C209" s="3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4"/>
      <c r="AN209" s="1"/>
      <c r="AO209" s="1"/>
      <c r="AP209" s="1"/>
      <c r="AQ209" s="1"/>
      <c r="AR209" s="1"/>
      <c r="AS209" s="1"/>
      <c r="AT209" s="1"/>
      <c r="AU209" s="1"/>
    </row>
    <row r="210" ht="15.75" customHeight="1">
      <c r="A210" s="31"/>
      <c r="B210" s="31"/>
      <c r="C210" s="3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4"/>
      <c r="AN210" s="1"/>
      <c r="AO210" s="1"/>
      <c r="AP210" s="1"/>
      <c r="AQ210" s="1"/>
      <c r="AR210" s="1"/>
      <c r="AS210" s="1"/>
      <c r="AT210" s="1"/>
      <c r="AU210" s="1"/>
    </row>
    <row r="211" ht="15.75" customHeight="1">
      <c r="A211" s="31"/>
      <c r="B211" s="31"/>
      <c r="C211" s="3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4"/>
      <c r="AN211" s="1"/>
      <c r="AO211" s="1"/>
      <c r="AP211" s="1"/>
      <c r="AQ211" s="1"/>
      <c r="AR211" s="1"/>
      <c r="AS211" s="1"/>
      <c r="AT211" s="1"/>
      <c r="AU211" s="1"/>
    </row>
    <row r="212" ht="15.75" customHeight="1">
      <c r="A212" s="31"/>
      <c r="B212" s="31"/>
      <c r="C212" s="3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4"/>
      <c r="AN212" s="1"/>
      <c r="AO212" s="1"/>
      <c r="AP212" s="1"/>
      <c r="AQ212" s="1"/>
      <c r="AR212" s="1"/>
      <c r="AS212" s="1"/>
      <c r="AT212" s="1"/>
      <c r="AU212" s="1"/>
    </row>
    <row r="213" ht="15.75" customHeight="1">
      <c r="A213" s="31"/>
      <c r="B213" s="31"/>
      <c r="C213" s="3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4"/>
      <c r="AN213" s="1"/>
      <c r="AO213" s="1"/>
      <c r="AP213" s="1"/>
      <c r="AQ213" s="1"/>
      <c r="AR213" s="1"/>
      <c r="AS213" s="1"/>
      <c r="AT213" s="1"/>
      <c r="AU213" s="1"/>
    </row>
    <row r="214" ht="15.75" customHeight="1">
      <c r="A214" s="31"/>
      <c r="B214" s="31"/>
      <c r="C214" s="3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4"/>
      <c r="AN214" s="1"/>
      <c r="AO214" s="1"/>
      <c r="AP214" s="1"/>
      <c r="AQ214" s="1"/>
      <c r="AR214" s="1"/>
      <c r="AS214" s="1"/>
      <c r="AT214" s="1"/>
      <c r="AU214" s="1"/>
    </row>
    <row r="215" ht="15.75" customHeight="1">
      <c r="A215" s="31"/>
      <c r="B215" s="31"/>
      <c r="C215" s="3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4"/>
      <c r="AN215" s="1"/>
      <c r="AO215" s="1"/>
      <c r="AP215" s="1"/>
      <c r="AQ215" s="1"/>
      <c r="AR215" s="1"/>
      <c r="AS215" s="1"/>
      <c r="AT215" s="1"/>
      <c r="AU215" s="1"/>
    </row>
    <row r="216" ht="15.75" customHeight="1">
      <c r="A216" s="31"/>
      <c r="B216" s="31"/>
      <c r="C216" s="3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4"/>
      <c r="AN216" s="1"/>
      <c r="AO216" s="1"/>
      <c r="AP216" s="1"/>
      <c r="AQ216" s="1"/>
      <c r="AR216" s="1"/>
      <c r="AS216" s="1"/>
      <c r="AT216" s="1"/>
      <c r="AU216" s="1"/>
    </row>
    <row r="217" ht="15.75" customHeight="1">
      <c r="A217" s="31"/>
      <c r="B217" s="31"/>
      <c r="C217" s="3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4"/>
      <c r="AN217" s="1"/>
      <c r="AO217" s="1"/>
      <c r="AP217" s="1"/>
      <c r="AQ217" s="1"/>
      <c r="AR217" s="1"/>
      <c r="AS217" s="1"/>
      <c r="AT217" s="1"/>
      <c r="AU217" s="1"/>
    </row>
    <row r="218" ht="15.75" customHeight="1">
      <c r="A218" s="31"/>
      <c r="B218" s="31"/>
      <c r="C218" s="3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4"/>
      <c r="AN218" s="1"/>
      <c r="AO218" s="1"/>
      <c r="AP218" s="1"/>
      <c r="AQ218" s="1"/>
      <c r="AR218" s="1"/>
      <c r="AS218" s="1"/>
      <c r="AT218" s="1"/>
      <c r="AU218" s="1"/>
    </row>
    <row r="219" ht="15.75" customHeight="1">
      <c r="A219" s="31"/>
      <c r="B219" s="31"/>
      <c r="C219" s="3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4"/>
      <c r="AN219" s="1"/>
      <c r="AO219" s="1"/>
      <c r="AP219" s="1"/>
      <c r="AQ219" s="1"/>
      <c r="AR219" s="1"/>
      <c r="AS219" s="1"/>
      <c r="AT219" s="1"/>
      <c r="AU219" s="1"/>
    </row>
    <row r="220" ht="15.75" customHeight="1">
      <c r="A220" s="31"/>
      <c r="B220" s="31"/>
      <c r="C220" s="3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4"/>
      <c r="AN220" s="1"/>
      <c r="AO220" s="1"/>
      <c r="AP220" s="1"/>
      <c r="AQ220" s="1"/>
      <c r="AR220" s="1"/>
      <c r="AS220" s="1"/>
      <c r="AT220" s="1"/>
      <c r="AU220" s="1"/>
    </row>
    <row r="221" ht="15.75" customHeight="1">
      <c r="A221" s="31"/>
      <c r="B221" s="31"/>
      <c r="C221" s="3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4"/>
      <c r="AN221" s="1"/>
      <c r="AO221" s="1"/>
      <c r="AP221" s="1"/>
      <c r="AQ221" s="1"/>
      <c r="AR221" s="1"/>
      <c r="AS221" s="1"/>
      <c r="AT221" s="1"/>
      <c r="AU221" s="1"/>
    </row>
    <row r="222" ht="15.75" customHeight="1">
      <c r="A222" s="31"/>
      <c r="B222" s="31"/>
      <c r="C222" s="3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4"/>
      <c r="AN222" s="1"/>
      <c r="AO222" s="1"/>
      <c r="AP222" s="1"/>
      <c r="AQ222" s="1"/>
      <c r="AR222" s="1"/>
      <c r="AS222" s="1"/>
      <c r="AT222" s="1"/>
      <c r="AU222" s="1"/>
    </row>
    <row r="223" ht="15.75" customHeight="1">
      <c r="A223" s="31"/>
      <c r="B223" s="31"/>
      <c r="C223" s="3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4"/>
      <c r="AN223" s="1"/>
      <c r="AO223" s="1"/>
      <c r="AP223" s="1"/>
      <c r="AQ223" s="1"/>
      <c r="AR223" s="1"/>
      <c r="AS223" s="1"/>
      <c r="AT223" s="1"/>
      <c r="AU223" s="1"/>
    </row>
    <row r="224" ht="15.75" customHeight="1">
      <c r="A224" s="31"/>
      <c r="B224" s="31"/>
      <c r="C224" s="3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4"/>
      <c r="AN224" s="1"/>
      <c r="AO224" s="1"/>
      <c r="AP224" s="1"/>
      <c r="AQ224" s="1"/>
      <c r="AR224" s="1"/>
      <c r="AS224" s="1"/>
      <c r="AT224" s="1"/>
      <c r="AU224" s="1"/>
    </row>
    <row r="225" ht="15.75" customHeight="1">
      <c r="A225" s="31"/>
      <c r="B225" s="31"/>
      <c r="C225" s="3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4"/>
      <c r="AN225" s="1"/>
      <c r="AO225" s="1"/>
      <c r="AP225" s="1"/>
      <c r="AQ225" s="1"/>
      <c r="AR225" s="1"/>
      <c r="AS225" s="1"/>
      <c r="AT225" s="1"/>
      <c r="AU225" s="1"/>
    </row>
    <row r="226" ht="15.75" customHeight="1">
      <c r="A226" s="31"/>
      <c r="B226" s="31"/>
      <c r="C226" s="3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4"/>
      <c r="AN226" s="1"/>
      <c r="AO226" s="1"/>
      <c r="AP226" s="1"/>
      <c r="AQ226" s="1"/>
      <c r="AR226" s="1"/>
      <c r="AS226" s="1"/>
      <c r="AT226" s="1"/>
      <c r="AU226" s="1"/>
    </row>
    <row r="227" ht="15.75" customHeight="1">
      <c r="A227" s="31"/>
      <c r="B227" s="31"/>
      <c r="C227" s="3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4"/>
      <c r="AN227" s="1"/>
      <c r="AO227" s="1"/>
      <c r="AP227" s="1"/>
      <c r="AQ227" s="1"/>
      <c r="AR227" s="1"/>
      <c r="AS227" s="1"/>
      <c r="AT227" s="1"/>
      <c r="AU227" s="1"/>
    </row>
    <row r="228" ht="15.75" customHeight="1">
      <c r="A228" s="31"/>
      <c r="B228" s="31"/>
      <c r="C228" s="3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4"/>
      <c r="AN228" s="1"/>
      <c r="AO228" s="1"/>
      <c r="AP228" s="1"/>
      <c r="AQ228" s="1"/>
      <c r="AR228" s="1"/>
      <c r="AS228" s="1"/>
      <c r="AT228" s="1"/>
      <c r="AU228" s="1"/>
    </row>
    <row r="229" ht="15.75" customHeight="1">
      <c r="A229" s="31"/>
      <c r="B229" s="31"/>
      <c r="C229" s="3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4"/>
      <c r="AN229" s="1"/>
      <c r="AO229" s="1"/>
      <c r="AP229" s="1"/>
      <c r="AQ229" s="1"/>
      <c r="AR229" s="1"/>
      <c r="AS229" s="1"/>
      <c r="AT229" s="1"/>
      <c r="AU229" s="1"/>
    </row>
    <row r="230" ht="15.75" customHeight="1">
      <c r="A230" s="31"/>
      <c r="B230" s="31"/>
      <c r="C230" s="3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4"/>
      <c r="AN230" s="1"/>
      <c r="AO230" s="1"/>
      <c r="AP230" s="1"/>
      <c r="AQ230" s="1"/>
      <c r="AR230" s="1"/>
      <c r="AS230" s="1"/>
      <c r="AT230" s="1"/>
      <c r="AU230" s="1"/>
    </row>
    <row r="231" ht="15.75" customHeight="1">
      <c r="A231" s="31"/>
      <c r="B231" s="31"/>
      <c r="C231" s="3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4"/>
      <c r="AN231" s="1"/>
      <c r="AO231" s="1"/>
      <c r="AP231" s="1"/>
      <c r="AQ231" s="1"/>
      <c r="AR231" s="1"/>
      <c r="AS231" s="1"/>
      <c r="AT231" s="1"/>
      <c r="AU231" s="1"/>
    </row>
    <row r="232" ht="15.75" customHeight="1">
      <c r="A232" s="31"/>
      <c r="B232" s="31"/>
      <c r="C232" s="3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4"/>
      <c r="AN232" s="1"/>
      <c r="AO232" s="1"/>
      <c r="AP232" s="1"/>
      <c r="AQ232" s="1"/>
      <c r="AR232" s="1"/>
      <c r="AS232" s="1"/>
      <c r="AT232" s="1"/>
      <c r="AU232" s="1"/>
    </row>
    <row r="233" ht="15.75" customHeight="1">
      <c r="A233" s="31"/>
      <c r="B233" s="31"/>
      <c r="C233" s="3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4"/>
      <c r="AN233" s="1"/>
      <c r="AO233" s="1"/>
      <c r="AP233" s="1"/>
      <c r="AQ233" s="1"/>
      <c r="AR233" s="1"/>
      <c r="AS233" s="1"/>
      <c r="AT233" s="1"/>
      <c r="AU233" s="1"/>
    </row>
    <row r="234" ht="15.75" customHeight="1">
      <c r="A234" s="31"/>
      <c r="B234" s="31"/>
      <c r="C234" s="3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4"/>
      <c r="AN234" s="1"/>
      <c r="AO234" s="1"/>
      <c r="AP234" s="1"/>
      <c r="AQ234" s="1"/>
      <c r="AR234" s="1"/>
      <c r="AS234" s="1"/>
      <c r="AT234" s="1"/>
      <c r="AU234" s="1"/>
    </row>
    <row r="235" ht="15.75" customHeight="1">
      <c r="A235" s="31"/>
      <c r="B235" s="31"/>
      <c r="C235" s="3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4"/>
      <c r="AN235" s="1"/>
      <c r="AO235" s="1"/>
      <c r="AP235" s="1"/>
      <c r="AQ235" s="1"/>
      <c r="AR235" s="1"/>
      <c r="AS235" s="1"/>
      <c r="AT235" s="1"/>
      <c r="AU235" s="1"/>
    </row>
    <row r="236" ht="15.75" customHeight="1">
      <c r="A236" s="31"/>
      <c r="B236" s="31"/>
      <c r="C236" s="3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4"/>
      <c r="AN236" s="1"/>
      <c r="AO236" s="1"/>
      <c r="AP236" s="1"/>
      <c r="AQ236" s="1"/>
      <c r="AR236" s="1"/>
      <c r="AS236" s="1"/>
      <c r="AT236" s="1"/>
      <c r="AU236" s="1"/>
    </row>
    <row r="237" ht="15.75" customHeight="1">
      <c r="A237" s="31"/>
      <c r="B237" s="31"/>
      <c r="C237" s="3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4"/>
      <c r="AN237" s="1"/>
      <c r="AO237" s="1"/>
      <c r="AP237" s="1"/>
      <c r="AQ237" s="1"/>
      <c r="AR237" s="1"/>
      <c r="AS237" s="1"/>
      <c r="AT237" s="1"/>
      <c r="AU237" s="1"/>
    </row>
    <row r="238" ht="15.75" customHeight="1">
      <c r="A238" s="31"/>
      <c r="B238" s="31"/>
      <c r="C238" s="3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4"/>
      <c r="AN238" s="1"/>
      <c r="AO238" s="1"/>
      <c r="AP238" s="1"/>
      <c r="AQ238" s="1"/>
      <c r="AR238" s="1"/>
      <c r="AS238" s="1"/>
      <c r="AT238" s="1"/>
      <c r="AU238" s="1"/>
    </row>
    <row r="239" ht="15.75" customHeight="1">
      <c r="A239" s="31"/>
      <c r="B239" s="31"/>
      <c r="C239" s="3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4"/>
      <c r="AN239" s="1"/>
      <c r="AO239" s="1"/>
      <c r="AP239" s="1"/>
      <c r="AQ239" s="1"/>
      <c r="AR239" s="1"/>
      <c r="AS239" s="1"/>
      <c r="AT239" s="1"/>
      <c r="AU239" s="1"/>
    </row>
    <row r="240" ht="15.75" customHeight="1">
      <c r="A240" s="31"/>
      <c r="B240" s="31"/>
      <c r="C240" s="3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4"/>
      <c r="AN240" s="1"/>
      <c r="AO240" s="1"/>
      <c r="AP240" s="1"/>
      <c r="AQ240" s="1"/>
      <c r="AR240" s="1"/>
      <c r="AS240" s="1"/>
      <c r="AT240" s="1"/>
      <c r="AU240" s="1"/>
    </row>
    <row r="241" ht="15.75" customHeight="1">
      <c r="A241" s="31"/>
      <c r="B241" s="31"/>
      <c r="C241" s="3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4"/>
      <c r="AN241" s="1"/>
      <c r="AO241" s="1"/>
      <c r="AP241" s="1"/>
      <c r="AQ241" s="1"/>
      <c r="AR241" s="1"/>
      <c r="AS241" s="1"/>
      <c r="AT241" s="1"/>
      <c r="AU241" s="1"/>
    </row>
    <row r="242" ht="15.75" customHeight="1">
      <c r="A242" s="31"/>
      <c r="B242" s="31"/>
      <c r="C242" s="3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4"/>
      <c r="AN242" s="1"/>
      <c r="AO242" s="1"/>
      <c r="AP242" s="1"/>
      <c r="AQ242" s="1"/>
      <c r="AR242" s="1"/>
      <c r="AS242" s="1"/>
      <c r="AT242" s="1"/>
      <c r="AU242" s="1"/>
    </row>
    <row r="243" ht="15.75" customHeight="1">
      <c r="A243" s="31"/>
      <c r="B243" s="31"/>
      <c r="C243" s="3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4"/>
      <c r="AN243" s="1"/>
      <c r="AO243" s="1"/>
      <c r="AP243" s="1"/>
      <c r="AQ243" s="1"/>
      <c r="AR243" s="1"/>
      <c r="AS243" s="1"/>
      <c r="AT243" s="1"/>
      <c r="AU243" s="1"/>
    </row>
    <row r="244" ht="15.75" customHeight="1">
      <c r="A244" s="31"/>
      <c r="B244" s="31"/>
      <c r="C244" s="3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4"/>
      <c r="AN244" s="1"/>
      <c r="AO244" s="1"/>
      <c r="AP244" s="1"/>
      <c r="AQ244" s="1"/>
      <c r="AR244" s="1"/>
      <c r="AS244" s="1"/>
      <c r="AT244" s="1"/>
      <c r="AU244" s="1"/>
    </row>
    <row r="245" ht="15.75" customHeight="1">
      <c r="A245" s="31"/>
      <c r="B245" s="31"/>
      <c r="C245" s="3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4"/>
      <c r="AN245" s="1"/>
      <c r="AO245" s="1"/>
      <c r="AP245" s="1"/>
      <c r="AQ245" s="1"/>
      <c r="AR245" s="1"/>
      <c r="AS245" s="1"/>
      <c r="AT245" s="1"/>
      <c r="AU245" s="1"/>
    </row>
    <row r="246" ht="15.75" customHeight="1">
      <c r="A246" s="31"/>
      <c r="B246" s="31"/>
      <c r="C246" s="3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4"/>
      <c r="AN246" s="1"/>
      <c r="AO246" s="1"/>
      <c r="AP246" s="1"/>
      <c r="AQ246" s="1"/>
      <c r="AR246" s="1"/>
      <c r="AS246" s="1"/>
      <c r="AT246" s="1"/>
      <c r="AU246" s="1"/>
    </row>
    <row r="247" ht="15.75" customHeight="1">
      <c r="A247" s="31"/>
      <c r="B247" s="31"/>
      <c r="C247" s="3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4"/>
      <c r="AN247" s="1"/>
      <c r="AO247" s="1"/>
      <c r="AP247" s="1"/>
      <c r="AQ247" s="1"/>
      <c r="AR247" s="1"/>
      <c r="AS247" s="1"/>
      <c r="AT247" s="1"/>
      <c r="AU247" s="1"/>
    </row>
    <row r="248" ht="15.75" customHeight="1">
      <c r="A248" s="31"/>
      <c r="B248" s="31"/>
      <c r="C248" s="3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4"/>
      <c r="AN248" s="1"/>
      <c r="AO248" s="1"/>
      <c r="AP248" s="1"/>
      <c r="AQ248" s="1"/>
      <c r="AR248" s="1"/>
      <c r="AS248" s="1"/>
      <c r="AT248" s="1"/>
      <c r="AU248" s="1"/>
    </row>
    <row r="249" ht="15.75" customHeight="1">
      <c r="A249" s="31"/>
      <c r="B249" s="31"/>
      <c r="C249" s="3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4"/>
      <c r="AN249" s="1"/>
      <c r="AO249" s="1"/>
      <c r="AP249" s="1"/>
      <c r="AQ249" s="1"/>
      <c r="AR249" s="1"/>
      <c r="AS249" s="1"/>
      <c r="AT249" s="1"/>
      <c r="AU249" s="1"/>
    </row>
    <row r="250" ht="15.75" customHeight="1">
      <c r="A250" s="31"/>
      <c r="B250" s="31"/>
      <c r="C250" s="3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4"/>
      <c r="AN250" s="1"/>
      <c r="AO250" s="1"/>
      <c r="AP250" s="1"/>
      <c r="AQ250" s="1"/>
      <c r="AR250" s="1"/>
      <c r="AS250" s="1"/>
      <c r="AT250" s="1"/>
      <c r="AU250" s="1"/>
    </row>
    <row r="251" ht="15.75" customHeight="1">
      <c r="A251" s="31"/>
      <c r="B251" s="31"/>
      <c r="C251" s="3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4"/>
      <c r="AN251" s="1"/>
      <c r="AO251" s="1"/>
      <c r="AP251" s="1"/>
      <c r="AQ251" s="1"/>
      <c r="AR251" s="1"/>
      <c r="AS251" s="1"/>
      <c r="AT251" s="1"/>
      <c r="AU251" s="1"/>
    </row>
    <row r="252" ht="15.75" customHeight="1">
      <c r="A252" s="31"/>
      <c r="B252" s="31"/>
      <c r="C252" s="3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4"/>
      <c r="AN252" s="1"/>
      <c r="AO252" s="1"/>
      <c r="AP252" s="1"/>
      <c r="AQ252" s="1"/>
      <c r="AR252" s="1"/>
      <c r="AS252" s="1"/>
      <c r="AT252" s="1"/>
      <c r="AU252" s="1"/>
    </row>
    <row r="253" ht="15.75" customHeight="1">
      <c r="A253" s="31"/>
      <c r="B253" s="31"/>
      <c r="C253" s="3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4"/>
      <c r="AN253" s="1"/>
      <c r="AO253" s="1"/>
      <c r="AP253" s="1"/>
      <c r="AQ253" s="1"/>
      <c r="AR253" s="1"/>
      <c r="AS253" s="1"/>
      <c r="AT253" s="1"/>
      <c r="AU253" s="1"/>
    </row>
    <row r="254" ht="15.75" customHeight="1">
      <c r="A254" s="31"/>
      <c r="B254" s="31"/>
      <c r="C254" s="3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4"/>
      <c r="AN254" s="1"/>
      <c r="AO254" s="1"/>
      <c r="AP254" s="1"/>
      <c r="AQ254" s="1"/>
      <c r="AR254" s="1"/>
      <c r="AS254" s="1"/>
      <c r="AT254" s="1"/>
      <c r="AU254" s="1"/>
    </row>
    <row r="255" ht="15.75" customHeight="1">
      <c r="A255" s="31"/>
      <c r="B255" s="31"/>
      <c r="C255" s="3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4"/>
      <c r="AN255" s="1"/>
      <c r="AO255" s="1"/>
      <c r="AP255" s="1"/>
      <c r="AQ255" s="1"/>
      <c r="AR255" s="1"/>
      <c r="AS255" s="1"/>
      <c r="AT255" s="1"/>
      <c r="AU255" s="1"/>
    </row>
    <row r="256" ht="15.75" customHeight="1">
      <c r="A256" s="31"/>
      <c r="B256" s="31"/>
      <c r="C256" s="3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4"/>
      <c r="AN256" s="1"/>
      <c r="AO256" s="1"/>
      <c r="AP256" s="1"/>
      <c r="AQ256" s="1"/>
      <c r="AR256" s="1"/>
      <c r="AS256" s="1"/>
      <c r="AT256" s="1"/>
      <c r="AU256" s="1"/>
    </row>
    <row r="257" ht="15.75" customHeight="1">
      <c r="A257" s="31"/>
      <c r="B257" s="31"/>
      <c r="C257" s="3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4"/>
      <c r="AN257" s="1"/>
      <c r="AO257" s="1"/>
      <c r="AP257" s="1"/>
      <c r="AQ257" s="1"/>
      <c r="AR257" s="1"/>
      <c r="AS257" s="1"/>
      <c r="AT257" s="1"/>
      <c r="AU257" s="1"/>
    </row>
    <row r="258" ht="15.75" customHeight="1">
      <c r="A258" s="31"/>
      <c r="B258" s="31"/>
      <c r="C258" s="3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4"/>
      <c r="AN258" s="1"/>
      <c r="AO258" s="1"/>
      <c r="AP258" s="1"/>
      <c r="AQ258" s="1"/>
      <c r="AR258" s="1"/>
      <c r="AS258" s="1"/>
      <c r="AT258" s="1"/>
      <c r="AU258" s="1"/>
    </row>
    <row r="259" ht="15.75" customHeight="1">
      <c r="A259" s="31"/>
      <c r="B259" s="31"/>
      <c r="C259" s="3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4"/>
      <c r="AN259" s="1"/>
      <c r="AO259" s="1"/>
      <c r="AP259" s="1"/>
      <c r="AQ259" s="1"/>
      <c r="AR259" s="1"/>
      <c r="AS259" s="1"/>
      <c r="AT259" s="1"/>
      <c r="AU259" s="1"/>
    </row>
    <row r="260" ht="15.75" customHeight="1">
      <c r="A260" s="31"/>
      <c r="B260" s="31"/>
      <c r="C260" s="3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4"/>
      <c r="AN260" s="1"/>
      <c r="AO260" s="1"/>
      <c r="AP260" s="1"/>
      <c r="AQ260" s="1"/>
      <c r="AR260" s="1"/>
      <c r="AS260" s="1"/>
      <c r="AT260" s="1"/>
      <c r="AU260" s="1"/>
    </row>
    <row r="261" ht="15.75" customHeight="1">
      <c r="A261" s="31"/>
      <c r="B261" s="31"/>
      <c r="C261" s="3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4"/>
      <c r="AN261" s="1"/>
      <c r="AO261" s="1"/>
      <c r="AP261" s="1"/>
      <c r="AQ261" s="1"/>
      <c r="AR261" s="1"/>
      <c r="AS261" s="1"/>
      <c r="AT261" s="1"/>
      <c r="AU261" s="1"/>
    </row>
    <row r="262" ht="15.75" customHeight="1">
      <c r="A262" s="31"/>
      <c r="B262" s="31"/>
      <c r="C262" s="3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4"/>
      <c r="AN262" s="1"/>
      <c r="AO262" s="1"/>
      <c r="AP262" s="1"/>
      <c r="AQ262" s="1"/>
      <c r="AR262" s="1"/>
      <c r="AS262" s="1"/>
      <c r="AT262" s="1"/>
      <c r="AU262" s="1"/>
    </row>
    <row r="263" ht="15.75" customHeight="1">
      <c r="A263" s="31"/>
      <c r="B263" s="31"/>
      <c r="C263" s="3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4"/>
      <c r="AN263" s="1"/>
      <c r="AO263" s="1"/>
      <c r="AP263" s="1"/>
      <c r="AQ263" s="1"/>
      <c r="AR263" s="1"/>
      <c r="AS263" s="1"/>
      <c r="AT263" s="1"/>
      <c r="AU263" s="1"/>
    </row>
    <row r="264" ht="15.75" customHeight="1">
      <c r="A264" s="31"/>
      <c r="B264" s="31"/>
      <c r="C264" s="3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4"/>
      <c r="AN264" s="1"/>
      <c r="AO264" s="1"/>
      <c r="AP264" s="1"/>
      <c r="AQ264" s="1"/>
      <c r="AR264" s="1"/>
      <c r="AS264" s="1"/>
      <c r="AT264" s="1"/>
      <c r="AU264" s="1"/>
    </row>
    <row r="265" ht="15.75" customHeight="1">
      <c r="A265" s="31"/>
      <c r="B265" s="31"/>
      <c r="C265" s="3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4"/>
      <c r="AN265" s="1"/>
      <c r="AO265" s="1"/>
      <c r="AP265" s="1"/>
      <c r="AQ265" s="1"/>
      <c r="AR265" s="1"/>
      <c r="AS265" s="1"/>
      <c r="AT265" s="1"/>
      <c r="AU265" s="1"/>
    </row>
    <row r="266" ht="15.75" customHeight="1">
      <c r="A266" s="31"/>
      <c r="B266" s="31"/>
      <c r="C266" s="3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4"/>
      <c r="AN266" s="1"/>
      <c r="AO266" s="1"/>
      <c r="AP266" s="1"/>
      <c r="AQ266" s="1"/>
      <c r="AR266" s="1"/>
      <c r="AS266" s="1"/>
      <c r="AT266" s="1"/>
      <c r="AU266" s="1"/>
    </row>
    <row r="267" ht="15.75" customHeight="1">
      <c r="A267" s="31"/>
      <c r="B267" s="31"/>
      <c r="C267" s="3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4"/>
      <c r="AN267" s="1"/>
      <c r="AO267" s="1"/>
      <c r="AP267" s="1"/>
      <c r="AQ267" s="1"/>
      <c r="AR267" s="1"/>
      <c r="AS267" s="1"/>
      <c r="AT267" s="1"/>
      <c r="AU267" s="1"/>
    </row>
    <row r="268" ht="15.75" customHeight="1">
      <c r="A268" s="31"/>
      <c r="B268" s="31"/>
      <c r="C268" s="3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4"/>
      <c r="AN268" s="1"/>
      <c r="AO268" s="1"/>
      <c r="AP268" s="1"/>
      <c r="AQ268" s="1"/>
      <c r="AR268" s="1"/>
      <c r="AS268" s="1"/>
      <c r="AT268" s="1"/>
      <c r="AU268" s="1"/>
    </row>
    <row r="269" ht="15.75" customHeight="1">
      <c r="A269" s="31"/>
      <c r="B269" s="31"/>
      <c r="C269" s="3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4"/>
      <c r="AN269" s="1"/>
      <c r="AO269" s="1"/>
      <c r="AP269" s="1"/>
      <c r="AQ269" s="1"/>
      <c r="AR269" s="1"/>
      <c r="AS269" s="1"/>
      <c r="AT269" s="1"/>
      <c r="AU269" s="1"/>
    </row>
    <row r="270" ht="15.75" customHeight="1">
      <c r="A270" s="31"/>
      <c r="B270" s="31"/>
      <c r="C270" s="3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4"/>
      <c r="AN270" s="1"/>
      <c r="AO270" s="1"/>
      <c r="AP270" s="1"/>
      <c r="AQ270" s="1"/>
      <c r="AR270" s="1"/>
      <c r="AS270" s="1"/>
      <c r="AT270" s="1"/>
      <c r="AU270" s="1"/>
    </row>
    <row r="271" ht="15.75" customHeight="1">
      <c r="A271" s="31"/>
      <c r="B271" s="31"/>
      <c r="C271" s="3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4"/>
      <c r="AN271" s="1"/>
      <c r="AO271" s="1"/>
      <c r="AP271" s="1"/>
      <c r="AQ271" s="1"/>
      <c r="AR271" s="1"/>
      <c r="AS271" s="1"/>
      <c r="AT271" s="1"/>
      <c r="AU271" s="1"/>
    </row>
    <row r="272" ht="15.75" customHeight="1">
      <c r="A272" s="31"/>
      <c r="B272" s="31"/>
      <c r="C272" s="3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4"/>
      <c r="AN272" s="1"/>
      <c r="AO272" s="1"/>
      <c r="AP272" s="1"/>
      <c r="AQ272" s="1"/>
      <c r="AR272" s="1"/>
      <c r="AS272" s="1"/>
      <c r="AT272" s="1"/>
      <c r="AU272" s="1"/>
    </row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6">
    <mergeCell ref="A7:A9"/>
    <mergeCell ref="B7:B9"/>
    <mergeCell ref="C7:C9"/>
    <mergeCell ref="AM7:AM9"/>
    <mergeCell ref="A2:A3"/>
    <mergeCell ref="B2:B3"/>
    <mergeCell ref="C2:C3"/>
    <mergeCell ref="D2:D3"/>
    <mergeCell ref="A4:A6"/>
    <mergeCell ref="B4:B6"/>
    <mergeCell ref="C4:C6"/>
    <mergeCell ref="B16:B18"/>
    <mergeCell ref="C16:C18"/>
    <mergeCell ref="AM16:AM18"/>
    <mergeCell ref="A19:A21"/>
    <mergeCell ref="B19:B21"/>
    <mergeCell ref="C19:C21"/>
    <mergeCell ref="AM19:AM21"/>
    <mergeCell ref="A10:A12"/>
    <mergeCell ref="B10:B12"/>
    <mergeCell ref="C10:C12"/>
    <mergeCell ref="A13:A15"/>
    <mergeCell ref="B13:B15"/>
    <mergeCell ref="C13:C15"/>
    <mergeCell ref="A16:A18"/>
    <mergeCell ref="B28:B30"/>
    <mergeCell ref="C28:C30"/>
    <mergeCell ref="A22:A24"/>
    <mergeCell ref="B22:B24"/>
    <mergeCell ref="C22:C24"/>
    <mergeCell ref="A25:A27"/>
    <mergeCell ref="B25:B27"/>
    <mergeCell ref="C25:C27"/>
    <mergeCell ref="A28:A30"/>
    <mergeCell ref="B64:B66"/>
    <mergeCell ref="C64:C66"/>
    <mergeCell ref="A58:A60"/>
    <mergeCell ref="B58:B60"/>
    <mergeCell ref="C58:C60"/>
    <mergeCell ref="A61:A63"/>
    <mergeCell ref="B61:B63"/>
    <mergeCell ref="C61:C63"/>
    <mergeCell ref="A64:A66"/>
    <mergeCell ref="B37:B39"/>
    <mergeCell ref="C37:C39"/>
    <mergeCell ref="A31:A33"/>
    <mergeCell ref="B31:B33"/>
    <mergeCell ref="C31:C33"/>
    <mergeCell ref="A34:A36"/>
    <mergeCell ref="B34:B36"/>
    <mergeCell ref="C34:C36"/>
    <mergeCell ref="A37:A39"/>
    <mergeCell ref="B46:B48"/>
    <mergeCell ref="C46:C48"/>
    <mergeCell ref="A40:A42"/>
    <mergeCell ref="B40:B42"/>
    <mergeCell ref="C40:C42"/>
    <mergeCell ref="A43:A45"/>
    <mergeCell ref="B43:B45"/>
    <mergeCell ref="C43:C45"/>
    <mergeCell ref="A46:A48"/>
    <mergeCell ref="B55:B57"/>
    <mergeCell ref="C55:C57"/>
    <mergeCell ref="A49:A51"/>
    <mergeCell ref="B49:B51"/>
    <mergeCell ref="C49:C51"/>
    <mergeCell ref="A52:A54"/>
    <mergeCell ref="B52:B54"/>
    <mergeCell ref="C52:C54"/>
    <mergeCell ref="A55:A57"/>
    <mergeCell ref="A67:A69"/>
    <mergeCell ref="B67:B69"/>
    <mergeCell ref="C67:C69"/>
    <mergeCell ref="A70:A72"/>
    <mergeCell ref="B70:B72"/>
    <mergeCell ref="C70:C72"/>
  </mergeCells>
  <printOptions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4" width="12.63"/>
    <col customWidth="1" min="5" max="35" width="2.63"/>
    <col customWidth="1" min="36" max="36" width="5.25"/>
    <col customWidth="1" min="37" max="37" width="5.63"/>
    <col customWidth="1" min="38" max="38" width="7.63"/>
    <col customWidth="1" min="39" max="39" width="25.75"/>
    <col customWidth="1" min="40" max="47" width="2.63"/>
  </cols>
  <sheetData>
    <row r="1" ht="15.75" customHeight="1">
      <c r="A1" s="1">
        <v>2025.0</v>
      </c>
      <c r="B1" s="1">
        <v>10.0</v>
      </c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4"/>
      <c r="AN1" s="1"/>
      <c r="AO1" s="1"/>
      <c r="AP1" s="1"/>
      <c r="AQ1" s="1"/>
      <c r="AR1" s="1"/>
      <c r="AS1" s="1"/>
      <c r="AT1" s="1"/>
      <c r="AU1" s="1"/>
    </row>
    <row r="2" ht="15.75" customHeight="1">
      <c r="A2" s="5" t="s">
        <v>0</v>
      </c>
      <c r="B2" s="5" t="s">
        <v>1</v>
      </c>
      <c r="C2" s="5" t="s">
        <v>2</v>
      </c>
      <c r="D2" s="6"/>
      <c r="E2" s="7">
        <f>DATE($A$1,$B$1,1)</f>
        <v>45931</v>
      </c>
      <c r="F2" s="7">
        <f>DATE($A$1,$B$1,2)</f>
        <v>45932</v>
      </c>
      <c r="G2" s="7">
        <f>DATE($A$1,$B$1,3)</f>
        <v>45933</v>
      </c>
      <c r="H2" s="7">
        <f>DATE($A$1,$B$1,4)</f>
        <v>45934</v>
      </c>
      <c r="I2" s="7">
        <f>DATE($A$1,$B$1,5)</f>
        <v>45935</v>
      </c>
      <c r="J2" s="7">
        <f>DATE($A$1,$B$1,6)</f>
        <v>45936</v>
      </c>
      <c r="K2" s="7">
        <f>DATE($A$1,$B$1,7)</f>
        <v>45937</v>
      </c>
      <c r="L2" s="7">
        <f>DATE($A$1,$B$1,8)</f>
        <v>45938</v>
      </c>
      <c r="M2" s="7">
        <f>DATE($A$1,$B$1,9)</f>
        <v>45939</v>
      </c>
      <c r="N2" s="7">
        <f>DATE($A$1,$B$1,10)</f>
        <v>45940</v>
      </c>
      <c r="O2" s="7">
        <f>DATE($A$1,$B$1,11)</f>
        <v>45941</v>
      </c>
      <c r="P2" s="7">
        <f>DATE($A$1,$B$1,12)</f>
        <v>45942</v>
      </c>
      <c r="Q2" s="7">
        <f>DATE($A$1,$B$1,13)</f>
        <v>45943</v>
      </c>
      <c r="R2" s="7">
        <f>DATE($A$1,$B$1,14)</f>
        <v>45944</v>
      </c>
      <c r="S2" s="7">
        <f>DATE($A$1,$B$1,15)</f>
        <v>45945</v>
      </c>
      <c r="T2" s="7">
        <f>DATE($A$1,$B$1,16)</f>
        <v>45946</v>
      </c>
      <c r="U2" s="7">
        <f>DATE($A$1,$B$1,17)</f>
        <v>45947</v>
      </c>
      <c r="V2" s="7">
        <f>DATE($A$1,$B$1,18)</f>
        <v>45948</v>
      </c>
      <c r="W2" s="7">
        <f>DATE($A$1,$B$1,19)</f>
        <v>45949</v>
      </c>
      <c r="X2" s="7">
        <f>DATE($A$1,$B$1,20)</f>
        <v>45950</v>
      </c>
      <c r="Y2" s="7">
        <f>DATE($A$1,$B$1,21)</f>
        <v>45951</v>
      </c>
      <c r="Z2" s="7">
        <f>DATE($A$1,$B$1,22)</f>
        <v>45952</v>
      </c>
      <c r="AA2" s="7">
        <f>DATE($A$1,$B$1,23)</f>
        <v>45953</v>
      </c>
      <c r="AB2" s="7">
        <f>DATE($A$1,$B$1,24)</f>
        <v>45954</v>
      </c>
      <c r="AC2" s="7">
        <f>DATE($A$1,$B$1,25)</f>
        <v>45955</v>
      </c>
      <c r="AD2" s="7">
        <f>DATE($A$1,$B$1,26)</f>
        <v>45956</v>
      </c>
      <c r="AE2" s="7">
        <f>DATE($A$1,$B$1,27)</f>
        <v>45957</v>
      </c>
      <c r="AF2" s="7">
        <f>DATE($A$1,$B$1,28)</f>
        <v>45958</v>
      </c>
      <c r="AG2" s="7">
        <f>DATE($A$1,$B$1,29)</f>
        <v>45959</v>
      </c>
      <c r="AH2" s="7">
        <f>DATE($A$1,$B$1,30)</f>
        <v>45960</v>
      </c>
      <c r="AI2" s="7">
        <f>DATE($A$1,$B$1,31)</f>
        <v>45961</v>
      </c>
      <c r="AJ2" s="8" t="s">
        <v>3</v>
      </c>
      <c r="AK2" s="9"/>
      <c r="AL2" s="8" t="s">
        <v>4</v>
      </c>
      <c r="AM2" s="4"/>
      <c r="AN2" s="1"/>
      <c r="AO2" s="1"/>
      <c r="AP2" s="1"/>
      <c r="AQ2" s="1"/>
      <c r="AR2" s="1"/>
      <c r="AS2" s="1"/>
      <c r="AT2" s="1"/>
      <c r="AU2" s="1"/>
    </row>
    <row r="3" ht="15.75" customHeight="1">
      <c r="A3" s="10"/>
      <c r="B3" s="10"/>
      <c r="C3" s="10"/>
      <c r="D3" s="10"/>
      <c r="E3" s="11" t="str">
        <f t="shared" ref="E3:AI3" si="1">TEXT(E2,"ddd")</f>
        <v>水</v>
      </c>
      <c r="F3" s="11" t="str">
        <f t="shared" si="1"/>
        <v>木</v>
      </c>
      <c r="G3" s="11" t="str">
        <f t="shared" si="1"/>
        <v>金</v>
      </c>
      <c r="H3" s="11" t="str">
        <f t="shared" si="1"/>
        <v>土</v>
      </c>
      <c r="I3" s="11" t="str">
        <f t="shared" si="1"/>
        <v>日</v>
      </c>
      <c r="J3" s="11" t="str">
        <f t="shared" si="1"/>
        <v>月</v>
      </c>
      <c r="K3" s="11" t="str">
        <f t="shared" si="1"/>
        <v>火</v>
      </c>
      <c r="L3" s="11" t="str">
        <f t="shared" si="1"/>
        <v>水</v>
      </c>
      <c r="M3" s="11" t="str">
        <f t="shared" si="1"/>
        <v>木</v>
      </c>
      <c r="N3" s="11" t="str">
        <f t="shared" si="1"/>
        <v>金</v>
      </c>
      <c r="O3" s="11" t="str">
        <f t="shared" si="1"/>
        <v>土</v>
      </c>
      <c r="P3" s="11" t="str">
        <f t="shared" si="1"/>
        <v>日</v>
      </c>
      <c r="Q3" s="11" t="str">
        <f t="shared" si="1"/>
        <v>月</v>
      </c>
      <c r="R3" s="11" t="str">
        <f t="shared" si="1"/>
        <v>火</v>
      </c>
      <c r="S3" s="11" t="str">
        <f t="shared" si="1"/>
        <v>水</v>
      </c>
      <c r="T3" s="11" t="str">
        <f t="shared" si="1"/>
        <v>木</v>
      </c>
      <c r="U3" s="11" t="str">
        <f t="shared" si="1"/>
        <v>金</v>
      </c>
      <c r="V3" s="11" t="str">
        <f t="shared" si="1"/>
        <v>土</v>
      </c>
      <c r="W3" s="11" t="str">
        <f t="shared" si="1"/>
        <v>日</v>
      </c>
      <c r="X3" s="11" t="str">
        <f t="shared" si="1"/>
        <v>月</v>
      </c>
      <c r="Y3" s="11" t="str">
        <f t="shared" si="1"/>
        <v>火</v>
      </c>
      <c r="Z3" s="11" t="str">
        <f t="shared" si="1"/>
        <v>水</v>
      </c>
      <c r="AA3" s="11" t="str">
        <f t="shared" si="1"/>
        <v>木</v>
      </c>
      <c r="AB3" s="11" t="str">
        <f t="shared" si="1"/>
        <v>金</v>
      </c>
      <c r="AC3" s="11" t="str">
        <f t="shared" si="1"/>
        <v>土</v>
      </c>
      <c r="AD3" s="11" t="str">
        <f t="shared" si="1"/>
        <v>日</v>
      </c>
      <c r="AE3" s="11" t="str">
        <f t="shared" si="1"/>
        <v>月</v>
      </c>
      <c r="AF3" s="11" t="str">
        <f t="shared" si="1"/>
        <v>火</v>
      </c>
      <c r="AG3" s="11" t="str">
        <f t="shared" si="1"/>
        <v>水</v>
      </c>
      <c r="AH3" s="11" t="str">
        <f t="shared" si="1"/>
        <v>木</v>
      </c>
      <c r="AI3" s="11" t="str">
        <f t="shared" si="1"/>
        <v>金</v>
      </c>
      <c r="AJ3" s="9"/>
      <c r="AK3" s="9"/>
      <c r="AL3" s="6"/>
      <c r="AM3" s="4"/>
      <c r="AN3" s="1"/>
      <c r="AO3" s="1"/>
      <c r="AP3" s="1"/>
      <c r="AQ3" s="1"/>
      <c r="AR3" s="1"/>
      <c r="AS3" s="1"/>
      <c r="AT3" s="1"/>
      <c r="AU3" s="1"/>
    </row>
    <row r="4" ht="15.75" customHeight="1">
      <c r="A4" s="12" t="s">
        <v>30</v>
      </c>
      <c r="B4" s="12" t="s">
        <v>31</v>
      </c>
      <c r="C4" s="12" t="s">
        <v>34</v>
      </c>
      <c r="D4" s="13" t="s">
        <v>5</v>
      </c>
      <c r="E4" s="13">
        <v>1.0</v>
      </c>
      <c r="F4" s="13">
        <v>1.0</v>
      </c>
      <c r="G4" s="13">
        <v>1.0</v>
      </c>
      <c r="H4" s="13">
        <v>1.0</v>
      </c>
      <c r="I4" s="13">
        <v>1.0</v>
      </c>
      <c r="J4" s="13">
        <v>1.0</v>
      </c>
      <c r="K4" s="13">
        <v>1.0</v>
      </c>
      <c r="L4" s="13">
        <v>1.0</v>
      </c>
      <c r="M4" s="13">
        <v>1.0</v>
      </c>
      <c r="N4" s="13">
        <v>1.0</v>
      </c>
      <c r="O4" s="13">
        <v>1.0</v>
      </c>
      <c r="P4" s="13">
        <v>1.0</v>
      </c>
      <c r="Q4" s="13">
        <v>1.0</v>
      </c>
      <c r="R4" s="13">
        <v>1.0</v>
      </c>
      <c r="S4" s="13">
        <v>1.0</v>
      </c>
      <c r="T4" s="13">
        <v>1.0</v>
      </c>
      <c r="U4" s="13">
        <v>1.0</v>
      </c>
      <c r="V4" s="13">
        <v>1.0</v>
      </c>
      <c r="W4" s="13">
        <v>1.0</v>
      </c>
      <c r="X4" s="13">
        <v>1.0</v>
      </c>
      <c r="Y4" s="13">
        <v>1.0</v>
      </c>
      <c r="Z4" s="13">
        <v>1.0</v>
      </c>
      <c r="AA4" s="13">
        <v>1.0</v>
      </c>
      <c r="AB4" s="13">
        <v>1.0</v>
      </c>
      <c r="AC4" s="13">
        <v>1.0</v>
      </c>
      <c r="AD4" s="13">
        <v>1.0</v>
      </c>
      <c r="AE4" s="13">
        <v>1.0</v>
      </c>
      <c r="AF4" s="13">
        <v>1.0</v>
      </c>
      <c r="AG4" s="13">
        <v>1.0</v>
      </c>
      <c r="AH4" s="13">
        <v>1.0</v>
      </c>
      <c r="AI4" s="13">
        <v>1.0</v>
      </c>
      <c r="AJ4" s="13">
        <f t="shared" ref="AJ4:AJ10" si="2">SUM(E4:AI4)</f>
        <v>31</v>
      </c>
      <c r="AK4" s="14">
        <f>330*AJ4</f>
        <v>10230</v>
      </c>
      <c r="AL4" s="15"/>
      <c r="AM4" s="4"/>
      <c r="AN4" s="1"/>
      <c r="AO4" s="1"/>
      <c r="AP4" s="1"/>
      <c r="AQ4" s="1"/>
      <c r="AR4" s="1"/>
      <c r="AS4" s="1"/>
      <c r="AT4" s="1"/>
      <c r="AU4" s="1"/>
    </row>
    <row r="5" ht="15.75" customHeight="1">
      <c r="A5" s="16"/>
      <c r="B5" s="16"/>
      <c r="C5" s="16"/>
      <c r="D5" s="13" t="s">
        <v>6</v>
      </c>
      <c r="E5" s="13">
        <v>1.0</v>
      </c>
      <c r="F5" s="13">
        <v>1.0</v>
      </c>
      <c r="G5" s="13">
        <v>0.0</v>
      </c>
      <c r="H5" s="13">
        <v>1.0</v>
      </c>
      <c r="I5" s="13">
        <v>1.0</v>
      </c>
      <c r="J5" s="13">
        <v>0.0</v>
      </c>
      <c r="K5" s="13">
        <v>1.0</v>
      </c>
      <c r="L5" s="13">
        <v>1.0</v>
      </c>
      <c r="M5" s="13">
        <v>1.0</v>
      </c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>
        <f t="shared" si="2"/>
        <v>7</v>
      </c>
      <c r="AK5" s="14">
        <f t="shared" ref="AK5:AK6" si="3">550*AJ5</f>
        <v>3850</v>
      </c>
      <c r="AL5" s="19"/>
      <c r="AM5" s="4"/>
      <c r="AN5" s="1"/>
      <c r="AO5" s="1"/>
      <c r="AP5" s="1"/>
      <c r="AQ5" s="1"/>
      <c r="AR5" s="1"/>
      <c r="AS5" s="1"/>
      <c r="AT5" s="1"/>
      <c r="AU5" s="1"/>
    </row>
    <row r="6" ht="15.75" customHeight="1">
      <c r="A6" s="10"/>
      <c r="B6" s="10"/>
      <c r="C6" s="10"/>
      <c r="D6" s="13" t="s">
        <v>7</v>
      </c>
      <c r="E6" s="13">
        <v>1.0</v>
      </c>
      <c r="F6" s="13">
        <v>1.0</v>
      </c>
      <c r="G6" s="13">
        <v>1.0</v>
      </c>
      <c r="H6" s="13">
        <v>1.0</v>
      </c>
      <c r="I6" s="13">
        <v>1.0</v>
      </c>
      <c r="J6" s="13">
        <v>1.0</v>
      </c>
      <c r="K6" s="13">
        <v>1.0</v>
      </c>
      <c r="L6" s="13">
        <v>1.0</v>
      </c>
      <c r="M6" s="13">
        <v>1.0</v>
      </c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>
        <f t="shared" si="2"/>
        <v>9</v>
      </c>
      <c r="AK6" s="14">
        <f t="shared" si="3"/>
        <v>4950</v>
      </c>
      <c r="AL6" s="20">
        <f>SUM(AK4:AK6)</f>
        <v>19030</v>
      </c>
      <c r="AM6" s="4"/>
      <c r="AN6" s="1"/>
      <c r="AO6" s="1"/>
      <c r="AP6" s="1"/>
      <c r="AQ6" s="1"/>
      <c r="AR6" s="1"/>
      <c r="AS6" s="1"/>
      <c r="AT6" s="1"/>
      <c r="AU6" s="1"/>
    </row>
    <row r="7" ht="15.75" customHeight="1">
      <c r="A7" s="21" t="s">
        <v>8</v>
      </c>
      <c r="B7" s="21" t="s">
        <v>9</v>
      </c>
      <c r="C7" s="21" t="s">
        <v>10</v>
      </c>
      <c r="D7" s="22" t="s">
        <v>5</v>
      </c>
      <c r="E7" s="22">
        <v>0.0</v>
      </c>
      <c r="F7" s="22">
        <v>0.0</v>
      </c>
      <c r="G7" s="22">
        <v>0.0</v>
      </c>
      <c r="H7" s="22">
        <v>0.0</v>
      </c>
      <c r="I7" s="22">
        <v>0.0</v>
      </c>
      <c r="J7" s="22">
        <v>0.0</v>
      </c>
      <c r="K7" s="22">
        <v>0.0</v>
      </c>
      <c r="L7" s="22">
        <v>0.0</v>
      </c>
      <c r="M7" s="22">
        <v>0.0</v>
      </c>
      <c r="N7" s="22">
        <v>0.0</v>
      </c>
      <c r="O7" s="22">
        <v>0.0</v>
      </c>
      <c r="P7" s="22">
        <v>0.0</v>
      </c>
      <c r="Q7" s="22">
        <v>0.0</v>
      </c>
      <c r="R7" s="22">
        <v>0.0</v>
      </c>
      <c r="S7" s="22">
        <v>0.0</v>
      </c>
      <c r="T7" s="22">
        <v>0.0</v>
      </c>
      <c r="U7" s="22">
        <v>0.0</v>
      </c>
      <c r="V7" s="22">
        <v>0.0</v>
      </c>
      <c r="W7" s="22">
        <v>0.0</v>
      </c>
      <c r="X7" s="22">
        <v>0.0</v>
      </c>
      <c r="Y7" s="22">
        <v>0.0</v>
      </c>
      <c r="Z7" s="22">
        <v>0.0</v>
      </c>
      <c r="AA7" s="22">
        <v>0.0</v>
      </c>
      <c r="AB7" s="22">
        <v>0.0</v>
      </c>
      <c r="AC7" s="22">
        <v>0.0</v>
      </c>
      <c r="AD7" s="22">
        <v>0.0</v>
      </c>
      <c r="AE7" s="22">
        <v>0.0</v>
      </c>
      <c r="AF7" s="22">
        <v>0.0</v>
      </c>
      <c r="AG7" s="22">
        <v>0.0</v>
      </c>
      <c r="AH7" s="22">
        <v>0.0</v>
      </c>
      <c r="AI7" s="22">
        <v>0.0</v>
      </c>
      <c r="AJ7" s="22">
        <f t="shared" si="2"/>
        <v>0</v>
      </c>
      <c r="AK7" s="23">
        <f>330*AJ7</f>
        <v>0</v>
      </c>
      <c r="AL7" s="24"/>
      <c r="AM7" s="25"/>
      <c r="AN7" s="1"/>
      <c r="AO7" s="1"/>
      <c r="AP7" s="1"/>
      <c r="AQ7" s="1"/>
      <c r="AR7" s="1"/>
      <c r="AS7" s="1"/>
      <c r="AT7" s="1"/>
      <c r="AU7" s="1"/>
    </row>
    <row r="8" ht="15.75" customHeight="1">
      <c r="A8" s="16"/>
      <c r="B8" s="16"/>
      <c r="C8" s="16"/>
      <c r="D8" s="22" t="s">
        <v>6</v>
      </c>
      <c r="E8" s="22">
        <v>0.0</v>
      </c>
      <c r="F8" s="22">
        <v>0.0</v>
      </c>
      <c r="G8" s="22">
        <v>0.0</v>
      </c>
      <c r="H8" s="22">
        <v>0.0</v>
      </c>
      <c r="I8" s="22">
        <v>0.0</v>
      </c>
      <c r="J8" s="22">
        <v>0.0</v>
      </c>
      <c r="K8" s="22">
        <v>0.0</v>
      </c>
      <c r="L8" s="22">
        <v>0.0</v>
      </c>
      <c r="M8" s="22">
        <v>0.0</v>
      </c>
      <c r="N8" s="22">
        <v>0.0</v>
      </c>
      <c r="O8" s="22">
        <v>0.0</v>
      </c>
      <c r="P8" s="22">
        <v>0.0</v>
      </c>
      <c r="Q8" s="22">
        <v>0.0</v>
      </c>
      <c r="R8" s="22">
        <v>0.0</v>
      </c>
      <c r="S8" s="22">
        <v>0.0</v>
      </c>
      <c r="T8" s="22">
        <v>0.0</v>
      </c>
      <c r="U8" s="22">
        <v>0.0</v>
      </c>
      <c r="V8" s="22">
        <v>0.0</v>
      </c>
      <c r="W8" s="22">
        <v>0.0</v>
      </c>
      <c r="X8" s="22">
        <v>0.0</v>
      </c>
      <c r="Y8" s="22">
        <v>0.0</v>
      </c>
      <c r="Z8" s="22">
        <v>0.0</v>
      </c>
      <c r="AA8" s="22">
        <v>0.0</v>
      </c>
      <c r="AB8" s="22">
        <v>0.0</v>
      </c>
      <c r="AC8" s="22">
        <v>0.0</v>
      </c>
      <c r="AD8" s="22">
        <v>0.0</v>
      </c>
      <c r="AE8" s="22">
        <v>0.0</v>
      </c>
      <c r="AF8" s="22">
        <v>0.0</v>
      </c>
      <c r="AG8" s="22">
        <v>0.0</v>
      </c>
      <c r="AH8" s="22">
        <v>0.0</v>
      </c>
      <c r="AI8" s="22">
        <v>0.0</v>
      </c>
      <c r="AJ8" s="22">
        <f t="shared" si="2"/>
        <v>0</v>
      </c>
      <c r="AK8" s="23">
        <f t="shared" ref="AK8:AK9" si="4">550*AJ8</f>
        <v>0</v>
      </c>
      <c r="AL8" s="24"/>
      <c r="AN8" s="1"/>
      <c r="AO8" s="1"/>
      <c r="AP8" s="1"/>
      <c r="AQ8" s="1"/>
      <c r="AR8" s="1"/>
      <c r="AS8" s="1"/>
      <c r="AT8" s="1"/>
      <c r="AU8" s="1"/>
    </row>
    <row r="9" ht="15.75" customHeight="1">
      <c r="A9" s="10"/>
      <c r="B9" s="10"/>
      <c r="C9" s="10"/>
      <c r="D9" s="22" t="s">
        <v>7</v>
      </c>
      <c r="E9" s="22">
        <v>0.0</v>
      </c>
      <c r="F9" s="22">
        <v>0.0</v>
      </c>
      <c r="G9" s="22">
        <v>0.0</v>
      </c>
      <c r="H9" s="22">
        <v>0.0</v>
      </c>
      <c r="I9" s="22">
        <v>0.0</v>
      </c>
      <c r="J9" s="22">
        <v>0.0</v>
      </c>
      <c r="K9" s="22">
        <v>0.0</v>
      </c>
      <c r="L9" s="22">
        <v>0.0</v>
      </c>
      <c r="M9" s="22">
        <v>0.0</v>
      </c>
      <c r="N9" s="22">
        <v>0.0</v>
      </c>
      <c r="O9" s="22">
        <v>0.0</v>
      </c>
      <c r="P9" s="22">
        <v>0.0</v>
      </c>
      <c r="Q9" s="22">
        <v>0.0</v>
      </c>
      <c r="R9" s="22">
        <v>0.0</v>
      </c>
      <c r="S9" s="22">
        <v>0.0</v>
      </c>
      <c r="T9" s="22">
        <v>0.0</v>
      </c>
      <c r="U9" s="22">
        <v>0.0</v>
      </c>
      <c r="V9" s="22">
        <v>0.0</v>
      </c>
      <c r="W9" s="22">
        <v>0.0</v>
      </c>
      <c r="X9" s="22">
        <v>0.0</v>
      </c>
      <c r="Y9" s="22">
        <v>0.0</v>
      </c>
      <c r="Z9" s="22">
        <v>0.0</v>
      </c>
      <c r="AA9" s="22">
        <v>0.0</v>
      </c>
      <c r="AB9" s="22">
        <v>0.0</v>
      </c>
      <c r="AC9" s="22">
        <v>0.0</v>
      </c>
      <c r="AD9" s="22">
        <v>0.0</v>
      </c>
      <c r="AE9" s="22">
        <v>0.0</v>
      </c>
      <c r="AF9" s="22">
        <v>0.0</v>
      </c>
      <c r="AG9" s="22">
        <v>0.0</v>
      </c>
      <c r="AH9" s="22">
        <v>0.0</v>
      </c>
      <c r="AI9" s="22">
        <v>0.0</v>
      </c>
      <c r="AJ9" s="22">
        <f t="shared" si="2"/>
        <v>0</v>
      </c>
      <c r="AK9" s="23">
        <f t="shared" si="4"/>
        <v>0</v>
      </c>
      <c r="AL9" s="26">
        <f>SUM(AK7:AK9)</f>
        <v>0</v>
      </c>
      <c r="AN9" s="1"/>
      <c r="AO9" s="1"/>
      <c r="AP9" s="1"/>
      <c r="AQ9" s="1"/>
      <c r="AR9" s="1"/>
      <c r="AS9" s="1"/>
      <c r="AT9" s="1"/>
      <c r="AU9" s="1"/>
    </row>
    <row r="10" ht="15.75" customHeight="1">
      <c r="A10" s="12" t="s">
        <v>11</v>
      </c>
      <c r="B10" s="12" t="s">
        <v>12</v>
      </c>
      <c r="C10" s="12" t="s">
        <v>13</v>
      </c>
      <c r="D10" s="13" t="s">
        <v>5</v>
      </c>
      <c r="E10" s="18">
        <v>0.0</v>
      </c>
      <c r="F10" s="18">
        <v>0.0</v>
      </c>
      <c r="G10" s="18">
        <v>0.0</v>
      </c>
      <c r="H10" s="18">
        <v>0.0</v>
      </c>
      <c r="I10" s="18">
        <v>0.0</v>
      </c>
      <c r="J10" s="18">
        <v>0.0</v>
      </c>
      <c r="K10" s="18">
        <v>0.0</v>
      </c>
      <c r="L10" s="18">
        <v>0.0</v>
      </c>
      <c r="M10" s="18">
        <v>0.0</v>
      </c>
      <c r="N10" s="18">
        <v>0.0</v>
      </c>
      <c r="O10" s="18">
        <v>0.0</v>
      </c>
      <c r="P10" s="18">
        <v>0.0</v>
      </c>
      <c r="Q10" s="18">
        <v>0.0</v>
      </c>
      <c r="R10" s="18">
        <v>0.0</v>
      </c>
      <c r="S10" s="18">
        <v>0.0</v>
      </c>
      <c r="T10" s="18">
        <v>0.0</v>
      </c>
      <c r="U10" s="18">
        <v>0.0</v>
      </c>
      <c r="V10" s="18">
        <v>0.0</v>
      </c>
      <c r="W10" s="18">
        <v>0.0</v>
      </c>
      <c r="X10" s="18">
        <v>0.0</v>
      </c>
      <c r="Y10" s="18">
        <v>0.0</v>
      </c>
      <c r="Z10" s="18">
        <v>0.0</v>
      </c>
      <c r="AA10" s="18">
        <v>0.0</v>
      </c>
      <c r="AB10" s="18">
        <v>0.0</v>
      </c>
      <c r="AC10" s="18">
        <v>0.0</v>
      </c>
      <c r="AD10" s="18">
        <v>0.0</v>
      </c>
      <c r="AE10" s="18">
        <v>0.0</v>
      </c>
      <c r="AF10" s="18">
        <v>0.0</v>
      </c>
      <c r="AG10" s="18">
        <v>0.0</v>
      </c>
      <c r="AH10" s="18">
        <v>0.0</v>
      </c>
      <c r="AI10" s="18">
        <v>0.0</v>
      </c>
      <c r="AJ10" s="13">
        <f t="shared" si="2"/>
        <v>0</v>
      </c>
      <c r="AK10" s="14">
        <f>330*AJ10</f>
        <v>0</v>
      </c>
      <c r="AL10" s="19"/>
      <c r="AM10" s="4"/>
      <c r="AN10" s="1"/>
      <c r="AO10" s="1"/>
      <c r="AP10" s="1"/>
      <c r="AQ10" s="1"/>
      <c r="AR10" s="1"/>
      <c r="AS10" s="1"/>
      <c r="AT10" s="1"/>
      <c r="AU10" s="1"/>
    </row>
    <row r="11" ht="15.75" customHeight="1">
      <c r="A11" s="16"/>
      <c r="B11" s="16"/>
      <c r="C11" s="16"/>
      <c r="D11" s="13" t="s">
        <v>6</v>
      </c>
      <c r="E11" s="18">
        <v>0.0</v>
      </c>
      <c r="F11" s="18">
        <v>0.0</v>
      </c>
      <c r="G11" s="18">
        <v>0.0</v>
      </c>
      <c r="H11" s="18">
        <v>0.0</v>
      </c>
      <c r="I11" s="18">
        <v>0.0</v>
      </c>
      <c r="J11" s="18">
        <v>0.0</v>
      </c>
      <c r="K11" s="18">
        <v>0.0</v>
      </c>
      <c r="L11" s="18">
        <v>0.0</v>
      </c>
      <c r="M11" s="18">
        <v>0.0</v>
      </c>
      <c r="N11" s="18">
        <v>0.0</v>
      </c>
      <c r="O11" s="18">
        <v>0.0</v>
      </c>
      <c r="P11" s="18">
        <v>0.0</v>
      </c>
      <c r="Q11" s="18">
        <v>0.0</v>
      </c>
      <c r="R11" s="18">
        <v>0.0</v>
      </c>
      <c r="S11" s="18">
        <v>0.0</v>
      </c>
      <c r="T11" s="18">
        <v>0.0</v>
      </c>
      <c r="U11" s="18">
        <v>0.0</v>
      </c>
      <c r="V11" s="18">
        <v>0.0</v>
      </c>
      <c r="W11" s="18">
        <v>0.0</v>
      </c>
      <c r="X11" s="18">
        <v>0.0</v>
      </c>
      <c r="Y11" s="18">
        <v>0.0</v>
      </c>
      <c r="Z11" s="18">
        <v>0.0</v>
      </c>
      <c r="AA11" s="18">
        <v>0.0</v>
      </c>
      <c r="AB11" s="18">
        <v>0.0</v>
      </c>
      <c r="AC11" s="18">
        <v>0.0</v>
      </c>
      <c r="AD11" s="18">
        <v>0.0</v>
      </c>
      <c r="AE11" s="18">
        <v>0.0</v>
      </c>
      <c r="AF11" s="18">
        <v>0.0</v>
      </c>
      <c r="AG11" s="18">
        <v>0.0</v>
      </c>
      <c r="AH11" s="18">
        <v>0.0</v>
      </c>
      <c r="AI11" s="18">
        <v>0.0</v>
      </c>
      <c r="AJ11" s="13">
        <v>0.0</v>
      </c>
      <c r="AK11" s="14">
        <f t="shared" ref="AK11:AK12" si="5">550*AJ11</f>
        <v>0</v>
      </c>
      <c r="AL11" s="19"/>
      <c r="AM11" s="27"/>
      <c r="AN11" s="1"/>
      <c r="AO11" s="1"/>
      <c r="AP11" s="1"/>
      <c r="AQ11" s="1"/>
      <c r="AR11" s="1"/>
      <c r="AS11" s="1"/>
      <c r="AT11" s="1"/>
      <c r="AU11" s="1"/>
    </row>
    <row r="12" ht="15.75" customHeight="1">
      <c r="A12" s="10"/>
      <c r="B12" s="10"/>
      <c r="C12" s="10"/>
      <c r="D12" s="13" t="s">
        <v>7</v>
      </c>
      <c r="E12" s="13">
        <v>0.0</v>
      </c>
      <c r="F12" s="13">
        <v>0.0</v>
      </c>
      <c r="G12" s="13">
        <v>0.0</v>
      </c>
      <c r="H12" s="13">
        <v>0.0</v>
      </c>
      <c r="I12" s="13">
        <v>0.0</v>
      </c>
      <c r="J12" s="13">
        <v>0.0</v>
      </c>
      <c r="K12" s="13">
        <v>0.0</v>
      </c>
      <c r="L12" s="13">
        <v>0.0</v>
      </c>
      <c r="M12" s="13">
        <v>0.0</v>
      </c>
      <c r="N12" s="13">
        <v>0.0</v>
      </c>
      <c r="O12" s="13">
        <v>0.0</v>
      </c>
      <c r="P12" s="13">
        <v>0.0</v>
      </c>
      <c r="Q12" s="13">
        <v>0.0</v>
      </c>
      <c r="R12" s="13">
        <v>0.0</v>
      </c>
      <c r="S12" s="13">
        <v>0.0</v>
      </c>
      <c r="T12" s="13">
        <v>0.0</v>
      </c>
      <c r="U12" s="13">
        <v>0.0</v>
      </c>
      <c r="V12" s="13">
        <v>0.0</v>
      </c>
      <c r="W12" s="13">
        <v>0.0</v>
      </c>
      <c r="X12" s="13">
        <v>0.0</v>
      </c>
      <c r="Y12" s="13">
        <v>0.0</v>
      </c>
      <c r="Z12" s="13">
        <v>0.0</v>
      </c>
      <c r="AA12" s="13">
        <v>0.0</v>
      </c>
      <c r="AB12" s="13">
        <v>0.0</v>
      </c>
      <c r="AC12" s="13">
        <v>0.0</v>
      </c>
      <c r="AD12" s="13">
        <v>0.0</v>
      </c>
      <c r="AE12" s="13">
        <v>0.0</v>
      </c>
      <c r="AF12" s="13">
        <v>0.0</v>
      </c>
      <c r="AG12" s="13">
        <v>0.0</v>
      </c>
      <c r="AH12" s="13">
        <v>0.0</v>
      </c>
      <c r="AI12" s="13">
        <v>0.0</v>
      </c>
      <c r="AJ12" s="13">
        <f t="shared" ref="AJ12:AJ72" si="6">SUM(E12:AI12)</f>
        <v>0</v>
      </c>
      <c r="AK12" s="14">
        <f t="shared" si="5"/>
        <v>0</v>
      </c>
      <c r="AL12" s="20">
        <f>SUM(AK10:AK12)</f>
        <v>0</v>
      </c>
      <c r="AM12" s="4"/>
      <c r="AN12" s="1"/>
      <c r="AO12" s="1"/>
      <c r="AP12" s="1"/>
      <c r="AQ12" s="1"/>
      <c r="AR12" s="1"/>
      <c r="AS12" s="1"/>
      <c r="AT12" s="1"/>
      <c r="AU12" s="1"/>
    </row>
    <row r="13" ht="15.75" customHeight="1">
      <c r="A13" s="21" t="s">
        <v>14</v>
      </c>
      <c r="B13" s="21" t="s">
        <v>15</v>
      </c>
      <c r="C13" s="21"/>
      <c r="D13" s="22" t="s">
        <v>5</v>
      </c>
      <c r="E13" s="28">
        <v>1.0</v>
      </c>
      <c r="F13" s="28">
        <v>1.0</v>
      </c>
      <c r="G13" s="28">
        <v>1.0</v>
      </c>
      <c r="H13" s="28">
        <v>1.0</v>
      </c>
      <c r="I13" s="28">
        <v>1.0</v>
      </c>
      <c r="J13" s="28">
        <v>1.0</v>
      </c>
      <c r="K13" s="28">
        <v>1.0</v>
      </c>
      <c r="L13" s="28">
        <v>1.0</v>
      </c>
      <c r="M13" s="28">
        <v>1.0</v>
      </c>
      <c r="N13" s="28">
        <v>1.0</v>
      </c>
      <c r="O13" s="28">
        <v>1.0</v>
      </c>
      <c r="P13" s="28">
        <v>1.0</v>
      </c>
      <c r="Q13" s="28">
        <v>1.0</v>
      </c>
      <c r="R13" s="28">
        <v>1.0</v>
      </c>
      <c r="S13" s="28">
        <v>1.0</v>
      </c>
      <c r="T13" s="28">
        <v>1.0</v>
      </c>
      <c r="U13" s="28">
        <v>1.0</v>
      </c>
      <c r="V13" s="28">
        <v>1.0</v>
      </c>
      <c r="W13" s="28">
        <v>1.0</v>
      </c>
      <c r="X13" s="28">
        <v>1.0</v>
      </c>
      <c r="Y13" s="28">
        <v>1.0</v>
      </c>
      <c r="Z13" s="28">
        <v>1.0</v>
      </c>
      <c r="AA13" s="28">
        <v>1.0</v>
      </c>
      <c r="AB13" s="28">
        <v>1.0</v>
      </c>
      <c r="AC13" s="28">
        <v>1.0</v>
      </c>
      <c r="AD13" s="28">
        <v>1.0</v>
      </c>
      <c r="AE13" s="28">
        <v>1.0</v>
      </c>
      <c r="AF13" s="28">
        <v>1.0</v>
      </c>
      <c r="AG13" s="22">
        <v>1.0</v>
      </c>
      <c r="AH13" s="22">
        <v>1.0</v>
      </c>
      <c r="AI13" s="22">
        <v>1.0</v>
      </c>
      <c r="AJ13" s="22">
        <f t="shared" si="6"/>
        <v>31</v>
      </c>
      <c r="AK13" s="23">
        <f>330*AJ13</f>
        <v>10230</v>
      </c>
      <c r="AL13" s="24"/>
      <c r="AM13" s="25"/>
      <c r="AN13" s="1"/>
      <c r="AO13" s="1"/>
      <c r="AP13" s="1"/>
      <c r="AQ13" s="1"/>
      <c r="AR13" s="1"/>
      <c r="AS13" s="1"/>
      <c r="AT13" s="1"/>
      <c r="AU13" s="1"/>
    </row>
    <row r="14" ht="15.75" customHeight="1">
      <c r="A14" s="16"/>
      <c r="B14" s="16"/>
      <c r="C14" s="16"/>
      <c r="D14" s="22" t="s">
        <v>6</v>
      </c>
      <c r="E14" s="28">
        <v>1.0</v>
      </c>
      <c r="F14" s="28">
        <v>1.0</v>
      </c>
      <c r="G14" s="28">
        <v>1.0</v>
      </c>
      <c r="H14" s="28">
        <v>1.0</v>
      </c>
      <c r="I14" s="28">
        <v>1.0</v>
      </c>
      <c r="J14" s="28">
        <v>1.0</v>
      </c>
      <c r="K14" s="28">
        <v>1.0</v>
      </c>
      <c r="L14" s="28">
        <v>1.0</v>
      </c>
      <c r="M14" s="28">
        <v>1.0</v>
      </c>
      <c r="N14" s="28">
        <v>1.0</v>
      </c>
      <c r="O14" s="28">
        <v>1.0</v>
      </c>
      <c r="P14" s="28">
        <v>1.0</v>
      </c>
      <c r="Q14" s="28">
        <v>1.0</v>
      </c>
      <c r="R14" s="28">
        <v>1.0</v>
      </c>
      <c r="S14" s="28">
        <v>1.0</v>
      </c>
      <c r="T14" s="28">
        <v>1.0</v>
      </c>
      <c r="U14" s="28">
        <v>1.0</v>
      </c>
      <c r="V14" s="28">
        <v>1.0</v>
      </c>
      <c r="W14" s="28">
        <v>1.0</v>
      </c>
      <c r="X14" s="28">
        <v>1.0</v>
      </c>
      <c r="Y14" s="28">
        <v>1.0</v>
      </c>
      <c r="Z14" s="28">
        <v>1.0</v>
      </c>
      <c r="AA14" s="28">
        <v>1.0</v>
      </c>
      <c r="AB14" s="28">
        <v>1.0</v>
      </c>
      <c r="AC14" s="28">
        <v>1.0</v>
      </c>
      <c r="AD14" s="28">
        <v>1.0</v>
      </c>
      <c r="AE14" s="28">
        <v>1.0</v>
      </c>
      <c r="AF14" s="28">
        <v>1.0</v>
      </c>
      <c r="AG14" s="22">
        <v>1.0</v>
      </c>
      <c r="AH14" s="22">
        <v>1.0</v>
      </c>
      <c r="AI14" s="22">
        <v>1.0</v>
      </c>
      <c r="AJ14" s="22">
        <f t="shared" si="6"/>
        <v>31</v>
      </c>
      <c r="AK14" s="23">
        <f t="shared" ref="AK14:AK15" si="7">550*AJ14</f>
        <v>17050</v>
      </c>
      <c r="AL14" s="24"/>
      <c r="AM14" s="4"/>
      <c r="AN14" s="1"/>
      <c r="AO14" s="1"/>
      <c r="AP14" s="1"/>
      <c r="AQ14" s="1"/>
      <c r="AR14" s="1"/>
      <c r="AS14" s="1"/>
      <c r="AT14" s="1"/>
      <c r="AU14" s="1"/>
    </row>
    <row r="15" ht="15.75" customHeight="1">
      <c r="A15" s="10"/>
      <c r="B15" s="10"/>
      <c r="C15" s="10"/>
      <c r="D15" s="22" t="s">
        <v>7</v>
      </c>
      <c r="E15" s="28">
        <v>1.0</v>
      </c>
      <c r="F15" s="28">
        <v>1.0</v>
      </c>
      <c r="G15" s="28">
        <v>1.0</v>
      </c>
      <c r="H15" s="28">
        <v>1.0</v>
      </c>
      <c r="I15" s="28">
        <v>1.0</v>
      </c>
      <c r="J15" s="28">
        <v>1.0</v>
      </c>
      <c r="K15" s="28">
        <v>1.0</v>
      </c>
      <c r="L15" s="28">
        <v>1.0</v>
      </c>
      <c r="M15" s="28">
        <v>1.0</v>
      </c>
      <c r="N15" s="28">
        <v>1.0</v>
      </c>
      <c r="O15" s="28">
        <v>1.0</v>
      </c>
      <c r="P15" s="28">
        <v>1.0</v>
      </c>
      <c r="Q15" s="28">
        <v>1.0</v>
      </c>
      <c r="R15" s="28">
        <v>1.0</v>
      </c>
      <c r="S15" s="28">
        <v>1.0</v>
      </c>
      <c r="T15" s="28">
        <v>1.0</v>
      </c>
      <c r="U15" s="28">
        <v>1.0</v>
      </c>
      <c r="V15" s="28">
        <v>1.0</v>
      </c>
      <c r="W15" s="28">
        <v>1.0</v>
      </c>
      <c r="X15" s="28">
        <v>1.0</v>
      </c>
      <c r="Y15" s="28">
        <v>1.0</v>
      </c>
      <c r="Z15" s="28">
        <v>1.0</v>
      </c>
      <c r="AA15" s="28">
        <v>1.0</v>
      </c>
      <c r="AB15" s="28">
        <v>1.0</v>
      </c>
      <c r="AC15" s="28">
        <v>1.0</v>
      </c>
      <c r="AD15" s="28">
        <v>1.0</v>
      </c>
      <c r="AE15" s="28">
        <v>1.0</v>
      </c>
      <c r="AF15" s="28">
        <v>1.0</v>
      </c>
      <c r="AG15" s="22">
        <v>1.0</v>
      </c>
      <c r="AH15" s="22">
        <v>1.0</v>
      </c>
      <c r="AI15" s="22">
        <v>1.0</v>
      </c>
      <c r="AJ15" s="22">
        <f t="shared" si="6"/>
        <v>31</v>
      </c>
      <c r="AK15" s="23">
        <f t="shared" si="7"/>
        <v>17050</v>
      </c>
      <c r="AL15" s="26">
        <f>SUM(AK13:AK15)</f>
        <v>44330</v>
      </c>
      <c r="AM15" s="4"/>
      <c r="AN15" s="1"/>
      <c r="AO15" s="1"/>
      <c r="AP15" s="1"/>
      <c r="AQ15" s="1"/>
      <c r="AR15" s="1"/>
      <c r="AS15" s="1"/>
      <c r="AT15" s="1"/>
      <c r="AU15" s="1"/>
    </row>
    <row r="16" ht="15.75" hidden="1" customHeight="1">
      <c r="A16" s="12" t="s">
        <v>16</v>
      </c>
      <c r="B16" s="12" t="s">
        <v>17</v>
      </c>
      <c r="C16" s="12" t="s">
        <v>10</v>
      </c>
      <c r="D16" s="13" t="s">
        <v>5</v>
      </c>
      <c r="E16" s="18">
        <v>0.0</v>
      </c>
      <c r="F16" s="18">
        <v>0.0</v>
      </c>
      <c r="G16" s="18">
        <v>0.0</v>
      </c>
      <c r="H16" s="18">
        <v>0.0</v>
      </c>
      <c r="I16" s="18">
        <v>0.0</v>
      </c>
      <c r="J16" s="18">
        <v>0.0</v>
      </c>
      <c r="K16" s="18">
        <v>0.0</v>
      </c>
      <c r="L16" s="18">
        <v>0.0</v>
      </c>
      <c r="M16" s="18">
        <v>0.0</v>
      </c>
      <c r="N16" s="18">
        <v>0.0</v>
      </c>
      <c r="O16" s="18">
        <v>0.0</v>
      </c>
      <c r="P16" s="18">
        <v>0.0</v>
      </c>
      <c r="Q16" s="18">
        <v>0.0</v>
      </c>
      <c r="R16" s="18">
        <v>0.0</v>
      </c>
      <c r="S16" s="18">
        <v>0.0</v>
      </c>
      <c r="T16" s="18">
        <v>0.0</v>
      </c>
      <c r="U16" s="18">
        <v>0.0</v>
      </c>
      <c r="V16" s="18">
        <v>0.0</v>
      </c>
      <c r="W16" s="18">
        <v>0.0</v>
      </c>
      <c r="X16" s="18">
        <v>0.0</v>
      </c>
      <c r="Y16" s="18">
        <v>0.0</v>
      </c>
      <c r="Z16" s="18">
        <v>0.0</v>
      </c>
      <c r="AA16" s="18">
        <v>0.0</v>
      </c>
      <c r="AB16" s="18">
        <v>0.0</v>
      </c>
      <c r="AC16" s="18">
        <v>0.0</v>
      </c>
      <c r="AD16" s="18">
        <v>0.0</v>
      </c>
      <c r="AE16" s="18">
        <v>0.0</v>
      </c>
      <c r="AF16" s="18">
        <v>0.0</v>
      </c>
      <c r="AG16" s="18">
        <v>0.0</v>
      </c>
      <c r="AH16" s="18">
        <v>0.0</v>
      </c>
      <c r="AI16" s="18"/>
      <c r="AJ16" s="13">
        <f t="shared" si="6"/>
        <v>0</v>
      </c>
      <c r="AK16" s="14">
        <f>330*AJ16</f>
        <v>0</v>
      </c>
      <c r="AL16" s="19"/>
      <c r="AM16" s="25"/>
      <c r="AN16" s="1"/>
      <c r="AO16" s="1"/>
      <c r="AP16" s="1"/>
      <c r="AQ16" s="1"/>
      <c r="AR16" s="1"/>
      <c r="AS16" s="1"/>
      <c r="AT16" s="1"/>
      <c r="AU16" s="1"/>
    </row>
    <row r="17" ht="15.75" hidden="1" customHeight="1">
      <c r="A17" s="16"/>
      <c r="B17" s="16"/>
      <c r="C17" s="16"/>
      <c r="D17" s="13" t="s">
        <v>6</v>
      </c>
      <c r="E17" s="18">
        <v>0.0</v>
      </c>
      <c r="F17" s="18">
        <v>0.0</v>
      </c>
      <c r="G17" s="18">
        <v>0.0</v>
      </c>
      <c r="H17" s="18">
        <v>0.0</v>
      </c>
      <c r="I17" s="18">
        <v>0.0</v>
      </c>
      <c r="J17" s="18">
        <v>0.0</v>
      </c>
      <c r="K17" s="18">
        <v>0.0</v>
      </c>
      <c r="L17" s="18">
        <v>0.0</v>
      </c>
      <c r="M17" s="18">
        <v>0.0</v>
      </c>
      <c r="N17" s="18">
        <v>0.0</v>
      </c>
      <c r="O17" s="18">
        <v>0.0</v>
      </c>
      <c r="P17" s="18">
        <v>0.0</v>
      </c>
      <c r="Q17" s="18">
        <v>0.0</v>
      </c>
      <c r="R17" s="18">
        <v>0.0</v>
      </c>
      <c r="S17" s="18">
        <v>0.0</v>
      </c>
      <c r="T17" s="18">
        <v>0.0</v>
      </c>
      <c r="U17" s="18">
        <v>0.0</v>
      </c>
      <c r="V17" s="18">
        <v>0.0</v>
      </c>
      <c r="W17" s="18">
        <v>0.0</v>
      </c>
      <c r="X17" s="18">
        <v>0.0</v>
      </c>
      <c r="Y17" s="18">
        <v>0.0</v>
      </c>
      <c r="Z17" s="18">
        <v>0.0</v>
      </c>
      <c r="AA17" s="18">
        <v>0.0</v>
      </c>
      <c r="AB17" s="18">
        <v>0.0</v>
      </c>
      <c r="AC17" s="18">
        <v>0.0</v>
      </c>
      <c r="AD17" s="18">
        <v>0.0</v>
      </c>
      <c r="AE17" s="18">
        <v>0.0</v>
      </c>
      <c r="AF17" s="18">
        <v>0.0</v>
      </c>
      <c r="AG17" s="18">
        <v>0.0</v>
      </c>
      <c r="AH17" s="18">
        <v>0.0</v>
      </c>
      <c r="AI17" s="18"/>
      <c r="AJ17" s="13">
        <f t="shared" si="6"/>
        <v>0</v>
      </c>
      <c r="AK17" s="14">
        <f t="shared" ref="AK17:AK18" si="8">550*AJ17</f>
        <v>0</v>
      </c>
      <c r="AL17" s="19"/>
      <c r="AN17" s="1"/>
      <c r="AO17" s="1"/>
      <c r="AP17" s="1"/>
      <c r="AQ17" s="1"/>
      <c r="AR17" s="1"/>
      <c r="AS17" s="1"/>
      <c r="AT17" s="1"/>
      <c r="AU17" s="1"/>
    </row>
    <row r="18" ht="15.75" hidden="1" customHeight="1">
      <c r="A18" s="10"/>
      <c r="B18" s="10"/>
      <c r="C18" s="10"/>
      <c r="D18" s="13" t="s">
        <v>7</v>
      </c>
      <c r="E18" s="18">
        <v>0.0</v>
      </c>
      <c r="F18" s="18">
        <v>0.0</v>
      </c>
      <c r="G18" s="18">
        <v>0.0</v>
      </c>
      <c r="H18" s="18">
        <v>0.0</v>
      </c>
      <c r="I18" s="18">
        <v>0.0</v>
      </c>
      <c r="J18" s="18">
        <v>0.0</v>
      </c>
      <c r="K18" s="18">
        <v>0.0</v>
      </c>
      <c r="L18" s="18">
        <v>0.0</v>
      </c>
      <c r="M18" s="18">
        <v>0.0</v>
      </c>
      <c r="N18" s="18">
        <v>0.0</v>
      </c>
      <c r="O18" s="18">
        <v>0.0</v>
      </c>
      <c r="P18" s="18">
        <v>0.0</v>
      </c>
      <c r="Q18" s="18">
        <v>0.0</v>
      </c>
      <c r="R18" s="18">
        <v>0.0</v>
      </c>
      <c r="S18" s="18">
        <v>0.0</v>
      </c>
      <c r="T18" s="18">
        <v>0.0</v>
      </c>
      <c r="U18" s="18">
        <v>0.0</v>
      </c>
      <c r="V18" s="18">
        <v>0.0</v>
      </c>
      <c r="W18" s="18">
        <v>0.0</v>
      </c>
      <c r="X18" s="18">
        <v>0.0</v>
      </c>
      <c r="Y18" s="18">
        <v>0.0</v>
      </c>
      <c r="Z18" s="18">
        <v>0.0</v>
      </c>
      <c r="AA18" s="18">
        <v>0.0</v>
      </c>
      <c r="AB18" s="18">
        <v>0.0</v>
      </c>
      <c r="AC18" s="18">
        <v>0.0</v>
      </c>
      <c r="AD18" s="18">
        <v>0.0</v>
      </c>
      <c r="AE18" s="18">
        <v>0.0</v>
      </c>
      <c r="AF18" s="18">
        <v>0.0</v>
      </c>
      <c r="AG18" s="18">
        <v>0.0</v>
      </c>
      <c r="AH18" s="18">
        <v>0.0</v>
      </c>
      <c r="AI18" s="18"/>
      <c r="AJ18" s="13">
        <f t="shared" si="6"/>
        <v>0</v>
      </c>
      <c r="AK18" s="14">
        <f t="shared" si="8"/>
        <v>0</v>
      </c>
      <c r="AL18" s="20">
        <f>SUM(AK16:AK18)</f>
        <v>0</v>
      </c>
      <c r="AN18" s="1"/>
      <c r="AO18" s="1"/>
      <c r="AP18" s="1"/>
      <c r="AQ18" s="1"/>
      <c r="AR18" s="1"/>
      <c r="AS18" s="1"/>
      <c r="AT18" s="1"/>
      <c r="AU18" s="1"/>
    </row>
    <row r="19" ht="15.75" customHeight="1">
      <c r="A19" s="29" t="s">
        <v>18</v>
      </c>
      <c r="B19" s="29" t="s">
        <v>19</v>
      </c>
      <c r="C19" s="29" t="s">
        <v>20</v>
      </c>
      <c r="D19" s="28" t="s">
        <v>5</v>
      </c>
      <c r="E19" s="22">
        <v>0.0</v>
      </c>
      <c r="F19" s="22">
        <v>0.0</v>
      </c>
      <c r="G19" s="22">
        <v>0.0</v>
      </c>
      <c r="H19" s="22">
        <v>0.0</v>
      </c>
      <c r="I19" s="22">
        <v>0.0</v>
      </c>
      <c r="J19" s="22">
        <v>0.0</v>
      </c>
      <c r="K19" s="22">
        <v>0.0</v>
      </c>
      <c r="L19" s="22">
        <v>0.0</v>
      </c>
      <c r="M19" s="22">
        <v>0.0</v>
      </c>
      <c r="N19" s="22">
        <v>0.0</v>
      </c>
      <c r="O19" s="22">
        <v>0.0</v>
      </c>
      <c r="P19" s="22">
        <v>0.0</v>
      </c>
      <c r="Q19" s="22">
        <v>0.0</v>
      </c>
      <c r="R19" s="22">
        <v>0.0</v>
      </c>
      <c r="S19" s="22">
        <v>0.0</v>
      </c>
      <c r="T19" s="22">
        <v>0.0</v>
      </c>
      <c r="U19" s="22">
        <v>0.0</v>
      </c>
      <c r="V19" s="22">
        <v>0.0</v>
      </c>
      <c r="W19" s="22">
        <v>0.0</v>
      </c>
      <c r="X19" s="22">
        <v>0.0</v>
      </c>
      <c r="Y19" s="22">
        <v>0.0</v>
      </c>
      <c r="Z19" s="22">
        <v>0.0</v>
      </c>
      <c r="AA19" s="22">
        <v>0.0</v>
      </c>
      <c r="AB19" s="22">
        <v>0.0</v>
      </c>
      <c r="AC19" s="22">
        <v>0.0</v>
      </c>
      <c r="AD19" s="22">
        <v>0.0</v>
      </c>
      <c r="AE19" s="22">
        <v>0.0</v>
      </c>
      <c r="AF19" s="22">
        <v>0.0</v>
      </c>
      <c r="AG19" s="22">
        <v>0.0</v>
      </c>
      <c r="AH19" s="22">
        <v>0.0</v>
      </c>
      <c r="AI19" s="22">
        <v>0.0</v>
      </c>
      <c r="AJ19" s="28">
        <f t="shared" si="6"/>
        <v>0</v>
      </c>
      <c r="AK19" s="23">
        <f>330*AJ19</f>
        <v>0</v>
      </c>
      <c r="AL19" s="24"/>
      <c r="AM19" s="25"/>
      <c r="AN19" s="1"/>
      <c r="AO19" s="1"/>
      <c r="AP19" s="1"/>
      <c r="AQ19" s="1"/>
      <c r="AR19" s="1"/>
      <c r="AS19" s="1"/>
      <c r="AT19" s="1"/>
      <c r="AU19" s="1"/>
    </row>
    <row r="20" ht="15.75" customHeight="1">
      <c r="A20" s="16"/>
      <c r="B20" s="16"/>
      <c r="C20" s="16"/>
      <c r="D20" s="28" t="s">
        <v>6</v>
      </c>
      <c r="E20" s="22">
        <v>0.0</v>
      </c>
      <c r="F20" s="22">
        <v>0.0</v>
      </c>
      <c r="G20" s="22">
        <v>0.0</v>
      </c>
      <c r="H20" s="22">
        <v>0.0</v>
      </c>
      <c r="I20" s="22">
        <v>0.0</v>
      </c>
      <c r="J20" s="22">
        <v>0.0</v>
      </c>
      <c r="K20" s="22">
        <v>0.0</v>
      </c>
      <c r="L20" s="22">
        <v>0.0</v>
      </c>
      <c r="M20" s="22">
        <v>0.0</v>
      </c>
      <c r="N20" s="22">
        <v>0.0</v>
      </c>
      <c r="O20" s="22">
        <v>0.0</v>
      </c>
      <c r="P20" s="22">
        <v>0.0</v>
      </c>
      <c r="Q20" s="22">
        <v>0.0</v>
      </c>
      <c r="R20" s="22">
        <v>0.0</v>
      </c>
      <c r="S20" s="22">
        <v>0.0</v>
      </c>
      <c r="T20" s="22">
        <v>0.0</v>
      </c>
      <c r="U20" s="22">
        <v>0.0</v>
      </c>
      <c r="V20" s="22">
        <v>0.0</v>
      </c>
      <c r="W20" s="22">
        <v>0.0</v>
      </c>
      <c r="X20" s="22">
        <v>0.0</v>
      </c>
      <c r="Y20" s="22">
        <v>0.0</v>
      </c>
      <c r="Z20" s="22">
        <v>0.0</v>
      </c>
      <c r="AA20" s="22">
        <v>0.0</v>
      </c>
      <c r="AB20" s="22">
        <v>0.0</v>
      </c>
      <c r="AC20" s="22">
        <v>0.0</v>
      </c>
      <c r="AD20" s="22">
        <v>0.0</v>
      </c>
      <c r="AE20" s="22">
        <v>0.0</v>
      </c>
      <c r="AF20" s="22">
        <v>0.0</v>
      </c>
      <c r="AG20" s="22">
        <v>0.0</v>
      </c>
      <c r="AH20" s="22">
        <v>0.0</v>
      </c>
      <c r="AI20" s="22">
        <v>0.0</v>
      </c>
      <c r="AJ20" s="28">
        <f t="shared" si="6"/>
        <v>0</v>
      </c>
      <c r="AK20" s="23">
        <f t="shared" ref="AK20:AK21" si="9">550*AJ20</f>
        <v>0</v>
      </c>
      <c r="AL20" s="24"/>
      <c r="AN20" s="1"/>
      <c r="AO20" s="1"/>
      <c r="AP20" s="1"/>
      <c r="AQ20" s="1"/>
      <c r="AR20" s="1"/>
      <c r="AS20" s="1"/>
      <c r="AT20" s="1"/>
      <c r="AU20" s="1"/>
    </row>
    <row r="21" ht="15.75" customHeight="1">
      <c r="A21" s="10"/>
      <c r="B21" s="10"/>
      <c r="C21" s="10"/>
      <c r="D21" s="28" t="s">
        <v>7</v>
      </c>
      <c r="E21" s="22">
        <v>1.0</v>
      </c>
      <c r="F21" s="22">
        <v>1.0</v>
      </c>
      <c r="G21" s="22">
        <v>1.0</v>
      </c>
      <c r="H21" s="22">
        <v>1.0</v>
      </c>
      <c r="I21" s="22">
        <v>1.0</v>
      </c>
      <c r="J21" s="22">
        <v>1.0</v>
      </c>
      <c r="K21" s="22">
        <v>1.0</v>
      </c>
      <c r="L21" s="22">
        <v>1.0</v>
      </c>
      <c r="M21" s="22">
        <v>1.0</v>
      </c>
      <c r="N21" s="22">
        <v>1.0</v>
      </c>
      <c r="O21" s="22">
        <v>1.0</v>
      </c>
      <c r="P21" s="22">
        <v>1.0</v>
      </c>
      <c r="Q21" s="22">
        <v>1.0</v>
      </c>
      <c r="R21" s="22">
        <v>1.0</v>
      </c>
      <c r="S21" s="22">
        <v>1.0</v>
      </c>
      <c r="T21" s="22">
        <v>1.0</v>
      </c>
      <c r="U21" s="22">
        <v>1.0</v>
      </c>
      <c r="V21" s="22">
        <v>1.0</v>
      </c>
      <c r="W21" s="22">
        <v>1.0</v>
      </c>
      <c r="X21" s="22">
        <v>0.0</v>
      </c>
      <c r="Y21" s="22">
        <v>0.0</v>
      </c>
      <c r="Z21" s="22">
        <v>0.0</v>
      </c>
      <c r="AA21" s="22">
        <v>0.0</v>
      </c>
      <c r="AB21" s="22">
        <v>0.0</v>
      </c>
      <c r="AC21" s="22">
        <v>0.0</v>
      </c>
      <c r="AD21" s="22">
        <v>0.0</v>
      </c>
      <c r="AE21" s="22">
        <v>0.0</v>
      </c>
      <c r="AF21" s="22">
        <v>0.0</v>
      </c>
      <c r="AG21" s="22">
        <v>0.0</v>
      </c>
      <c r="AH21" s="22">
        <v>0.0</v>
      </c>
      <c r="AI21" s="22">
        <v>0.0</v>
      </c>
      <c r="AJ21" s="28">
        <f t="shared" si="6"/>
        <v>19</v>
      </c>
      <c r="AK21" s="23">
        <f t="shared" si="9"/>
        <v>10450</v>
      </c>
      <c r="AL21" s="26">
        <f>SUM(AK19:AK21)</f>
        <v>10450</v>
      </c>
      <c r="AN21" s="1"/>
      <c r="AO21" s="1"/>
      <c r="AP21" s="1"/>
      <c r="AQ21" s="1"/>
      <c r="AR21" s="1"/>
      <c r="AS21" s="1"/>
      <c r="AT21" s="1"/>
      <c r="AU21" s="1"/>
    </row>
    <row r="22" ht="15.75" customHeight="1">
      <c r="A22" s="12" t="s">
        <v>21</v>
      </c>
      <c r="B22" s="12" t="s">
        <v>22</v>
      </c>
      <c r="C22" s="12" t="s">
        <v>23</v>
      </c>
      <c r="D22" s="14" t="s">
        <v>5</v>
      </c>
      <c r="E22" s="13">
        <v>1.0</v>
      </c>
      <c r="F22" s="13">
        <v>1.0</v>
      </c>
      <c r="G22" s="13">
        <v>1.0</v>
      </c>
      <c r="H22" s="13">
        <v>1.0</v>
      </c>
      <c r="I22" s="13">
        <v>1.0</v>
      </c>
      <c r="J22" s="13">
        <v>1.0</v>
      </c>
      <c r="K22" s="13">
        <v>1.0</v>
      </c>
      <c r="L22" s="13">
        <v>1.0</v>
      </c>
      <c r="M22" s="13">
        <v>1.0</v>
      </c>
      <c r="N22" s="13">
        <v>1.0</v>
      </c>
      <c r="O22" s="13">
        <v>1.0</v>
      </c>
      <c r="P22" s="13">
        <v>1.0</v>
      </c>
      <c r="Q22" s="13">
        <v>1.0</v>
      </c>
      <c r="R22" s="13">
        <v>1.0</v>
      </c>
      <c r="S22" s="13">
        <v>1.0</v>
      </c>
      <c r="T22" s="13">
        <v>1.0</v>
      </c>
      <c r="U22" s="13">
        <v>1.0</v>
      </c>
      <c r="V22" s="13">
        <v>1.0</v>
      </c>
      <c r="W22" s="13">
        <v>1.0</v>
      </c>
      <c r="X22" s="13">
        <v>1.0</v>
      </c>
      <c r="Y22" s="13">
        <v>1.0</v>
      </c>
      <c r="Z22" s="13">
        <v>1.0</v>
      </c>
      <c r="AA22" s="13">
        <v>1.0</v>
      </c>
      <c r="AB22" s="13">
        <v>1.0</v>
      </c>
      <c r="AC22" s="13">
        <v>1.0</v>
      </c>
      <c r="AD22" s="13">
        <v>1.0</v>
      </c>
      <c r="AE22" s="13">
        <v>1.0</v>
      </c>
      <c r="AF22" s="13">
        <v>1.0</v>
      </c>
      <c r="AG22" s="13">
        <v>1.0</v>
      </c>
      <c r="AH22" s="13">
        <v>1.0</v>
      </c>
      <c r="AI22" s="13">
        <v>1.0</v>
      </c>
      <c r="AJ22" s="14">
        <f t="shared" si="6"/>
        <v>31</v>
      </c>
      <c r="AK22" s="14">
        <f>330*AJ22</f>
        <v>10230</v>
      </c>
      <c r="AL22" s="19"/>
      <c r="AM22" s="4"/>
      <c r="AN22" s="1"/>
      <c r="AO22" s="1"/>
      <c r="AP22" s="1"/>
      <c r="AQ22" s="1"/>
      <c r="AR22" s="1"/>
      <c r="AS22" s="1"/>
      <c r="AT22" s="1"/>
      <c r="AU22" s="1"/>
    </row>
    <row r="23" ht="15.75" customHeight="1">
      <c r="A23" s="16"/>
      <c r="B23" s="16"/>
      <c r="C23" s="16"/>
      <c r="D23" s="14" t="s">
        <v>6</v>
      </c>
      <c r="E23" s="13">
        <v>0.0</v>
      </c>
      <c r="F23" s="13">
        <v>1.0</v>
      </c>
      <c r="G23" s="13">
        <v>1.0</v>
      </c>
      <c r="H23" s="13">
        <v>1.0</v>
      </c>
      <c r="I23" s="13">
        <v>1.0</v>
      </c>
      <c r="J23" s="13">
        <v>1.0</v>
      </c>
      <c r="K23" s="13">
        <v>1.0</v>
      </c>
      <c r="L23" s="13">
        <v>0.0</v>
      </c>
      <c r="M23" s="13">
        <v>1.0</v>
      </c>
      <c r="N23" s="13">
        <v>1.0</v>
      </c>
      <c r="O23" s="13">
        <v>1.0</v>
      </c>
      <c r="P23" s="13">
        <v>1.0</v>
      </c>
      <c r="Q23" s="13">
        <v>1.0</v>
      </c>
      <c r="R23" s="13">
        <v>1.0</v>
      </c>
      <c r="S23" s="13">
        <v>0.0</v>
      </c>
      <c r="T23" s="13">
        <v>1.0</v>
      </c>
      <c r="U23" s="13">
        <v>1.0</v>
      </c>
      <c r="V23" s="13">
        <v>1.0</v>
      </c>
      <c r="W23" s="13">
        <v>1.0</v>
      </c>
      <c r="X23" s="13">
        <v>1.0</v>
      </c>
      <c r="Y23" s="13">
        <v>1.0</v>
      </c>
      <c r="Z23" s="13">
        <v>0.0</v>
      </c>
      <c r="AA23" s="13">
        <v>1.0</v>
      </c>
      <c r="AB23" s="13">
        <v>1.0</v>
      </c>
      <c r="AC23" s="13">
        <v>1.0</v>
      </c>
      <c r="AD23" s="13">
        <v>1.0</v>
      </c>
      <c r="AE23" s="13">
        <v>1.0</v>
      </c>
      <c r="AF23" s="13">
        <v>1.0</v>
      </c>
      <c r="AG23" s="13">
        <v>0.0</v>
      </c>
      <c r="AH23" s="13">
        <v>1.0</v>
      </c>
      <c r="AI23" s="13">
        <v>1.0</v>
      </c>
      <c r="AJ23" s="14">
        <f t="shared" si="6"/>
        <v>26</v>
      </c>
      <c r="AK23" s="14">
        <f t="shared" ref="AK23:AK24" si="10">550*AJ23</f>
        <v>14300</v>
      </c>
      <c r="AL23" s="19"/>
      <c r="AM23" s="4"/>
      <c r="AN23" s="1"/>
      <c r="AO23" s="1"/>
      <c r="AP23" s="1"/>
      <c r="AQ23" s="1"/>
      <c r="AR23" s="1"/>
      <c r="AS23" s="1"/>
      <c r="AT23" s="1"/>
      <c r="AU23" s="1"/>
    </row>
    <row r="24" ht="15.75" customHeight="1">
      <c r="A24" s="10"/>
      <c r="B24" s="10"/>
      <c r="C24" s="10"/>
      <c r="D24" s="14" t="s">
        <v>7</v>
      </c>
      <c r="E24" s="13">
        <v>1.0</v>
      </c>
      <c r="F24" s="13">
        <v>1.0</v>
      </c>
      <c r="G24" s="13">
        <v>1.0</v>
      </c>
      <c r="H24" s="13">
        <v>1.0</v>
      </c>
      <c r="I24" s="13">
        <v>1.0</v>
      </c>
      <c r="J24" s="13">
        <v>1.0</v>
      </c>
      <c r="K24" s="13">
        <v>1.0</v>
      </c>
      <c r="L24" s="13">
        <v>1.0</v>
      </c>
      <c r="M24" s="13">
        <v>1.0</v>
      </c>
      <c r="N24" s="13">
        <v>1.0</v>
      </c>
      <c r="O24" s="13">
        <v>1.0</v>
      </c>
      <c r="P24" s="13">
        <v>1.0</v>
      </c>
      <c r="Q24" s="13">
        <v>1.0</v>
      </c>
      <c r="R24" s="13">
        <v>1.0</v>
      </c>
      <c r="S24" s="13">
        <v>1.0</v>
      </c>
      <c r="T24" s="13">
        <v>1.0</v>
      </c>
      <c r="U24" s="13">
        <v>1.0</v>
      </c>
      <c r="V24" s="13">
        <v>1.0</v>
      </c>
      <c r="W24" s="13">
        <v>1.0</v>
      </c>
      <c r="X24" s="13">
        <v>1.0</v>
      </c>
      <c r="Y24" s="13">
        <v>1.0</v>
      </c>
      <c r="Z24" s="13">
        <v>1.0</v>
      </c>
      <c r="AA24" s="13">
        <v>1.0</v>
      </c>
      <c r="AB24" s="13">
        <v>1.0</v>
      </c>
      <c r="AC24" s="13">
        <v>1.0</v>
      </c>
      <c r="AD24" s="13">
        <v>1.0</v>
      </c>
      <c r="AE24" s="13">
        <v>1.0</v>
      </c>
      <c r="AF24" s="13">
        <v>1.0</v>
      </c>
      <c r="AG24" s="13">
        <v>1.0</v>
      </c>
      <c r="AH24" s="13">
        <v>1.0</v>
      </c>
      <c r="AI24" s="13">
        <v>1.0</v>
      </c>
      <c r="AJ24" s="14">
        <f t="shared" si="6"/>
        <v>31</v>
      </c>
      <c r="AK24" s="14">
        <f t="shared" si="10"/>
        <v>17050</v>
      </c>
      <c r="AL24" s="20">
        <f>SUM(AK22:AK24)</f>
        <v>41580</v>
      </c>
      <c r="AM24" s="4"/>
      <c r="AN24" s="1"/>
      <c r="AO24" s="1"/>
      <c r="AP24" s="1"/>
      <c r="AQ24" s="1"/>
      <c r="AR24" s="1"/>
      <c r="AS24" s="1"/>
      <c r="AT24" s="1"/>
      <c r="AU24" s="1"/>
    </row>
    <row r="25" ht="15.75" customHeight="1">
      <c r="A25" s="12" t="s">
        <v>24</v>
      </c>
      <c r="B25" s="12" t="s">
        <v>25</v>
      </c>
      <c r="C25" s="12" t="s">
        <v>26</v>
      </c>
      <c r="D25" s="13" t="s">
        <v>5</v>
      </c>
      <c r="E25" s="30">
        <v>1.0</v>
      </c>
      <c r="F25" s="30">
        <v>1.0</v>
      </c>
      <c r="G25" s="30">
        <v>1.0</v>
      </c>
      <c r="H25" s="30">
        <v>1.0</v>
      </c>
      <c r="I25" s="30">
        <v>1.0</v>
      </c>
      <c r="J25" s="30">
        <v>1.0</v>
      </c>
      <c r="K25" s="30">
        <v>1.0</v>
      </c>
      <c r="L25" s="30">
        <v>1.0</v>
      </c>
      <c r="M25" s="30">
        <v>1.0</v>
      </c>
      <c r="N25" s="30">
        <v>1.0</v>
      </c>
      <c r="O25" s="30">
        <v>1.0</v>
      </c>
      <c r="P25" s="30">
        <v>1.0</v>
      </c>
      <c r="Q25" s="30">
        <v>1.0</v>
      </c>
      <c r="R25" s="30">
        <v>1.0</v>
      </c>
      <c r="S25" s="30">
        <v>1.0</v>
      </c>
      <c r="T25" s="30">
        <v>1.0</v>
      </c>
      <c r="U25" s="30">
        <v>1.0</v>
      </c>
      <c r="V25" s="30">
        <v>1.0</v>
      </c>
      <c r="W25" s="30">
        <v>1.0</v>
      </c>
      <c r="X25" s="30">
        <v>1.0</v>
      </c>
      <c r="Y25" s="30">
        <v>1.0</v>
      </c>
      <c r="Z25" s="30">
        <v>1.0</v>
      </c>
      <c r="AA25" s="30">
        <v>1.0</v>
      </c>
      <c r="AB25" s="30">
        <v>1.0</v>
      </c>
      <c r="AC25" s="30">
        <v>1.0</v>
      </c>
      <c r="AD25" s="30">
        <v>1.0</v>
      </c>
      <c r="AE25" s="30">
        <v>1.0</v>
      </c>
      <c r="AF25" s="30">
        <v>1.0</v>
      </c>
      <c r="AG25" s="30">
        <v>1.0</v>
      </c>
      <c r="AH25" s="30">
        <v>1.0</v>
      </c>
      <c r="AI25" s="30">
        <v>1.0</v>
      </c>
      <c r="AJ25" s="13">
        <f t="shared" si="6"/>
        <v>31</v>
      </c>
      <c r="AK25" s="23">
        <f>330*AJ25</f>
        <v>10230</v>
      </c>
      <c r="AL25" s="24"/>
      <c r="AM25" s="4"/>
      <c r="AN25" s="1"/>
      <c r="AO25" s="1"/>
      <c r="AP25" s="1"/>
      <c r="AQ25" s="1"/>
      <c r="AR25" s="1"/>
      <c r="AS25" s="1"/>
      <c r="AT25" s="1"/>
      <c r="AU25" s="1"/>
    </row>
    <row r="26" ht="15.75" customHeight="1">
      <c r="A26" s="16"/>
      <c r="B26" s="16"/>
      <c r="C26" s="16"/>
      <c r="D26" s="13" t="s">
        <v>6</v>
      </c>
      <c r="E26" s="30">
        <v>1.0</v>
      </c>
      <c r="F26" s="30">
        <v>1.0</v>
      </c>
      <c r="G26" s="30">
        <v>0.0</v>
      </c>
      <c r="H26" s="30">
        <v>1.0</v>
      </c>
      <c r="I26" s="30">
        <v>1.0</v>
      </c>
      <c r="J26" s="30">
        <v>0.0</v>
      </c>
      <c r="K26" s="30">
        <v>1.0</v>
      </c>
      <c r="L26" s="30">
        <v>1.0</v>
      </c>
      <c r="M26" s="30">
        <v>1.0</v>
      </c>
      <c r="N26" s="30">
        <v>0.0</v>
      </c>
      <c r="O26" s="30">
        <v>1.0</v>
      </c>
      <c r="P26" s="30">
        <v>1.0</v>
      </c>
      <c r="Q26" s="30">
        <v>0.0</v>
      </c>
      <c r="R26" s="30">
        <v>1.0</v>
      </c>
      <c r="S26" s="30">
        <v>1.0</v>
      </c>
      <c r="T26" s="30">
        <v>1.0</v>
      </c>
      <c r="U26" s="30">
        <v>0.0</v>
      </c>
      <c r="V26" s="30">
        <v>1.0</v>
      </c>
      <c r="W26" s="30">
        <v>1.0</v>
      </c>
      <c r="X26" s="30">
        <v>0.0</v>
      </c>
      <c r="Y26" s="30">
        <v>1.0</v>
      </c>
      <c r="Z26" s="30">
        <v>1.0</v>
      </c>
      <c r="AA26" s="30">
        <v>1.0</v>
      </c>
      <c r="AB26" s="30">
        <v>0.0</v>
      </c>
      <c r="AC26" s="30">
        <v>1.0</v>
      </c>
      <c r="AD26" s="30">
        <v>1.0</v>
      </c>
      <c r="AE26" s="30">
        <v>0.0</v>
      </c>
      <c r="AF26" s="30">
        <v>1.0</v>
      </c>
      <c r="AG26" s="30">
        <v>1.0</v>
      </c>
      <c r="AH26" s="30">
        <v>1.0</v>
      </c>
      <c r="AI26" s="30">
        <v>0.0</v>
      </c>
      <c r="AJ26" s="13">
        <f t="shared" si="6"/>
        <v>22</v>
      </c>
      <c r="AK26" s="23">
        <f t="shared" ref="AK26:AK27" si="11">550*AJ26</f>
        <v>12100</v>
      </c>
      <c r="AL26" s="24"/>
      <c r="AM26" s="4"/>
      <c r="AN26" s="1"/>
      <c r="AO26" s="1"/>
      <c r="AP26" s="1"/>
      <c r="AQ26" s="1"/>
      <c r="AR26" s="1"/>
      <c r="AS26" s="1"/>
      <c r="AT26" s="1"/>
      <c r="AU26" s="1"/>
    </row>
    <row r="27" ht="15.75" customHeight="1">
      <c r="A27" s="10"/>
      <c r="B27" s="10"/>
      <c r="C27" s="10"/>
      <c r="D27" s="13" t="s">
        <v>7</v>
      </c>
      <c r="E27" s="30">
        <v>1.0</v>
      </c>
      <c r="F27" s="30">
        <v>1.0</v>
      </c>
      <c r="G27" s="30">
        <v>1.0</v>
      </c>
      <c r="H27" s="30">
        <v>1.0</v>
      </c>
      <c r="I27" s="30">
        <v>1.0</v>
      </c>
      <c r="J27" s="30">
        <v>1.0</v>
      </c>
      <c r="K27" s="30">
        <v>1.0</v>
      </c>
      <c r="L27" s="30">
        <v>1.0</v>
      </c>
      <c r="M27" s="30">
        <v>1.0</v>
      </c>
      <c r="N27" s="30">
        <v>1.0</v>
      </c>
      <c r="O27" s="30">
        <v>1.0</v>
      </c>
      <c r="P27" s="30">
        <v>1.0</v>
      </c>
      <c r="Q27" s="30">
        <v>1.0</v>
      </c>
      <c r="R27" s="30">
        <v>1.0</v>
      </c>
      <c r="S27" s="30">
        <v>1.0</v>
      </c>
      <c r="T27" s="30">
        <v>1.0</v>
      </c>
      <c r="U27" s="30">
        <v>1.0</v>
      </c>
      <c r="V27" s="30">
        <v>1.0</v>
      </c>
      <c r="W27" s="30">
        <v>1.0</v>
      </c>
      <c r="X27" s="30">
        <v>1.0</v>
      </c>
      <c r="Y27" s="30">
        <v>1.0</v>
      </c>
      <c r="Z27" s="30">
        <v>1.0</v>
      </c>
      <c r="AA27" s="30">
        <v>1.0</v>
      </c>
      <c r="AB27" s="30">
        <v>1.0</v>
      </c>
      <c r="AC27" s="30">
        <v>1.0</v>
      </c>
      <c r="AD27" s="30">
        <v>1.0</v>
      </c>
      <c r="AE27" s="30">
        <v>1.0</v>
      </c>
      <c r="AF27" s="30">
        <v>1.0</v>
      </c>
      <c r="AG27" s="30">
        <v>1.0</v>
      </c>
      <c r="AH27" s="30">
        <v>1.0</v>
      </c>
      <c r="AI27" s="30">
        <v>1.0</v>
      </c>
      <c r="AJ27" s="13">
        <f t="shared" si="6"/>
        <v>31</v>
      </c>
      <c r="AK27" s="23">
        <f t="shared" si="11"/>
        <v>17050</v>
      </c>
      <c r="AL27" s="26">
        <f>SUM(AK25:AK27)</f>
        <v>39380</v>
      </c>
      <c r="AM27" s="4"/>
      <c r="AN27" s="1"/>
      <c r="AO27" s="1"/>
      <c r="AP27" s="1"/>
      <c r="AQ27" s="1"/>
      <c r="AR27" s="1"/>
      <c r="AS27" s="1"/>
      <c r="AT27" s="1"/>
      <c r="AU27" s="1"/>
    </row>
    <row r="28" ht="15.75" customHeight="1">
      <c r="A28" s="12" t="s">
        <v>27</v>
      </c>
      <c r="B28" s="12" t="s">
        <v>28</v>
      </c>
      <c r="C28" s="12" t="s">
        <v>29</v>
      </c>
      <c r="D28" s="13" t="s">
        <v>5</v>
      </c>
      <c r="E28" s="30">
        <v>1.0</v>
      </c>
      <c r="F28" s="30">
        <v>1.0</v>
      </c>
      <c r="G28" s="18">
        <v>0.0</v>
      </c>
      <c r="H28" s="18">
        <v>0.0</v>
      </c>
      <c r="I28" s="18">
        <v>0.0</v>
      </c>
      <c r="J28" s="18">
        <v>0.0</v>
      </c>
      <c r="K28" s="18">
        <v>0.0</v>
      </c>
      <c r="L28" s="18">
        <v>0.0</v>
      </c>
      <c r="M28" s="18">
        <v>0.0</v>
      </c>
      <c r="N28" s="18">
        <v>0.0</v>
      </c>
      <c r="O28" s="18">
        <v>0.0</v>
      </c>
      <c r="P28" s="18">
        <v>0.0</v>
      </c>
      <c r="Q28" s="18">
        <v>0.0</v>
      </c>
      <c r="R28" s="18">
        <v>0.0</v>
      </c>
      <c r="S28" s="18">
        <v>0.0</v>
      </c>
      <c r="T28" s="18">
        <v>0.0</v>
      </c>
      <c r="U28" s="18">
        <v>0.0</v>
      </c>
      <c r="V28" s="18">
        <v>0.0</v>
      </c>
      <c r="W28" s="18">
        <v>0.0</v>
      </c>
      <c r="X28" s="18">
        <v>0.0</v>
      </c>
      <c r="Y28" s="18">
        <v>0.0</v>
      </c>
      <c r="Z28" s="18">
        <v>0.0</v>
      </c>
      <c r="AA28" s="18">
        <v>0.0</v>
      </c>
      <c r="AB28" s="18">
        <v>0.0</v>
      </c>
      <c r="AC28" s="18">
        <v>0.0</v>
      </c>
      <c r="AD28" s="18">
        <v>0.0</v>
      </c>
      <c r="AE28" s="18">
        <v>0.0</v>
      </c>
      <c r="AF28" s="18">
        <v>0.0</v>
      </c>
      <c r="AG28" s="18">
        <v>0.0</v>
      </c>
      <c r="AH28" s="18">
        <v>0.0</v>
      </c>
      <c r="AI28" s="18">
        <v>0.0</v>
      </c>
      <c r="AJ28" s="13">
        <f t="shared" si="6"/>
        <v>2</v>
      </c>
      <c r="AK28" s="14">
        <f>330*AJ28</f>
        <v>660</v>
      </c>
      <c r="AL28" s="19"/>
      <c r="AM28" s="4"/>
      <c r="AN28" s="1"/>
      <c r="AO28" s="1"/>
      <c r="AP28" s="1"/>
      <c r="AQ28" s="1"/>
      <c r="AR28" s="1"/>
      <c r="AS28" s="1"/>
      <c r="AT28" s="1"/>
      <c r="AU28" s="1"/>
    </row>
    <row r="29" ht="15.75" customHeight="1">
      <c r="A29" s="16"/>
      <c r="B29" s="16"/>
      <c r="C29" s="16"/>
      <c r="D29" s="13" t="s">
        <v>6</v>
      </c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32"/>
      <c r="AG29" s="13"/>
      <c r="AH29" s="13"/>
      <c r="AI29" s="13"/>
      <c r="AJ29" s="13">
        <f t="shared" si="6"/>
        <v>0</v>
      </c>
      <c r="AK29" s="14">
        <f t="shared" ref="AK29:AK30" si="12">550*AJ29</f>
        <v>0</v>
      </c>
      <c r="AL29" s="19"/>
      <c r="AM29" s="4"/>
      <c r="AN29" s="1"/>
      <c r="AO29" s="1"/>
      <c r="AP29" s="1"/>
      <c r="AQ29" s="1"/>
      <c r="AR29" s="1"/>
      <c r="AS29" s="1"/>
      <c r="AT29" s="1"/>
      <c r="AU29" s="1"/>
    </row>
    <row r="30" ht="15.75" customHeight="1">
      <c r="A30" s="10"/>
      <c r="B30" s="10"/>
      <c r="C30" s="10"/>
      <c r="D30" s="13" t="s">
        <v>7</v>
      </c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>
        <f t="shared" si="6"/>
        <v>0</v>
      </c>
      <c r="AK30" s="14">
        <f t="shared" si="12"/>
        <v>0</v>
      </c>
      <c r="AL30" s="20">
        <f>SUM(AK28:AK30)</f>
        <v>660</v>
      </c>
      <c r="AM30" s="4"/>
      <c r="AN30" s="1"/>
      <c r="AO30" s="1"/>
      <c r="AP30" s="1"/>
      <c r="AQ30" s="1"/>
      <c r="AR30" s="1"/>
      <c r="AS30" s="1"/>
      <c r="AT30" s="1"/>
      <c r="AU30" s="1"/>
    </row>
    <row r="31" ht="15.75" customHeight="1">
      <c r="A31" s="12"/>
      <c r="B31" s="12"/>
      <c r="C31" s="12"/>
      <c r="D31" s="13" t="s">
        <v>5</v>
      </c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>
        <f t="shared" si="6"/>
        <v>0</v>
      </c>
      <c r="AK31" s="23">
        <f>330*AJ31</f>
        <v>0</v>
      </c>
      <c r="AL31" s="24"/>
      <c r="AM31" s="4"/>
      <c r="AN31" s="1"/>
      <c r="AO31" s="1"/>
      <c r="AP31" s="1"/>
      <c r="AQ31" s="1"/>
      <c r="AR31" s="1"/>
      <c r="AS31" s="1"/>
      <c r="AT31" s="1"/>
      <c r="AU31" s="1"/>
    </row>
    <row r="32" ht="15.75" customHeight="1">
      <c r="A32" s="16"/>
      <c r="B32" s="16"/>
      <c r="C32" s="16"/>
      <c r="D32" s="13" t="s">
        <v>6</v>
      </c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>
        <f t="shared" si="6"/>
        <v>0</v>
      </c>
      <c r="AK32" s="23">
        <f t="shared" ref="AK32:AK33" si="13">550*AJ32</f>
        <v>0</v>
      </c>
      <c r="AL32" s="24"/>
      <c r="AM32" s="4"/>
      <c r="AN32" s="1"/>
      <c r="AO32" s="1"/>
      <c r="AP32" s="1"/>
      <c r="AQ32" s="1"/>
      <c r="AR32" s="1"/>
      <c r="AS32" s="1"/>
      <c r="AT32" s="1"/>
      <c r="AU32" s="1"/>
    </row>
    <row r="33" ht="15.75" customHeight="1">
      <c r="A33" s="10"/>
      <c r="B33" s="10"/>
      <c r="C33" s="10"/>
      <c r="D33" s="13" t="s">
        <v>7</v>
      </c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>
        <f t="shared" si="6"/>
        <v>0</v>
      </c>
      <c r="AK33" s="23">
        <f t="shared" si="13"/>
        <v>0</v>
      </c>
      <c r="AL33" s="26">
        <f>SUM(AK31:AK33)</f>
        <v>0</v>
      </c>
      <c r="AM33" s="4"/>
      <c r="AN33" s="1"/>
      <c r="AO33" s="1"/>
      <c r="AP33" s="1"/>
      <c r="AQ33" s="1"/>
      <c r="AR33" s="1"/>
      <c r="AS33" s="1"/>
      <c r="AT33" s="1"/>
      <c r="AU33" s="1"/>
    </row>
    <row r="34" ht="15.75" customHeight="1">
      <c r="A34" s="12"/>
      <c r="B34" s="12"/>
      <c r="C34" s="12"/>
      <c r="D34" s="13" t="s">
        <v>5</v>
      </c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>
        <f t="shared" si="6"/>
        <v>0</v>
      </c>
      <c r="AK34" s="1"/>
      <c r="AL34" s="1"/>
      <c r="AM34" s="4"/>
      <c r="AN34" s="1"/>
      <c r="AO34" s="1"/>
      <c r="AP34" s="1"/>
      <c r="AQ34" s="1"/>
      <c r="AR34" s="1"/>
      <c r="AS34" s="1"/>
      <c r="AT34" s="1"/>
      <c r="AU34" s="1"/>
    </row>
    <row r="35" ht="15.75" customHeight="1">
      <c r="A35" s="16"/>
      <c r="B35" s="16"/>
      <c r="C35" s="16"/>
      <c r="D35" s="13" t="s">
        <v>6</v>
      </c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>
        <f t="shared" si="6"/>
        <v>0</v>
      </c>
      <c r="AK35" s="1"/>
      <c r="AL35" s="1"/>
      <c r="AM35" s="4"/>
      <c r="AN35" s="1"/>
      <c r="AO35" s="1"/>
      <c r="AP35" s="1"/>
      <c r="AQ35" s="1"/>
      <c r="AR35" s="1"/>
      <c r="AS35" s="1"/>
      <c r="AT35" s="1"/>
      <c r="AU35" s="1"/>
    </row>
    <row r="36" ht="15.75" customHeight="1">
      <c r="A36" s="10"/>
      <c r="B36" s="10"/>
      <c r="C36" s="10"/>
      <c r="D36" s="13" t="s">
        <v>7</v>
      </c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>
        <f t="shared" si="6"/>
        <v>0</v>
      </c>
      <c r="AK36" s="1"/>
      <c r="AL36" s="1"/>
      <c r="AM36" s="4"/>
      <c r="AN36" s="1"/>
      <c r="AO36" s="1"/>
      <c r="AP36" s="1"/>
      <c r="AQ36" s="1"/>
      <c r="AR36" s="1"/>
      <c r="AS36" s="1"/>
      <c r="AT36" s="1"/>
      <c r="AU36" s="1"/>
    </row>
    <row r="37" ht="15.75" customHeight="1">
      <c r="A37" s="12"/>
      <c r="B37" s="12"/>
      <c r="C37" s="12"/>
      <c r="D37" s="13" t="s">
        <v>5</v>
      </c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>
        <f t="shared" si="6"/>
        <v>0</v>
      </c>
      <c r="AK37" s="1"/>
      <c r="AL37" s="1"/>
      <c r="AM37" s="4"/>
      <c r="AN37" s="1"/>
      <c r="AO37" s="1"/>
      <c r="AP37" s="1"/>
      <c r="AQ37" s="1"/>
      <c r="AR37" s="1"/>
      <c r="AS37" s="1"/>
      <c r="AT37" s="1"/>
      <c r="AU37" s="1"/>
    </row>
    <row r="38" ht="15.75" customHeight="1">
      <c r="A38" s="16"/>
      <c r="B38" s="16"/>
      <c r="C38" s="16"/>
      <c r="D38" s="13" t="s">
        <v>6</v>
      </c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>
        <f t="shared" si="6"/>
        <v>0</v>
      </c>
      <c r="AK38" s="1"/>
      <c r="AL38" s="1"/>
      <c r="AM38" s="4"/>
      <c r="AN38" s="1"/>
      <c r="AO38" s="1"/>
      <c r="AP38" s="1"/>
      <c r="AQ38" s="1"/>
      <c r="AR38" s="1"/>
      <c r="AS38" s="1"/>
      <c r="AT38" s="1"/>
      <c r="AU38" s="1"/>
    </row>
    <row r="39" ht="15.75" customHeight="1">
      <c r="A39" s="10"/>
      <c r="B39" s="10"/>
      <c r="C39" s="10"/>
      <c r="D39" s="13" t="s">
        <v>7</v>
      </c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>
        <f t="shared" si="6"/>
        <v>0</v>
      </c>
      <c r="AK39" s="1"/>
      <c r="AL39" s="1"/>
      <c r="AM39" s="4"/>
      <c r="AN39" s="1"/>
      <c r="AO39" s="1"/>
      <c r="AP39" s="1"/>
      <c r="AQ39" s="1"/>
      <c r="AR39" s="1"/>
      <c r="AS39" s="1"/>
      <c r="AT39" s="1"/>
      <c r="AU39" s="1"/>
    </row>
    <row r="40" ht="15.75" customHeight="1">
      <c r="A40" s="12"/>
      <c r="B40" s="12"/>
      <c r="C40" s="12"/>
      <c r="D40" s="13" t="s">
        <v>5</v>
      </c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>
        <f t="shared" si="6"/>
        <v>0</v>
      </c>
      <c r="AK40" s="1"/>
      <c r="AL40" s="1"/>
      <c r="AM40" s="4"/>
      <c r="AN40" s="1"/>
      <c r="AO40" s="1"/>
      <c r="AP40" s="1"/>
      <c r="AQ40" s="1"/>
      <c r="AR40" s="1"/>
      <c r="AS40" s="1"/>
      <c r="AT40" s="1"/>
      <c r="AU40" s="1"/>
    </row>
    <row r="41" ht="15.75" customHeight="1">
      <c r="A41" s="16"/>
      <c r="B41" s="16"/>
      <c r="C41" s="16"/>
      <c r="D41" s="13" t="s">
        <v>6</v>
      </c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>
        <f t="shared" si="6"/>
        <v>0</v>
      </c>
      <c r="AK41" s="1"/>
      <c r="AL41" s="1"/>
      <c r="AM41" s="4"/>
      <c r="AN41" s="1"/>
      <c r="AO41" s="1"/>
      <c r="AP41" s="1"/>
      <c r="AQ41" s="1"/>
      <c r="AR41" s="1"/>
      <c r="AS41" s="1"/>
      <c r="AT41" s="1"/>
      <c r="AU41" s="1"/>
    </row>
    <row r="42" ht="15.75" customHeight="1">
      <c r="A42" s="10"/>
      <c r="B42" s="10"/>
      <c r="C42" s="10"/>
      <c r="D42" s="13" t="s">
        <v>7</v>
      </c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>
        <f t="shared" si="6"/>
        <v>0</v>
      </c>
      <c r="AK42" s="1"/>
      <c r="AL42" s="1"/>
      <c r="AM42" s="4"/>
      <c r="AN42" s="1"/>
      <c r="AO42" s="1"/>
      <c r="AP42" s="1"/>
      <c r="AQ42" s="1"/>
      <c r="AR42" s="1"/>
      <c r="AS42" s="1"/>
      <c r="AT42" s="1"/>
      <c r="AU42" s="1"/>
    </row>
    <row r="43" ht="15.75" customHeight="1">
      <c r="A43" s="12"/>
      <c r="B43" s="12"/>
      <c r="C43" s="12"/>
      <c r="D43" s="13" t="s">
        <v>5</v>
      </c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>
        <f t="shared" si="6"/>
        <v>0</v>
      </c>
      <c r="AK43" s="1"/>
      <c r="AL43" s="1"/>
      <c r="AM43" s="4"/>
      <c r="AN43" s="1"/>
      <c r="AO43" s="1"/>
      <c r="AP43" s="1"/>
      <c r="AQ43" s="1"/>
      <c r="AR43" s="1"/>
      <c r="AS43" s="1"/>
      <c r="AT43" s="1"/>
      <c r="AU43" s="1"/>
    </row>
    <row r="44" ht="15.75" customHeight="1">
      <c r="A44" s="16"/>
      <c r="B44" s="16"/>
      <c r="C44" s="16"/>
      <c r="D44" s="13" t="s">
        <v>6</v>
      </c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>
        <f t="shared" si="6"/>
        <v>0</v>
      </c>
      <c r="AK44" s="1"/>
      <c r="AL44" s="1"/>
      <c r="AM44" s="4"/>
      <c r="AN44" s="1"/>
      <c r="AO44" s="1"/>
      <c r="AP44" s="1"/>
      <c r="AQ44" s="1"/>
      <c r="AR44" s="1"/>
      <c r="AS44" s="1"/>
      <c r="AT44" s="1"/>
      <c r="AU44" s="1"/>
    </row>
    <row r="45" ht="15.75" customHeight="1">
      <c r="A45" s="10"/>
      <c r="B45" s="10"/>
      <c r="C45" s="10"/>
      <c r="D45" s="13" t="s">
        <v>7</v>
      </c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>
        <f t="shared" si="6"/>
        <v>0</v>
      </c>
      <c r="AK45" s="1"/>
      <c r="AL45" s="1"/>
      <c r="AM45" s="4"/>
      <c r="AN45" s="1"/>
      <c r="AO45" s="1"/>
      <c r="AP45" s="1"/>
      <c r="AQ45" s="1"/>
      <c r="AR45" s="1"/>
      <c r="AS45" s="1"/>
      <c r="AT45" s="1"/>
      <c r="AU45" s="1"/>
    </row>
    <row r="46" ht="15.75" customHeight="1">
      <c r="A46" s="12"/>
      <c r="B46" s="12"/>
      <c r="C46" s="12"/>
      <c r="D46" s="13" t="s">
        <v>5</v>
      </c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>
        <f t="shared" si="6"/>
        <v>0</v>
      </c>
      <c r="AK46" s="1"/>
      <c r="AL46" s="1"/>
      <c r="AM46" s="4"/>
      <c r="AN46" s="1"/>
      <c r="AO46" s="1"/>
      <c r="AP46" s="1"/>
      <c r="AQ46" s="1"/>
      <c r="AR46" s="1"/>
      <c r="AS46" s="1"/>
      <c r="AT46" s="1"/>
      <c r="AU46" s="1"/>
    </row>
    <row r="47" ht="15.75" customHeight="1">
      <c r="A47" s="16"/>
      <c r="B47" s="16"/>
      <c r="C47" s="16"/>
      <c r="D47" s="13" t="s">
        <v>6</v>
      </c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>
        <f t="shared" si="6"/>
        <v>0</v>
      </c>
      <c r="AK47" s="1"/>
      <c r="AL47" s="1"/>
      <c r="AM47" s="4"/>
      <c r="AN47" s="1"/>
      <c r="AO47" s="1"/>
      <c r="AP47" s="1"/>
      <c r="AQ47" s="1"/>
      <c r="AR47" s="1"/>
      <c r="AS47" s="1"/>
      <c r="AT47" s="1"/>
      <c r="AU47" s="1"/>
    </row>
    <row r="48" ht="15.75" customHeight="1">
      <c r="A48" s="10"/>
      <c r="B48" s="10"/>
      <c r="C48" s="10"/>
      <c r="D48" s="13" t="s">
        <v>7</v>
      </c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>
        <f t="shared" si="6"/>
        <v>0</v>
      </c>
      <c r="AK48" s="1"/>
      <c r="AL48" s="1"/>
      <c r="AM48" s="4"/>
      <c r="AN48" s="1"/>
      <c r="AO48" s="1"/>
      <c r="AP48" s="1"/>
      <c r="AQ48" s="1"/>
      <c r="AR48" s="1"/>
      <c r="AS48" s="1"/>
      <c r="AT48" s="1"/>
      <c r="AU48" s="1"/>
    </row>
    <row r="49" ht="15.75" customHeight="1">
      <c r="A49" s="12"/>
      <c r="B49" s="12"/>
      <c r="C49" s="12"/>
      <c r="D49" s="13" t="s">
        <v>5</v>
      </c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>
        <f t="shared" si="6"/>
        <v>0</v>
      </c>
      <c r="AK49" s="1"/>
      <c r="AL49" s="1"/>
      <c r="AM49" s="4"/>
      <c r="AN49" s="1"/>
      <c r="AO49" s="1"/>
      <c r="AP49" s="1"/>
      <c r="AQ49" s="1"/>
      <c r="AR49" s="1"/>
      <c r="AS49" s="1"/>
      <c r="AT49" s="1"/>
      <c r="AU49" s="1"/>
    </row>
    <row r="50" ht="15.75" customHeight="1">
      <c r="A50" s="16"/>
      <c r="B50" s="16"/>
      <c r="C50" s="16"/>
      <c r="D50" s="13" t="s">
        <v>6</v>
      </c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>
        <f t="shared" si="6"/>
        <v>0</v>
      </c>
      <c r="AK50" s="1"/>
      <c r="AL50" s="1"/>
      <c r="AM50" s="4"/>
      <c r="AN50" s="1"/>
      <c r="AO50" s="1"/>
      <c r="AP50" s="1"/>
      <c r="AQ50" s="1"/>
      <c r="AR50" s="1"/>
      <c r="AS50" s="1"/>
      <c r="AT50" s="1"/>
      <c r="AU50" s="1"/>
    </row>
    <row r="51" ht="15.75" customHeight="1">
      <c r="A51" s="10"/>
      <c r="B51" s="10"/>
      <c r="C51" s="10"/>
      <c r="D51" s="13" t="s">
        <v>7</v>
      </c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>
        <f t="shared" si="6"/>
        <v>0</v>
      </c>
      <c r="AK51" s="1"/>
      <c r="AL51" s="1"/>
      <c r="AM51" s="4"/>
      <c r="AN51" s="1"/>
      <c r="AO51" s="1"/>
      <c r="AP51" s="1"/>
      <c r="AQ51" s="1"/>
      <c r="AR51" s="1"/>
      <c r="AS51" s="1"/>
      <c r="AT51" s="1"/>
      <c r="AU51" s="1"/>
    </row>
    <row r="52" ht="15.75" customHeight="1">
      <c r="A52" s="12"/>
      <c r="B52" s="12"/>
      <c r="C52" s="12"/>
      <c r="D52" s="13" t="s">
        <v>5</v>
      </c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>
        <f t="shared" si="6"/>
        <v>0</v>
      </c>
      <c r="AK52" s="1"/>
      <c r="AL52" s="1"/>
      <c r="AM52" s="4"/>
      <c r="AN52" s="1"/>
      <c r="AO52" s="1"/>
      <c r="AP52" s="1"/>
      <c r="AQ52" s="1"/>
      <c r="AR52" s="1"/>
      <c r="AS52" s="1"/>
      <c r="AT52" s="1"/>
      <c r="AU52" s="1"/>
    </row>
    <row r="53" ht="15.75" customHeight="1">
      <c r="A53" s="16"/>
      <c r="B53" s="16"/>
      <c r="C53" s="16"/>
      <c r="D53" s="13" t="s">
        <v>6</v>
      </c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>
        <f t="shared" si="6"/>
        <v>0</v>
      </c>
      <c r="AK53" s="1"/>
      <c r="AL53" s="1"/>
      <c r="AM53" s="4"/>
      <c r="AN53" s="1"/>
      <c r="AO53" s="1"/>
      <c r="AP53" s="1"/>
      <c r="AQ53" s="1"/>
      <c r="AR53" s="1"/>
      <c r="AS53" s="1"/>
      <c r="AT53" s="1"/>
      <c r="AU53" s="1"/>
    </row>
    <row r="54" ht="15.75" customHeight="1">
      <c r="A54" s="10"/>
      <c r="B54" s="10"/>
      <c r="C54" s="10"/>
      <c r="D54" s="13" t="s">
        <v>7</v>
      </c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>
        <f t="shared" si="6"/>
        <v>0</v>
      </c>
      <c r="AK54" s="1"/>
      <c r="AL54" s="1"/>
      <c r="AM54" s="4"/>
      <c r="AN54" s="1"/>
      <c r="AO54" s="1"/>
      <c r="AP54" s="1"/>
      <c r="AQ54" s="1"/>
      <c r="AR54" s="1"/>
      <c r="AS54" s="1"/>
      <c r="AT54" s="1"/>
      <c r="AU54" s="1"/>
    </row>
    <row r="55" ht="15.75" customHeight="1">
      <c r="A55" s="12"/>
      <c r="B55" s="12"/>
      <c r="C55" s="12"/>
      <c r="D55" s="13" t="s">
        <v>5</v>
      </c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>
        <f t="shared" si="6"/>
        <v>0</v>
      </c>
      <c r="AK55" s="1"/>
      <c r="AL55" s="1"/>
      <c r="AM55" s="4"/>
      <c r="AN55" s="1"/>
      <c r="AO55" s="1"/>
      <c r="AP55" s="1"/>
      <c r="AQ55" s="1"/>
      <c r="AR55" s="1"/>
      <c r="AS55" s="1"/>
      <c r="AT55" s="1"/>
      <c r="AU55" s="1"/>
    </row>
    <row r="56" ht="15.75" customHeight="1">
      <c r="A56" s="16"/>
      <c r="B56" s="16"/>
      <c r="C56" s="16"/>
      <c r="D56" s="13" t="s">
        <v>6</v>
      </c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>
        <f t="shared" si="6"/>
        <v>0</v>
      </c>
      <c r="AK56" s="1"/>
      <c r="AL56" s="1"/>
      <c r="AM56" s="4"/>
      <c r="AN56" s="1"/>
      <c r="AO56" s="1"/>
      <c r="AP56" s="1"/>
      <c r="AQ56" s="1"/>
      <c r="AR56" s="1"/>
      <c r="AS56" s="1"/>
      <c r="AT56" s="1"/>
      <c r="AU56" s="1"/>
    </row>
    <row r="57" ht="15.75" customHeight="1">
      <c r="A57" s="10"/>
      <c r="B57" s="10"/>
      <c r="C57" s="10"/>
      <c r="D57" s="13" t="s">
        <v>7</v>
      </c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>
        <f t="shared" si="6"/>
        <v>0</v>
      </c>
      <c r="AK57" s="1"/>
      <c r="AL57" s="1"/>
      <c r="AM57" s="4"/>
      <c r="AN57" s="1"/>
      <c r="AO57" s="1"/>
      <c r="AP57" s="1"/>
      <c r="AQ57" s="1"/>
      <c r="AR57" s="1"/>
      <c r="AS57" s="1"/>
      <c r="AT57" s="1"/>
      <c r="AU57" s="1"/>
    </row>
    <row r="58" ht="15.75" customHeight="1">
      <c r="A58" s="12"/>
      <c r="B58" s="12"/>
      <c r="C58" s="12"/>
      <c r="D58" s="13" t="s">
        <v>5</v>
      </c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>
        <f t="shared" si="6"/>
        <v>0</v>
      </c>
      <c r="AK58" s="1"/>
      <c r="AL58" s="1"/>
      <c r="AM58" s="4"/>
      <c r="AN58" s="1"/>
      <c r="AO58" s="1"/>
      <c r="AP58" s="1"/>
      <c r="AQ58" s="1"/>
      <c r="AR58" s="1"/>
      <c r="AS58" s="1"/>
      <c r="AT58" s="1"/>
      <c r="AU58" s="1"/>
    </row>
    <row r="59" ht="15.75" customHeight="1">
      <c r="A59" s="16"/>
      <c r="B59" s="16"/>
      <c r="C59" s="16"/>
      <c r="D59" s="13" t="s">
        <v>6</v>
      </c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>
        <f t="shared" si="6"/>
        <v>0</v>
      </c>
      <c r="AK59" s="1"/>
      <c r="AL59" s="1"/>
      <c r="AM59" s="4"/>
      <c r="AN59" s="1"/>
      <c r="AO59" s="1"/>
      <c r="AP59" s="1"/>
      <c r="AQ59" s="1"/>
      <c r="AR59" s="1"/>
      <c r="AS59" s="1"/>
      <c r="AT59" s="1"/>
      <c r="AU59" s="1"/>
    </row>
    <row r="60" ht="15.75" customHeight="1">
      <c r="A60" s="10"/>
      <c r="B60" s="10"/>
      <c r="C60" s="10"/>
      <c r="D60" s="13" t="s">
        <v>7</v>
      </c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>
        <f t="shared" si="6"/>
        <v>0</v>
      </c>
      <c r="AK60" s="1"/>
      <c r="AL60" s="1"/>
      <c r="AM60" s="4"/>
      <c r="AN60" s="1"/>
      <c r="AO60" s="1"/>
      <c r="AP60" s="1"/>
      <c r="AQ60" s="1"/>
      <c r="AR60" s="1"/>
      <c r="AS60" s="1"/>
      <c r="AT60" s="1"/>
      <c r="AU60" s="1"/>
    </row>
    <row r="61" ht="15.75" customHeight="1">
      <c r="A61" s="12"/>
      <c r="B61" s="12"/>
      <c r="C61" s="12"/>
      <c r="D61" s="13" t="s">
        <v>5</v>
      </c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>
        <f t="shared" si="6"/>
        <v>0</v>
      </c>
      <c r="AK61" s="1"/>
      <c r="AL61" s="1"/>
      <c r="AM61" s="4"/>
      <c r="AN61" s="1"/>
      <c r="AO61" s="1"/>
      <c r="AP61" s="1"/>
      <c r="AQ61" s="1"/>
      <c r="AR61" s="1"/>
      <c r="AS61" s="1"/>
      <c r="AT61" s="1"/>
      <c r="AU61" s="1"/>
    </row>
    <row r="62" ht="15.75" customHeight="1">
      <c r="A62" s="16"/>
      <c r="B62" s="16"/>
      <c r="C62" s="16"/>
      <c r="D62" s="13" t="s">
        <v>6</v>
      </c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>
        <f t="shared" si="6"/>
        <v>0</v>
      </c>
      <c r="AK62" s="1"/>
      <c r="AL62" s="1"/>
      <c r="AM62" s="4"/>
      <c r="AN62" s="1"/>
      <c r="AO62" s="1"/>
      <c r="AP62" s="1"/>
      <c r="AQ62" s="1"/>
      <c r="AR62" s="1"/>
      <c r="AS62" s="1"/>
      <c r="AT62" s="1"/>
      <c r="AU62" s="1"/>
    </row>
    <row r="63" ht="15.75" customHeight="1">
      <c r="A63" s="10"/>
      <c r="B63" s="10"/>
      <c r="C63" s="10"/>
      <c r="D63" s="13" t="s">
        <v>7</v>
      </c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>
        <f t="shared" si="6"/>
        <v>0</v>
      </c>
      <c r="AK63" s="1"/>
      <c r="AL63" s="1"/>
      <c r="AM63" s="4"/>
      <c r="AN63" s="1"/>
      <c r="AO63" s="1"/>
      <c r="AP63" s="1"/>
      <c r="AQ63" s="1"/>
      <c r="AR63" s="1"/>
      <c r="AS63" s="1"/>
      <c r="AT63" s="1"/>
      <c r="AU63" s="1"/>
    </row>
    <row r="64" ht="15.75" customHeight="1">
      <c r="A64" s="12"/>
      <c r="B64" s="12"/>
      <c r="C64" s="12"/>
      <c r="D64" s="13" t="s">
        <v>5</v>
      </c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>
        <f t="shared" si="6"/>
        <v>0</v>
      </c>
      <c r="AK64" s="1"/>
      <c r="AL64" s="1"/>
      <c r="AM64" s="4"/>
      <c r="AN64" s="1"/>
      <c r="AO64" s="1"/>
      <c r="AP64" s="1"/>
      <c r="AQ64" s="1"/>
      <c r="AR64" s="1"/>
      <c r="AS64" s="1"/>
      <c r="AT64" s="1"/>
      <c r="AU64" s="1"/>
    </row>
    <row r="65" ht="15.75" customHeight="1">
      <c r="A65" s="16"/>
      <c r="B65" s="16"/>
      <c r="C65" s="16"/>
      <c r="D65" s="13" t="s">
        <v>6</v>
      </c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>
        <f t="shared" si="6"/>
        <v>0</v>
      </c>
      <c r="AK65" s="1"/>
      <c r="AL65" s="1"/>
      <c r="AM65" s="4"/>
      <c r="AN65" s="1"/>
      <c r="AO65" s="1"/>
      <c r="AP65" s="1"/>
      <c r="AQ65" s="1"/>
      <c r="AR65" s="1"/>
      <c r="AS65" s="1"/>
      <c r="AT65" s="1"/>
      <c r="AU65" s="1"/>
    </row>
    <row r="66" ht="15.75" customHeight="1">
      <c r="A66" s="10"/>
      <c r="B66" s="10"/>
      <c r="C66" s="10"/>
      <c r="D66" s="13" t="s">
        <v>7</v>
      </c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>
        <f t="shared" si="6"/>
        <v>0</v>
      </c>
      <c r="AK66" s="1"/>
      <c r="AL66" s="1"/>
      <c r="AM66" s="4"/>
      <c r="AN66" s="1"/>
      <c r="AO66" s="1"/>
      <c r="AP66" s="1"/>
      <c r="AQ66" s="1"/>
      <c r="AR66" s="1"/>
      <c r="AS66" s="1"/>
      <c r="AT66" s="1"/>
      <c r="AU66" s="1"/>
    </row>
    <row r="67" ht="15.75" customHeight="1">
      <c r="A67" s="12"/>
      <c r="B67" s="12"/>
      <c r="C67" s="12"/>
      <c r="D67" s="13" t="s">
        <v>5</v>
      </c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>
        <f t="shared" si="6"/>
        <v>0</v>
      </c>
      <c r="AK67" s="1"/>
      <c r="AL67" s="1"/>
      <c r="AM67" s="4"/>
      <c r="AN67" s="1"/>
      <c r="AO67" s="1"/>
      <c r="AP67" s="1"/>
      <c r="AQ67" s="1"/>
      <c r="AR67" s="1"/>
      <c r="AS67" s="1"/>
      <c r="AT67" s="1"/>
      <c r="AU67" s="1"/>
    </row>
    <row r="68" ht="15.75" customHeight="1">
      <c r="A68" s="16"/>
      <c r="B68" s="16"/>
      <c r="C68" s="16"/>
      <c r="D68" s="13" t="s">
        <v>6</v>
      </c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>
        <f t="shared" si="6"/>
        <v>0</v>
      </c>
      <c r="AK68" s="1"/>
      <c r="AL68" s="1"/>
      <c r="AM68" s="4"/>
      <c r="AN68" s="1"/>
      <c r="AO68" s="1"/>
      <c r="AP68" s="1"/>
      <c r="AQ68" s="1"/>
      <c r="AR68" s="1"/>
      <c r="AS68" s="1"/>
      <c r="AT68" s="1"/>
      <c r="AU68" s="1"/>
    </row>
    <row r="69" ht="15.75" customHeight="1">
      <c r="A69" s="10"/>
      <c r="B69" s="10"/>
      <c r="C69" s="10"/>
      <c r="D69" s="13" t="s">
        <v>7</v>
      </c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>
        <f t="shared" si="6"/>
        <v>0</v>
      </c>
      <c r="AK69" s="1"/>
      <c r="AL69" s="1"/>
      <c r="AM69" s="4"/>
      <c r="AN69" s="1"/>
      <c r="AO69" s="1"/>
      <c r="AP69" s="1"/>
      <c r="AQ69" s="1"/>
      <c r="AR69" s="1"/>
      <c r="AS69" s="1"/>
      <c r="AT69" s="1"/>
      <c r="AU69" s="1"/>
    </row>
    <row r="70" ht="15.75" customHeight="1">
      <c r="A70" s="12"/>
      <c r="B70" s="12"/>
      <c r="C70" s="12"/>
      <c r="D70" s="13" t="s">
        <v>5</v>
      </c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>
        <f t="shared" si="6"/>
        <v>0</v>
      </c>
      <c r="AK70" s="1"/>
      <c r="AL70" s="1"/>
      <c r="AM70" s="4"/>
      <c r="AN70" s="1"/>
      <c r="AO70" s="1"/>
      <c r="AP70" s="1"/>
      <c r="AQ70" s="1"/>
      <c r="AR70" s="1"/>
      <c r="AS70" s="1"/>
      <c r="AT70" s="1"/>
      <c r="AU70" s="1"/>
    </row>
    <row r="71" ht="15.75" customHeight="1">
      <c r="A71" s="16"/>
      <c r="B71" s="16"/>
      <c r="C71" s="16"/>
      <c r="D71" s="13" t="s">
        <v>6</v>
      </c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>
        <f t="shared" si="6"/>
        <v>0</v>
      </c>
      <c r="AK71" s="1"/>
      <c r="AL71" s="1"/>
      <c r="AM71" s="4"/>
      <c r="AN71" s="1"/>
      <c r="AO71" s="1"/>
      <c r="AP71" s="1"/>
      <c r="AQ71" s="1"/>
      <c r="AR71" s="1"/>
      <c r="AS71" s="1"/>
      <c r="AT71" s="1"/>
      <c r="AU71" s="1"/>
    </row>
    <row r="72" ht="15.75" customHeight="1">
      <c r="A72" s="10"/>
      <c r="B72" s="10"/>
      <c r="C72" s="10"/>
      <c r="D72" s="13" t="s">
        <v>7</v>
      </c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>
        <f t="shared" si="6"/>
        <v>0</v>
      </c>
      <c r="AK72" s="1"/>
      <c r="AL72" s="1"/>
      <c r="AM72" s="4"/>
      <c r="AN72" s="1"/>
      <c r="AO72" s="1"/>
      <c r="AP72" s="1"/>
      <c r="AQ72" s="1"/>
      <c r="AR72" s="1"/>
      <c r="AS72" s="1"/>
      <c r="AT72" s="1"/>
      <c r="AU72" s="1"/>
    </row>
    <row r="73" ht="15.75" customHeight="1">
      <c r="A73" s="31"/>
      <c r="B73" s="31"/>
      <c r="C73" s="3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4"/>
      <c r="AN73" s="1"/>
      <c r="AO73" s="1"/>
      <c r="AP73" s="1"/>
      <c r="AQ73" s="1"/>
      <c r="AR73" s="1"/>
      <c r="AS73" s="1"/>
      <c r="AT73" s="1"/>
      <c r="AU73" s="1"/>
    </row>
    <row r="74" ht="15.75" customHeight="1">
      <c r="A74" s="31"/>
      <c r="B74" s="31"/>
      <c r="C74" s="3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4"/>
      <c r="AN74" s="1"/>
      <c r="AO74" s="1"/>
      <c r="AP74" s="1"/>
      <c r="AQ74" s="1"/>
      <c r="AR74" s="1"/>
      <c r="AS74" s="1"/>
      <c r="AT74" s="1"/>
      <c r="AU74" s="1"/>
    </row>
    <row r="75" ht="15.75" customHeight="1">
      <c r="A75" s="31"/>
      <c r="B75" s="31"/>
      <c r="C75" s="3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4"/>
      <c r="AN75" s="1"/>
      <c r="AO75" s="1"/>
      <c r="AP75" s="1"/>
      <c r="AQ75" s="1"/>
      <c r="AR75" s="1"/>
      <c r="AS75" s="1"/>
      <c r="AT75" s="1"/>
      <c r="AU75" s="1"/>
    </row>
    <row r="76" ht="15.75" customHeight="1">
      <c r="A76" s="31"/>
      <c r="B76" s="31"/>
      <c r="C76" s="3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4"/>
      <c r="AN76" s="1"/>
      <c r="AO76" s="1"/>
      <c r="AP76" s="1"/>
      <c r="AQ76" s="1"/>
      <c r="AR76" s="1"/>
      <c r="AS76" s="1"/>
      <c r="AT76" s="1"/>
      <c r="AU76" s="1"/>
    </row>
    <row r="77" ht="15.75" customHeight="1">
      <c r="A77" s="31"/>
      <c r="B77" s="31"/>
      <c r="C77" s="3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4"/>
      <c r="AN77" s="1"/>
      <c r="AO77" s="1"/>
      <c r="AP77" s="1"/>
      <c r="AQ77" s="1"/>
      <c r="AR77" s="1"/>
      <c r="AS77" s="1"/>
      <c r="AT77" s="1"/>
      <c r="AU77" s="1"/>
    </row>
    <row r="78" ht="15.75" customHeight="1">
      <c r="A78" s="31"/>
      <c r="B78" s="31"/>
      <c r="C78" s="3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4"/>
      <c r="AN78" s="1"/>
      <c r="AO78" s="1"/>
      <c r="AP78" s="1"/>
      <c r="AQ78" s="1"/>
      <c r="AR78" s="1"/>
      <c r="AS78" s="1"/>
      <c r="AT78" s="1"/>
      <c r="AU78" s="1"/>
    </row>
    <row r="79" ht="15.75" customHeight="1">
      <c r="A79" s="31"/>
      <c r="B79" s="31"/>
      <c r="C79" s="3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4"/>
      <c r="AN79" s="1"/>
      <c r="AO79" s="1"/>
      <c r="AP79" s="1"/>
      <c r="AQ79" s="1"/>
      <c r="AR79" s="1"/>
      <c r="AS79" s="1"/>
      <c r="AT79" s="1"/>
      <c r="AU79" s="1"/>
    </row>
    <row r="80" ht="15.75" customHeight="1">
      <c r="A80" s="31"/>
      <c r="B80" s="31"/>
      <c r="C80" s="3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4"/>
      <c r="AN80" s="1"/>
      <c r="AO80" s="1"/>
      <c r="AP80" s="1"/>
      <c r="AQ80" s="1"/>
      <c r="AR80" s="1"/>
      <c r="AS80" s="1"/>
      <c r="AT80" s="1"/>
      <c r="AU80" s="1"/>
    </row>
    <row r="81" ht="15.75" customHeight="1">
      <c r="A81" s="31"/>
      <c r="B81" s="31"/>
      <c r="C81" s="3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4"/>
      <c r="AN81" s="1"/>
      <c r="AO81" s="1"/>
      <c r="AP81" s="1"/>
      <c r="AQ81" s="1"/>
      <c r="AR81" s="1"/>
      <c r="AS81" s="1"/>
      <c r="AT81" s="1"/>
      <c r="AU81" s="1"/>
    </row>
    <row r="82" ht="15.75" customHeight="1">
      <c r="A82" s="31"/>
      <c r="B82" s="31"/>
      <c r="C82" s="3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4"/>
      <c r="AN82" s="1"/>
      <c r="AO82" s="1"/>
      <c r="AP82" s="1"/>
      <c r="AQ82" s="1"/>
      <c r="AR82" s="1"/>
      <c r="AS82" s="1"/>
      <c r="AT82" s="1"/>
      <c r="AU82" s="1"/>
    </row>
    <row r="83" ht="15.75" customHeight="1">
      <c r="A83" s="31"/>
      <c r="B83" s="31"/>
      <c r="C83" s="3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4"/>
      <c r="AN83" s="1"/>
      <c r="AO83" s="1"/>
      <c r="AP83" s="1"/>
      <c r="AQ83" s="1"/>
      <c r="AR83" s="1"/>
      <c r="AS83" s="1"/>
      <c r="AT83" s="1"/>
      <c r="AU83" s="1"/>
    </row>
    <row r="84" ht="15.75" customHeight="1">
      <c r="A84" s="31"/>
      <c r="B84" s="31"/>
      <c r="C84" s="3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4"/>
      <c r="AN84" s="1"/>
      <c r="AO84" s="1"/>
      <c r="AP84" s="1"/>
      <c r="AQ84" s="1"/>
      <c r="AR84" s="1"/>
      <c r="AS84" s="1"/>
      <c r="AT84" s="1"/>
      <c r="AU84" s="1"/>
    </row>
    <row r="85" ht="15.75" customHeight="1">
      <c r="A85" s="31"/>
      <c r="B85" s="31"/>
      <c r="C85" s="3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4"/>
      <c r="AN85" s="1"/>
      <c r="AO85" s="1"/>
      <c r="AP85" s="1"/>
      <c r="AQ85" s="1"/>
      <c r="AR85" s="1"/>
      <c r="AS85" s="1"/>
      <c r="AT85" s="1"/>
      <c r="AU85" s="1"/>
    </row>
    <row r="86" ht="15.75" customHeight="1">
      <c r="A86" s="31"/>
      <c r="B86" s="31"/>
      <c r="C86" s="3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4"/>
      <c r="AN86" s="1"/>
      <c r="AO86" s="1"/>
      <c r="AP86" s="1"/>
      <c r="AQ86" s="1"/>
      <c r="AR86" s="1"/>
      <c r="AS86" s="1"/>
      <c r="AT86" s="1"/>
      <c r="AU86" s="1"/>
    </row>
    <row r="87" ht="15.75" customHeight="1">
      <c r="A87" s="31"/>
      <c r="B87" s="31"/>
      <c r="C87" s="3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4"/>
      <c r="AN87" s="1"/>
      <c r="AO87" s="1"/>
      <c r="AP87" s="1"/>
      <c r="AQ87" s="1"/>
      <c r="AR87" s="1"/>
      <c r="AS87" s="1"/>
      <c r="AT87" s="1"/>
      <c r="AU87" s="1"/>
    </row>
    <row r="88" ht="15.75" customHeight="1">
      <c r="A88" s="31"/>
      <c r="B88" s="31"/>
      <c r="C88" s="3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4"/>
      <c r="AN88" s="1"/>
      <c r="AO88" s="1"/>
      <c r="AP88" s="1"/>
      <c r="AQ88" s="1"/>
      <c r="AR88" s="1"/>
      <c r="AS88" s="1"/>
      <c r="AT88" s="1"/>
      <c r="AU88" s="1"/>
    </row>
    <row r="89" ht="15.75" customHeight="1">
      <c r="A89" s="31"/>
      <c r="B89" s="31"/>
      <c r="C89" s="3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4"/>
      <c r="AN89" s="1"/>
      <c r="AO89" s="1"/>
      <c r="AP89" s="1"/>
      <c r="AQ89" s="1"/>
      <c r="AR89" s="1"/>
      <c r="AS89" s="1"/>
      <c r="AT89" s="1"/>
      <c r="AU89" s="1"/>
    </row>
    <row r="90" ht="15.75" customHeight="1">
      <c r="A90" s="31"/>
      <c r="B90" s="31"/>
      <c r="C90" s="3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4"/>
      <c r="AN90" s="1"/>
      <c r="AO90" s="1"/>
      <c r="AP90" s="1"/>
      <c r="AQ90" s="1"/>
      <c r="AR90" s="1"/>
      <c r="AS90" s="1"/>
      <c r="AT90" s="1"/>
      <c r="AU90" s="1"/>
    </row>
    <row r="91" ht="15.75" customHeight="1">
      <c r="A91" s="31"/>
      <c r="B91" s="31"/>
      <c r="C91" s="3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4"/>
      <c r="AN91" s="1"/>
      <c r="AO91" s="1"/>
      <c r="AP91" s="1"/>
      <c r="AQ91" s="1"/>
      <c r="AR91" s="1"/>
      <c r="AS91" s="1"/>
      <c r="AT91" s="1"/>
      <c r="AU91" s="1"/>
    </row>
    <row r="92" ht="15.75" customHeight="1">
      <c r="A92" s="31"/>
      <c r="B92" s="31"/>
      <c r="C92" s="3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4"/>
      <c r="AN92" s="1"/>
      <c r="AO92" s="1"/>
      <c r="AP92" s="1"/>
      <c r="AQ92" s="1"/>
      <c r="AR92" s="1"/>
      <c r="AS92" s="1"/>
      <c r="AT92" s="1"/>
      <c r="AU92" s="1"/>
    </row>
    <row r="93" ht="15.75" customHeight="1">
      <c r="A93" s="31"/>
      <c r="B93" s="31"/>
      <c r="C93" s="3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4"/>
      <c r="AN93" s="1"/>
      <c r="AO93" s="1"/>
      <c r="AP93" s="1"/>
      <c r="AQ93" s="1"/>
      <c r="AR93" s="1"/>
      <c r="AS93" s="1"/>
      <c r="AT93" s="1"/>
      <c r="AU93" s="1"/>
    </row>
    <row r="94" ht="15.75" customHeight="1">
      <c r="A94" s="31"/>
      <c r="B94" s="31"/>
      <c r="C94" s="3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4"/>
      <c r="AN94" s="1"/>
      <c r="AO94" s="1"/>
      <c r="AP94" s="1"/>
      <c r="AQ94" s="1"/>
      <c r="AR94" s="1"/>
      <c r="AS94" s="1"/>
      <c r="AT94" s="1"/>
      <c r="AU94" s="1"/>
    </row>
    <row r="95" ht="15.75" customHeight="1">
      <c r="A95" s="31"/>
      <c r="B95" s="31"/>
      <c r="C95" s="3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4"/>
      <c r="AN95" s="1"/>
      <c r="AO95" s="1"/>
      <c r="AP95" s="1"/>
      <c r="AQ95" s="1"/>
      <c r="AR95" s="1"/>
      <c r="AS95" s="1"/>
      <c r="AT95" s="1"/>
      <c r="AU95" s="1"/>
    </row>
    <row r="96" ht="15.75" customHeight="1">
      <c r="A96" s="31"/>
      <c r="B96" s="31"/>
      <c r="C96" s="3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4"/>
      <c r="AN96" s="1"/>
      <c r="AO96" s="1"/>
      <c r="AP96" s="1"/>
      <c r="AQ96" s="1"/>
      <c r="AR96" s="1"/>
      <c r="AS96" s="1"/>
      <c r="AT96" s="1"/>
      <c r="AU96" s="1"/>
    </row>
    <row r="97" ht="15.75" customHeight="1">
      <c r="A97" s="31"/>
      <c r="B97" s="31"/>
      <c r="C97" s="3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4"/>
      <c r="AN97" s="1"/>
      <c r="AO97" s="1"/>
      <c r="AP97" s="1"/>
      <c r="AQ97" s="1"/>
      <c r="AR97" s="1"/>
      <c r="AS97" s="1"/>
      <c r="AT97" s="1"/>
      <c r="AU97" s="1"/>
    </row>
    <row r="98" ht="15.75" customHeight="1">
      <c r="A98" s="31"/>
      <c r="B98" s="31"/>
      <c r="C98" s="3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4"/>
      <c r="AN98" s="1"/>
      <c r="AO98" s="1"/>
      <c r="AP98" s="1"/>
      <c r="AQ98" s="1"/>
      <c r="AR98" s="1"/>
      <c r="AS98" s="1"/>
      <c r="AT98" s="1"/>
      <c r="AU98" s="1"/>
    </row>
    <row r="99" ht="15.75" customHeight="1">
      <c r="A99" s="31"/>
      <c r="B99" s="31"/>
      <c r="C99" s="3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4"/>
      <c r="AN99" s="1"/>
      <c r="AO99" s="1"/>
      <c r="AP99" s="1"/>
      <c r="AQ99" s="1"/>
      <c r="AR99" s="1"/>
      <c r="AS99" s="1"/>
      <c r="AT99" s="1"/>
      <c r="AU99" s="1"/>
    </row>
    <row r="100" ht="15.75" customHeight="1">
      <c r="A100" s="31"/>
      <c r="B100" s="31"/>
      <c r="C100" s="3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4"/>
      <c r="AN100" s="1"/>
      <c r="AO100" s="1"/>
      <c r="AP100" s="1"/>
      <c r="AQ100" s="1"/>
      <c r="AR100" s="1"/>
      <c r="AS100" s="1"/>
      <c r="AT100" s="1"/>
      <c r="AU100" s="1"/>
    </row>
    <row r="101" ht="15.75" customHeight="1">
      <c r="A101" s="31"/>
      <c r="B101" s="31"/>
      <c r="C101" s="3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4"/>
      <c r="AN101" s="1"/>
      <c r="AO101" s="1"/>
      <c r="AP101" s="1"/>
      <c r="AQ101" s="1"/>
      <c r="AR101" s="1"/>
      <c r="AS101" s="1"/>
      <c r="AT101" s="1"/>
      <c r="AU101" s="1"/>
    </row>
    <row r="102" ht="15.75" customHeight="1">
      <c r="A102" s="31"/>
      <c r="B102" s="31"/>
      <c r="C102" s="3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4"/>
      <c r="AN102" s="1"/>
      <c r="AO102" s="1"/>
      <c r="AP102" s="1"/>
      <c r="AQ102" s="1"/>
      <c r="AR102" s="1"/>
      <c r="AS102" s="1"/>
      <c r="AT102" s="1"/>
      <c r="AU102" s="1"/>
    </row>
    <row r="103" ht="15.75" customHeight="1">
      <c r="A103" s="31"/>
      <c r="B103" s="31"/>
      <c r="C103" s="3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4"/>
      <c r="AN103" s="1"/>
      <c r="AO103" s="1"/>
      <c r="AP103" s="1"/>
      <c r="AQ103" s="1"/>
      <c r="AR103" s="1"/>
      <c r="AS103" s="1"/>
      <c r="AT103" s="1"/>
      <c r="AU103" s="1"/>
    </row>
    <row r="104" ht="15.75" customHeight="1">
      <c r="A104" s="31"/>
      <c r="B104" s="31"/>
      <c r="C104" s="3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4"/>
      <c r="AN104" s="1"/>
      <c r="AO104" s="1"/>
      <c r="AP104" s="1"/>
      <c r="AQ104" s="1"/>
      <c r="AR104" s="1"/>
      <c r="AS104" s="1"/>
      <c r="AT104" s="1"/>
      <c r="AU104" s="1"/>
    </row>
    <row r="105" ht="15.75" customHeight="1">
      <c r="A105" s="31"/>
      <c r="B105" s="31"/>
      <c r="C105" s="3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4"/>
      <c r="AN105" s="1"/>
      <c r="AO105" s="1"/>
      <c r="AP105" s="1"/>
      <c r="AQ105" s="1"/>
      <c r="AR105" s="1"/>
      <c r="AS105" s="1"/>
      <c r="AT105" s="1"/>
      <c r="AU105" s="1"/>
    </row>
    <row r="106" ht="15.75" customHeight="1">
      <c r="A106" s="31"/>
      <c r="B106" s="31"/>
      <c r="C106" s="3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4"/>
      <c r="AN106" s="1"/>
      <c r="AO106" s="1"/>
      <c r="AP106" s="1"/>
      <c r="AQ106" s="1"/>
      <c r="AR106" s="1"/>
      <c r="AS106" s="1"/>
      <c r="AT106" s="1"/>
      <c r="AU106" s="1"/>
    </row>
    <row r="107" ht="15.75" customHeight="1">
      <c r="A107" s="31"/>
      <c r="B107" s="31"/>
      <c r="C107" s="3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4"/>
      <c r="AN107" s="1"/>
      <c r="AO107" s="1"/>
      <c r="AP107" s="1"/>
      <c r="AQ107" s="1"/>
      <c r="AR107" s="1"/>
      <c r="AS107" s="1"/>
      <c r="AT107" s="1"/>
      <c r="AU107" s="1"/>
    </row>
    <row r="108" ht="15.75" customHeight="1">
      <c r="A108" s="31"/>
      <c r="B108" s="31"/>
      <c r="C108" s="3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4"/>
      <c r="AN108" s="1"/>
      <c r="AO108" s="1"/>
      <c r="AP108" s="1"/>
      <c r="AQ108" s="1"/>
      <c r="AR108" s="1"/>
      <c r="AS108" s="1"/>
      <c r="AT108" s="1"/>
      <c r="AU108" s="1"/>
    </row>
    <row r="109" ht="15.75" customHeight="1">
      <c r="A109" s="31"/>
      <c r="B109" s="31"/>
      <c r="C109" s="3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4"/>
      <c r="AN109" s="1"/>
      <c r="AO109" s="1"/>
      <c r="AP109" s="1"/>
      <c r="AQ109" s="1"/>
      <c r="AR109" s="1"/>
      <c r="AS109" s="1"/>
      <c r="AT109" s="1"/>
      <c r="AU109" s="1"/>
    </row>
    <row r="110" ht="15.75" customHeight="1">
      <c r="A110" s="31"/>
      <c r="B110" s="31"/>
      <c r="C110" s="3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4"/>
      <c r="AN110" s="1"/>
      <c r="AO110" s="1"/>
      <c r="AP110" s="1"/>
      <c r="AQ110" s="1"/>
      <c r="AR110" s="1"/>
      <c r="AS110" s="1"/>
      <c r="AT110" s="1"/>
      <c r="AU110" s="1"/>
    </row>
    <row r="111" ht="15.75" customHeight="1">
      <c r="A111" s="31"/>
      <c r="B111" s="31"/>
      <c r="C111" s="3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4"/>
      <c r="AN111" s="1"/>
      <c r="AO111" s="1"/>
      <c r="AP111" s="1"/>
      <c r="AQ111" s="1"/>
      <c r="AR111" s="1"/>
      <c r="AS111" s="1"/>
      <c r="AT111" s="1"/>
      <c r="AU111" s="1"/>
    </row>
    <row r="112" ht="15.75" customHeight="1">
      <c r="A112" s="31"/>
      <c r="B112" s="31"/>
      <c r="C112" s="3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4"/>
      <c r="AN112" s="1"/>
      <c r="AO112" s="1"/>
      <c r="AP112" s="1"/>
      <c r="AQ112" s="1"/>
      <c r="AR112" s="1"/>
      <c r="AS112" s="1"/>
      <c r="AT112" s="1"/>
      <c r="AU112" s="1"/>
    </row>
    <row r="113" ht="15.75" customHeight="1">
      <c r="A113" s="31"/>
      <c r="B113" s="31"/>
      <c r="C113" s="3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4"/>
      <c r="AN113" s="1"/>
      <c r="AO113" s="1"/>
      <c r="AP113" s="1"/>
      <c r="AQ113" s="1"/>
      <c r="AR113" s="1"/>
      <c r="AS113" s="1"/>
      <c r="AT113" s="1"/>
      <c r="AU113" s="1"/>
    </row>
    <row r="114" ht="15.75" customHeight="1">
      <c r="A114" s="31"/>
      <c r="B114" s="31"/>
      <c r="C114" s="3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4"/>
      <c r="AN114" s="1"/>
      <c r="AO114" s="1"/>
      <c r="AP114" s="1"/>
      <c r="AQ114" s="1"/>
      <c r="AR114" s="1"/>
      <c r="AS114" s="1"/>
      <c r="AT114" s="1"/>
      <c r="AU114" s="1"/>
    </row>
    <row r="115" ht="15.75" customHeight="1">
      <c r="A115" s="31"/>
      <c r="B115" s="31"/>
      <c r="C115" s="3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4"/>
      <c r="AN115" s="1"/>
      <c r="AO115" s="1"/>
      <c r="AP115" s="1"/>
      <c r="AQ115" s="1"/>
      <c r="AR115" s="1"/>
      <c r="AS115" s="1"/>
      <c r="AT115" s="1"/>
      <c r="AU115" s="1"/>
    </row>
    <row r="116" ht="15.75" customHeight="1">
      <c r="A116" s="31"/>
      <c r="B116" s="31"/>
      <c r="C116" s="3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4"/>
      <c r="AN116" s="1"/>
      <c r="AO116" s="1"/>
      <c r="AP116" s="1"/>
      <c r="AQ116" s="1"/>
      <c r="AR116" s="1"/>
      <c r="AS116" s="1"/>
      <c r="AT116" s="1"/>
      <c r="AU116" s="1"/>
    </row>
    <row r="117" ht="15.75" customHeight="1">
      <c r="A117" s="31"/>
      <c r="B117" s="31"/>
      <c r="C117" s="3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4"/>
      <c r="AN117" s="1"/>
      <c r="AO117" s="1"/>
      <c r="AP117" s="1"/>
      <c r="AQ117" s="1"/>
      <c r="AR117" s="1"/>
      <c r="AS117" s="1"/>
      <c r="AT117" s="1"/>
      <c r="AU117" s="1"/>
    </row>
    <row r="118" ht="15.75" customHeight="1">
      <c r="A118" s="31"/>
      <c r="B118" s="31"/>
      <c r="C118" s="3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4"/>
      <c r="AN118" s="1"/>
      <c r="AO118" s="1"/>
      <c r="AP118" s="1"/>
      <c r="AQ118" s="1"/>
      <c r="AR118" s="1"/>
      <c r="AS118" s="1"/>
      <c r="AT118" s="1"/>
      <c r="AU118" s="1"/>
    </row>
    <row r="119" ht="15.75" customHeight="1">
      <c r="A119" s="31"/>
      <c r="B119" s="31"/>
      <c r="C119" s="3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4"/>
      <c r="AN119" s="1"/>
      <c r="AO119" s="1"/>
      <c r="AP119" s="1"/>
      <c r="AQ119" s="1"/>
      <c r="AR119" s="1"/>
      <c r="AS119" s="1"/>
      <c r="AT119" s="1"/>
      <c r="AU119" s="1"/>
    </row>
    <row r="120" ht="15.75" customHeight="1">
      <c r="A120" s="31"/>
      <c r="B120" s="31"/>
      <c r="C120" s="3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4"/>
      <c r="AN120" s="1"/>
      <c r="AO120" s="1"/>
      <c r="AP120" s="1"/>
      <c r="AQ120" s="1"/>
      <c r="AR120" s="1"/>
      <c r="AS120" s="1"/>
      <c r="AT120" s="1"/>
      <c r="AU120" s="1"/>
    </row>
    <row r="121" ht="15.75" customHeight="1">
      <c r="A121" s="31"/>
      <c r="B121" s="31"/>
      <c r="C121" s="3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4"/>
      <c r="AN121" s="1"/>
      <c r="AO121" s="1"/>
      <c r="AP121" s="1"/>
      <c r="AQ121" s="1"/>
      <c r="AR121" s="1"/>
      <c r="AS121" s="1"/>
      <c r="AT121" s="1"/>
      <c r="AU121" s="1"/>
    </row>
    <row r="122" ht="15.75" customHeight="1">
      <c r="A122" s="31"/>
      <c r="B122" s="31"/>
      <c r="C122" s="3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4"/>
      <c r="AN122" s="1"/>
      <c r="AO122" s="1"/>
      <c r="AP122" s="1"/>
      <c r="AQ122" s="1"/>
      <c r="AR122" s="1"/>
      <c r="AS122" s="1"/>
      <c r="AT122" s="1"/>
      <c r="AU122" s="1"/>
    </row>
    <row r="123" ht="15.75" customHeight="1">
      <c r="A123" s="31"/>
      <c r="B123" s="31"/>
      <c r="C123" s="3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4"/>
      <c r="AN123" s="1"/>
      <c r="AO123" s="1"/>
      <c r="AP123" s="1"/>
      <c r="AQ123" s="1"/>
      <c r="AR123" s="1"/>
      <c r="AS123" s="1"/>
      <c r="AT123" s="1"/>
      <c r="AU123" s="1"/>
    </row>
    <row r="124" ht="15.75" customHeight="1">
      <c r="A124" s="31"/>
      <c r="B124" s="31"/>
      <c r="C124" s="3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4"/>
      <c r="AN124" s="1"/>
      <c r="AO124" s="1"/>
      <c r="AP124" s="1"/>
      <c r="AQ124" s="1"/>
      <c r="AR124" s="1"/>
      <c r="AS124" s="1"/>
      <c r="AT124" s="1"/>
      <c r="AU124" s="1"/>
    </row>
    <row r="125" ht="15.75" customHeight="1">
      <c r="A125" s="31"/>
      <c r="B125" s="31"/>
      <c r="C125" s="3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4"/>
      <c r="AN125" s="1"/>
      <c r="AO125" s="1"/>
      <c r="AP125" s="1"/>
      <c r="AQ125" s="1"/>
      <c r="AR125" s="1"/>
      <c r="AS125" s="1"/>
      <c r="AT125" s="1"/>
      <c r="AU125" s="1"/>
    </row>
    <row r="126" ht="15.75" customHeight="1">
      <c r="A126" s="31"/>
      <c r="B126" s="31"/>
      <c r="C126" s="3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4"/>
      <c r="AN126" s="1"/>
      <c r="AO126" s="1"/>
      <c r="AP126" s="1"/>
      <c r="AQ126" s="1"/>
      <c r="AR126" s="1"/>
      <c r="AS126" s="1"/>
      <c r="AT126" s="1"/>
      <c r="AU126" s="1"/>
    </row>
    <row r="127" ht="15.75" customHeight="1">
      <c r="A127" s="31"/>
      <c r="B127" s="31"/>
      <c r="C127" s="3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4"/>
      <c r="AN127" s="1"/>
      <c r="AO127" s="1"/>
      <c r="AP127" s="1"/>
      <c r="AQ127" s="1"/>
      <c r="AR127" s="1"/>
      <c r="AS127" s="1"/>
      <c r="AT127" s="1"/>
      <c r="AU127" s="1"/>
    </row>
    <row r="128" ht="15.75" customHeight="1">
      <c r="A128" s="31"/>
      <c r="B128" s="31"/>
      <c r="C128" s="3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4"/>
      <c r="AN128" s="1"/>
      <c r="AO128" s="1"/>
      <c r="AP128" s="1"/>
      <c r="AQ128" s="1"/>
      <c r="AR128" s="1"/>
      <c r="AS128" s="1"/>
      <c r="AT128" s="1"/>
      <c r="AU128" s="1"/>
    </row>
    <row r="129" ht="15.75" customHeight="1">
      <c r="A129" s="31"/>
      <c r="B129" s="31"/>
      <c r="C129" s="3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4"/>
      <c r="AN129" s="1"/>
      <c r="AO129" s="1"/>
      <c r="AP129" s="1"/>
      <c r="AQ129" s="1"/>
      <c r="AR129" s="1"/>
      <c r="AS129" s="1"/>
      <c r="AT129" s="1"/>
      <c r="AU129" s="1"/>
    </row>
    <row r="130" ht="15.75" customHeight="1">
      <c r="A130" s="31"/>
      <c r="B130" s="31"/>
      <c r="C130" s="3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4"/>
      <c r="AN130" s="1"/>
      <c r="AO130" s="1"/>
      <c r="AP130" s="1"/>
      <c r="AQ130" s="1"/>
      <c r="AR130" s="1"/>
      <c r="AS130" s="1"/>
      <c r="AT130" s="1"/>
      <c r="AU130" s="1"/>
    </row>
    <row r="131" ht="15.75" customHeight="1">
      <c r="A131" s="31"/>
      <c r="B131" s="31"/>
      <c r="C131" s="3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4"/>
      <c r="AN131" s="1"/>
      <c r="AO131" s="1"/>
      <c r="AP131" s="1"/>
      <c r="AQ131" s="1"/>
      <c r="AR131" s="1"/>
      <c r="AS131" s="1"/>
      <c r="AT131" s="1"/>
      <c r="AU131" s="1"/>
    </row>
    <row r="132" ht="15.75" customHeight="1">
      <c r="A132" s="31"/>
      <c r="B132" s="31"/>
      <c r="C132" s="3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4"/>
      <c r="AN132" s="1"/>
      <c r="AO132" s="1"/>
      <c r="AP132" s="1"/>
      <c r="AQ132" s="1"/>
      <c r="AR132" s="1"/>
      <c r="AS132" s="1"/>
      <c r="AT132" s="1"/>
      <c r="AU132" s="1"/>
    </row>
    <row r="133" ht="15.75" customHeight="1">
      <c r="A133" s="31"/>
      <c r="B133" s="31"/>
      <c r="C133" s="3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4"/>
      <c r="AN133" s="1"/>
      <c r="AO133" s="1"/>
      <c r="AP133" s="1"/>
      <c r="AQ133" s="1"/>
      <c r="AR133" s="1"/>
      <c r="AS133" s="1"/>
      <c r="AT133" s="1"/>
      <c r="AU133" s="1"/>
    </row>
    <row r="134" ht="15.75" customHeight="1">
      <c r="A134" s="31"/>
      <c r="B134" s="31"/>
      <c r="C134" s="3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4"/>
      <c r="AN134" s="1"/>
      <c r="AO134" s="1"/>
      <c r="AP134" s="1"/>
      <c r="AQ134" s="1"/>
      <c r="AR134" s="1"/>
      <c r="AS134" s="1"/>
      <c r="AT134" s="1"/>
      <c r="AU134" s="1"/>
    </row>
    <row r="135" ht="15.75" customHeight="1">
      <c r="A135" s="31"/>
      <c r="B135" s="31"/>
      <c r="C135" s="3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4"/>
      <c r="AN135" s="1"/>
      <c r="AO135" s="1"/>
      <c r="AP135" s="1"/>
      <c r="AQ135" s="1"/>
      <c r="AR135" s="1"/>
      <c r="AS135" s="1"/>
      <c r="AT135" s="1"/>
      <c r="AU135" s="1"/>
    </row>
    <row r="136" ht="15.75" customHeight="1">
      <c r="A136" s="31"/>
      <c r="B136" s="31"/>
      <c r="C136" s="3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4"/>
      <c r="AN136" s="1"/>
      <c r="AO136" s="1"/>
      <c r="AP136" s="1"/>
      <c r="AQ136" s="1"/>
      <c r="AR136" s="1"/>
      <c r="AS136" s="1"/>
      <c r="AT136" s="1"/>
      <c r="AU136" s="1"/>
    </row>
    <row r="137" ht="15.75" customHeight="1">
      <c r="A137" s="31"/>
      <c r="B137" s="31"/>
      <c r="C137" s="3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4"/>
      <c r="AN137" s="1"/>
      <c r="AO137" s="1"/>
      <c r="AP137" s="1"/>
      <c r="AQ137" s="1"/>
      <c r="AR137" s="1"/>
      <c r="AS137" s="1"/>
      <c r="AT137" s="1"/>
      <c r="AU137" s="1"/>
    </row>
    <row r="138" ht="15.75" customHeight="1">
      <c r="A138" s="31"/>
      <c r="B138" s="31"/>
      <c r="C138" s="3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4"/>
      <c r="AN138" s="1"/>
      <c r="AO138" s="1"/>
      <c r="AP138" s="1"/>
      <c r="AQ138" s="1"/>
      <c r="AR138" s="1"/>
      <c r="AS138" s="1"/>
      <c r="AT138" s="1"/>
      <c r="AU138" s="1"/>
    </row>
    <row r="139" ht="15.75" customHeight="1">
      <c r="A139" s="31"/>
      <c r="B139" s="31"/>
      <c r="C139" s="3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4"/>
      <c r="AN139" s="1"/>
      <c r="AO139" s="1"/>
      <c r="AP139" s="1"/>
      <c r="AQ139" s="1"/>
      <c r="AR139" s="1"/>
      <c r="AS139" s="1"/>
      <c r="AT139" s="1"/>
      <c r="AU139" s="1"/>
    </row>
    <row r="140" ht="15.75" customHeight="1">
      <c r="A140" s="31"/>
      <c r="B140" s="31"/>
      <c r="C140" s="3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4"/>
      <c r="AN140" s="1"/>
      <c r="AO140" s="1"/>
      <c r="AP140" s="1"/>
      <c r="AQ140" s="1"/>
      <c r="AR140" s="1"/>
      <c r="AS140" s="1"/>
      <c r="AT140" s="1"/>
      <c r="AU140" s="1"/>
    </row>
    <row r="141" ht="15.75" customHeight="1">
      <c r="A141" s="31"/>
      <c r="B141" s="31"/>
      <c r="C141" s="3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4"/>
      <c r="AN141" s="1"/>
      <c r="AO141" s="1"/>
      <c r="AP141" s="1"/>
      <c r="AQ141" s="1"/>
      <c r="AR141" s="1"/>
      <c r="AS141" s="1"/>
      <c r="AT141" s="1"/>
      <c r="AU141" s="1"/>
    </row>
    <row r="142" ht="15.75" customHeight="1">
      <c r="A142" s="31"/>
      <c r="B142" s="31"/>
      <c r="C142" s="3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4"/>
      <c r="AN142" s="1"/>
      <c r="AO142" s="1"/>
      <c r="AP142" s="1"/>
      <c r="AQ142" s="1"/>
      <c r="AR142" s="1"/>
      <c r="AS142" s="1"/>
      <c r="AT142" s="1"/>
      <c r="AU142" s="1"/>
    </row>
    <row r="143" ht="15.75" customHeight="1">
      <c r="A143" s="31"/>
      <c r="B143" s="31"/>
      <c r="C143" s="3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4"/>
      <c r="AN143" s="1"/>
      <c r="AO143" s="1"/>
      <c r="AP143" s="1"/>
      <c r="AQ143" s="1"/>
      <c r="AR143" s="1"/>
      <c r="AS143" s="1"/>
      <c r="AT143" s="1"/>
      <c r="AU143" s="1"/>
    </row>
    <row r="144" ht="15.75" customHeight="1">
      <c r="A144" s="31"/>
      <c r="B144" s="31"/>
      <c r="C144" s="3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4"/>
      <c r="AN144" s="1"/>
      <c r="AO144" s="1"/>
      <c r="AP144" s="1"/>
      <c r="AQ144" s="1"/>
      <c r="AR144" s="1"/>
      <c r="AS144" s="1"/>
      <c r="AT144" s="1"/>
      <c r="AU144" s="1"/>
    </row>
    <row r="145" ht="15.75" customHeight="1">
      <c r="A145" s="31"/>
      <c r="B145" s="31"/>
      <c r="C145" s="3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4"/>
      <c r="AN145" s="1"/>
      <c r="AO145" s="1"/>
      <c r="AP145" s="1"/>
      <c r="AQ145" s="1"/>
      <c r="AR145" s="1"/>
      <c r="AS145" s="1"/>
      <c r="AT145" s="1"/>
      <c r="AU145" s="1"/>
    </row>
    <row r="146" ht="15.75" customHeight="1">
      <c r="A146" s="31"/>
      <c r="B146" s="31"/>
      <c r="C146" s="3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4"/>
      <c r="AN146" s="1"/>
      <c r="AO146" s="1"/>
      <c r="AP146" s="1"/>
      <c r="AQ146" s="1"/>
      <c r="AR146" s="1"/>
      <c r="AS146" s="1"/>
      <c r="AT146" s="1"/>
      <c r="AU146" s="1"/>
    </row>
    <row r="147" ht="15.75" customHeight="1">
      <c r="A147" s="31"/>
      <c r="B147" s="31"/>
      <c r="C147" s="3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4"/>
      <c r="AN147" s="1"/>
      <c r="AO147" s="1"/>
      <c r="AP147" s="1"/>
      <c r="AQ147" s="1"/>
      <c r="AR147" s="1"/>
      <c r="AS147" s="1"/>
      <c r="AT147" s="1"/>
      <c r="AU147" s="1"/>
    </row>
    <row r="148" ht="15.75" customHeight="1">
      <c r="A148" s="31"/>
      <c r="B148" s="31"/>
      <c r="C148" s="3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4"/>
      <c r="AN148" s="1"/>
      <c r="AO148" s="1"/>
      <c r="AP148" s="1"/>
      <c r="AQ148" s="1"/>
      <c r="AR148" s="1"/>
      <c r="AS148" s="1"/>
      <c r="AT148" s="1"/>
      <c r="AU148" s="1"/>
    </row>
    <row r="149" ht="15.75" customHeight="1">
      <c r="A149" s="31"/>
      <c r="B149" s="31"/>
      <c r="C149" s="3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4"/>
      <c r="AN149" s="1"/>
      <c r="AO149" s="1"/>
      <c r="AP149" s="1"/>
      <c r="AQ149" s="1"/>
      <c r="AR149" s="1"/>
      <c r="AS149" s="1"/>
      <c r="AT149" s="1"/>
      <c r="AU149" s="1"/>
    </row>
    <row r="150" ht="15.75" customHeight="1">
      <c r="A150" s="31"/>
      <c r="B150" s="31"/>
      <c r="C150" s="3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4"/>
      <c r="AN150" s="1"/>
      <c r="AO150" s="1"/>
      <c r="AP150" s="1"/>
      <c r="AQ150" s="1"/>
      <c r="AR150" s="1"/>
      <c r="AS150" s="1"/>
      <c r="AT150" s="1"/>
      <c r="AU150" s="1"/>
    </row>
    <row r="151" ht="15.75" customHeight="1">
      <c r="A151" s="31"/>
      <c r="B151" s="31"/>
      <c r="C151" s="3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4"/>
      <c r="AN151" s="1"/>
      <c r="AO151" s="1"/>
      <c r="AP151" s="1"/>
      <c r="AQ151" s="1"/>
      <c r="AR151" s="1"/>
      <c r="AS151" s="1"/>
      <c r="AT151" s="1"/>
      <c r="AU151" s="1"/>
    </row>
    <row r="152" ht="15.75" customHeight="1">
      <c r="A152" s="31"/>
      <c r="B152" s="31"/>
      <c r="C152" s="3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4"/>
      <c r="AN152" s="1"/>
      <c r="AO152" s="1"/>
      <c r="AP152" s="1"/>
      <c r="AQ152" s="1"/>
      <c r="AR152" s="1"/>
      <c r="AS152" s="1"/>
      <c r="AT152" s="1"/>
      <c r="AU152" s="1"/>
    </row>
    <row r="153" ht="15.75" customHeight="1">
      <c r="A153" s="31"/>
      <c r="B153" s="31"/>
      <c r="C153" s="3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4"/>
      <c r="AN153" s="1"/>
      <c r="AO153" s="1"/>
      <c r="AP153" s="1"/>
      <c r="AQ153" s="1"/>
      <c r="AR153" s="1"/>
      <c r="AS153" s="1"/>
      <c r="AT153" s="1"/>
      <c r="AU153" s="1"/>
    </row>
    <row r="154" ht="15.75" customHeight="1">
      <c r="A154" s="31"/>
      <c r="B154" s="31"/>
      <c r="C154" s="3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4"/>
      <c r="AN154" s="1"/>
      <c r="AO154" s="1"/>
      <c r="AP154" s="1"/>
      <c r="AQ154" s="1"/>
      <c r="AR154" s="1"/>
      <c r="AS154" s="1"/>
      <c r="AT154" s="1"/>
      <c r="AU154" s="1"/>
    </row>
    <row r="155" ht="15.75" customHeight="1">
      <c r="A155" s="31"/>
      <c r="B155" s="31"/>
      <c r="C155" s="3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4"/>
      <c r="AN155" s="1"/>
      <c r="AO155" s="1"/>
      <c r="AP155" s="1"/>
      <c r="AQ155" s="1"/>
      <c r="AR155" s="1"/>
      <c r="AS155" s="1"/>
      <c r="AT155" s="1"/>
      <c r="AU155" s="1"/>
    </row>
    <row r="156" ht="15.75" customHeight="1">
      <c r="A156" s="31"/>
      <c r="B156" s="31"/>
      <c r="C156" s="3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4"/>
      <c r="AN156" s="1"/>
      <c r="AO156" s="1"/>
      <c r="AP156" s="1"/>
      <c r="AQ156" s="1"/>
      <c r="AR156" s="1"/>
      <c r="AS156" s="1"/>
      <c r="AT156" s="1"/>
      <c r="AU156" s="1"/>
    </row>
    <row r="157" ht="15.75" customHeight="1">
      <c r="A157" s="31"/>
      <c r="B157" s="31"/>
      <c r="C157" s="3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4"/>
      <c r="AN157" s="1"/>
      <c r="AO157" s="1"/>
      <c r="AP157" s="1"/>
      <c r="AQ157" s="1"/>
      <c r="AR157" s="1"/>
      <c r="AS157" s="1"/>
      <c r="AT157" s="1"/>
      <c r="AU157" s="1"/>
    </row>
    <row r="158" ht="15.75" customHeight="1">
      <c r="A158" s="31"/>
      <c r="B158" s="31"/>
      <c r="C158" s="3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4"/>
      <c r="AN158" s="1"/>
      <c r="AO158" s="1"/>
      <c r="AP158" s="1"/>
      <c r="AQ158" s="1"/>
      <c r="AR158" s="1"/>
      <c r="AS158" s="1"/>
      <c r="AT158" s="1"/>
      <c r="AU158" s="1"/>
    </row>
    <row r="159" ht="15.75" customHeight="1">
      <c r="A159" s="31"/>
      <c r="B159" s="31"/>
      <c r="C159" s="3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4"/>
      <c r="AN159" s="1"/>
      <c r="AO159" s="1"/>
      <c r="AP159" s="1"/>
      <c r="AQ159" s="1"/>
      <c r="AR159" s="1"/>
      <c r="AS159" s="1"/>
      <c r="AT159" s="1"/>
      <c r="AU159" s="1"/>
    </row>
    <row r="160" ht="15.75" customHeight="1">
      <c r="A160" s="31"/>
      <c r="B160" s="31"/>
      <c r="C160" s="3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4"/>
      <c r="AN160" s="1"/>
      <c r="AO160" s="1"/>
      <c r="AP160" s="1"/>
      <c r="AQ160" s="1"/>
      <c r="AR160" s="1"/>
      <c r="AS160" s="1"/>
      <c r="AT160" s="1"/>
      <c r="AU160" s="1"/>
    </row>
    <row r="161" ht="15.75" customHeight="1">
      <c r="A161" s="31"/>
      <c r="B161" s="31"/>
      <c r="C161" s="3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4"/>
      <c r="AN161" s="1"/>
      <c r="AO161" s="1"/>
      <c r="AP161" s="1"/>
      <c r="AQ161" s="1"/>
      <c r="AR161" s="1"/>
      <c r="AS161" s="1"/>
      <c r="AT161" s="1"/>
      <c r="AU161" s="1"/>
    </row>
    <row r="162" ht="15.75" customHeight="1">
      <c r="A162" s="31"/>
      <c r="B162" s="31"/>
      <c r="C162" s="3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4"/>
      <c r="AN162" s="1"/>
      <c r="AO162" s="1"/>
      <c r="AP162" s="1"/>
      <c r="AQ162" s="1"/>
      <c r="AR162" s="1"/>
      <c r="AS162" s="1"/>
      <c r="AT162" s="1"/>
      <c r="AU162" s="1"/>
    </row>
    <row r="163" ht="15.75" customHeight="1">
      <c r="A163" s="31"/>
      <c r="B163" s="31"/>
      <c r="C163" s="3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4"/>
      <c r="AN163" s="1"/>
      <c r="AO163" s="1"/>
      <c r="AP163" s="1"/>
      <c r="AQ163" s="1"/>
      <c r="AR163" s="1"/>
      <c r="AS163" s="1"/>
      <c r="AT163" s="1"/>
      <c r="AU163" s="1"/>
    </row>
    <row r="164" ht="15.75" customHeight="1">
      <c r="A164" s="31"/>
      <c r="B164" s="31"/>
      <c r="C164" s="3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4"/>
      <c r="AN164" s="1"/>
      <c r="AO164" s="1"/>
      <c r="AP164" s="1"/>
      <c r="AQ164" s="1"/>
      <c r="AR164" s="1"/>
      <c r="AS164" s="1"/>
      <c r="AT164" s="1"/>
      <c r="AU164" s="1"/>
    </row>
    <row r="165" ht="15.75" customHeight="1">
      <c r="A165" s="31"/>
      <c r="B165" s="31"/>
      <c r="C165" s="3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4"/>
      <c r="AN165" s="1"/>
      <c r="AO165" s="1"/>
      <c r="AP165" s="1"/>
      <c r="AQ165" s="1"/>
      <c r="AR165" s="1"/>
      <c r="AS165" s="1"/>
      <c r="AT165" s="1"/>
      <c r="AU165" s="1"/>
    </row>
    <row r="166" ht="15.75" customHeight="1">
      <c r="A166" s="31"/>
      <c r="B166" s="31"/>
      <c r="C166" s="3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4"/>
      <c r="AN166" s="1"/>
      <c r="AO166" s="1"/>
      <c r="AP166" s="1"/>
      <c r="AQ166" s="1"/>
      <c r="AR166" s="1"/>
      <c r="AS166" s="1"/>
      <c r="AT166" s="1"/>
      <c r="AU166" s="1"/>
    </row>
    <row r="167" ht="15.75" customHeight="1">
      <c r="A167" s="31"/>
      <c r="B167" s="31"/>
      <c r="C167" s="3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4"/>
      <c r="AN167" s="1"/>
      <c r="AO167" s="1"/>
      <c r="AP167" s="1"/>
      <c r="AQ167" s="1"/>
      <c r="AR167" s="1"/>
      <c r="AS167" s="1"/>
      <c r="AT167" s="1"/>
      <c r="AU167" s="1"/>
    </row>
    <row r="168" ht="15.75" customHeight="1">
      <c r="A168" s="31"/>
      <c r="B168" s="31"/>
      <c r="C168" s="3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4"/>
      <c r="AN168" s="1"/>
      <c r="AO168" s="1"/>
      <c r="AP168" s="1"/>
      <c r="AQ168" s="1"/>
      <c r="AR168" s="1"/>
      <c r="AS168" s="1"/>
      <c r="AT168" s="1"/>
      <c r="AU168" s="1"/>
    </row>
    <row r="169" ht="15.75" customHeight="1">
      <c r="A169" s="31"/>
      <c r="B169" s="31"/>
      <c r="C169" s="3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4"/>
      <c r="AN169" s="1"/>
      <c r="AO169" s="1"/>
      <c r="AP169" s="1"/>
      <c r="AQ169" s="1"/>
      <c r="AR169" s="1"/>
      <c r="AS169" s="1"/>
      <c r="AT169" s="1"/>
      <c r="AU169" s="1"/>
    </row>
    <row r="170" ht="15.75" customHeight="1">
      <c r="A170" s="31"/>
      <c r="B170" s="31"/>
      <c r="C170" s="3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4"/>
      <c r="AN170" s="1"/>
      <c r="AO170" s="1"/>
      <c r="AP170" s="1"/>
      <c r="AQ170" s="1"/>
      <c r="AR170" s="1"/>
      <c r="AS170" s="1"/>
      <c r="AT170" s="1"/>
      <c r="AU170" s="1"/>
    </row>
    <row r="171" ht="15.75" customHeight="1">
      <c r="A171" s="31"/>
      <c r="B171" s="31"/>
      <c r="C171" s="3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4"/>
      <c r="AN171" s="1"/>
      <c r="AO171" s="1"/>
      <c r="AP171" s="1"/>
      <c r="AQ171" s="1"/>
      <c r="AR171" s="1"/>
      <c r="AS171" s="1"/>
      <c r="AT171" s="1"/>
      <c r="AU171" s="1"/>
    </row>
    <row r="172" ht="15.75" customHeight="1">
      <c r="A172" s="31"/>
      <c r="B172" s="31"/>
      <c r="C172" s="3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4"/>
      <c r="AN172" s="1"/>
      <c r="AO172" s="1"/>
      <c r="AP172" s="1"/>
      <c r="AQ172" s="1"/>
      <c r="AR172" s="1"/>
      <c r="AS172" s="1"/>
      <c r="AT172" s="1"/>
      <c r="AU172" s="1"/>
    </row>
    <row r="173" ht="15.75" customHeight="1">
      <c r="A173" s="31"/>
      <c r="B173" s="31"/>
      <c r="C173" s="3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4"/>
      <c r="AN173" s="1"/>
      <c r="AO173" s="1"/>
      <c r="AP173" s="1"/>
      <c r="AQ173" s="1"/>
      <c r="AR173" s="1"/>
      <c r="AS173" s="1"/>
      <c r="AT173" s="1"/>
      <c r="AU173" s="1"/>
    </row>
    <row r="174" ht="15.75" customHeight="1">
      <c r="A174" s="31"/>
      <c r="B174" s="31"/>
      <c r="C174" s="3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4"/>
      <c r="AN174" s="1"/>
      <c r="AO174" s="1"/>
      <c r="AP174" s="1"/>
      <c r="AQ174" s="1"/>
      <c r="AR174" s="1"/>
      <c r="AS174" s="1"/>
      <c r="AT174" s="1"/>
      <c r="AU174" s="1"/>
    </row>
    <row r="175" ht="15.75" customHeight="1">
      <c r="A175" s="31"/>
      <c r="B175" s="31"/>
      <c r="C175" s="3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4"/>
      <c r="AN175" s="1"/>
      <c r="AO175" s="1"/>
      <c r="AP175" s="1"/>
      <c r="AQ175" s="1"/>
      <c r="AR175" s="1"/>
      <c r="AS175" s="1"/>
      <c r="AT175" s="1"/>
      <c r="AU175" s="1"/>
    </row>
    <row r="176" ht="15.75" customHeight="1">
      <c r="A176" s="31"/>
      <c r="B176" s="31"/>
      <c r="C176" s="3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4"/>
      <c r="AN176" s="1"/>
      <c r="AO176" s="1"/>
      <c r="AP176" s="1"/>
      <c r="AQ176" s="1"/>
      <c r="AR176" s="1"/>
      <c r="AS176" s="1"/>
      <c r="AT176" s="1"/>
      <c r="AU176" s="1"/>
    </row>
    <row r="177" ht="15.75" customHeight="1">
      <c r="A177" s="31"/>
      <c r="B177" s="31"/>
      <c r="C177" s="3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4"/>
      <c r="AN177" s="1"/>
      <c r="AO177" s="1"/>
      <c r="AP177" s="1"/>
      <c r="AQ177" s="1"/>
      <c r="AR177" s="1"/>
      <c r="AS177" s="1"/>
      <c r="AT177" s="1"/>
      <c r="AU177" s="1"/>
    </row>
    <row r="178" ht="15.75" customHeight="1">
      <c r="A178" s="31"/>
      <c r="B178" s="31"/>
      <c r="C178" s="3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4"/>
      <c r="AN178" s="1"/>
      <c r="AO178" s="1"/>
      <c r="AP178" s="1"/>
      <c r="AQ178" s="1"/>
      <c r="AR178" s="1"/>
      <c r="AS178" s="1"/>
      <c r="AT178" s="1"/>
      <c r="AU178" s="1"/>
    </row>
    <row r="179" ht="15.75" customHeight="1">
      <c r="A179" s="31"/>
      <c r="B179" s="31"/>
      <c r="C179" s="3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4"/>
      <c r="AN179" s="1"/>
      <c r="AO179" s="1"/>
      <c r="AP179" s="1"/>
      <c r="AQ179" s="1"/>
      <c r="AR179" s="1"/>
      <c r="AS179" s="1"/>
      <c r="AT179" s="1"/>
      <c r="AU179" s="1"/>
    </row>
    <row r="180" ht="15.75" customHeight="1">
      <c r="A180" s="31"/>
      <c r="B180" s="31"/>
      <c r="C180" s="3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4"/>
      <c r="AN180" s="1"/>
      <c r="AO180" s="1"/>
      <c r="AP180" s="1"/>
      <c r="AQ180" s="1"/>
      <c r="AR180" s="1"/>
      <c r="AS180" s="1"/>
      <c r="AT180" s="1"/>
      <c r="AU180" s="1"/>
    </row>
    <row r="181" ht="15.75" customHeight="1">
      <c r="A181" s="31"/>
      <c r="B181" s="31"/>
      <c r="C181" s="3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4"/>
      <c r="AN181" s="1"/>
      <c r="AO181" s="1"/>
      <c r="AP181" s="1"/>
      <c r="AQ181" s="1"/>
      <c r="AR181" s="1"/>
      <c r="AS181" s="1"/>
      <c r="AT181" s="1"/>
      <c r="AU181" s="1"/>
    </row>
    <row r="182" ht="15.75" customHeight="1">
      <c r="A182" s="31"/>
      <c r="B182" s="31"/>
      <c r="C182" s="3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4"/>
      <c r="AN182" s="1"/>
      <c r="AO182" s="1"/>
      <c r="AP182" s="1"/>
      <c r="AQ182" s="1"/>
      <c r="AR182" s="1"/>
      <c r="AS182" s="1"/>
      <c r="AT182" s="1"/>
      <c r="AU182" s="1"/>
    </row>
    <row r="183" ht="15.75" customHeight="1">
      <c r="A183" s="31"/>
      <c r="B183" s="31"/>
      <c r="C183" s="3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4"/>
      <c r="AN183" s="1"/>
      <c r="AO183" s="1"/>
      <c r="AP183" s="1"/>
      <c r="AQ183" s="1"/>
      <c r="AR183" s="1"/>
      <c r="AS183" s="1"/>
      <c r="AT183" s="1"/>
      <c r="AU183" s="1"/>
    </row>
    <row r="184" ht="15.75" customHeight="1">
      <c r="A184" s="31"/>
      <c r="B184" s="31"/>
      <c r="C184" s="3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4"/>
      <c r="AN184" s="1"/>
      <c r="AO184" s="1"/>
      <c r="AP184" s="1"/>
      <c r="AQ184" s="1"/>
      <c r="AR184" s="1"/>
      <c r="AS184" s="1"/>
      <c r="AT184" s="1"/>
      <c r="AU184" s="1"/>
    </row>
    <row r="185" ht="15.75" customHeight="1">
      <c r="A185" s="31"/>
      <c r="B185" s="31"/>
      <c r="C185" s="3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4"/>
      <c r="AN185" s="1"/>
      <c r="AO185" s="1"/>
      <c r="AP185" s="1"/>
      <c r="AQ185" s="1"/>
      <c r="AR185" s="1"/>
      <c r="AS185" s="1"/>
      <c r="AT185" s="1"/>
      <c r="AU185" s="1"/>
    </row>
    <row r="186" ht="15.75" customHeight="1">
      <c r="A186" s="31"/>
      <c r="B186" s="31"/>
      <c r="C186" s="3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4"/>
      <c r="AN186" s="1"/>
      <c r="AO186" s="1"/>
      <c r="AP186" s="1"/>
      <c r="AQ186" s="1"/>
      <c r="AR186" s="1"/>
      <c r="AS186" s="1"/>
      <c r="AT186" s="1"/>
      <c r="AU186" s="1"/>
    </row>
    <row r="187" ht="15.75" customHeight="1">
      <c r="A187" s="31"/>
      <c r="B187" s="31"/>
      <c r="C187" s="3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4"/>
      <c r="AN187" s="1"/>
      <c r="AO187" s="1"/>
      <c r="AP187" s="1"/>
      <c r="AQ187" s="1"/>
      <c r="AR187" s="1"/>
      <c r="AS187" s="1"/>
      <c r="AT187" s="1"/>
      <c r="AU187" s="1"/>
    </row>
    <row r="188" ht="15.75" customHeight="1">
      <c r="A188" s="31"/>
      <c r="B188" s="31"/>
      <c r="C188" s="3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4"/>
      <c r="AN188" s="1"/>
      <c r="AO188" s="1"/>
      <c r="AP188" s="1"/>
      <c r="AQ188" s="1"/>
      <c r="AR188" s="1"/>
      <c r="AS188" s="1"/>
      <c r="AT188" s="1"/>
      <c r="AU188" s="1"/>
    </row>
    <row r="189" ht="15.75" customHeight="1">
      <c r="A189" s="31"/>
      <c r="B189" s="31"/>
      <c r="C189" s="3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4"/>
      <c r="AN189" s="1"/>
      <c r="AO189" s="1"/>
      <c r="AP189" s="1"/>
      <c r="AQ189" s="1"/>
      <c r="AR189" s="1"/>
      <c r="AS189" s="1"/>
      <c r="AT189" s="1"/>
      <c r="AU189" s="1"/>
    </row>
    <row r="190" ht="15.75" customHeight="1">
      <c r="A190" s="31"/>
      <c r="B190" s="31"/>
      <c r="C190" s="3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4"/>
      <c r="AN190" s="1"/>
      <c r="AO190" s="1"/>
      <c r="AP190" s="1"/>
      <c r="AQ190" s="1"/>
      <c r="AR190" s="1"/>
      <c r="AS190" s="1"/>
      <c r="AT190" s="1"/>
      <c r="AU190" s="1"/>
    </row>
    <row r="191" ht="15.75" customHeight="1">
      <c r="A191" s="31"/>
      <c r="B191" s="31"/>
      <c r="C191" s="3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4"/>
      <c r="AN191" s="1"/>
      <c r="AO191" s="1"/>
      <c r="AP191" s="1"/>
      <c r="AQ191" s="1"/>
      <c r="AR191" s="1"/>
      <c r="AS191" s="1"/>
      <c r="AT191" s="1"/>
      <c r="AU191" s="1"/>
    </row>
    <row r="192" ht="15.75" customHeight="1">
      <c r="A192" s="31"/>
      <c r="B192" s="31"/>
      <c r="C192" s="3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4"/>
      <c r="AN192" s="1"/>
      <c r="AO192" s="1"/>
      <c r="AP192" s="1"/>
      <c r="AQ192" s="1"/>
      <c r="AR192" s="1"/>
      <c r="AS192" s="1"/>
      <c r="AT192" s="1"/>
      <c r="AU192" s="1"/>
    </row>
    <row r="193" ht="15.75" customHeight="1">
      <c r="A193" s="31"/>
      <c r="B193" s="31"/>
      <c r="C193" s="3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4"/>
      <c r="AN193" s="1"/>
      <c r="AO193" s="1"/>
      <c r="AP193" s="1"/>
      <c r="AQ193" s="1"/>
      <c r="AR193" s="1"/>
      <c r="AS193" s="1"/>
      <c r="AT193" s="1"/>
      <c r="AU193" s="1"/>
    </row>
    <row r="194" ht="15.75" customHeight="1">
      <c r="A194" s="31"/>
      <c r="B194" s="31"/>
      <c r="C194" s="3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4"/>
      <c r="AN194" s="1"/>
      <c r="AO194" s="1"/>
      <c r="AP194" s="1"/>
      <c r="AQ194" s="1"/>
      <c r="AR194" s="1"/>
      <c r="AS194" s="1"/>
      <c r="AT194" s="1"/>
      <c r="AU194" s="1"/>
    </row>
    <row r="195" ht="15.75" customHeight="1">
      <c r="A195" s="31"/>
      <c r="B195" s="31"/>
      <c r="C195" s="3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4"/>
      <c r="AN195" s="1"/>
      <c r="AO195" s="1"/>
      <c r="AP195" s="1"/>
      <c r="AQ195" s="1"/>
      <c r="AR195" s="1"/>
      <c r="AS195" s="1"/>
      <c r="AT195" s="1"/>
      <c r="AU195" s="1"/>
    </row>
    <row r="196" ht="15.75" customHeight="1">
      <c r="A196" s="31"/>
      <c r="B196" s="31"/>
      <c r="C196" s="3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4"/>
      <c r="AN196" s="1"/>
      <c r="AO196" s="1"/>
      <c r="AP196" s="1"/>
      <c r="AQ196" s="1"/>
      <c r="AR196" s="1"/>
      <c r="AS196" s="1"/>
      <c r="AT196" s="1"/>
      <c r="AU196" s="1"/>
    </row>
    <row r="197" ht="15.75" customHeight="1">
      <c r="A197" s="31"/>
      <c r="B197" s="31"/>
      <c r="C197" s="3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4"/>
      <c r="AN197" s="1"/>
      <c r="AO197" s="1"/>
      <c r="AP197" s="1"/>
      <c r="AQ197" s="1"/>
      <c r="AR197" s="1"/>
      <c r="AS197" s="1"/>
      <c r="AT197" s="1"/>
      <c r="AU197" s="1"/>
    </row>
    <row r="198" ht="15.75" customHeight="1">
      <c r="A198" s="31"/>
      <c r="B198" s="31"/>
      <c r="C198" s="3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4"/>
      <c r="AN198" s="1"/>
      <c r="AO198" s="1"/>
      <c r="AP198" s="1"/>
      <c r="AQ198" s="1"/>
      <c r="AR198" s="1"/>
      <c r="AS198" s="1"/>
      <c r="AT198" s="1"/>
      <c r="AU198" s="1"/>
    </row>
    <row r="199" ht="15.75" customHeight="1">
      <c r="A199" s="31"/>
      <c r="B199" s="31"/>
      <c r="C199" s="3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4"/>
      <c r="AN199" s="1"/>
      <c r="AO199" s="1"/>
      <c r="AP199" s="1"/>
      <c r="AQ199" s="1"/>
      <c r="AR199" s="1"/>
      <c r="AS199" s="1"/>
      <c r="AT199" s="1"/>
      <c r="AU199" s="1"/>
    </row>
    <row r="200" ht="15.75" customHeight="1">
      <c r="A200" s="31"/>
      <c r="B200" s="31"/>
      <c r="C200" s="3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4"/>
      <c r="AN200" s="1"/>
      <c r="AO200" s="1"/>
      <c r="AP200" s="1"/>
      <c r="AQ200" s="1"/>
      <c r="AR200" s="1"/>
      <c r="AS200" s="1"/>
      <c r="AT200" s="1"/>
      <c r="AU200" s="1"/>
    </row>
    <row r="201" ht="15.75" customHeight="1">
      <c r="A201" s="31"/>
      <c r="B201" s="31"/>
      <c r="C201" s="3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4"/>
      <c r="AN201" s="1"/>
      <c r="AO201" s="1"/>
      <c r="AP201" s="1"/>
      <c r="AQ201" s="1"/>
      <c r="AR201" s="1"/>
      <c r="AS201" s="1"/>
      <c r="AT201" s="1"/>
      <c r="AU201" s="1"/>
    </row>
    <row r="202" ht="15.75" customHeight="1">
      <c r="A202" s="31"/>
      <c r="B202" s="31"/>
      <c r="C202" s="3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4"/>
      <c r="AN202" s="1"/>
      <c r="AO202" s="1"/>
      <c r="AP202" s="1"/>
      <c r="AQ202" s="1"/>
      <c r="AR202" s="1"/>
      <c r="AS202" s="1"/>
      <c r="AT202" s="1"/>
      <c r="AU202" s="1"/>
    </row>
    <row r="203" ht="15.75" customHeight="1">
      <c r="A203" s="31"/>
      <c r="B203" s="31"/>
      <c r="C203" s="3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4"/>
      <c r="AN203" s="1"/>
      <c r="AO203" s="1"/>
      <c r="AP203" s="1"/>
      <c r="AQ203" s="1"/>
      <c r="AR203" s="1"/>
      <c r="AS203" s="1"/>
      <c r="AT203" s="1"/>
      <c r="AU203" s="1"/>
    </row>
    <row r="204" ht="15.75" customHeight="1">
      <c r="A204" s="31"/>
      <c r="B204" s="31"/>
      <c r="C204" s="3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4"/>
      <c r="AN204" s="1"/>
      <c r="AO204" s="1"/>
      <c r="AP204" s="1"/>
      <c r="AQ204" s="1"/>
      <c r="AR204" s="1"/>
      <c r="AS204" s="1"/>
      <c r="AT204" s="1"/>
      <c r="AU204" s="1"/>
    </row>
    <row r="205" ht="15.75" customHeight="1">
      <c r="A205" s="31"/>
      <c r="B205" s="31"/>
      <c r="C205" s="3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4"/>
      <c r="AN205" s="1"/>
      <c r="AO205" s="1"/>
      <c r="AP205" s="1"/>
      <c r="AQ205" s="1"/>
      <c r="AR205" s="1"/>
      <c r="AS205" s="1"/>
      <c r="AT205" s="1"/>
      <c r="AU205" s="1"/>
    </row>
    <row r="206" ht="15.75" customHeight="1">
      <c r="A206" s="31"/>
      <c r="B206" s="31"/>
      <c r="C206" s="3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4"/>
      <c r="AN206" s="1"/>
      <c r="AO206" s="1"/>
      <c r="AP206" s="1"/>
      <c r="AQ206" s="1"/>
      <c r="AR206" s="1"/>
      <c r="AS206" s="1"/>
      <c r="AT206" s="1"/>
      <c r="AU206" s="1"/>
    </row>
    <row r="207" ht="15.75" customHeight="1">
      <c r="A207" s="31"/>
      <c r="B207" s="31"/>
      <c r="C207" s="3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4"/>
      <c r="AN207" s="1"/>
      <c r="AO207" s="1"/>
      <c r="AP207" s="1"/>
      <c r="AQ207" s="1"/>
      <c r="AR207" s="1"/>
      <c r="AS207" s="1"/>
      <c r="AT207" s="1"/>
      <c r="AU207" s="1"/>
    </row>
    <row r="208" ht="15.75" customHeight="1">
      <c r="A208" s="31"/>
      <c r="B208" s="31"/>
      <c r="C208" s="3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4"/>
      <c r="AN208" s="1"/>
      <c r="AO208" s="1"/>
      <c r="AP208" s="1"/>
      <c r="AQ208" s="1"/>
      <c r="AR208" s="1"/>
      <c r="AS208" s="1"/>
      <c r="AT208" s="1"/>
      <c r="AU208" s="1"/>
    </row>
    <row r="209" ht="15.75" customHeight="1">
      <c r="A209" s="31"/>
      <c r="B209" s="31"/>
      <c r="C209" s="3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4"/>
      <c r="AN209" s="1"/>
      <c r="AO209" s="1"/>
      <c r="AP209" s="1"/>
      <c r="AQ209" s="1"/>
      <c r="AR209" s="1"/>
      <c r="AS209" s="1"/>
      <c r="AT209" s="1"/>
      <c r="AU209" s="1"/>
    </row>
    <row r="210" ht="15.75" customHeight="1">
      <c r="A210" s="31"/>
      <c r="B210" s="31"/>
      <c r="C210" s="3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4"/>
      <c r="AN210" s="1"/>
      <c r="AO210" s="1"/>
      <c r="AP210" s="1"/>
      <c r="AQ210" s="1"/>
      <c r="AR210" s="1"/>
      <c r="AS210" s="1"/>
      <c r="AT210" s="1"/>
      <c r="AU210" s="1"/>
    </row>
    <row r="211" ht="15.75" customHeight="1">
      <c r="A211" s="31"/>
      <c r="B211" s="31"/>
      <c r="C211" s="3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4"/>
      <c r="AN211" s="1"/>
      <c r="AO211" s="1"/>
      <c r="AP211" s="1"/>
      <c r="AQ211" s="1"/>
      <c r="AR211" s="1"/>
      <c r="AS211" s="1"/>
      <c r="AT211" s="1"/>
      <c r="AU211" s="1"/>
    </row>
    <row r="212" ht="15.75" customHeight="1">
      <c r="A212" s="31"/>
      <c r="B212" s="31"/>
      <c r="C212" s="3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4"/>
      <c r="AN212" s="1"/>
      <c r="AO212" s="1"/>
      <c r="AP212" s="1"/>
      <c r="AQ212" s="1"/>
      <c r="AR212" s="1"/>
      <c r="AS212" s="1"/>
      <c r="AT212" s="1"/>
      <c r="AU212" s="1"/>
    </row>
    <row r="213" ht="15.75" customHeight="1">
      <c r="A213" s="31"/>
      <c r="B213" s="31"/>
      <c r="C213" s="3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4"/>
      <c r="AN213" s="1"/>
      <c r="AO213" s="1"/>
      <c r="AP213" s="1"/>
      <c r="AQ213" s="1"/>
      <c r="AR213" s="1"/>
      <c r="AS213" s="1"/>
      <c r="AT213" s="1"/>
      <c r="AU213" s="1"/>
    </row>
    <row r="214" ht="15.75" customHeight="1">
      <c r="A214" s="31"/>
      <c r="B214" s="31"/>
      <c r="C214" s="3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4"/>
      <c r="AN214" s="1"/>
      <c r="AO214" s="1"/>
      <c r="AP214" s="1"/>
      <c r="AQ214" s="1"/>
      <c r="AR214" s="1"/>
      <c r="AS214" s="1"/>
      <c r="AT214" s="1"/>
      <c r="AU214" s="1"/>
    </row>
    <row r="215" ht="15.75" customHeight="1">
      <c r="A215" s="31"/>
      <c r="B215" s="31"/>
      <c r="C215" s="3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4"/>
      <c r="AN215" s="1"/>
      <c r="AO215" s="1"/>
      <c r="AP215" s="1"/>
      <c r="AQ215" s="1"/>
      <c r="AR215" s="1"/>
      <c r="AS215" s="1"/>
      <c r="AT215" s="1"/>
      <c r="AU215" s="1"/>
    </row>
    <row r="216" ht="15.75" customHeight="1">
      <c r="A216" s="31"/>
      <c r="B216" s="31"/>
      <c r="C216" s="3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4"/>
      <c r="AN216" s="1"/>
      <c r="AO216" s="1"/>
      <c r="AP216" s="1"/>
      <c r="AQ216" s="1"/>
      <c r="AR216" s="1"/>
      <c r="AS216" s="1"/>
      <c r="AT216" s="1"/>
      <c r="AU216" s="1"/>
    </row>
    <row r="217" ht="15.75" customHeight="1">
      <c r="A217" s="31"/>
      <c r="B217" s="31"/>
      <c r="C217" s="3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4"/>
      <c r="AN217" s="1"/>
      <c r="AO217" s="1"/>
      <c r="AP217" s="1"/>
      <c r="AQ217" s="1"/>
      <c r="AR217" s="1"/>
      <c r="AS217" s="1"/>
      <c r="AT217" s="1"/>
      <c r="AU217" s="1"/>
    </row>
    <row r="218" ht="15.75" customHeight="1">
      <c r="A218" s="31"/>
      <c r="B218" s="31"/>
      <c r="C218" s="3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4"/>
      <c r="AN218" s="1"/>
      <c r="AO218" s="1"/>
      <c r="AP218" s="1"/>
      <c r="AQ218" s="1"/>
      <c r="AR218" s="1"/>
      <c r="AS218" s="1"/>
      <c r="AT218" s="1"/>
      <c r="AU218" s="1"/>
    </row>
    <row r="219" ht="15.75" customHeight="1">
      <c r="A219" s="31"/>
      <c r="B219" s="31"/>
      <c r="C219" s="3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4"/>
      <c r="AN219" s="1"/>
      <c r="AO219" s="1"/>
      <c r="AP219" s="1"/>
      <c r="AQ219" s="1"/>
      <c r="AR219" s="1"/>
      <c r="AS219" s="1"/>
      <c r="AT219" s="1"/>
      <c r="AU219" s="1"/>
    </row>
    <row r="220" ht="15.75" customHeight="1">
      <c r="A220" s="31"/>
      <c r="B220" s="31"/>
      <c r="C220" s="3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4"/>
      <c r="AN220" s="1"/>
      <c r="AO220" s="1"/>
      <c r="AP220" s="1"/>
      <c r="AQ220" s="1"/>
      <c r="AR220" s="1"/>
      <c r="AS220" s="1"/>
      <c r="AT220" s="1"/>
      <c r="AU220" s="1"/>
    </row>
    <row r="221" ht="15.75" customHeight="1">
      <c r="A221" s="31"/>
      <c r="B221" s="31"/>
      <c r="C221" s="3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4"/>
      <c r="AN221" s="1"/>
      <c r="AO221" s="1"/>
      <c r="AP221" s="1"/>
      <c r="AQ221" s="1"/>
      <c r="AR221" s="1"/>
      <c r="AS221" s="1"/>
      <c r="AT221" s="1"/>
      <c r="AU221" s="1"/>
    </row>
    <row r="222" ht="15.75" customHeight="1">
      <c r="A222" s="31"/>
      <c r="B222" s="31"/>
      <c r="C222" s="3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4"/>
      <c r="AN222" s="1"/>
      <c r="AO222" s="1"/>
      <c r="AP222" s="1"/>
      <c r="AQ222" s="1"/>
      <c r="AR222" s="1"/>
      <c r="AS222" s="1"/>
      <c r="AT222" s="1"/>
      <c r="AU222" s="1"/>
    </row>
    <row r="223" ht="15.75" customHeight="1">
      <c r="A223" s="31"/>
      <c r="B223" s="31"/>
      <c r="C223" s="3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4"/>
      <c r="AN223" s="1"/>
      <c r="AO223" s="1"/>
      <c r="AP223" s="1"/>
      <c r="AQ223" s="1"/>
      <c r="AR223" s="1"/>
      <c r="AS223" s="1"/>
      <c r="AT223" s="1"/>
      <c r="AU223" s="1"/>
    </row>
    <row r="224" ht="15.75" customHeight="1">
      <c r="A224" s="31"/>
      <c r="B224" s="31"/>
      <c r="C224" s="3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4"/>
      <c r="AN224" s="1"/>
      <c r="AO224" s="1"/>
      <c r="AP224" s="1"/>
      <c r="AQ224" s="1"/>
      <c r="AR224" s="1"/>
      <c r="AS224" s="1"/>
      <c r="AT224" s="1"/>
      <c r="AU224" s="1"/>
    </row>
    <row r="225" ht="15.75" customHeight="1">
      <c r="A225" s="31"/>
      <c r="B225" s="31"/>
      <c r="C225" s="3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4"/>
      <c r="AN225" s="1"/>
      <c r="AO225" s="1"/>
      <c r="AP225" s="1"/>
      <c r="AQ225" s="1"/>
      <c r="AR225" s="1"/>
      <c r="AS225" s="1"/>
      <c r="AT225" s="1"/>
      <c r="AU225" s="1"/>
    </row>
    <row r="226" ht="15.75" customHeight="1">
      <c r="A226" s="31"/>
      <c r="B226" s="31"/>
      <c r="C226" s="3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4"/>
      <c r="AN226" s="1"/>
      <c r="AO226" s="1"/>
      <c r="AP226" s="1"/>
      <c r="AQ226" s="1"/>
      <c r="AR226" s="1"/>
      <c r="AS226" s="1"/>
      <c r="AT226" s="1"/>
      <c r="AU226" s="1"/>
    </row>
    <row r="227" ht="15.75" customHeight="1">
      <c r="A227" s="31"/>
      <c r="B227" s="31"/>
      <c r="C227" s="3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4"/>
      <c r="AN227" s="1"/>
      <c r="AO227" s="1"/>
      <c r="AP227" s="1"/>
      <c r="AQ227" s="1"/>
      <c r="AR227" s="1"/>
      <c r="AS227" s="1"/>
      <c r="AT227" s="1"/>
      <c r="AU227" s="1"/>
    </row>
    <row r="228" ht="15.75" customHeight="1">
      <c r="A228" s="31"/>
      <c r="B228" s="31"/>
      <c r="C228" s="3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4"/>
      <c r="AN228" s="1"/>
      <c r="AO228" s="1"/>
      <c r="AP228" s="1"/>
      <c r="AQ228" s="1"/>
      <c r="AR228" s="1"/>
      <c r="AS228" s="1"/>
      <c r="AT228" s="1"/>
      <c r="AU228" s="1"/>
    </row>
    <row r="229" ht="15.75" customHeight="1">
      <c r="A229" s="31"/>
      <c r="B229" s="31"/>
      <c r="C229" s="3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4"/>
      <c r="AN229" s="1"/>
      <c r="AO229" s="1"/>
      <c r="AP229" s="1"/>
      <c r="AQ229" s="1"/>
      <c r="AR229" s="1"/>
      <c r="AS229" s="1"/>
      <c r="AT229" s="1"/>
      <c r="AU229" s="1"/>
    </row>
    <row r="230" ht="15.75" customHeight="1">
      <c r="A230" s="31"/>
      <c r="B230" s="31"/>
      <c r="C230" s="3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4"/>
      <c r="AN230" s="1"/>
      <c r="AO230" s="1"/>
      <c r="AP230" s="1"/>
      <c r="AQ230" s="1"/>
      <c r="AR230" s="1"/>
      <c r="AS230" s="1"/>
      <c r="AT230" s="1"/>
      <c r="AU230" s="1"/>
    </row>
    <row r="231" ht="15.75" customHeight="1">
      <c r="A231" s="31"/>
      <c r="B231" s="31"/>
      <c r="C231" s="3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4"/>
      <c r="AN231" s="1"/>
      <c r="AO231" s="1"/>
      <c r="AP231" s="1"/>
      <c r="AQ231" s="1"/>
      <c r="AR231" s="1"/>
      <c r="AS231" s="1"/>
      <c r="AT231" s="1"/>
      <c r="AU231" s="1"/>
    </row>
    <row r="232" ht="15.75" customHeight="1">
      <c r="A232" s="31"/>
      <c r="B232" s="31"/>
      <c r="C232" s="3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4"/>
      <c r="AN232" s="1"/>
      <c r="AO232" s="1"/>
      <c r="AP232" s="1"/>
      <c r="AQ232" s="1"/>
      <c r="AR232" s="1"/>
      <c r="AS232" s="1"/>
      <c r="AT232" s="1"/>
      <c r="AU232" s="1"/>
    </row>
    <row r="233" ht="15.75" customHeight="1">
      <c r="A233" s="31"/>
      <c r="B233" s="31"/>
      <c r="C233" s="3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4"/>
      <c r="AN233" s="1"/>
      <c r="AO233" s="1"/>
      <c r="AP233" s="1"/>
      <c r="AQ233" s="1"/>
      <c r="AR233" s="1"/>
      <c r="AS233" s="1"/>
      <c r="AT233" s="1"/>
      <c r="AU233" s="1"/>
    </row>
    <row r="234" ht="15.75" customHeight="1">
      <c r="A234" s="31"/>
      <c r="B234" s="31"/>
      <c r="C234" s="3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4"/>
      <c r="AN234" s="1"/>
      <c r="AO234" s="1"/>
      <c r="AP234" s="1"/>
      <c r="AQ234" s="1"/>
      <c r="AR234" s="1"/>
      <c r="AS234" s="1"/>
      <c r="AT234" s="1"/>
      <c r="AU234" s="1"/>
    </row>
    <row r="235" ht="15.75" customHeight="1">
      <c r="A235" s="31"/>
      <c r="B235" s="31"/>
      <c r="C235" s="3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4"/>
      <c r="AN235" s="1"/>
      <c r="AO235" s="1"/>
      <c r="AP235" s="1"/>
      <c r="AQ235" s="1"/>
      <c r="AR235" s="1"/>
      <c r="AS235" s="1"/>
      <c r="AT235" s="1"/>
      <c r="AU235" s="1"/>
    </row>
    <row r="236" ht="15.75" customHeight="1">
      <c r="A236" s="31"/>
      <c r="B236" s="31"/>
      <c r="C236" s="3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4"/>
      <c r="AN236" s="1"/>
      <c r="AO236" s="1"/>
      <c r="AP236" s="1"/>
      <c r="AQ236" s="1"/>
      <c r="AR236" s="1"/>
      <c r="AS236" s="1"/>
      <c r="AT236" s="1"/>
      <c r="AU236" s="1"/>
    </row>
    <row r="237" ht="15.75" customHeight="1">
      <c r="A237" s="31"/>
      <c r="B237" s="31"/>
      <c r="C237" s="3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4"/>
      <c r="AN237" s="1"/>
      <c r="AO237" s="1"/>
      <c r="AP237" s="1"/>
      <c r="AQ237" s="1"/>
      <c r="AR237" s="1"/>
      <c r="AS237" s="1"/>
      <c r="AT237" s="1"/>
      <c r="AU237" s="1"/>
    </row>
    <row r="238" ht="15.75" customHeight="1">
      <c r="A238" s="31"/>
      <c r="B238" s="31"/>
      <c r="C238" s="3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4"/>
      <c r="AN238" s="1"/>
      <c r="AO238" s="1"/>
      <c r="AP238" s="1"/>
      <c r="AQ238" s="1"/>
      <c r="AR238" s="1"/>
      <c r="AS238" s="1"/>
      <c r="AT238" s="1"/>
      <c r="AU238" s="1"/>
    </row>
    <row r="239" ht="15.75" customHeight="1">
      <c r="A239" s="31"/>
      <c r="B239" s="31"/>
      <c r="C239" s="3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4"/>
      <c r="AN239" s="1"/>
      <c r="AO239" s="1"/>
      <c r="AP239" s="1"/>
      <c r="AQ239" s="1"/>
      <c r="AR239" s="1"/>
      <c r="AS239" s="1"/>
      <c r="AT239" s="1"/>
      <c r="AU239" s="1"/>
    </row>
    <row r="240" ht="15.75" customHeight="1">
      <c r="A240" s="31"/>
      <c r="B240" s="31"/>
      <c r="C240" s="3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4"/>
      <c r="AN240" s="1"/>
      <c r="AO240" s="1"/>
      <c r="AP240" s="1"/>
      <c r="AQ240" s="1"/>
      <c r="AR240" s="1"/>
      <c r="AS240" s="1"/>
      <c r="AT240" s="1"/>
      <c r="AU240" s="1"/>
    </row>
    <row r="241" ht="15.75" customHeight="1">
      <c r="A241" s="31"/>
      <c r="B241" s="31"/>
      <c r="C241" s="3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4"/>
      <c r="AN241" s="1"/>
      <c r="AO241" s="1"/>
      <c r="AP241" s="1"/>
      <c r="AQ241" s="1"/>
      <c r="AR241" s="1"/>
      <c r="AS241" s="1"/>
      <c r="AT241" s="1"/>
      <c r="AU241" s="1"/>
    </row>
    <row r="242" ht="15.75" customHeight="1">
      <c r="A242" s="31"/>
      <c r="B242" s="31"/>
      <c r="C242" s="3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4"/>
      <c r="AN242" s="1"/>
      <c r="AO242" s="1"/>
      <c r="AP242" s="1"/>
      <c r="AQ242" s="1"/>
      <c r="AR242" s="1"/>
      <c r="AS242" s="1"/>
      <c r="AT242" s="1"/>
      <c r="AU242" s="1"/>
    </row>
    <row r="243" ht="15.75" customHeight="1">
      <c r="A243" s="31"/>
      <c r="B243" s="31"/>
      <c r="C243" s="3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4"/>
      <c r="AN243" s="1"/>
      <c r="AO243" s="1"/>
      <c r="AP243" s="1"/>
      <c r="AQ243" s="1"/>
      <c r="AR243" s="1"/>
      <c r="AS243" s="1"/>
      <c r="AT243" s="1"/>
      <c r="AU243" s="1"/>
    </row>
    <row r="244" ht="15.75" customHeight="1">
      <c r="A244" s="31"/>
      <c r="B244" s="31"/>
      <c r="C244" s="3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4"/>
      <c r="AN244" s="1"/>
      <c r="AO244" s="1"/>
      <c r="AP244" s="1"/>
      <c r="AQ244" s="1"/>
      <c r="AR244" s="1"/>
      <c r="AS244" s="1"/>
      <c r="AT244" s="1"/>
      <c r="AU244" s="1"/>
    </row>
    <row r="245" ht="15.75" customHeight="1">
      <c r="A245" s="31"/>
      <c r="B245" s="31"/>
      <c r="C245" s="3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4"/>
      <c r="AN245" s="1"/>
      <c r="AO245" s="1"/>
      <c r="AP245" s="1"/>
      <c r="AQ245" s="1"/>
      <c r="AR245" s="1"/>
      <c r="AS245" s="1"/>
      <c r="AT245" s="1"/>
      <c r="AU245" s="1"/>
    </row>
    <row r="246" ht="15.75" customHeight="1">
      <c r="A246" s="31"/>
      <c r="B246" s="31"/>
      <c r="C246" s="3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4"/>
      <c r="AN246" s="1"/>
      <c r="AO246" s="1"/>
      <c r="AP246" s="1"/>
      <c r="AQ246" s="1"/>
      <c r="AR246" s="1"/>
      <c r="AS246" s="1"/>
      <c r="AT246" s="1"/>
      <c r="AU246" s="1"/>
    </row>
    <row r="247" ht="15.75" customHeight="1">
      <c r="A247" s="31"/>
      <c r="B247" s="31"/>
      <c r="C247" s="3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4"/>
      <c r="AN247" s="1"/>
      <c r="AO247" s="1"/>
      <c r="AP247" s="1"/>
      <c r="AQ247" s="1"/>
      <c r="AR247" s="1"/>
      <c r="AS247" s="1"/>
      <c r="AT247" s="1"/>
      <c r="AU247" s="1"/>
    </row>
    <row r="248" ht="15.75" customHeight="1">
      <c r="A248" s="31"/>
      <c r="B248" s="31"/>
      <c r="C248" s="3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4"/>
      <c r="AN248" s="1"/>
      <c r="AO248" s="1"/>
      <c r="AP248" s="1"/>
      <c r="AQ248" s="1"/>
      <c r="AR248" s="1"/>
      <c r="AS248" s="1"/>
      <c r="AT248" s="1"/>
      <c r="AU248" s="1"/>
    </row>
    <row r="249" ht="15.75" customHeight="1">
      <c r="A249" s="31"/>
      <c r="B249" s="31"/>
      <c r="C249" s="3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4"/>
      <c r="AN249" s="1"/>
      <c r="AO249" s="1"/>
      <c r="AP249" s="1"/>
      <c r="AQ249" s="1"/>
      <c r="AR249" s="1"/>
      <c r="AS249" s="1"/>
      <c r="AT249" s="1"/>
      <c r="AU249" s="1"/>
    </row>
    <row r="250" ht="15.75" customHeight="1">
      <c r="A250" s="31"/>
      <c r="B250" s="31"/>
      <c r="C250" s="3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4"/>
      <c r="AN250" s="1"/>
      <c r="AO250" s="1"/>
      <c r="AP250" s="1"/>
      <c r="AQ250" s="1"/>
      <c r="AR250" s="1"/>
      <c r="AS250" s="1"/>
      <c r="AT250" s="1"/>
      <c r="AU250" s="1"/>
    </row>
    <row r="251" ht="15.75" customHeight="1">
      <c r="A251" s="31"/>
      <c r="B251" s="31"/>
      <c r="C251" s="3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4"/>
      <c r="AN251" s="1"/>
      <c r="AO251" s="1"/>
      <c r="AP251" s="1"/>
      <c r="AQ251" s="1"/>
      <c r="AR251" s="1"/>
      <c r="AS251" s="1"/>
      <c r="AT251" s="1"/>
      <c r="AU251" s="1"/>
    </row>
    <row r="252" ht="15.75" customHeight="1">
      <c r="A252" s="31"/>
      <c r="B252" s="31"/>
      <c r="C252" s="3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4"/>
      <c r="AN252" s="1"/>
      <c r="AO252" s="1"/>
      <c r="AP252" s="1"/>
      <c r="AQ252" s="1"/>
      <c r="AR252" s="1"/>
      <c r="AS252" s="1"/>
      <c r="AT252" s="1"/>
      <c r="AU252" s="1"/>
    </row>
    <row r="253" ht="15.75" customHeight="1">
      <c r="A253" s="31"/>
      <c r="B253" s="31"/>
      <c r="C253" s="3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4"/>
      <c r="AN253" s="1"/>
      <c r="AO253" s="1"/>
      <c r="AP253" s="1"/>
      <c r="AQ253" s="1"/>
      <c r="AR253" s="1"/>
      <c r="AS253" s="1"/>
      <c r="AT253" s="1"/>
      <c r="AU253" s="1"/>
    </row>
    <row r="254" ht="15.75" customHeight="1">
      <c r="A254" s="31"/>
      <c r="B254" s="31"/>
      <c r="C254" s="3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4"/>
      <c r="AN254" s="1"/>
      <c r="AO254" s="1"/>
      <c r="AP254" s="1"/>
      <c r="AQ254" s="1"/>
      <c r="AR254" s="1"/>
      <c r="AS254" s="1"/>
      <c r="AT254" s="1"/>
      <c r="AU254" s="1"/>
    </row>
    <row r="255" ht="15.75" customHeight="1">
      <c r="A255" s="31"/>
      <c r="B255" s="31"/>
      <c r="C255" s="3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4"/>
      <c r="AN255" s="1"/>
      <c r="AO255" s="1"/>
      <c r="AP255" s="1"/>
      <c r="AQ255" s="1"/>
      <c r="AR255" s="1"/>
      <c r="AS255" s="1"/>
      <c r="AT255" s="1"/>
      <c r="AU255" s="1"/>
    </row>
    <row r="256" ht="15.75" customHeight="1">
      <c r="A256" s="31"/>
      <c r="B256" s="31"/>
      <c r="C256" s="3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4"/>
      <c r="AN256" s="1"/>
      <c r="AO256" s="1"/>
      <c r="AP256" s="1"/>
      <c r="AQ256" s="1"/>
      <c r="AR256" s="1"/>
      <c r="AS256" s="1"/>
      <c r="AT256" s="1"/>
      <c r="AU256" s="1"/>
    </row>
    <row r="257" ht="15.75" customHeight="1">
      <c r="A257" s="31"/>
      <c r="B257" s="31"/>
      <c r="C257" s="3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4"/>
      <c r="AN257" s="1"/>
      <c r="AO257" s="1"/>
      <c r="AP257" s="1"/>
      <c r="AQ257" s="1"/>
      <c r="AR257" s="1"/>
      <c r="AS257" s="1"/>
      <c r="AT257" s="1"/>
      <c r="AU257" s="1"/>
    </row>
    <row r="258" ht="15.75" customHeight="1">
      <c r="A258" s="31"/>
      <c r="B258" s="31"/>
      <c r="C258" s="3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4"/>
      <c r="AN258" s="1"/>
      <c r="AO258" s="1"/>
      <c r="AP258" s="1"/>
      <c r="AQ258" s="1"/>
      <c r="AR258" s="1"/>
      <c r="AS258" s="1"/>
      <c r="AT258" s="1"/>
      <c r="AU258" s="1"/>
    </row>
    <row r="259" ht="15.75" customHeight="1">
      <c r="A259" s="31"/>
      <c r="B259" s="31"/>
      <c r="C259" s="3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4"/>
      <c r="AN259" s="1"/>
      <c r="AO259" s="1"/>
      <c r="AP259" s="1"/>
      <c r="AQ259" s="1"/>
      <c r="AR259" s="1"/>
      <c r="AS259" s="1"/>
      <c r="AT259" s="1"/>
      <c r="AU259" s="1"/>
    </row>
    <row r="260" ht="15.75" customHeight="1">
      <c r="A260" s="31"/>
      <c r="B260" s="31"/>
      <c r="C260" s="3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4"/>
      <c r="AN260" s="1"/>
      <c r="AO260" s="1"/>
      <c r="AP260" s="1"/>
      <c r="AQ260" s="1"/>
      <c r="AR260" s="1"/>
      <c r="AS260" s="1"/>
      <c r="AT260" s="1"/>
      <c r="AU260" s="1"/>
    </row>
    <row r="261" ht="15.75" customHeight="1">
      <c r="A261" s="31"/>
      <c r="B261" s="31"/>
      <c r="C261" s="3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4"/>
      <c r="AN261" s="1"/>
      <c r="AO261" s="1"/>
      <c r="AP261" s="1"/>
      <c r="AQ261" s="1"/>
      <c r="AR261" s="1"/>
      <c r="AS261" s="1"/>
      <c r="AT261" s="1"/>
      <c r="AU261" s="1"/>
    </row>
    <row r="262" ht="15.75" customHeight="1">
      <c r="A262" s="31"/>
      <c r="B262" s="31"/>
      <c r="C262" s="3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4"/>
      <c r="AN262" s="1"/>
      <c r="AO262" s="1"/>
      <c r="AP262" s="1"/>
      <c r="AQ262" s="1"/>
      <c r="AR262" s="1"/>
      <c r="AS262" s="1"/>
      <c r="AT262" s="1"/>
      <c r="AU262" s="1"/>
    </row>
    <row r="263" ht="15.75" customHeight="1">
      <c r="A263" s="31"/>
      <c r="B263" s="31"/>
      <c r="C263" s="3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4"/>
      <c r="AN263" s="1"/>
      <c r="AO263" s="1"/>
      <c r="AP263" s="1"/>
      <c r="AQ263" s="1"/>
      <c r="AR263" s="1"/>
      <c r="AS263" s="1"/>
      <c r="AT263" s="1"/>
      <c r="AU263" s="1"/>
    </row>
    <row r="264" ht="15.75" customHeight="1">
      <c r="A264" s="31"/>
      <c r="B264" s="31"/>
      <c r="C264" s="3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4"/>
      <c r="AN264" s="1"/>
      <c r="AO264" s="1"/>
      <c r="AP264" s="1"/>
      <c r="AQ264" s="1"/>
      <c r="AR264" s="1"/>
      <c r="AS264" s="1"/>
      <c r="AT264" s="1"/>
      <c r="AU264" s="1"/>
    </row>
    <row r="265" ht="15.75" customHeight="1">
      <c r="A265" s="31"/>
      <c r="B265" s="31"/>
      <c r="C265" s="3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4"/>
      <c r="AN265" s="1"/>
      <c r="AO265" s="1"/>
      <c r="AP265" s="1"/>
      <c r="AQ265" s="1"/>
      <c r="AR265" s="1"/>
      <c r="AS265" s="1"/>
      <c r="AT265" s="1"/>
      <c r="AU265" s="1"/>
    </row>
    <row r="266" ht="15.75" customHeight="1">
      <c r="A266" s="31"/>
      <c r="B266" s="31"/>
      <c r="C266" s="3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4"/>
      <c r="AN266" s="1"/>
      <c r="AO266" s="1"/>
      <c r="AP266" s="1"/>
      <c r="AQ266" s="1"/>
      <c r="AR266" s="1"/>
      <c r="AS266" s="1"/>
      <c r="AT266" s="1"/>
      <c r="AU266" s="1"/>
    </row>
    <row r="267" ht="15.75" customHeight="1">
      <c r="A267" s="31"/>
      <c r="B267" s="31"/>
      <c r="C267" s="3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4"/>
      <c r="AN267" s="1"/>
      <c r="AO267" s="1"/>
      <c r="AP267" s="1"/>
      <c r="AQ267" s="1"/>
      <c r="AR267" s="1"/>
      <c r="AS267" s="1"/>
      <c r="AT267" s="1"/>
      <c r="AU267" s="1"/>
    </row>
    <row r="268" ht="15.75" customHeight="1">
      <c r="A268" s="31"/>
      <c r="B268" s="31"/>
      <c r="C268" s="3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4"/>
      <c r="AN268" s="1"/>
      <c r="AO268" s="1"/>
      <c r="AP268" s="1"/>
      <c r="AQ268" s="1"/>
      <c r="AR268" s="1"/>
      <c r="AS268" s="1"/>
      <c r="AT268" s="1"/>
      <c r="AU268" s="1"/>
    </row>
    <row r="269" ht="15.75" customHeight="1">
      <c r="A269" s="31"/>
      <c r="B269" s="31"/>
      <c r="C269" s="3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4"/>
      <c r="AN269" s="1"/>
      <c r="AO269" s="1"/>
      <c r="AP269" s="1"/>
      <c r="AQ269" s="1"/>
      <c r="AR269" s="1"/>
      <c r="AS269" s="1"/>
      <c r="AT269" s="1"/>
      <c r="AU269" s="1"/>
    </row>
    <row r="270" ht="15.75" customHeight="1">
      <c r="A270" s="31"/>
      <c r="B270" s="31"/>
      <c r="C270" s="3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4"/>
      <c r="AN270" s="1"/>
      <c r="AO270" s="1"/>
      <c r="AP270" s="1"/>
      <c r="AQ270" s="1"/>
      <c r="AR270" s="1"/>
      <c r="AS270" s="1"/>
      <c r="AT270" s="1"/>
      <c r="AU270" s="1"/>
    </row>
    <row r="271" ht="15.75" customHeight="1">
      <c r="A271" s="31"/>
      <c r="B271" s="31"/>
      <c r="C271" s="3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4"/>
      <c r="AN271" s="1"/>
      <c r="AO271" s="1"/>
      <c r="AP271" s="1"/>
      <c r="AQ271" s="1"/>
      <c r="AR271" s="1"/>
      <c r="AS271" s="1"/>
      <c r="AT271" s="1"/>
      <c r="AU271" s="1"/>
    </row>
    <row r="272" ht="15.75" customHeight="1">
      <c r="A272" s="31"/>
      <c r="B272" s="31"/>
      <c r="C272" s="3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4"/>
      <c r="AN272" s="1"/>
      <c r="AO272" s="1"/>
      <c r="AP272" s="1"/>
      <c r="AQ272" s="1"/>
      <c r="AR272" s="1"/>
      <c r="AS272" s="1"/>
      <c r="AT272" s="1"/>
      <c r="AU272" s="1"/>
    </row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6">
    <mergeCell ref="A7:A9"/>
    <mergeCell ref="B7:B9"/>
    <mergeCell ref="C7:C9"/>
    <mergeCell ref="AM7:AM9"/>
    <mergeCell ref="A2:A3"/>
    <mergeCell ref="B2:B3"/>
    <mergeCell ref="C2:C3"/>
    <mergeCell ref="D2:D3"/>
    <mergeCell ref="A4:A6"/>
    <mergeCell ref="B4:B6"/>
    <mergeCell ref="C4:C6"/>
    <mergeCell ref="B16:B18"/>
    <mergeCell ref="C16:C18"/>
    <mergeCell ref="AM16:AM18"/>
    <mergeCell ref="A19:A21"/>
    <mergeCell ref="B19:B21"/>
    <mergeCell ref="C19:C21"/>
    <mergeCell ref="AM19:AM21"/>
    <mergeCell ref="A10:A12"/>
    <mergeCell ref="B10:B12"/>
    <mergeCell ref="C10:C12"/>
    <mergeCell ref="A13:A15"/>
    <mergeCell ref="B13:B15"/>
    <mergeCell ref="C13:C15"/>
    <mergeCell ref="A16:A18"/>
    <mergeCell ref="B28:B30"/>
    <mergeCell ref="C28:C30"/>
    <mergeCell ref="A22:A24"/>
    <mergeCell ref="B22:B24"/>
    <mergeCell ref="C22:C24"/>
    <mergeCell ref="A25:A27"/>
    <mergeCell ref="B25:B27"/>
    <mergeCell ref="C25:C27"/>
    <mergeCell ref="A28:A30"/>
    <mergeCell ref="B64:B66"/>
    <mergeCell ref="C64:C66"/>
    <mergeCell ref="A58:A60"/>
    <mergeCell ref="B58:B60"/>
    <mergeCell ref="C58:C60"/>
    <mergeCell ref="A61:A63"/>
    <mergeCell ref="B61:B63"/>
    <mergeCell ref="C61:C63"/>
    <mergeCell ref="A64:A66"/>
    <mergeCell ref="B37:B39"/>
    <mergeCell ref="C37:C39"/>
    <mergeCell ref="A31:A33"/>
    <mergeCell ref="B31:B33"/>
    <mergeCell ref="C31:C33"/>
    <mergeCell ref="A34:A36"/>
    <mergeCell ref="B34:B36"/>
    <mergeCell ref="C34:C36"/>
    <mergeCell ref="A37:A39"/>
    <mergeCell ref="B46:B48"/>
    <mergeCell ref="C46:C48"/>
    <mergeCell ref="A40:A42"/>
    <mergeCell ref="B40:B42"/>
    <mergeCell ref="C40:C42"/>
    <mergeCell ref="A43:A45"/>
    <mergeCell ref="B43:B45"/>
    <mergeCell ref="C43:C45"/>
    <mergeCell ref="A46:A48"/>
    <mergeCell ref="B55:B57"/>
    <mergeCell ref="C55:C57"/>
    <mergeCell ref="A49:A51"/>
    <mergeCell ref="B49:B51"/>
    <mergeCell ref="C49:C51"/>
    <mergeCell ref="A52:A54"/>
    <mergeCell ref="B52:B54"/>
    <mergeCell ref="C52:C54"/>
    <mergeCell ref="A55:A57"/>
    <mergeCell ref="A67:A69"/>
    <mergeCell ref="B67:B69"/>
    <mergeCell ref="C67:C69"/>
    <mergeCell ref="A70:A72"/>
    <mergeCell ref="B70:B72"/>
    <mergeCell ref="C70:C72"/>
  </mergeCells>
  <printOptions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4" width="12.63"/>
    <col customWidth="1" min="5" max="35" width="2.63"/>
    <col customWidth="1" min="36" max="36" width="5.25"/>
    <col customWidth="1" min="37" max="37" width="5.63"/>
    <col customWidth="1" min="38" max="38" width="7.63"/>
    <col customWidth="1" min="39" max="39" width="25.75"/>
    <col customWidth="1" min="40" max="47" width="2.63"/>
  </cols>
  <sheetData>
    <row r="1" ht="15.75" customHeight="1">
      <c r="A1" s="1">
        <v>2025.0</v>
      </c>
      <c r="B1" s="1">
        <v>9.0</v>
      </c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4"/>
      <c r="AN1" s="1"/>
      <c r="AO1" s="1"/>
      <c r="AP1" s="1"/>
      <c r="AQ1" s="1"/>
      <c r="AR1" s="1"/>
      <c r="AS1" s="1"/>
      <c r="AT1" s="1"/>
      <c r="AU1" s="1"/>
    </row>
    <row r="2" ht="15.75" customHeight="1">
      <c r="A2" s="5" t="s">
        <v>0</v>
      </c>
      <c r="B2" s="5" t="s">
        <v>1</v>
      </c>
      <c r="C2" s="5" t="s">
        <v>2</v>
      </c>
      <c r="D2" s="6"/>
      <c r="E2" s="7">
        <f>DATE($A$1,$B$1,1)</f>
        <v>45901</v>
      </c>
      <c r="F2" s="7">
        <f>DATE($A$1,$B$1,2)</f>
        <v>45902</v>
      </c>
      <c r="G2" s="7">
        <f>DATE($A$1,$B$1,3)</f>
        <v>45903</v>
      </c>
      <c r="H2" s="7">
        <f>DATE($A$1,$B$1,4)</f>
        <v>45904</v>
      </c>
      <c r="I2" s="7">
        <f>DATE($A$1,$B$1,5)</f>
        <v>45905</v>
      </c>
      <c r="J2" s="7">
        <f>DATE($A$1,$B$1,6)</f>
        <v>45906</v>
      </c>
      <c r="K2" s="7">
        <f>DATE($A$1,$B$1,7)</f>
        <v>45907</v>
      </c>
      <c r="L2" s="7">
        <f>DATE($A$1,$B$1,8)</f>
        <v>45908</v>
      </c>
      <c r="M2" s="7">
        <f>DATE($A$1,$B$1,9)</f>
        <v>45909</v>
      </c>
      <c r="N2" s="7">
        <f>DATE($A$1,$B$1,10)</f>
        <v>45910</v>
      </c>
      <c r="O2" s="7">
        <f>DATE($A$1,$B$1,11)</f>
        <v>45911</v>
      </c>
      <c r="P2" s="7">
        <f>DATE($A$1,$B$1,12)</f>
        <v>45912</v>
      </c>
      <c r="Q2" s="7">
        <f>DATE($A$1,$B$1,13)</f>
        <v>45913</v>
      </c>
      <c r="R2" s="7">
        <f>DATE($A$1,$B$1,14)</f>
        <v>45914</v>
      </c>
      <c r="S2" s="7">
        <f>DATE($A$1,$B$1,15)</f>
        <v>45915</v>
      </c>
      <c r="T2" s="7">
        <f>DATE($A$1,$B$1,16)</f>
        <v>45916</v>
      </c>
      <c r="U2" s="7">
        <f>DATE($A$1,$B$1,17)</f>
        <v>45917</v>
      </c>
      <c r="V2" s="7">
        <f>DATE($A$1,$B$1,18)</f>
        <v>45918</v>
      </c>
      <c r="W2" s="7">
        <f>DATE($A$1,$B$1,19)</f>
        <v>45919</v>
      </c>
      <c r="X2" s="7">
        <f>DATE($A$1,$B$1,20)</f>
        <v>45920</v>
      </c>
      <c r="Y2" s="7">
        <f>DATE($A$1,$B$1,21)</f>
        <v>45921</v>
      </c>
      <c r="Z2" s="7">
        <f>DATE($A$1,$B$1,22)</f>
        <v>45922</v>
      </c>
      <c r="AA2" s="7">
        <f>DATE($A$1,$B$1,23)</f>
        <v>45923</v>
      </c>
      <c r="AB2" s="7">
        <f>DATE($A$1,$B$1,24)</f>
        <v>45924</v>
      </c>
      <c r="AC2" s="7">
        <f>DATE($A$1,$B$1,25)</f>
        <v>45925</v>
      </c>
      <c r="AD2" s="7">
        <f>DATE($A$1,$B$1,26)</f>
        <v>45926</v>
      </c>
      <c r="AE2" s="7">
        <f>DATE($A$1,$B$1,27)</f>
        <v>45927</v>
      </c>
      <c r="AF2" s="7">
        <f>DATE($A$1,$B$1,28)</f>
        <v>45928</v>
      </c>
      <c r="AG2" s="7">
        <f>DATE($A$1,$B$1,29)</f>
        <v>45929</v>
      </c>
      <c r="AH2" s="7">
        <f>DATE($A$1,$B$1,30)</f>
        <v>45930</v>
      </c>
      <c r="AI2" s="7">
        <f>DATE($A$1,$B$1,31)</f>
        <v>45931</v>
      </c>
      <c r="AJ2" s="8" t="s">
        <v>3</v>
      </c>
      <c r="AK2" s="9"/>
      <c r="AL2" s="8" t="s">
        <v>4</v>
      </c>
      <c r="AM2" s="4"/>
      <c r="AN2" s="1"/>
      <c r="AO2" s="1"/>
      <c r="AP2" s="1"/>
      <c r="AQ2" s="1"/>
      <c r="AR2" s="1"/>
      <c r="AS2" s="1"/>
      <c r="AT2" s="1"/>
      <c r="AU2" s="1"/>
    </row>
    <row r="3" ht="15.75" customHeight="1">
      <c r="A3" s="10"/>
      <c r="B3" s="10"/>
      <c r="C3" s="10"/>
      <c r="D3" s="10"/>
      <c r="E3" s="11" t="str">
        <f t="shared" ref="E3:AI3" si="1">TEXT(E2,"ddd")</f>
        <v>月</v>
      </c>
      <c r="F3" s="11" t="str">
        <f t="shared" si="1"/>
        <v>火</v>
      </c>
      <c r="G3" s="11" t="str">
        <f t="shared" si="1"/>
        <v>水</v>
      </c>
      <c r="H3" s="11" t="str">
        <f t="shared" si="1"/>
        <v>木</v>
      </c>
      <c r="I3" s="11" t="str">
        <f t="shared" si="1"/>
        <v>金</v>
      </c>
      <c r="J3" s="11" t="str">
        <f t="shared" si="1"/>
        <v>土</v>
      </c>
      <c r="K3" s="11" t="str">
        <f t="shared" si="1"/>
        <v>日</v>
      </c>
      <c r="L3" s="11" t="str">
        <f t="shared" si="1"/>
        <v>月</v>
      </c>
      <c r="M3" s="11" t="str">
        <f t="shared" si="1"/>
        <v>火</v>
      </c>
      <c r="N3" s="11" t="str">
        <f t="shared" si="1"/>
        <v>水</v>
      </c>
      <c r="O3" s="11" t="str">
        <f t="shared" si="1"/>
        <v>木</v>
      </c>
      <c r="P3" s="11" t="str">
        <f t="shared" si="1"/>
        <v>金</v>
      </c>
      <c r="Q3" s="11" t="str">
        <f t="shared" si="1"/>
        <v>土</v>
      </c>
      <c r="R3" s="11" t="str">
        <f t="shared" si="1"/>
        <v>日</v>
      </c>
      <c r="S3" s="11" t="str">
        <f t="shared" si="1"/>
        <v>月</v>
      </c>
      <c r="T3" s="11" t="str">
        <f t="shared" si="1"/>
        <v>火</v>
      </c>
      <c r="U3" s="11" t="str">
        <f t="shared" si="1"/>
        <v>水</v>
      </c>
      <c r="V3" s="11" t="str">
        <f t="shared" si="1"/>
        <v>木</v>
      </c>
      <c r="W3" s="11" t="str">
        <f t="shared" si="1"/>
        <v>金</v>
      </c>
      <c r="X3" s="11" t="str">
        <f t="shared" si="1"/>
        <v>土</v>
      </c>
      <c r="Y3" s="11" t="str">
        <f t="shared" si="1"/>
        <v>日</v>
      </c>
      <c r="Z3" s="11" t="str">
        <f t="shared" si="1"/>
        <v>月</v>
      </c>
      <c r="AA3" s="11" t="str">
        <f t="shared" si="1"/>
        <v>火</v>
      </c>
      <c r="AB3" s="11" t="str">
        <f t="shared" si="1"/>
        <v>水</v>
      </c>
      <c r="AC3" s="11" t="str">
        <f t="shared" si="1"/>
        <v>木</v>
      </c>
      <c r="AD3" s="11" t="str">
        <f t="shared" si="1"/>
        <v>金</v>
      </c>
      <c r="AE3" s="11" t="str">
        <f t="shared" si="1"/>
        <v>土</v>
      </c>
      <c r="AF3" s="11" t="str">
        <f t="shared" si="1"/>
        <v>日</v>
      </c>
      <c r="AG3" s="11" t="str">
        <f t="shared" si="1"/>
        <v>月</v>
      </c>
      <c r="AH3" s="11" t="str">
        <f t="shared" si="1"/>
        <v>火</v>
      </c>
      <c r="AI3" s="11" t="str">
        <f t="shared" si="1"/>
        <v>水</v>
      </c>
      <c r="AJ3" s="9"/>
      <c r="AK3" s="9"/>
      <c r="AL3" s="6"/>
      <c r="AM3" s="4"/>
      <c r="AN3" s="1"/>
      <c r="AO3" s="1"/>
      <c r="AP3" s="1"/>
      <c r="AQ3" s="1"/>
      <c r="AR3" s="1"/>
      <c r="AS3" s="1"/>
      <c r="AT3" s="1"/>
      <c r="AU3" s="1"/>
    </row>
    <row r="4" ht="15.75" customHeight="1">
      <c r="A4" s="12" t="s">
        <v>30</v>
      </c>
      <c r="B4" s="12" t="s">
        <v>31</v>
      </c>
      <c r="C4" s="12" t="s">
        <v>32</v>
      </c>
      <c r="D4" s="13" t="s">
        <v>5</v>
      </c>
      <c r="E4" s="13">
        <v>1.0</v>
      </c>
      <c r="F4" s="13">
        <v>1.0</v>
      </c>
      <c r="G4" s="13">
        <v>1.0</v>
      </c>
      <c r="H4" s="13">
        <v>1.0</v>
      </c>
      <c r="I4" s="13">
        <v>1.0</v>
      </c>
      <c r="J4" s="13">
        <v>1.0</v>
      </c>
      <c r="K4" s="13">
        <v>1.0</v>
      </c>
      <c r="L4" s="13">
        <v>1.0</v>
      </c>
      <c r="M4" s="13">
        <v>1.0</v>
      </c>
      <c r="N4" s="13">
        <v>1.0</v>
      </c>
      <c r="O4" s="13">
        <v>1.0</v>
      </c>
      <c r="P4" s="13">
        <v>1.0</v>
      </c>
      <c r="Q4" s="13">
        <v>1.0</v>
      </c>
      <c r="R4" s="13">
        <v>1.0</v>
      </c>
      <c r="S4" s="13">
        <v>1.0</v>
      </c>
      <c r="T4" s="13">
        <v>1.0</v>
      </c>
      <c r="U4" s="13">
        <v>1.0</v>
      </c>
      <c r="V4" s="13">
        <v>1.0</v>
      </c>
      <c r="W4" s="13">
        <v>1.0</v>
      </c>
      <c r="X4" s="13">
        <v>1.0</v>
      </c>
      <c r="Y4" s="13">
        <v>1.0</v>
      </c>
      <c r="Z4" s="13">
        <v>1.0</v>
      </c>
      <c r="AA4" s="13">
        <v>1.0</v>
      </c>
      <c r="AB4" s="13">
        <v>1.0</v>
      </c>
      <c r="AC4" s="13">
        <v>1.0</v>
      </c>
      <c r="AD4" s="13">
        <v>1.0</v>
      </c>
      <c r="AE4" s="13">
        <v>1.0</v>
      </c>
      <c r="AF4" s="13">
        <v>1.0</v>
      </c>
      <c r="AG4" s="13">
        <v>1.0</v>
      </c>
      <c r="AH4" s="13">
        <v>1.0</v>
      </c>
      <c r="AI4" s="13"/>
      <c r="AJ4" s="13">
        <f t="shared" ref="AJ4:AJ72" si="2">SUM(E4:AI4)</f>
        <v>30</v>
      </c>
      <c r="AK4" s="14">
        <f>330*AJ4</f>
        <v>9900</v>
      </c>
      <c r="AL4" s="15"/>
      <c r="AM4" s="4"/>
      <c r="AN4" s="1"/>
      <c r="AO4" s="1"/>
      <c r="AP4" s="1"/>
      <c r="AQ4" s="1"/>
      <c r="AR4" s="1"/>
      <c r="AS4" s="1"/>
      <c r="AT4" s="1"/>
      <c r="AU4" s="1"/>
    </row>
    <row r="5" ht="15.75" customHeight="1">
      <c r="A5" s="16"/>
      <c r="B5" s="16"/>
      <c r="C5" s="16"/>
      <c r="D5" s="13" t="s">
        <v>6</v>
      </c>
      <c r="E5" s="13">
        <v>1.0</v>
      </c>
      <c r="F5" s="13">
        <v>1.0</v>
      </c>
      <c r="G5" s="13">
        <v>1.0</v>
      </c>
      <c r="H5" s="13">
        <v>1.0</v>
      </c>
      <c r="I5" s="13">
        <v>0.0</v>
      </c>
      <c r="J5" s="13">
        <v>1.0</v>
      </c>
      <c r="K5" s="13">
        <v>1.0</v>
      </c>
      <c r="L5" s="13">
        <v>1.0</v>
      </c>
      <c r="M5" s="13">
        <v>1.0</v>
      </c>
      <c r="N5" s="13">
        <v>1.0</v>
      </c>
      <c r="O5" s="13">
        <v>1.0</v>
      </c>
      <c r="P5" s="13">
        <v>0.0</v>
      </c>
      <c r="Q5" s="13">
        <v>1.0</v>
      </c>
      <c r="R5" s="13">
        <v>1.0</v>
      </c>
      <c r="S5" s="13">
        <v>0.0</v>
      </c>
      <c r="T5" s="13">
        <v>1.0</v>
      </c>
      <c r="U5" s="13">
        <v>1.0</v>
      </c>
      <c r="V5" s="13">
        <v>1.0</v>
      </c>
      <c r="W5" s="13">
        <v>0.0</v>
      </c>
      <c r="X5" s="13">
        <v>1.0</v>
      </c>
      <c r="Y5" s="13">
        <v>1.0</v>
      </c>
      <c r="Z5" s="13">
        <v>0.0</v>
      </c>
      <c r="AA5" s="13">
        <v>1.0</v>
      </c>
      <c r="AB5" s="13">
        <v>1.0</v>
      </c>
      <c r="AC5" s="13">
        <v>1.0</v>
      </c>
      <c r="AD5" s="13">
        <v>0.0</v>
      </c>
      <c r="AE5" s="13">
        <v>1.0</v>
      </c>
      <c r="AF5" s="13">
        <v>1.0</v>
      </c>
      <c r="AG5" s="13">
        <v>0.0</v>
      </c>
      <c r="AH5" s="13">
        <v>1.0</v>
      </c>
      <c r="AI5" s="13"/>
      <c r="AJ5" s="13">
        <f t="shared" si="2"/>
        <v>23</v>
      </c>
      <c r="AK5" s="14">
        <f t="shared" ref="AK5:AK6" si="3">550*AJ5</f>
        <v>12650</v>
      </c>
      <c r="AL5" s="19"/>
      <c r="AM5" s="4"/>
      <c r="AN5" s="1"/>
      <c r="AO5" s="1"/>
      <c r="AP5" s="1"/>
      <c r="AQ5" s="1"/>
      <c r="AR5" s="1"/>
      <c r="AS5" s="1"/>
      <c r="AT5" s="1"/>
      <c r="AU5" s="1"/>
    </row>
    <row r="6" ht="15.75" customHeight="1">
      <c r="A6" s="10"/>
      <c r="B6" s="10"/>
      <c r="C6" s="10"/>
      <c r="D6" s="13" t="s">
        <v>7</v>
      </c>
      <c r="E6" s="13">
        <v>1.0</v>
      </c>
      <c r="F6" s="13">
        <v>1.0</v>
      </c>
      <c r="G6" s="13">
        <v>1.0</v>
      </c>
      <c r="H6" s="13">
        <v>1.0</v>
      </c>
      <c r="I6" s="13">
        <v>1.0</v>
      </c>
      <c r="J6" s="13">
        <v>1.0</v>
      </c>
      <c r="K6" s="13">
        <v>1.0</v>
      </c>
      <c r="L6" s="13">
        <v>1.0</v>
      </c>
      <c r="M6" s="13">
        <v>1.0</v>
      </c>
      <c r="N6" s="13">
        <v>1.0</v>
      </c>
      <c r="O6" s="13">
        <v>1.0</v>
      </c>
      <c r="P6" s="13">
        <v>1.0</v>
      </c>
      <c r="Q6" s="13">
        <v>1.0</v>
      </c>
      <c r="R6" s="13">
        <v>1.0</v>
      </c>
      <c r="S6" s="13">
        <v>1.0</v>
      </c>
      <c r="T6" s="13">
        <v>1.0</v>
      </c>
      <c r="U6" s="13">
        <v>1.0</v>
      </c>
      <c r="V6" s="13">
        <v>1.0</v>
      </c>
      <c r="W6" s="13">
        <v>1.0</v>
      </c>
      <c r="X6" s="13">
        <v>1.0</v>
      </c>
      <c r="Y6" s="13">
        <v>1.0</v>
      </c>
      <c r="Z6" s="13">
        <v>1.0</v>
      </c>
      <c r="AA6" s="13">
        <v>1.0</v>
      </c>
      <c r="AB6" s="13">
        <v>1.0</v>
      </c>
      <c r="AC6" s="13">
        <v>1.0</v>
      </c>
      <c r="AD6" s="13">
        <v>1.0</v>
      </c>
      <c r="AE6" s="13">
        <v>1.0</v>
      </c>
      <c r="AF6" s="13">
        <v>1.0</v>
      </c>
      <c r="AG6" s="13">
        <v>1.0</v>
      </c>
      <c r="AH6" s="13">
        <v>1.0</v>
      </c>
      <c r="AI6" s="13"/>
      <c r="AJ6" s="13">
        <f t="shared" si="2"/>
        <v>30</v>
      </c>
      <c r="AK6" s="14">
        <f t="shared" si="3"/>
        <v>16500</v>
      </c>
      <c r="AL6" s="20">
        <f>SUM(AK4:AK6)</f>
        <v>39050</v>
      </c>
      <c r="AM6" s="4"/>
      <c r="AN6" s="1"/>
      <c r="AO6" s="1"/>
      <c r="AP6" s="1"/>
      <c r="AQ6" s="1"/>
      <c r="AR6" s="1"/>
      <c r="AS6" s="1"/>
      <c r="AT6" s="1"/>
      <c r="AU6" s="1"/>
    </row>
    <row r="7" ht="15.75" customHeight="1">
      <c r="A7" s="21" t="s">
        <v>8</v>
      </c>
      <c r="B7" s="21" t="s">
        <v>9</v>
      </c>
      <c r="C7" s="21" t="s">
        <v>10</v>
      </c>
      <c r="D7" s="22" t="s">
        <v>5</v>
      </c>
      <c r="E7" s="22">
        <v>0.0</v>
      </c>
      <c r="F7" s="22">
        <v>0.0</v>
      </c>
      <c r="G7" s="22">
        <v>0.0</v>
      </c>
      <c r="H7" s="22">
        <v>0.0</v>
      </c>
      <c r="I7" s="22">
        <v>0.0</v>
      </c>
      <c r="J7" s="22">
        <v>0.0</v>
      </c>
      <c r="K7" s="22">
        <v>0.0</v>
      </c>
      <c r="L7" s="22">
        <v>0.0</v>
      </c>
      <c r="M7" s="22">
        <v>0.0</v>
      </c>
      <c r="N7" s="22">
        <v>0.0</v>
      </c>
      <c r="O7" s="22">
        <v>0.0</v>
      </c>
      <c r="P7" s="22">
        <v>0.0</v>
      </c>
      <c r="Q7" s="22">
        <v>0.0</v>
      </c>
      <c r="R7" s="22">
        <v>0.0</v>
      </c>
      <c r="S7" s="22">
        <v>0.0</v>
      </c>
      <c r="T7" s="22">
        <v>0.0</v>
      </c>
      <c r="U7" s="22">
        <v>0.0</v>
      </c>
      <c r="V7" s="22">
        <v>0.0</v>
      </c>
      <c r="W7" s="22">
        <v>0.0</v>
      </c>
      <c r="X7" s="22">
        <v>0.0</v>
      </c>
      <c r="Y7" s="22">
        <v>0.0</v>
      </c>
      <c r="Z7" s="22">
        <v>0.0</v>
      </c>
      <c r="AA7" s="22">
        <v>0.0</v>
      </c>
      <c r="AB7" s="22">
        <v>0.0</v>
      </c>
      <c r="AC7" s="22">
        <v>0.0</v>
      </c>
      <c r="AD7" s="22">
        <v>0.0</v>
      </c>
      <c r="AE7" s="22">
        <v>0.0</v>
      </c>
      <c r="AF7" s="22">
        <v>0.0</v>
      </c>
      <c r="AG7" s="22">
        <v>0.0</v>
      </c>
      <c r="AH7" s="22">
        <v>0.0</v>
      </c>
      <c r="AI7" s="22"/>
      <c r="AJ7" s="22">
        <f t="shared" si="2"/>
        <v>0</v>
      </c>
      <c r="AK7" s="23">
        <f>330*AJ7</f>
        <v>0</v>
      </c>
      <c r="AL7" s="24"/>
      <c r="AM7" s="25"/>
      <c r="AN7" s="1"/>
      <c r="AO7" s="1"/>
      <c r="AP7" s="1"/>
      <c r="AQ7" s="1"/>
      <c r="AR7" s="1"/>
      <c r="AS7" s="1"/>
      <c r="AT7" s="1"/>
      <c r="AU7" s="1"/>
    </row>
    <row r="8" ht="15.75" customHeight="1">
      <c r="A8" s="16"/>
      <c r="B8" s="16"/>
      <c r="C8" s="16"/>
      <c r="D8" s="22" t="s">
        <v>6</v>
      </c>
      <c r="E8" s="22">
        <v>0.0</v>
      </c>
      <c r="F8" s="22">
        <v>0.0</v>
      </c>
      <c r="G8" s="22">
        <v>0.0</v>
      </c>
      <c r="H8" s="22">
        <v>0.0</v>
      </c>
      <c r="I8" s="22">
        <v>0.0</v>
      </c>
      <c r="J8" s="22">
        <v>0.0</v>
      </c>
      <c r="K8" s="22">
        <v>0.0</v>
      </c>
      <c r="L8" s="22">
        <v>0.0</v>
      </c>
      <c r="M8" s="22">
        <v>0.0</v>
      </c>
      <c r="N8" s="22">
        <v>0.0</v>
      </c>
      <c r="O8" s="22">
        <v>0.0</v>
      </c>
      <c r="P8" s="22">
        <v>0.0</v>
      </c>
      <c r="Q8" s="22">
        <v>0.0</v>
      </c>
      <c r="R8" s="22">
        <v>0.0</v>
      </c>
      <c r="S8" s="22">
        <v>0.0</v>
      </c>
      <c r="T8" s="22">
        <v>0.0</v>
      </c>
      <c r="U8" s="22">
        <v>0.0</v>
      </c>
      <c r="V8" s="22">
        <v>0.0</v>
      </c>
      <c r="W8" s="22">
        <v>0.0</v>
      </c>
      <c r="X8" s="22">
        <v>0.0</v>
      </c>
      <c r="Y8" s="22">
        <v>0.0</v>
      </c>
      <c r="Z8" s="22">
        <v>0.0</v>
      </c>
      <c r="AA8" s="22">
        <v>0.0</v>
      </c>
      <c r="AB8" s="22">
        <v>0.0</v>
      </c>
      <c r="AC8" s="22">
        <v>0.0</v>
      </c>
      <c r="AD8" s="22">
        <v>0.0</v>
      </c>
      <c r="AE8" s="22">
        <v>0.0</v>
      </c>
      <c r="AF8" s="22">
        <v>0.0</v>
      </c>
      <c r="AG8" s="22">
        <v>0.0</v>
      </c>
      <c r="AH8" s="22">
        <v>0.0</v>
      </c>
      <c r="AI8" s="22"/>
      <c r="AJ8" s="22">
        <f t="shared" si="2"/>
        <v>0</v>
      </c>
      <c r="AK8" s="23">
        <f t="shared" ref="AK8:AK9" si="4">550*AJ8</f>
        <v>0</v>
      </c>
      <c r="AL8" s="24"/>
      <c r="AN8" s="1"/>
      <c r="AO8" s="1"/>
      <c r="AP8" s="1"/>
      <c r="AQ8" s="1"/>
      <c r="AR8" s="1"/>
      <c r="AS8" s="1"/>
      <c r="AT8" s="1"/>
      <c r="AU8" s="1"/>
    </row>
    <row r="9" ht="15.75" customHeight="1">
      <c r="A9" s="10"/>
      <c r="B9" s="10"/>
      <c r="C9" s="10"/>
      <c r="D9" s="22" t="s">
        <v>7</v>
      </c>
      <c r="E9" s="22">
        <v>0.0</v>
      </c>
      <c r="F9" s="22">
        <v>0.0</v>
      </c>
      <c r="G9" s="22">
        <v>0.0</v>
      </c>
      <c r="H9" s="22">
        <v>0.0</v>
      </c>
      <c r="I9" s="22">
        <v>0.0</v>
      </c>
      <c r="J9" s="22">
        <v>0.0</v>
      </c>
      <c r="K9" s="22">
        <v>0.0</v>
      </c>
      <c r="L9" s="22">
        <v>0.0</v>
      </c>
      <c r="M9" s="22">
        <v>0.0</v>
      </c>
      <c r="N9" s="22">
        <v>0.0</v>
      </c>
      <c r="O9" s="22">
        <v>0.0</v>
      </c>
      <c r="P9" s="22">
        <v>0.0</v>
      </c>
      <c r="Q9" s="22">
        <v>0.0</v>
      </c>
      <c r="R9" s="22">
        <v>0.0</v>
      </c>
      <c r="S9" s="22">
        <v>0.0</v>
      </c>
      <c r="T9" s="22">
        <v>0.0</v>
      </c>
      <c r="U9" s="22">
        <v>0.0</v>
      </c>
      <c r="V9" s="22">
        <v>0.0</v>
      </c>
      <c r="W9" s="22">
        <v>0.0</v>
      </c>
      <c r="X9" s="22">
        <v>0.0</v>
      </c>
      <c r="Y9" s="22">
        <v>0.0</v>
      </c>
      <c r="Z9" s="22">
        <v>0.0</v>
      </c>
      <c r="AA9" s="22">
        <v>0.0</v>
      </c>
      <c r="AB9" s="22">
        <v>0.0</v>
      </c>
      <c r="AC9" s="22">
        <v>0.0</v>
      </c>
      <c r="AD9" s="22">
        <v>0.0</v>
      </c>
      <c r="AE9" s="22">
        <v>0.0</v>
      </c>
      <c r="AF9" s="22">
        <v>0.0</v>
      </c>
      <c r="AG9" s="22">
        <v>0.0</v>
      </c>
      <c r="AH9" s="22">
        <v>0.0</v>
      </c>
      <c r="AI9" s="22"/>
      <c r="AJ9" s="22">
        <f t="shared" si="2"/>
        <v>0</v>
      </c>
      <c r="AK9" s="23">
        <f t="shared" si="4"/>
        <v>0</v>
      </c>
      <c r="AL9" s="26">
        <f>SUM(AK7:AK9)</f>
        <v>0</v>
      </c>
      <c r="AN9" s="1"/>
      <c r="AO9" s="1"/>
      <c r="AP9" s="1"/>
      <c r="AQ9" s="1"/>
      <c r="AR9" s="1"/>
      <c r="AS9" s="1"/>
      <c r="AT9" s="1"/>
      <c r="AU9" s="1"/>
    </row>
    <row r="10" ht="15.75" customHeight="1">
      <c r="A10" s="12" t="s">
        <v>11</v>
      </c>
      <c r="B10" s="12" t="s">
        <v>12</v>
      </c>
      <c r="C10" s="12" t="s">
        <v>13</v>
      </c>
      <c r="D10" s="13" t="s">
        <v>5</v>
      </c>
      <c r="E10" s="18">
        <v>0.0</v>
      </c>
      <c r="F10" s="18">
        <v>0.0</v>
      </c>
      <c r="G10" s="18">
        <v>0.0</v>
      </c>
      <c r="H10" s="18">
        <v>0.0</v>
      </c>
      <c r="I10" s="18">
        <v>0.0</v>
      </c>
      <c r="J10" s="18">
        <v>0.0</v>
      </c>
      <c r="K10" s="18">
        <v>0.0</v>
      </c>
      <c r="L10" s="18">
        <v>0.0</v>
      </c>
      <c r="M10" s="18">
        <v>0.0</v>
      </c>
      <c r="N10" s="18">
        <v>0.0</v>
      </c>
      <c r="O10" s="18">
        <v>0.0</v>
      </c>
      <c r="P10" s="18">
        <v>0.0</v>
      </c>
      <c r="Q10" s="18">
        <v>0.0</v>
      </c>
      <c r="R10" s="18">
        <v>0.0</v>
      </c>
      <c r="S10" s="18">
        <v>0.0</v>
      </c>
      <c r="T10" s="18">
        <v>0.0</v>
      </c>
      <c r="U10" s="18">
        <v>0.0</v>
      </c>
      <c r="V10" s="18">
        <v>0.0</v>
      </c>
      <c r="W10" s="18">
        <v>0.0</v>
      </c>
      <c r="X10" s="18">
        <v>0.0</v>
      </c>
      <c r="Y10" s="18">
        <v>0.0</v>
      </c>
      <c r="Z10" s="18">
        <v>0.0</v>
      </c>
      <c r="AA10" s="18">
        <v>0.0</v>
      </c>
      <c r="AB10" s="18">
        <v>0.0</v>
      </c>
      <c r="AC10" s="18">
        <v>0.0</v>
      </c>
      <c r="AD10" s="18">
        <v>0.0</v>
      </c>
      <c r="AE10" s="18">
        <v>0.0</v>
      </c>
      <c r="AF10" s="18">
        <v>0.0</v>
      </c>
      <c r="AG10" s="18">
        <v>0.0</v>
      </c>
      <c r="AH10" s="18">
        <v>0.0</v>
      </c>
      <c r="AI10" s="18"/>
      <c r="AJ10" s="13">
        <f t="shared" si="2"/>
        <v>0</v>
      </c>
      <c r="AK10" s="14">
        <f>330*AJ10</f>
        <v>0</v>
      </c>
      <c r="AL10" s="19"/>
      <c r="AM10" s="4"/>
      <c r="AN10" s="1"/>
      <c r="AO10" s="1"/>
      <c r="AP10" s="1"/>
      <c r="AQ10" s="1"/>
      <c r="AR10" s="1"/>
      <c r="AS10" s="1"/>
      <c r="AT10" s="1"/>
      <c r="AU10" s="1"/>
    </row>
    <row r="11" ht="15.75" customHeight="1">
      <c r="A11" s="16"/>
      <c r="B11" s="16"/>
      <c r="C11" s="16"/>
      <c r="D11" s="13" t="s">
        <v>6</v>
      </c>
      <c r="E11" s="18">
        <v>1.0</v>
      </c>
      <c r="F11" s="18">
        <v>1.0</v>
      </c>
      <c r="G11" s="18">
        <v>1.0</v>
      </c>
      <c r="H11" s="18">
        <v>1.0</v>
      </c>
      <c r="I11" s="18">
        <v>1.0</v>
      </c>
      <c r="J11" s="18">
        <v>1.0</v>
      </c>
      <c r="K11" s="18">
        <v>1.0</v>
      </c>
      <c r="L11" s="18">
        <v>0.0</v>
      </c>
      <c r="M11" s="18">
        <v>0.0</v>
      </c>
      <c r="N11" s="18">
        <v>0.0</v>
      </c>
      <c r="O11" s="18">
        <v>0.0</v>
      </c>
      <c r="P11" s="18">
        <v>0.0</v>
      </c>
      <c r="Q11" s="18">
        <v>0.0</v>
      </c>
      <c r="R11" s="18">
        <v>0.0</v>
      </c>
      <c r="S11" s="18">
        <v>0.0</v>
      </c>
      <c r="T11" s="18">
        <v>0.0</v>
      </c>
      <c r="U11" s="18">
        <v>0.0</v>
      </c>
      <c r="V11" s="18">
        <v>0.0</v>
      </c>
      <c r="W11" s="18">
        <v>0.0</v>
      </c>
      <c r="X11" s="18">
        <v>0.0</v>
      </c>
      <c r="Y11" s="18">
        <v>0.0</v>
      </c>
      <c r="Z11" s="18">
        <v>0.0</v>
      </c>
      <c r="AA11" s="18">
        <v>0.0</v>
      </c>
      <c r="AB11" s="18">
        <v>0.0</v>
      </c>
      <c r="AC11" s="18">
        <v>0.0</v>
      </c>
      <c r="AD11" s="18">
        <v>0.0</v>
      </c>
      <c r="AE11" s="18">
        <v>0.0</v>
      </c>
      <c r="AF11" s="18">
        <v>0.0</v>
      </c>
      <c r="AG11" s="18">
        <v>0.0</v>
      </c>
      <c r="AH11" s="18">
        <v>0.0</v>
      </c>
      <c r="AI11" s="18"/>
      <c r="AJ11" s="13">
        <f t="shared" si="2"/>
        <v>7</v>
      </c>
      <c r="AK11" s="14">
        <f t="shared" ref="AK11:AK12" si="5">550*AJ11</f>
        <v>3850</v>
      </c>
      <c r="AL11" s="19"/>
      <c r="AM11" s="27"/>
      <c r="AN11" s="1"/>
      <c r="AO11" s="1"/>
      <c r="AP11" s="1"/>
      <c r="AQ11" s="1"/>
      <c r="AR11" s="1"/>
      <c r="AS11" s="1"/>
      <c r="AT11" s="1"/>
      <c r="AU11" s="1"/>
    </row>
    <row r="12" ht="15.75" customHeight="1">
      <c r="A12" s="10"/>
      <c r="B12" s="10"/>
      <c r="C12" s="10"/>
      <c r="D12" s="13" t="s">
        <v>7</v>
      </c>
      <c r="E12" s="13" t="s">
        <v>35</v>
      </c>
      <c r="F12" s="13" t="s">
        <v>35</v>
      </c>
      <c r="G12" s="13" t="s">
        <v>35</v>
      </c>
      <c r="H12" s="13" t="s">
        <v>35</v>
      </c>
      <c r="I12" s="13" t="s">
        <v>35</v>
      </c>
      <c r="J12" s="13" t="s">
        <v>35</v>
      </c>
      <c r="K12" s="13" t="s">
        <v>35</v>
      </c>
      <c r="L12" s="13" t="s">
        <v>35</v>
      </c>
      <c r="M12" s="13" t="s">
        <v>35</v>
      </c>
      <c r="N12" s="13" t="s">
        <v>35</v>
      </c>
      <c r="O12" s="13" t="s">
        <v>35</v>
      </c>
      <c r="P12" s="13" t="s">
        <v>35</v>
      </c>
      <c r="Q12" s="13" t="s">
        <v>35</v>
      </c>
      <c r="R12" s="13" t="s">
        <v>35</v>
      </c>
      <c r="S12" s="13" t="s">
        <v>35</v>
      </c>
      <c r="T12" s="13" t="s">
        <v>35</v>
      </c>
      <c r="U12" s="13" t="s">
        <v>35</v>
      </c>
      <c r="V12" s="13" t="s">
        <v>35</v>
      </c>
      <c r="W12" s="13" t="s">
        <v>35</v>
      </c>
      <c r="X12" s="13" t="s">
        <v>35</v>
      </c>
      <c r="Y12" s="13" t="s">
        <v>35</v>
      </c>
      <c r="Z12" s="13" t="s">
        <v>35</v>
      </c>
      <c r="AA12" s="13" t="s">
        <v>35</v>
      </c>
      <c r="AB12" s="13" t="s">
        <v>35</v>
      </c>
      <c r="AC12" s="13" t="s">
        <v>35</v>
      </c>
      <c r="AD12" s="13" t="s">
        <v>35</v>
      </c>
      <c r="AE12" s="13" t="s">
        <v>35</v>
      </c>
      <c r="AF12" s="13" t="s">
        <v>35</v>
      </c>
      <c r="AG12" s="13" t="s">
        <v>35</v>
      </c>
      <c r="AH12" s="13" t="s">
        <v>35</v>
      </c>
      <c r="AI12" s="13"/>
      <c r="AJ12" s="13">
        <f t="shared" si="2"/>
        <v>0</v>
      </c>
      <c r="AK12" s="14">
        <f t="shared" si="5"/>
        <v>0</v>
      </c>
      <c r="AL12" s="20">
        <f>SUM(AK10:AK12)</f>
        <v>3850</v>
      </c>
      <c r="AM12" s="4"/>
      <c r="AN12" s="1"/>
      <c r="AO12" s="1"/>
      <c r="AP12" s="1"/>
      <c r="AQ12" s="1"/>
      <c r="AR12" s="1"/>
      <c r="AS12" s="1"/>
      <c r="AT12" s="1"/>
      <c r="AU12" s="1"/>
    </row>
    <row r="13" ht="15.75" customHeight="1">
      <c r="A13" s="21" t="s">
        <v>14</v>
      </c>
      <c r="B13" s="21" t="s">
        <v>15</v>
      </c>
      <c r="C13" s="21"/>
      <c r="D13" s="22" t="s">
        <v>5</v>
      </c>
      <c r="E13" s="28">
        <v>1.0</v>
      </c>
      <c r="F13" s="28">
        <v>1.0</v>
      </c>
      <c r="G13" s="28">
        <v>1.0</v>
      </c>
      <c r="H13" s="28">
        <v>1.0</v>
      </c>
      <c r="I13" s="28">
        <v>1.0</v>
      </c>
      <c r="J13" s="28">
        <v>1.0</v>
      </c>
      <c r="K13" s="28">
        <v>1.0</v>
      </c>
      <c r="L13" s="28">
        <v>1.0</v>
      </c>
      <c r="M13" s="28">
        <v>1.0</v>
      </c>
      <c r="N13" s="28">
        <v>1.0</v>
      </c>
      <c r="O13" s="28">
        <v>1.0</v>
      </c>
      <c r="P13" s="28">
        <v>1.0</v>
      </c>
      <c r="Q13" s="28">
        <v>1.0</v>
      </c>
      <c r="R13" s="28">
        <v>1.0</v>
      </c>
      <c r="S13" s="28">
        <v>1.0</v>
      </c>
      <c r="T13" s="28">
        <v>1.0</v>
      </c>
      <c r="U13" s="28">
        <v>1.0</v>
      </c>
      <c r="V13" s="28">
        <v>1.0</v>
      </c>
      <c r="W13" s="28">
        <v>1.0</v>
      </c>
      <c r="X13" s="28">
        <v>1.0</v>
      </c>
      <c r="Y13" s="28">
        <v>1.0</v>
      </c>
      <c r="Z13" s="28">
        <v>1.0</v>
      </c>
      <c r="AA13" s="28">
        <v>1.0</v>
      </c>
      <c r="AB13" s="28">
        <v>1.0</v>
      </c>
      <c r="AC13" s="28">
        <v>1.0</v>
      </c>
      <c r="AD13" s="28">
        <v>1.0</v>
      </c>
      <c r="AE13" s="28">
        <v>1.0</v>
      </c>
      <c r="AF13" s="28">
        <v>1.0</v>
      </c>
      <c r="AG13" s="22">
        <v>1.0</v>
      </c>
      <c r="AH13" s="22">
        <v>1.0</v>
      </c>
      <c r="AI13" s="22"/>
      <c r="AJ13" s="22">
        <f t="shared" si="2"/>
        <v>30</v>
      </c>
      <c r="AK13" s="23">
        <f>330*AJ13</f>
        <v>9900</v>
      </c>
      <c r="AL13" s="24"/>
      <c r="AM13" s="25"/>
      <c r="AN13" s="1"/>
      <c r="AO13" s="1"/>
      <c r="AP13" s="1"/>
      <c r="AQ13" s="1"/>
      <c r="AR13" s="1"/>
      <c r="AS13" s="1"/>
      <c r="AT13" s="1"/>
      <c r="AU13" s="1"/>
    </row>
    <row r="14" ht="15.75" customHeight="1">
      <c r="A14" s="16"/>
      <c r="B14" s="16"/>
      <c r="C14" s="16"/>
      <c r="D14" s="22" t="s">
        <v>6</v>
      </c>
      <c r="E14" s="28">
        <v>1.0</v>
      </c>
      <c r="F14" s="28">
        <v>1.0</v>
      </c>
      <c r="G14" s="28">
        <v>1.0</v>
      </c>
      <c r="H14" s="28">
        <v>1.0</v>
      </c>
      <c r="I14" s="28">
        <v>1.0</v>
      </c>
      <c r="J14" s="28">
        <v>1.0</v>
      </c>
      <c r="K14" s="28">
        <v>1.0</v>
      </c>
      <c r="L14" s="28">
        <v>1.0</v>
      </c>
      <c r="M14" s="28">
        <v>1.0</v>
      </c>
      <c r="N14" s="28">
        <v>1.0</v>
      </c>
      <c r="O14" s="28">
        <v>1.0</v>
      </c>
      <c r="P14" s="28">
        <v>1.0</v>
      </c>
      <c r="Q14" s="28">
        <v>1.0</v>
      </c>
      <c r="R14" s="28">
        <v>1.0</v>
      </c>
      <c r="S14" s="28">
        <v>1.0</v>
      </c>
      <c r="T14" s="28">
        <v>1.0</v>
      </c>
      <c r="U14" s="28">
        <v>1.0</v>
      </c>
      <c r="V14" s="28">
        <v>1.0</v>
      </c>
      <c r="W14" s="28">
        <v>1.0</v>
      </c>
      <c r="X14" s="28">
        <v>1.0</v>
      </c>
      <c r="Y14" s="28">
        <v>1.0</v>
      </c>
      <c r="Z14" s="28">
        <v>1.0</v>
      </c>
      <c r="AA14" s="28">
        <v>1.0</v>
      </c>
      <c r="AB14" s="28">
        <v>1.0</v>
      </c>
      <c r="AC14" s="28">
        <v>1.0</v>
      </c>
      <c r="AD14" s="28">
        <v>1.0</v>
      </c>
      <c r="AE14" s="28">
        <v>1.0</v>
      </c>
      <c r="AF14" s="28">
        <v>1.0</v>
      </c>
      <c r="AG14" s="22">
        <v>1.0</v>
      </c>
      <c r="AH14" s="22">
        <v>1.0</v>
      </c>
      <c r="AI14" s="22"/>
      <c r="AJ14" s="22">
        <f t="shared" si="2"/>
        <v>30</v>
      </c>
      <c r="AK14" s="23">
        <f t="shared" ref="AK14:AK15" si="6">550*AJ14</f>
        <v>16500</v>
      </c>
      <c r="AL14" s="24"/>
      <c r="AM14" s="4"/>
      <c r="AN14" s="1"/>
      <c r="AO14" s="1"/>
      <c r="AP14" s="1"/>
      <c r="AQ14" s="1"/>
      <c r="AR14" s="1"/>
      <c r="AS14" s="1"/>
      <c r="AT14" s="1"/>
      <c r="AU14" s="1"/>
    </row>
    <row r="15" ht="15.75" customHeight="1">
      <c r="A15" s="10"/>
      <c r="B15" s="10"/>
      <c r="C15" s="10"/>
      <c r="D15" s="22" t="s">
        <v>7</v>
      </c>
      <c r="E15" s="28">
        <v>1.0</v>
      </c>
      <c r="F15" s="28">
        <v>1.0</v>
      </c>
      <c r="G15" s="28">
        <v>1.0</v>
      </c>
      <c r="H15" s="28">
        <v>1.0</v>
      </c>
      <c r="I15" s="28">
        <v>1.0</v>
      </c>
      <c r="J15" s="28">
        <v>1.0</v>
      </c>
      <c r="K15" s="28">
        <v>1.0</v>
      </c>
      <c r="L15" s="28">
        <v>1.0</v>
      </c>
      <c r="M15" s="28">
        <v>1.0</v>
      </c>
      <c r="N15" s="28">
        <v>1.0</v>
      </c>
      <c r="O15" s="28">
        <v>1.0</v>
      </c>
      <c r="P15" s="28">
        <v>1.0</v>
      </c>
      <c r="Q15" s="28">
        <v>1.0</v>
      </c>
      <c r="R15" s="28">
        <v>1.0</v>
      </c>
      <c r="S15" s="28">
        <v>1.0</v>
      </c>
      <c r="T15" s="28">
        <v>1.0</v>
      </c>
      <c r="U15" s="28">
        <v>1.0</v>
      </c>
      <c r="V15" s="28">
        <v>1.0</v>
      </c>
      <c r="W15" s="28">
        <v>1.0</v>
      </c>
      <c r="X15" s="28">
        <v>1.0</v>
      </c>
      <c r="Y15" s="28">
        <v>1.0</v>
      </c>
      <c r="Z15" s="28">
        <v>1.0</v>
      </c>
      <c r="AA15" s="28">
        <v>1.0</v>
      </c>
      <c r="AB15" s="28">
        <v>1.0</v>
      </c>
      <c r="AC15" s="28">
        <v>1.0</v>
      </c>
      <c r="AD15" s="28">
        <v>1.0</v>
      </c>
      <c r="AE15" s="28">
        <v>1.0</v>
      </c>
      <c r="AF15" s="28">
        <v>1.0</v>
      </c>
      <c r="AG15" s="22">
        <v>1.0</v>
      </c>
      <c r="AH15" s="22">
        <v>1.0</v>
      </c>
      <c r="AI15" s="22"/>
      <c r="AJ15" s="22">
        <f t="shared" si="2"/>
        <v>30</v>
      </c>
      <c r="AK15" s="23">
        <f t="shared" si="6"/>
        <v>16500</v>
      </c>
      <c r="AL15" s="26">
        <f>SUM(AK13:AK15)</f>
        <v>42900</v>
      </c>
      <c r="AM15" s="4"/>
      <c r="AN15" s="1"/>
      <c r="AO15" s="1"/>
      <c r="AP15" s="1"/>
      <c r="AQ15" s="1"/>
      <c r="AR15" s="1"/>
      <c r="AS15" s="1"/>
      <c r="AT15" s="1"/>
      <c r="AU15" s="1"/>
    </row>
    <row r="16" ht="15.75" customHeight="1">
      <c r="A16" s="12" t="s">
        <v>16</v>
      </c>
      <c r="B16" s="12" t="s">
        <v>17</v>
      </c>
      <c r="C16" s="12" t="s">
        <v>10</v>
      </c>
      <c r="D16" s="13" t="s">
        <v>5</v>
      </c>
      <c r="E16" s="18">
        <v>0.0</v>
      </c>
      <c r="F16" s="18">
        <v>0.0</v>
      </c>
      <c r="G16" s="18">
        <v>0.0</v>
      </c>
      <c r="H16" s="18">
        <v>0.0</v>
      </c>
      <c r="I16" s="18">
        <v>0.0</v>
      </c>
      <c r="J16" s="18">
        <v>0.0</v>
      </c>
      <c r="K16" s="18">
        <v>0.0</v>
      </c>
      <c r="L16" s="18">
        <v>0.0</v>
      </c>
      <c r="M16" s="18">
        <v>0.0</v>
      </c>
      <c r="N16" s="18">
        <v>0.0</v>
      </c>
      <c r="O16" s="18">
        <v>0.0</v>
      </c>
      <c r="P16" s="18">
        <v>0.0</v>
      </c>
      <c r="Q16" s="18">
        <v>0.0</v>
      </c>
      <c r="R16" s="18">
        <v>0.0</v>
      </c>
      <c r="S16" s="18">
        <v>0.0</v>
      </c>
      <c r="T16" s="18">
        <v>0.0</v>
      </c>
      <c r="U16" s="18">
        <v>0.0</v>
      </c>
      <c r="V16" s="18">
        <v>0.0</v>
      </c>
      <c r="W16" s="18">
        <v>0.0</v>
      </c>
      <c r="X16" s="18">
        <v>0.0</v>
      </c>
      <c r="Y16" s="18">
        <v>0.0</v>
      </c>
      <c r="Z16" s="18">
        <v>0.0</v>
      </c>
      <c r="AA16" s="18">
        <v>0.0</v>
      </c>
      <c r="AB16" s="18">
        <v>0.0</v>
      </c>
      <c r="AC16" s="18">
        <v>0.0</v>
      </c>
      <c r="AD16" s="18">
        <v>0.0</v>
      </c>
      <c r="AE16" s="18">
        <v>0.0</v>
      </c>
      <c r="AF16" s="18">
        <v>0.0</v>
      </c>
      <c r="AG16" s="18">
        <v>0.0</v>
      </c>
      <c r="AH16" s="18">
        <v>0.0</v>
      </c>
      <c r="AI16" s="18"/>
      <c r="AJ16" s="13">
        <f t="shared" si="2"/>
        <v>0</v>
      </c>
      <c r="AK16" s="14">
        <f>330*AJ16</f>
        <v>0</v>
      </c>
      <c r="AL16" s="19"/>
      <c r="AM16" s="25"/>
      <c r="AN16" s="1"/>
      <c r="AO16" s="1"/>
      <c r="AP16" s="1"/>
      <c r="AQ16" s="1"/>
      <c r="AR16" s="1"/>
      <c r="AS16" s="1"/>
      <c r="AT16" s="1"/>
      <c r="AU16" s="1"/>
    </row>
    <row r="17" ht="15.75" customHeight="1">
      <c r="A17" s="16"/>
      <c r="B17" s="16"/>
      <c r="C17" s="16"/>
      <c r="D17" s="13" t="s">
        <v>6</v>
      </c>
      <c r="E17" s="18">
        <v>0.0</v>
      </c>
      <c r="F17" s="18">
        <v>0.0</v>
      </c>
      <c r="G17" s="18">
        <v>0.0</v>
      </c>
      <c r="H17" s="18">
        <v>0.0</v>
      </c>
      <c r="I17" s="18">
        <v>0.0</v>
      </c>
      <c r="J17" s="18">
        <v>0.0</v>
      </c>
      <c r="K17" s="18">
        <v>0.0</v>
      </c>
      <c r="L17" s="18">
        <v>0.0</v>
      </c>
      <c r="M17" s="18">
        <v>0.0</v>
      </c>
      <c r="N17" s="18">
        <v>0.0</v>
      </c>
      <c r="O17" s="18">
        <v>0.0</v>
      </c>
      <c r="P17" s="18">
        <v>0.0</v>
      </c>
      <c r="Q17" s="18">
        <v>0.0</v>
      </c>
      <c r="R17" s="18">
        <v>0.0</v>
      </c>
      <c r="S17" s="18">
        <v>0.0</v>
      </c>
      <c r="T17" s="18">
        <v>0.0</v>
      </c>
      <c r="U17" s="18">
        <v>0.0</v>
      </c>
      <c r="V17" s="18">
        <v>0.0</v>
      </c>
      <c r="W17" s="18">
        <v>0.0</v>
      </c>
      <c r="X17" s="18">
        <v>0.0</v>
      </c>
      <c r="Y17" s="18">
        <v>0.0</v>
      </c>
      <c r="Z17" s="18">
        <v>0.0</v>
      </c>
      <c r="AA17" s="18">
        <v>0.0</v>
      </c>
      <c r="AB17" s="18">
        <v>0.0</v>
      </c>
      <c r="AC17" s="18">
        <v>0.0</v>
      </c>
      <c r="AD17" s="18">
        <v>0.0</v>
      </c>
      <c r="AE17" s="18">
        <v>0.0</v>
      </c>
      <c r="AF17" s="18">
        <v>0.0</v>
      </c>
      <c r="AG17" s="18">
        <v>0.0</v>
      </c>
      <c r="AH17" s="18">
        <v>0.0</v>
      </c>
      <c r="AI17" s="18"/>
      <c r="AJ17" s="13">
        <f t="shared" si="2"/>
        <v>0</v>
      </c>
      <c r="AK17" s="14">
        <f t="shared" ref="AK17:AK18" si="7">550*AJ17</f>
        <v>0</v>
      </c>
      <c r="AL17" s="19"/>
      <c r="AN17" s="1"/>
      <c r="AO17" s="1"/>
      <c r="AP17" s="1"/>
      <c r="AQ17" s="1"/>
      <c r="AR17" s="1"/>
      <c r="AS17" s="1"/>
      <c r="AT17" s="1"/>
      <c r="AU17" s="1"/>
    </row>
    <row r="18" ht="15.75" customHeight="1">
      <c r="A18" s="10"/>
      <c r="B18" s="10"/>
      <c r="C18" s="10"/>
      <c r="D18" s="13" t="s">
        <v>7</v>
      </c>
      <c r="E18" s="18">
        <v>0.0</v>
      </c>
      <c r="F18" s="18">
        <v>0.0</v>
      </c>
      <c r="G18" s="18">
        <v>0.0</v>
      </c>
      <c r="H18" s="18">
        <v>0.0</v>
      </c>
      <c r="I18" s="18">
        <v>0.0</v>
      </c>
      <c r="J18" s="18">
        <v>0.0</v>
      </c>
      <c r="K18" s="18">
        <v>0.0</v>
      </c>
      <c r="L18" s="18">
        <v>0.0</v>
      </c>
      <c r="M18" s="18">
        <v>0.0</v>
      </c>
      <c r="N18" s="18">
        <v>0.0</v>
      </c>
      <c r="O18" s="18">
        <v>0.0</v>
      </c>
      <c r="P18" s="18">
        <v>0.0</v>
      </c>
      <c r="Q18" s="18">
        <v>0.0</v>
      </c>
      <c r="R18" s="18">
        <v>0.0</v>
      </c>
      <c r="S18" s="18">
        <v>0.0</v>
      </c>
      <c r="T18" s="18">
        <v>0.0</v>
      </c>
      <c r="U18" s="18">
        <v>0.0</v>
      </c>
      <c r="V18" s="18">
        <v>0.0</v>
      </c>
      <c r="W18" s="18">
        <v>0.0</v>
      </c>
      <c r="X18" s="18">
        <v>0.0</v>
      </c>
      <c r="Y18" s="18">
        <v>0.0</v>
      </c>
      <c r="Z18" s="18">
        <v>0.0</v>
      </c>
      <c r="AA18" s="18">
        <v>0.0</v>
      </c>
      <c r="AB18" s="18">
        <v>0.0</v>
      </c>
      <c r="AC18" s="18">
        <v>0.0</v>
      </c>
      <c r="AD18" s="18">
        <v>0.0</v>
      </c>
      <c r="AE18" s="18">
        <v>0.0</v>
      </c>
      <c r="AF18" s="18">
        <v>0.0</v>
      </c>
      <c r="AG18" s="18">
        <v>0.0</v>
      </c>
      <c r="AH18" s="18">
        <v>0.0</v>
      </c>
      <c r="AI18" s="18"/>
      <c r="AJ18" s="13">
        <f t="shared" si="2"/>
        <v>0</v>
      </c>
      <c r="AK18" s="14">
        <f t="shared" si="7"/>
        <v>0</v>
      </c>
      <c r="AL18" s="20">
        <f>SUM(AK16:AK18)</f>
        <v>0</v>
      </c>
      <c r="AN18" s="1"/>
      <c r="AO18" s="1"/>
      <c r="AP18" s="1"/>
      <c r="AQ18" s="1"/>
      <c r="AR18" s="1"/>
      <c r="AS18" s="1"/>
      <c r="AT18" s="1"/>
      <c r="AU18" s="1"/>
    </row>
    <row r="19" ht="15.75" customHeight="1">
      <c r="A19" s="29" t="s">
        <v>18</v>
      </c>
      <c r="B19" s="29" t="s">
        <v>19</v>
      </c>
      <c r="C19" s="29" t="s">
        <v>20</v>
      </c>
      <c r="D19" s="28" t="s">
        <v>5</v>
      </c>
      <c r="E19" s="22">
        <v>0.0</v>
      </c>
      <c r="F19" s="22">
        <v>0.0</v>
      </c>
      <c r="G19" s="22">
        <v>0.0</v>
      </c>
      <c r="H19" s="22">
        <v>0.0</v>
      </c>
      <c r="I19" s="22">
        <v>0.0</v>
      </c>
      <c r="J19" s="22">
        <v>0.0</v>
      </c>
      <c r="K19" s="22">
        <v>0.0</v>
      </c>
      <c r="L19" s="22">
        <v>0.0</v>
      </c>
      <c r="M19" s="22">
        <v>0.0</v>
      </c>
      <c r="N19" s="22">
        <v>0.0</v>
      </c>
      <c r="O19" s="22">
        <v>0.0</v>
      </c>
      <c r="P19" s="22">
        <v>0.0</v>
      </c>
      <c r="Q19" s="22">
        <v>0.0</v>
      </c>
      <c r="R19" s="22">
        <v>0.0</v>
      </c>
      <c r="S19" s="22">
        <v>0.0</v>
      </c>
      <c r="T19" s="22">
        <v>0.0</v>
      </c>
      <c r="U19" s="22">
        <v>0.0</v>
      </c>
      <c r="V19" s="22">
        <v>0.0</v>
      </c>
      <c r="W19" s="22">
        <v>0.0</v>
      </c>
      <c r="X19" s="22">
        <v>0.0</v>
      </c>
      <c r="Y19" s="22">
        <v>0.0</v>
      </c>
      <c r="Z19" s="22">
        <v>0.0</v>
      </c>
      <c r="AA19" s="22">
        <v>0.0</v>
      </c>
      <c r="AB19" s="22">
        <v>0.0</v>
      </c>
      <c r="AC19" s="22">
        <v>0.0</v>
      </c>
      <c r="AD19" s="22">
        <v>0.0</v>
      </c>
      <c r="AE19" s="22">
        <v>0.0</v>
      </c>
      <c r="AF19" s="22">
        <v>0.0</v>
      </c>
      <c r="AG19" s="22">
        <v>0.0</v>
      </c>
      <c r="AH19" s="22">
        <v>0.0</v>
      </c>
      <c r="AI19" s="22"/>
      <c r="AJ19" s="28">
        <f t="shared" si="2"/>
        <v>0</v>
      </c>
      <c r="AK19" s="23">
        <f>330*AJ19</f>
        <v>0</v>
      </c>
      <c r="AL19" s="24"/>
      <c r="AM19" s="25"/>
      <c r="AN19" s="1"/>
      <c r="AO19" s="1"/>
      <c r="AP19" s="1"/>
      <c r="AQ19" s="1"/>
      <c r="AR19" s="1"/>
      <c r="AS19" s="1"/>
      <c r="AT19" s="1"/>
      <c r="AU19" s="1"/>
    </row>
    <row r="20" ht="15.75" customHeight="1">
      <c r="A20" s="16"/>
      <c r="B20" s="16"/>
      <c r="C20" s="16"/>
      <c r="D20" s="28" t="s">
        <v>6</v>
      </c>
      <c r="E20" s="22">
        <v>0.0</v>
      </c>
      <c r="F20" s="22">
        <v>0.0</v>
      </c>
      <c r="G20" s="22">
        <v>0.0</v>
      </c>
      <c r="H20" s="22">
        <v>0.0</v>
      </c>
      <c r="I20" s="22">
        <v>0.0</v>
      </c>
      <c r="J20" s="22">
        <v>0.0</v>
      </c>
      <c r="K20" s="22">
        <v>0.0</v>
      </c>
      <c r="L20" s="22">
        <v>0.0</v>
      </c>
      <c r="M20" s="22">
        <v>0.0</v>
      </c>
      <c r="N20" s="22">
        <v>0.0</v>
      </c>
      <c r="O20" s="22">
        <v>0.0</v>
      </c>
      <c r="P20" s="22">
        <v>0.0</v>
      </c>
      <c r="Q20" s="22">
        <v>0.0</v>
      </c>
      <c r="R20" s="22">
        <v>0.0</v>
      </c>
      <c r="S20" s="22">
        <v>0.0</v>
      </c>
      <c r="T20" s="22">
        <v>0.0</v>
      </c>
      <c r="U20" s="22">
        <v>0.0</v>
      </c>
      <c r="V20" s="22">
        <v>0.0</v>
      </c>
      <c r="W20" s="22">
        <v>0.0</v>
      </c>
      <c r="X20" s="22">
        <v>0.0</v>
      </c>
      <c r="Y20" s="22">
        <v>0.0</v>
      </c>
      <c r="Z20" s="22">
        <v>0.0</v>
      </c>
      <c r="AA20" s="22">
        <v>0.0</v>
      </c>
      <c r="AB20" s="22">
        <v>0.0</v>
      </c>
      <c r="AC20" s="22">
        <v>0.0</v>
      </c>
      <c r="AD20" s="22">
        <v>0.0</v>
      </c>
      <c r="AE20" s="22">
        <v>0.0</v>
      </c>
      <c r="AF20" s="22">
        <v>0.0</v>
      </c>
      <c r="AG20" s="22">
        <v>0.0</v>
      </c>
      <c r="AH20" s="22">
        <v>0.0</v>
      </c>
      <c r="AI20" s="22"/>
      <c r="AJ20" s="28">
        <f t="shared" si="2"/>
        <v>0</v>
      </c>
      <c r="AK20" s="23">
        <f t="shared" ref="AK20:AK21" si="8">550*AJ20</f>
        <v>0</v>
      </c>
      <c r="AL20" s="24"/>
      <c r="AN20" s="1"/>
      <c r="AO20" s="1"/>
      <c r="AP20" s="1"/>
      <c r="AQ20" s="1"/>
      <c r="AR20" s="1"/>
      <c r="AS20" s="1"/>
      <c r="AT20" s="1"/>
      <c r="AU20" s="1"/>
    </row>
    <row r="21" ht="15.75" customHeight="1">
      <c r="A21" s="10"/>
      <c r="B21" s="10"/>
      <c r="C21" s="10"/>
      <c r="D21" s="28" t="s">
        <v>7</v>
      </c>
      <c r="E21" s="22">
        <v>1.0</v>
      </c>
      <c r="F21" s="22">
        <v>1.0</v>
      </c>
      <c r="G21" s="22">
        <v>1.0</v>
      </c>
      <c r="H21" s="22">
        <v>1.0</v>
      </c>
      <c r="I21" s="22">
        <v>1.0</v>
      </c>
      <c r="J21" s="22">
        <v>1.0</v>
      </c>
      <c r="K21" s="22">
        <v>1.0</v>
      </c>
      <c r="L21" s="22">
        <v>1.0</v>
      </c>
      <c r="M21" s="22">
        <v>1.0</v>
      </c>
      <c r="N21" s="22">
        <v>1.0</v>
      </c>
      <c r="O21" s="22">
        <v>1.0</v>
      </c>
      <c r="P21" s="22">
        <v>1.0</v>
      </c>
      <c r="Q21" s="22">
        <v>1.0</v>
      </c>
      <c r="R21" s="22">
        <v>1.0</v>
      </c>
      <c r="S21" s="22">
        <v>1.0</v>
      </c>
      <c r="T21" s="22">
        <v>1.0</v>
      </c>
      <c r="U21" s="22">
        <v>1.0</v>
      </c>
      <c r="V21" s="22">
        <v>1.0</v>
      </c>
      <c r="W21" s="22">
        <v>1.0</v>
      </c>
      <c r="X21" s="22">
        <v>1.0</v>
      </c>
      <c r="Y21" s="22">
        <v>1.0</v>
      </c>
      <c r="Z21" s="22">
        <v>1.0</v>
      </c>
      <c r="AA21" s="22">
        <v>1.0</v>
      </c>
      <c r="AB21" s="22">
        <v>1.0</v>
      </c>
      <c r="AC21" s="22">
        <v>1.0</v>
      </c>
      <c r="AD21" s="22">
        <v>1.0</v>
      </c>
      <c r="AE21" s="22">
        <v>1.0</v>
      </c>
      <c r="AF21" s="22">
        <v>1.0</v>
      </c>
      <c r="AG21" s="22">
        <v>1.0</v>
      </c>
      <c r="AH21" s="22">
        <v>1.0</v>
      </c>
      <c r="AI21" s="22"/>
      <c r="AJ21" s="28">
        <f t="shared" si="2"/>
        <v>30</v>
      </c>
      <c r="AK21" s="23">
        <f t="shared" si="8"/>
        <v>16500</v>
      </c>
      <c r="AL21" s="26">
        <f>SUM(AK19:AK21)</f>
        <v>16500</v>
      </c>
      <c r="AN21" s="1"/>
      <c r="AO21" s="1"/>
      <c r="AP21" s="1"/>
      <c r="AQ21" s="1"/>
      <c r="AR21" s="1"/>
      <c r="AS21" s="1"/>
      <c r="AT21" s="1"/>
      <c r="AU21" s="1"/>
    </row>
    <row r="22" ht="15.75" customHeight="1">
      <c r="A22" s="12" t="s">
        <v>21</v>
      </c>
      <c r="B22" s="12" t="s">
        <v>22</v>
      </c>
      <c r="C22" s="12" t="s">
        <v>23</v>
      </c>
      <c r="D22" s="14" t="s">
        <v>5</v>
      </c>
      <c r="E22" s="13">
        <v>1.0</v>
      </c>
      <c r="F22" s="13">
        <v>1.0</v>
      </c>
      <c r="G22" s="13">
        <v>1.0</v>
      </c>
      <c r="H22" s="13">
        <v>1.0</v>
      </c>
      <c r="I22" s="13">
        <v>1.0</v>
      </c>
      <c r="J22" s="13">
        <v>1.0</v>
      </c>
      <c r="K22" s="13">
        <v>1.0</v>
      </c>
      <c r="L22" s="13">
        <v>1.0</v>
      </c>
      <c r="M22" s="13">
        <v>1.0</v>
      </c>
      <c r="N22" s="13">
        <v>1.0</v>
      </c>
      <c r="O22" s="13">
        <v>1.0</v>
      </c>
      <c r="P22" s="13">
        <v>1.0</v>
      </c>
      <c r="Q22" s="13">
        <v>1.0</v>
      </c>
      <c r="R22" s="13">
        <v>1.0</v>
      </c>
      <c r="S22" s="13">
        <v>1.0</v>
      </c>
      <c r="T22" s="13">
        <v>1.0</v>
      </c>
      <c r="U22" s="13">
        <v>1.0</v>
      </c>
      <c r="V22" s="13">
        <v>1.0</v>
      </c>
      <c r="W22" s="13">
        <v>1.0</v>
      </c>
      <c r="X22" s="13">
        <v>1.0</v>
      </c>
      <c r="Y22" s="13">
        <v>1.0</v>
      </c>
      <c r="Z22" s="13">
        <v>1.0</v>
      </c>
      <c r="AA22" s="13">
        <v>1.0</v>
      </c>
      <c r="AB22" s="13">
        <v>1.0</v>
      </c>
      <c r="AC22" s="13">
        <v>1.0</v>
      </c>
      <c r="AD22" s="13">
        <v>1.0</v>
      </c>
      <c r="AE22" s="13">
        <v>1.0</v>
      </c>
      <c r="AF22" s="13">
        <v>1.0</v>
      </c>
      <c r="AG22" s="13">
        <v>1.0</v>
      </c>
      <c r="AH22" s="13">
        <v>1.0</v>
      </c>
      <c r="AI22" s="13"/>
      <c r="AJ22" s="14">
        <f t="shared" si="2"/>
        <v>30</v>
      </c>
      <c r="AK22" s="14">
        <f>330*AJ22</f>
        <v>9900</v>
      </c>
      <c r="AL22" s="19"/>
      <c r="AM22" s="4"/>
      <c r="AN22" s="1"/>
      <c r="AO22" s="1"/>
      <c r="AP22" s="1"/>
      <c r="AQ22" s="1"/>
      <c r="AR22" s="1"/>
      <c r="AS22" s="1"/>
      <c r="AT22" s="1"/>
      <c r="AU22" s="1"/>
    </row>
    <row r="23" ht="15.75" customHeight="1">
      <c r="A23" s="16"/>
      <c r="B23" s="16"/>
      <c r="C23" s="16"/>
      <c r="D23" s="14" t="s">
        <v>6</v>
      </c>
      <c r="E23" s="13">
        <v>1.0</v>
      </c>
      <c r="F23" s="13">
        <v>1.0</v>
      </c>
      <c r="G23" s="13">
        <v>0.0</v>
      </c>
      <c r="H23" s="13">
        <v>1.0</v>
      </c>
      <c r="I23" s="13">
        <v>1.0</v>
      </c>
      <c r="J23" s="13">
        <v>1.0</v>
      </c>
      <c r="K23" s="13">
        <v>1.0</v>
      </c>
      <c r="L23" s="13">
        <v>1.0</v>
      </c>
      <c r="M23" s="13">
        <v>1.0</v>
      </c>
      <c r="N23" s="13">
        <v>0.0</v>
      </c>
      <c r="O23" s="13">
        <v>1.0</v>
      </c>
      <c r="P23" s="13">
        <v>1.0</v>
      </c>
      <c r="Q23" s="13">
        <v>1.0</v>
      </c>
      <c r="R23" s="13">
        <v>1.0</v>
      </c>
      <c r="S23" s="13">
        <v>1.0</v>
      </c>
      <c r="T23" s="13">
        <v>1.0</v>
      </c>
      <c r="U23" s="13">
        <v>0.0</v>
      </c>
      <c r="V23" s="13">
        <v>1.0</v>
      </c>
      <c r="W23" s="13">
        <v>1.0</v>
      </c>
      <c r="X23" s="13">
        <v>1.0</v>
      </c>
      <c r="Y23" s="13">
        <v>1.0</v>
      </c>
      <c r="Z23" s="13">
        <v>1.0</v>
      </c>
      <c r="AA23" s="13">
        <v>1.0</v>
      </c>
      <c r="AB23" s="13">
        <v>0.0</v>
      </c>
      <c r="AC23" s="13">
        <v>1.0</v>
      </c>
      <c r="AD23" s="13">
        <v>1.0</v>
      </c>
      <c r="AE23" s="13">
        <v>1.0</v>
      </c>
      <c r="AF23" s="13">
        <v>1.0</v>
      </c>
      <c r="AG23" s="13">
        <v>1.0</v>
      </c>
      <c r="AH23" s="13">
        <v>1.0</v>
      </c>
      <c r="AI23" s="13"/>
      <c r="AJ23" s="14">
        <f t="shared" si="2"/>
        <v>26</v>
      </c>
      <c r="AK23" s="14">
        <f t="shared" ref="AK23:AK24" si="9">550*AJ23</f>
        <v>14300</v>
      </c>
      <c r="AL23" s="19"/>
      <c r="AM23" s="4"/>
      <c r="AN23" s="1"/>
      <c r="AO23" s="1"/>
      <c r="AP23" s="1"/>
      <c r="AQ23" s="1"/>
      <c r="AR23" s="1"/>
      <c r="AS23" s="1"/>
      <c r="AT23" s="1"/>
      <c r="AU23" s="1"/>
    </row>
    <row r="24" ht="15.75" customHeight="1">
      <c r="A24" s="10"/>
      <c r="B24" s="10"/>
      <c r="C24" s="10"/>
      <c r="D24" s="14" t="s">
        <v>7</v>
      </c>
      <c r="E24" s="13">
        <v>1.0</v>
      </c>
      <c r="F24" s="13">
        <v>1.0</v>
      </c>
      <c r="G24" s="13">
        <v>1.0</v>
      </c>
      <c r="H24" s="13">
        <v>1.0</v>
      </c>
      <c r="I24" s="13">
        <v>1.0</v>
      </c>
      <c r="J24" s="13">
        <v>1.0</v>
      </c>
      <c r="K24" s="13">
        <v>1.0</v>
      </c>
      <c r="L24" s="13">
        <v>1.0</v>
      </c>
      <c r="M24" s="13">
        <v>1.0</v>
      </c>
      <c r="N24" s="13">
        <v>1.0</v>
      </c>
      <c r="O24" s="13">
        <v>1.0</v>
      </c>
      <c r="P24" s="13">
        <v>1.0</v>
      </c>
      <c r="Q24" s="13">
        <v>1.0</v>
      </c>
      <c r="R24" s="13">
        <v>1.0</v>
      </c>
      <c r="S24" s="13">
        <v>1.0</v>
      </c>
      <c r="T24" s="13">
        <v>1.0</v>
      </c>
      <c r="U24" s="13">
        <v>1.0</v>
      </c>
      <c r="V24" s="13">
        <v>1.0</v>
      </c>
      <c r="W24" s="13">
        <v>1.0</v>
      </c>
      <c r="X24" s="13">
        <v>1.0</v>
      </c>
      <c r="Y24" s="13">
        <v>1.0</v>
      </c>
      <c r="Z24" s="13">
        <v>1.0</v>
      </c>
      <c r="AA24" s="13">
        <v>1.0</v>
      </c>
      <c r="AB24" s="13">
        <v>1.0</v>
      </c>
      <c r="AC24" s="13">
        <v>1.0</v>
      </c>
      <c r="AD24" s="13">
        <v>1.0</v>
      </c>
      <c r="AE24" s="13">
        <v>1.0</v>
      </c>
      <c r="AF24" s="13">
        <v>1.0</v>
      </c>
      <c r="AG24" s="13">
        <v>1.0</v>
      </c>
      <c r="AH24" s="13">
        <v>1.0</v>
      </c>
      <c r="AI24" s="13"/>
      <c r="AJ24" s="14">
        <f t="shared" si="2"/>
        <v>30</v>
      </c>
      <c r="AK24" s="14">
        <f t="shared" si="9"/>
        <v>16500</v>
      </c>
      <c r="AL24" s="20">
        <f>SUM(AK22:AK24)</f>
        <v>40700</v>
      </c>
      <c r="AM24" s="4"/>
      <c r="AN24" s="1"/>
      <c r="AO24" s="1"/>
      <c r="AP24" s="1"/>
      <c r="AQ24" s="1"/>
      <c r="AR24" s="1"/>
      <c r="AS24" s="1"/>
      <c r="AT24" s="1"/>
      <c r="AU24" s="1"/>
    </row>
    <row r="25" ht="15.75" customHeight="1">
      <c r="A25" s="12" t="s">
        <v>24</v>
      </c>
      <c r="B25" s="12" t="s">
        <v>25</v>
      </c>
      <c r="C25" s="12" t="s">
        <v>26</v>
      </c>
      <c r="D25" s="13" t="s">
        <v>5</v>
      </c>
      <c r="E25" s="30">
        <v>1.0</v>
      </c>
      <c r="F25" s="30">
        <v>1.0</v>
      </c>
      <c r="G25" s="30">
        <v>1.0</v>
      </c>
      <c r="H25" s="30">
        <v>1.0</v>
      </c>
      <c r="I25" s="30">
        <v>1.0</v>
      </c>
      <c r="J25" s="30">
        <v>1.0</v>
      </c>
      <c r="K25" s="30">
        <v>1.0</v>
      </c>
      <c r="L25" s="30">
        <v>1.0</v>
      </c>
      <c r="M25" s="30">
        <v>1.0</v>
      </c>
      <c r="N25" s="30">
        <v>1.0</v>
      </c>
      <c r="O25" s="30">
        <v>1.0</v>
      </c>
      <c r="P25" s="30">
        <v>1.0</v>
      </c>
      <c r="Q25" s="30">
        <v>1.0</v>
      </c>
      <c r="R25" s="30">
        <v>1.0</v>
      </c>
      <c r="S25" s="30">
        <v>1.0</v>
      </c>
      <c r="T25" s="30">
        <v>1.0</v>
      </c>
      <c r="U25" s="30">
        <v>1.0</v>
      </c>
      <c r="V25" s="30">
        <v>1.0</v>
      </c>
      <c r="W25" s="30">
        <v>1.0</v>
      </c>
      <c r="X25" s="30">
        <v>1.0</v>
      </c>
      <c r="Y25" s="30">
        <v>1.0</v>
      </c>
      <c r="Z25" s="30">
        <v>1.0</v>
      </c>
      <c r="AA25" s="30">
        <v>1.0</v>
      </c>
      <c r="AB25" s="30">
        <v>1.0</v>
      </c>
      <c r="AC25" s="30">
        <v>1.0</v>
      </c>
      <c r="AD25" s="30">
        <v>1.0</v>
      </c>
      <c r="AE25" s="30">
        <v>1.0</v>
      </c>
      <c r="AF25" s="30">
        <v>1.0</v>
      </c>
      <c r="AG25" s="30">
        <v>1.0</v>
      </c>
      <c r="AH25" s="30">
        <v>1.0</v>
      </c>
      <c r="AI25" s="30"/>
      <c r="AJ25" s="13">
        <f t="shared" si="2"/>
        <v>30</v>
      </c>
      <c r="AK25" s="23">
        <f>330*AJ25</f>
        <v>9900</v>
      </c>
      <c r="AL25" s="24"/>
      <c r="AM25" s="4"/>
      <c r="AN25" s="1"/>
      <c r="AO25" s="1"/>
      <c r="AP25" s="1"/>
      <c r="AQ25" s="1"/>
      <c r="AR25" s="1"/>
      <c r="AS25" s="1"/>
      <c r="AT25" s="1"/>
      <c r="AU25" s="1"/>
    </row>
    <row r="26" ht="15.75" customHeight="1">
      <c r="A26" s="16"/>
      <c r="B26" s="16"/>
      <c r="C26" s="16"/>
      <c r="D26" s="13" t="s">
        <v>6</v>
      </c>
      <c r="E26" s="30">
        <v>1.0</v>
      </c>
      <c r="F26" s="30">
        <v>1.0</v>
      </c>
      <c r="G26" s="30">
        <v>1.0</v>
      </c>
      <c r="H26" s="30">
        <v>1.0</v>
      </c>
      <c r="I26" s="30">
        <v>1.0</v>
      </c>
      <c r="J26" s="30">
        <v>1.0</v>
      </c>
      <c r="K26" s="30">
        <v>1.0</v>
      </c>
      <c r="L26" s="30">
        <v>1.0</v>
      </c>
      <c r="M26" s="30">
        <v>1.0</v>
      </c>
      <c r="N26" s="30">
        <v>1.0</v>
      </c>
      <c r="O26" s="30">
        <v>1.0</v>
      </c>
      <c r="P26" s="30">
        <v>1.0</v>
      </c>
      <c r="Q26" s="30">
        <v>1.0</v>
      </c>
      <c r="R26" s="30">
        <v>1.0</v>
      </c>
      <c r="S26" s="30">
        <v>1.0</v>
      </c>
      <c r="T26" s="30">
        <v>1.0</v>
      </c>
      <c r="U26" s="30">
        <v>1.0</v>
      </c>
      <c r="V26" s="30">
        <v>1.0</v>
      </c>
      <c r="W26" s="30">
        <v>1.0</v>
      </c>
      <c r="X26" s="30">
        <v>1.0</v>
      </c>
      <c r="Y26" s="30">
        <v>1.0</v>
      </c>
      <c r="Z26" s="30">
        <v>1.0</v>
      </c>
      <c r="AA26" s="30">
        <v>1.0</v>
      </c>
      <c r="AB26" s="30">
        <v>1.0</v>
      </c>
      <c r="AC26" s="30">
        <v>1.0</v>
      </c>
      <c r="AD26" s="30">
        <v>0.0</v>
      </c>
      <c r="AE26" s="30">
        <v>1.0</v>
      </c>
      <c r="AF26" s="30">
        <v>1.0</v>
      </c>
      <c r="AG26" s="30">
        <v>0.0</v>
      </c>
      <c r="AH26" s="30">
        <v>1.0</v>
      </c>
      <c r="AI26" s="30"/>
      <c r="AJ26" s="13">
        <f t="shared" si="2"/>
        <v>28</v>
      </c>
      <c r="AK26" s="23">
        <f t="shared" ref="AK26:AK27" si="10">550*AJ26</f>
        <v>15400</v>
      </c>
      <c r="AL26" s="24"/>
      <c r="AM26" s="4"/>
      <c r="AN26" s="1"/>
      <c r="AO26" s="1"/>
      <c r="AP26" s="1"/>
      <c r="AQ26" s="1"/>
      <c r="AR26" s="1"/>
      <c r="AS26" s="1"/>
      <c r="AT26" s="1"/>
      <c r="AU26" s="1"/>
    </row>
    <row r="27" ht="15.75" customHeight="1">
      <c r="A27" s="10"/>
      <c r="B27" s="10"/>
      <c r="C27" s="10"/>
      <c r="D27" s="13" t="s">
        <v>7</v>
      </c>
      <c r="E27" s="30">
        <v>1.0</v>
      </c>
      <c r="F27" s="30">
        <v>1.0</v>
      </c>
      <c r="G27" s="30">
        <v>1.0</v>
      </c>
      <c r="H27" s="30">
        <v>1.0</v>
      </c>
      <c r="I27" s="30">
        <v>1.0</v>
      </c>
      <c r="J27" s="30">
        <v>1.0</v>
      </c>
      <c r="K27" s="30">
        <v>1.0</v>
      </c>
      <c r="L27" s="30">
        <v>1.0</v>
      </c>
      <c r="M27" s="30">
        <v>1.0</v>
      </c>
      <c r="N27" s="30">
        <v>1.0</v>
      </c>
      <c r="O27" s="30">
        <v>1.0</v>
      </c>
      <c r="P27" s="30">
        <v>1.0</v>
      </c>
      <c r="Q27" s="30">
        <v>1.0</v>
      </c>
      <c r="R27" s="30">
        <v>1.0</v>
      </c>
      <c r="S27" s="30">
        <v>1.0</v>
      </c>
      <c r="T27" s="30">
        <v>1.0</v>
      </c>
      <c r="U27" s="30">
        <v>1.0</v>
      </c>
      <c r="V27" s="30">
        <v>1.0</v>
      </c>
      <c r="W27" s="30">
        <v>1.0</v>
      </c>
      <c r="X27" s="30">
        <v>1.0</v>
      </c>
      <c r="Y27" s="30">
        <v>1.0</v>
      </c>
      <c r="Z27" s="30">
        <v>1.0</v>
      </c>
      <c r="AA27" s="30">
        <v>1.0</v>
      </c>
      <c r="AB27" s="30">
        <v>1.0</v>
      </c>
      <c r="AC27" s="30">
        <v>1.0</v>
      </c>
      <c r="AD27" s="30">
        <v>1.0</v>
      </c>
      <c r="AE27" s="30">
        <v>1.0</v>
      </c>
      <c r="AF27" s="30">
        <v>1.0</v>
      </c>
      <c r="AG27" s="30">
        <v>1.0</v>
      </c>
      <c r="AH27" s="30">
        <v>1.0</v>
      </c>
      <c r="AI27" s="30"/>
      <c r="AJ27" s="13">
        <f t="shared" si="2"/>
        <v>30</v>
      </c>
      <c r="AK27" s="23">
        <f t="shared" si="10"/>
        <v>16500</v>
      </c>
      <c r="AL27" s="26">
        <f>SUM(AK25:AK27)</f>
        <v>41800</v>
      </c>
      <c r="AM27" s="4"/>
      <c r="AN27" s="1"/>
      <c r="AO27" s="1"/>
      <c r="AP27" s="1"/>
      <c r="AQ27" s="1"/>
      <c r="AR27" s="1"/>
      <c r="AS27" s="1"/>
      <c r="AT27" s="1"/>
      <c r="AU27" s="1"/>
    </row>
    <row r="28" ht="15.75" customHeight="1">
      <c r="A28" s="12" t="s">
        <v>27</v>
      </c>
      <c r="B28" s="12" t="s">
        <v>28</v>
      </c>
      <c r="C28" s="12" t="s">
        <v>29</v>
      </c>
      <c r="D28" s="13" t="s">
        <v>5</v>
      </c>
      <c r="E28" s="30">
        <v>1.0</v>
      </c>
      <c r="F28" s="30">
        <v>1.0</v>
      </c>
      <c r="G28" s="30">
        <v>1.0</v>
      </c>
      <c r="H28" s="30">
        <v>1.0</v>
      </c>
      <c r="I28" s="30">
        <v>1.0</v>
      </c>
      <c r="J28" s="30">
        <v>1.0</v>
      </c>
      <c r="K28" s="30">
        <v>1.0</v>
      </c>
      <c r="L28" s="30">
        <v>1.0</v>
      </c>
      <c r="M28" s="30">
        <v>1.0</v>
      </c>
      <c r="N28" s="30">
        <v>1.0</v>
      </c>
      <c r="O28" s="30">
        <v>1.0</v>
      </c>
      <c r="P28" s="30">
        <v>1.0</v>
      </c>
      <c r="Q28" s="30">
        <v>1.0</v>
      </c>
      <c r="R28" s="30">
        <v>1.0</v>
      </c>
      <c r="S28" s="30">
        <v>1.0</v>
      </c>
      <c r="T28" s="30">
        <v>1.0</v>
      </c>
      <c r="U28" s="30">
        <v>1.0</v>
      </c>
      <c r="V28" s="30">
        <v>1.0</v>
      </c>
      <c r="W28" s="30">
        <v>1.0</v>
      </c>
      <c r="X28" s="30">
        <v>1.0</v>
      </c>
      <c r="Y28" s="30">
        <v>1.0</v>
      </c>
      <c r="Z28" s="30">
        <v>1.0</v>
      </c>
      <c r="AA28" s="30">
        <v>1.0</v>
      </c>
      <c r="AB28" s="30">
        <v>1.0</v>
      </c>
      <c r="AC28" s="30">
        <v>1.0</v>
      </c>
      <c r="AD28" s="30">
        <v>1.0</v>
      </c>
      <c r="AE28" s="30">
        <v>1.0</v>
      </c>
      <c r="AF28" s="30">
        <v>1.0</v>
      </c>
      <c r="AG28" s="30">
        <v>1.0</v>
      </c>
      <c r="AH28" s="30">
        <v>1.0</v>
      </c>
      <c r="AI28" s="13"/>
      <c r="AJ28" s="13">
        <f t="shared" si="2"/>
        <v>30</v>
      </c>
      <c r="AK28" s="14">
        <f>330*AJ28</f>
        <v>9900</v>
      </c>
      <c r="AL28" s="19"/>
      <c r="AM28" s="4"/>
      <c r="AN28" s="1"/>
      <c r="AO28" s="1"/>
      <c r="AP28" s="1"/>
      <c r="AQ28" s="1"/>
      <c r="AR28" s="1"/>
      <c r="AS28" s="1"/>
      <c r="AT28" s="1"/>
      <c r="AU28" s="1"/>
    </row>
    <row r="29" ht="15.75" customHeight="1">
      <c r="A29" s="16"/>
      <c r="B29" s="16"/>
      <c r="C29" s="16"/>
      <c r="D29" s="13" t="s">
        <v>6</v>
      </c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32"/>
      <c r="AG29" s="13"/>
      <c r="AH29" s="13"/>
      <c r="AI29" s="13"/>
      <c r="AJ29" s="13">
        <f t="shared" si="2"/>
        <v>0</v>
      </c>
      <c r="AK29" s="14">
        <f t="shared" ref="AK29:AK30" si="11">550*AJ29</f>
        <v>0</v>
      </c>
      <c r="AL29" s="19"/>
      <c r="AM29" s="4"/>
      <c r="AN29" s="1"/>
      <c r="AO29" s="1"/>
      <c r="AP29" s="1"/>
      <c r="AQ29" s="1"/>
      <c r="AR29" s="1"/>
      <c r="AS29" s="1"/>
      <c r="AT29" s="1"/>
      <c r="AU29" s="1"/>
    </row>
    <row r="30" ht="15.75" customHeight="1">
      <c r="A30" s="10"/>
      <c r="B30" s="10"/>
      <c r="C30" s="10"/>
      <c r="D30" s="13" t="s">
        <v>7</v>
      </c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>
        <f t="shared" si="2"/>
        <v>0</v>
      </c>
      <c r="AK30" s="14">
        <f t="shared" si="11"/>
        <v>0</v>
      </c>
      <c r="AL30" s="20">
        <f>SUM(AK28:AK30)</f>
        <v>9900</v>
      </c>
      <c r="AM30" s="4"/>
      <c r="AN30" s="1"/>
      <c r="AO30" s="1"/>
      <c r="AP30" s="1"/>
      <c r="AQ30" s="1"/>
      <c r="AR30" s="1"/>
      <c r="AS30" s="1"/>
      <c r="AT30" s="1"/>
      <c r="AU30" s="1"/>
    </row>
    <row r="31" ht="15.75" customHeight="1">
      <c r="A31" s="12"/>
      <c r="B31" s="12"/>
      <c r="C31" s="12"/>
      <c r="D31" s="13" t="s">
        <v>5</v>
      </c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>
        <f t="shared" si="2"/>
        <v>0</v>
      </c>
      <c r="AK31" s="23">
        <f>330*AJ31</f>
        <v>0</v>
      </c>
      <c r="AL31" s="24"/>
      <c r="AM31" s="4"/>
      <c r="AN31" s="1"/>
      <c r="AO31" s="1"/>
      <c r="AP31" s="1"/>
      <c r="AQ31" s="1"/>
      <c r="AR31" s="1"/>
      <c r="AS31" s="1"/>
      <c r="AT31" s="1"/>
      <c r="AU31" s="1"/>
    </row>
    <row r="32" ht="15.75" customHeight="1">
      <c r="A32" s="16"/>
      <c r="B32" s="16"/>
      <c r="C32" s="16"/>
      <c r="D32" s="13" t="s">
        <v>6</v>
      </c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>
        <f t="shared" si="2"/>
        <v>0</v>
      </c>
      <c r="AK32" s="23">
        <f t="shared" ref="AK32:AK33" si="12">550*AJ32</f>
        <v>0</v>
      </c>
      <c r="AL32" s="24"/>
      <c r="AM32" s="4"/>
      <c r="AN32" s="1"/>
      <c r="AO32" s="1"/>
      <c r="AP32" s="1"/>
      <c r="AQ32" s="1"/>
      <c r="AR32" s="1"/>
      <c r="AS32" s="1"/>
      <c r="AT32" s="1"/>
      <c r="AU32" s="1"/>
    </row>
    <row r="33" ht="15.75" customHeight="1">
      <c r="A33" s="10"/>
      <c r="B33" s="10"/>
      <c r="C33" s="10"/>
      <c r="D33" s="13" t="s">
        <v>7</v>
      </c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>
        <f t="shared" si="2"/>
        <v>0</v>
      </c>
      <c r="AK33" s="23">
        <f t="shared" si="12"/>
        <v>0</v>
      </c>
      <c r="AL33" s="26">
        <f>SUM(AK31:AK33)</f>
        <v>0</v>
      </c>
      <c r="AM33" s="4"/>
      <c r="AN33" s="1"/>
      <c r="AO33" s="1"/>
      <c r="AP33" s="1"/>
      <c r="AQ33" s="1"/>
      <c r="AR33" s="1"/>
      <c r="AS33" s="1"/>
      <c r="AT33" s="1"/>
      <c r="AU33" s="1"/>
    </row>
    <row r="34" ht="15.75" customHeight="1">
      <c r="A34" s="12"/>
      <c r="B34" s="12"/>
      <c r="C34" s="12"/>
      <c r="D34" s="13" t="s">
        <v>5</v>
      </c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>
        <f t="shared" si="2"/>
        <v>0</v>
      </c>
      <c r="AK34" s="1"/>
      <c r="AL34" s="1"/>
      <c r="AM34" s="4"/>
      <c r="AN34" s="1"/>
      <c r="AO34" s="1"/>
      <c r="AP34" s="1"/>
      <c r="AQ34" s="1"/>
      <c r="AR34" s="1"/>
      <c r="AS34" s="1"/>
      <c r="AT34" s="1"/>
      <c r="AU34" s="1"/>
    </row>
    <row r="35" ht="15.75" customHeight="1">
      <c r="A35" s="16"/>
      <c r="B35" s="16"/>
      <c r="C35" s="16"/>
      <c r="D35" s="13" t="s">
        <v>6</v>
      </c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>
        <f t="shared" si="2"/>
        <v>0</v>
      </c>
      <c r="AK35" s="1"/>
      <c r="AL35" s="1"/>
      <c r="AM35" s="4"/>
      <c r="AN35" s="1"/>
      <c r="AO35" s="1"/>
      <c r="AP35" s="1"/>
      <c r="AQ35" s="1"/>
      <c r="AR35" s="1"/>
      <c r="AS35" s="1"/>
      <c r="AT35" s="1"/>
      <c r="AU35" s="1"/>
    </row>
    <row r="36" ht="15.75" customHeight="1">
      <c r="A36" s="10"/>
      <c r="B36" s="10"/>
      <c r="C36" s="10"/>
      <c r="D36" s="13" t="s">
        <v>7</v>
      </c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>
        <f t="shared" si="2"/>
        <v>0</v>
      </c>
      <c r="AK36" s="1"/>
      <c r="AL36" s="1"/>
      <c r="AM36" s="4"/>
      <c r="AN36" s="1"/>
      <c r="AO36" s="1"/>
      <c r="AP36" s="1"/>
      <c r="AQ36" s="1"/>
      <c r="AR36" s="1"/>
      <c r="AS36" s="1"/>
      <c r="AT36" s="1"/>
      <c r="AU36" s="1"/>
    </row>
    <row r="37" ht="15.75" customHeight="1">
      <c r="A37" s="12"/>
      <c r="B37" s="12"/>
      <c r="C37" s="12"/>
      <c r="D37" s="13" t="s">
        <v>5</v>
      </c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>
        <f t="shared" si="2"/>
        <v>0</v>
      </c>
      <c r="AK37" s="1"/>
      <c r="AL37" s="1"/>
      <c r="AM37" s="4"/>
      <c r="AN37" s="1"/>
      <c r="AO37" s="1"/>
      <c r="AP37" s="1"/>
      <c r="AQ37" s="1"/>
      <c r="AR37" s="1"/>
      <c r="AS37" s="1"/>
      <c r="AT37" s="1"/>
      <c r="AU37" s="1"/>
    </row>
    <row r="38" ht="15.75" customHeight="1">
      <c r="A38" s="16"/>
      <c r="B38" s="16"/>
      <c r="C38" s="16"/>
      <c r="D38" s="13" t="s">
        <v>6</v>
      </c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>
        <f t="shared" si="2"/>
        <v>0</v>
      </c>
      <c r="AK38" s="1"/>
      <c r="AL38" s="1"/>
      <c r="AM38" s="4"/>
      <c r="AN38" s="1"/>
      <c r="AO38" s="1"/>
      <c r="AP38" s="1"/>
      <c r="AQ38" s="1"/>
      <c r="AR38" s="1"/>
      <c r="AS38" s="1"/>
      <c r="AT38" s="1"/>
      <c r="AU38" s="1"/>
    </row>
    <row r="39" ht="15.75" customHeight="1">
      <c r="A39" s="10"/>
      <c r="B39" s="10"/>
      <c r="C39" s="10"/>
      <c r="D39" s="13" t="s">
        <v>7</v>
      </c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>
        <f t="shared" si="2"/>
        <v>0</v>
      </c>
      <c r="AK39" s="1"/>
      <c r="AL39" s="1"/>
      <c r="AM39" s="4"/>
      <c r="AN39" s="1"/>
      <c r="AO39" s="1"/>
      <c r="AP39" s="1"/>
      <c r="AQ39" s="1"/>
      <c r="AR39" s="1"/>
      <c r="AS39" s="1"/>
      <c r="AT39" s="1"/>
      <c r="AU39" s="1"/>
    </row>
    <row r="40" ht="15.75" customHeight="1">
      <c r="A40" s="12"/>
      <c r="B40" s="12"/>
      <c r="C40" s="12"/>
      <c r="D40" s="13" t="s">
        <v>5</v>
      </c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>
        <f t="shared" si="2"/>
        <v>0</v>
      </c>
      <c r="AK40" s="1"/>
      <c r="AL40" s="1"/>
      <c r="AM40" s="4"/>
      <c r="AN40" s="1"/>
      <c r="AO40" s="1"/>
      <c r="AP40" s="1"/>
      <c r="AQ40" s="1"/>
      <c r="AR40" s="1"/>
      <c r="AS40" s="1"/>
      <c r="AT40" s="1"/>
      <c r="AU40" s="1"/>
    </row>
    <row r="41" ht="15.75" customHeight="1">
      <c r="A41" s="16"/>
      <c r="B41" s="16"/>
      <c r="C41" s="16"/>
      <c r="D41" s="13" t="s">
        <v>6</v>
      </c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>
        <f t="shared" si="2"/>
        <v>0</v>
      </c>
      <c r="AK41" s="1"/>
      <c r="AL41" s="1"/>
      <c r="AM41" s="4"/>
      <c r="AN41" s="1"/>
      <c r="AO41" s="1"/>
      <c r="AP41" s="1"/>
      <c r="AQ41" s="1"/>
      <c r="AR41" s="1"/>
      <c r="AS41" s="1"/>
      <c r="AT41" s="1"/>
      <c r="AU41" s="1"/>
    </row>
    <row r="42" ht="15.75" customHeight="1">
      <c r="A42" s="10"/>
      <c r="B42" s="10"/>
      <c r="C42" s="10"/>
      <c r="D42" s="13" t="s">
        <v>7</v>
      </c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>
        <f t="shared" si="2"/>
        <v>0</v>
      </c>
      <c r="AK42" s="1"/>
      <c r="AL42" s="1"/>
      <c r="AM42" s="4"/>
      <c r="AN42" s="1"/>
      <c r="AO42" s="1"/>
      <c r="AP42" s="1"/>
      <c r="AQ42" s="1"/>
      <c r="AR42" s="1"/>
      <c r="AS42" s="1"/>
      <c r="AT42" s="1"/>
      <c r="AU42" s="1"/>
    </row>
    <row r="43" ht="15.75" customHeight="1">
      <c r="A43" s="12"/>
      <c r="B43" s="12"/>
      <c r="C43" s="12"/>
      <c r="D43" s="13" t="s">
        <v>5</v>
      </c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>
        <f t="shared" si="2"/>
        <v>0</v>
      </c>
      <c r="AK43" s="1"/>
      <c r="AL43" s="1"/>
      <c r="AM43" s="4"/>
      <c r="AN43" s="1"/>
      <c r="AO43" s="1"/>
      <c r="AP43" s="1"/>
      <c r="AQ43" s="1"/>
      <c r="AR43" s="1"/>
      <c r="AS43" s="1"/>
      <c r="AT43" s="1"/>
      <c r="AU43" s="1"/>
    </row>
    <row r="44" ht="15.75" customHeight="1">
      <c r="A44" s="16"/>
      <c r="B44" s="16"/>
      <c r="C44" s="16"/>
      <c r="D44" s="13" t="s">
        <v>6</v>
      </c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>
        <f t="shared" si="2"/>
        <v>0</v>
      </c>
      <c r="AK44" s="1"/>
      <c r="AL44" s="1"/>
      <c r="AM44" s="4"/>
      <c r="AN44" s="1"/>
      <c r="AO44" s="1"/>
      <c r="AP44" s="1"/>
      <c r="AQ44" s="1"/>
      <c r="AR44" s="1"/>
      <c r="AS44" s="1"/>
      <c r="AT44" s="1"/>
      <c r="AU44" s="1"/>
    </row>
    <row r="45" ht="15.75" customHeight="1">
      <c r="A45" s="10"/>
      <c r="B45" s="10"/>
      <c r="C45" s="10"/>
      <c r="D45" s="13" t="s">
        <v>7</v>
      </c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>
        <f t="shared" si="2"/>
        <v>0</v>
      </c>
      <c r="AK45" s="1"/>
      <c r="AL45" s="1"/>
      <c r="AM45" s="4"/>
      <c r="AN45" s="1"/>
      <c r="AO45" s="1"/>
      <c r="AP45" s="1"/>
      <c r="AQ45" s="1"/>
      <c r="AR45" s="1"/>
      <c r="AS45" s="1"/>
      <c r="AT45" s="1"/>
      <c r="AU45" s="1"/>
    </row>
    <row r="46" ht="15.75" customHeight="1">
      <c r="A46" s="12"/>
      <c r="B46" s="12"/>
      <c r="C46" s="12"/>
      <c r="D46" s="13" t="s">
        <v>5</v>
      </c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>
        <f t="shared" si="2"/>
        <v>0</v>
      </c>
      <c r="AK46" s="1"/>
      <c r="AL46" s="1"/>
      <c r="AM46" s="4"/>
      <c r="AN46" s="1"/>
      <c r="AO46" s="1"/>
      <c r="AP46" s="1"/>
      <c r="AQ46" s="1"/>
      <c r="AR46" s="1"/>
      <c r="AS46" s="1"/>
      <c r="AT46" s="1"/>
      <c r="AU46" s="1"/>
    </row>
    <row r="47" ht="15.75" customHeight="1">
      <c r="A47" s="16"/>
      <c r="B47" s="16"/>
      <c r="C47" s="16"/>
      <c r="D47" s="13" t="s">
        <v>6</v>
      </c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>
        <f t="shared" si="2"/>
        <v>0</v>
      </c>
      <c r="AK47" s="1"/>
      <c r="AL47" s="1"/>
      <c r="AM47" s="4"/>
      <c r="AN47" s="1"/>
      <c r="AO47" s="1"/>
      <c r="AP47" s="1"/>
      <c r="AQ47" s="1"/>
      <c r="AR47" s="1"/>
      <c r="AS47" s="1"/>
      <c r="AT47" s="1"/>
      <c r="AU47" s="1"/>
    </row>
    <row r="48" ht="15.75" customHeight="1">
      <c r="A48" s="10"/>
      <c r="B48" s="10"/>
      <c r="C48" s="10"/>
      <c r="D48" s="13" t="s">
        <v>7</v>
      </c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>
        <f t="shared" si="2"/>
        <v>0</v>
      </c>
      <c r="AK48" s="1"/>
      <c r="AL48" s="1"/>
      <c r="AM48" s="4"/>
      <c r="AN48" s="1"/>
      <c r="AO48" s="1"/>
      <c r="AP48" s="1"/>
      <c r="AQ48" s="1"/>
      <c r="AR48" s="1"/>
      <c r="AS48" s="1"/>
      <c r="AT48" s="1"/>
      <c r="AU48" s="1"/>
    </row>
    <row r="49" ht="15.75" customHeight="1">
      <c r="A49" s="12"/>
      <c r="B49" s="12"/>
      <c r="C49" s="12"/>
      <c r="D49" s="13" t="s">
        <v>5</v>
      </c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>
        <f t="shared" si="2"/>
        <v>0</v>
      </c>
      <c r="AK49" s="1"/>
      <c r="AL49" s="1"/>
      <c r="AM49" s="4"/>
      <c r="AN49" s="1"/>
      <c r="AO49" s="1"/>
      <c r="AP49" s="1"/>
      <c r="AQ49" s="1"/>
      <c r="AR49" s="1"/>
      <c r="AS49" s="1"/>
      <c r="AT49" s="1"/>
      <c r="AU49" s="1"/>
    </row>
    <row r="50" ht="15.75" customHeight="1">
      <c r="A50" s="16"/>
      <c r="B50" s="16"/>
      <c r="C50" s="16"/>
      <c r="D50" s="13" t="s">
        <v>6</v>
      </c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>
        <f t="shared" si="2"/>
        <v>0</v>
      </c>
      <c r="AK50" s="1"/>
      <c r="AL50" s="1"/>
      <c r="AM50" s="4"/>
      <c r="AN50" s="1"/>
      <c r="AO50" s="1"/>
      <c r="AP50" s="1"/>
      <c r="AQ50" s="1"/>
      <c r="AR50" s="1"/>
      <c r="AS50" s="1"/>
      <c r="AT50" s="1"/>
      <c r="AU50" s="1"/>
    </row>
    <row r="51" ht="15.75" customHeight="1">
      <c r="A51" s="10"/>
      <c r="B51" s="10"/>
      <c r="C51" s="10"/>
      <c r="D51" s="13" t="s">
        <v>7</v>
      </c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>
        <f t="shared" si="2"/>
        <v>0</v>
      </c>
      <c r="AK51" s="1"/>
      <c r="AL51" s="1"/>
      <c r="AM51" s="4"/>
      <c r="AN51" s="1"/>
      <c r="AO51" s="1"/>
      <c r="AP51" s="1"/>
      <c r="AQ51" s="1"/>
      <c r="AR51" s="1"/>
      <c r="AS51" s="1"/>
      <c r="AT51" s="1"/>
      <c r="AU51" s="1"/>
    </row>
    <row r="52" ht="15.75" customHeight="1">
      <c r="A52" s="12"/>
      <c r="B52" s="12"/>
      <c r="C52" s="12"/>
      <c r="D52" s="13" t="s">
        <v>5</v>
      </c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>
        <f t="shared" si="2"/>
        <v>0</v>
      </c>
      <c r="AK52" s="1"/>
      <c r="AL52" s="1"/>
      <c r="AM52" s="4"/>
      <c r="AN52" s="1"/>
      <c r="AO52" s="1"/>
      <c r="AP52" s="1"/>
      <c r="AQ52" s="1"/>
      <c r="AR52" s="1"/>
      <c r="AS52" s="1"/>
      <c r="AT52" s="1"/>
      <c r="AU52" s="1"/>
    </row>
    <row r="53" ht="15.75" customHeight="1">
      <c r="A53" s="16"/>
      <c r="B53" s="16"/>
      <c r="C53" s="16"/>
      <c r="D53" s="13" t="s">
        <v>6</v>
      </c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>
        <f t="shared" si="2"/>
        <v>0</v>
      </c>
      <c r="AK53" s="1"/>
      <c r="AL53" s="1"/>
      <c r="AM53" s="4"/>
      <c r="AN53" s="1"/>
      <c r="AO53" s="1"/>
      <c r="AP53" s="1"/>
      <c r="AQ53" s="1"/>
      <c r="AR53" s="1"/>
      <c r="AS53" s="1"/>
      <c r="AT53" s="1"/>
      <c r="AU53" s="1"/>
    </row>
    <row r="54" ht="15.75" customHeight="1">
      <c r="A54" s="10"/>
      <c r="B54" s="10"/>
      <c r="C54" s="10"/>
      <c r="D54" s="13" t="s">
        <v>7</v>
      </c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>
        <f t="shared" si="2"/>
        <v>0</v>
      </c>
      <c r="AK54" s="1"/>
      <c r="AL54" s="1"/>
      <c r="AM54" s="4"/>
      <c r="AN54" s="1"/>
      <c r="AO54" s="1"/>
      <c r="AP54" s="1"/>
      <c r="AQ54" s="1"/>
      <c r="AR54" s="1"/>
      <c r="AS54" s="1"/>
      <c r="AT54" s="1"/>
      <c r="AU54" s="1"/>
    </row>
    <row r="55" ht="15.75" customHeight="1">
      <c r="A55" s="12"/>
      <c r="B55" s="12"/>
      <c r="C55" s="12"/>
      <c r="D55" s="13" t="s">
        <v>5</v>
      </c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>
        <f t="shared" si="2"/>
        <v>0</v>
      </c>
      <c r="AK55" s="1"/>
      <c r="AL55" s="1"/>
      <c r="AM55" s="4"/>
      <c r="AN55" s="1"/>
      <c r="AO55" s="1"/>
      <c r="AP55" s="1"/>
      <c r="AQ55" s="1"/>
      <c r="AR55" s="1"/>
      <c r="AS55" s="1"/>
      <c r="AT55" s="1"/>
      <c r="AU55" s="1"/>
    </row>
    <row r="56" ht="15.75" customHeight="1">
      <c r="A56" s="16"/>
      <c r="B56" s="16"/>
      <c r="C56" s="16"/>
      <c r="D56" s="13" t="s">
        <v>6</v>
      </c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>
        <f t="shared" si="2"/>
        <v>0</v>
      </c>
      <c r="AK56" s="1"/>
      <c r="AL56" s="1"/>
      <c r="AM56" s="4"/>
      <c r="AN56" s="1"/>
      <c r="AO56" s="1"/>
      <c r="AP56" s="1"/>
      <c r="AQ56" s="1"/>
      <c r="AR56" s="1"/>
      <c r="AS56" s="1"/>
      <c r="AT56" s="1"/>
      <c r="AU56" s="1"/>
    </row>
    <row r="57" ht="15.75" customHeight="1">
      <c r="A57" s="10"/>
      <c r="B57" s="10"/>
      <c r="C57" s="10"/>
      <c r="D57" s="13" t="s">
        <v>7</v>
      </c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>
        <f t="shared" si="2"/>
        <v>0</v>
      </c>
      <c r="AK57" s="1"/>
      <c r="AL57" s="1"/>
      <c r="AM57" s="4"/>
      <c r="AN57" s="1"/>
      <c r="AO57" s="1"/>
      <c r="AP57" s="1"/>
      <c r="AQ57" s="1"/>
      <c r="AR57" s="1"/>
      <c r="AS57" s="1"/>
      <c r="AT57" s="1"/>
      <c r="AU57" s="1"/>
    </row>
    <row r="58" ht="15.75" customHeight="1">
      <c r="A58" s="12"/>
      <c r="B58" s="12"/>
      <c r="C58" s="12"/>
      <c r="D58" s="13" t="s">
        <v>5</v>
      </c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>
        <f t="shared" si="2"/>
        <v>0</v>
      </c>
      <c r="AK58" s="1"/>
      <c r="AL58" s="1"/>
      <c r="AM58" s="4"/>
      <c r="AN58" s="1"/>
      <c r="AO58" s="1"/>
      <c r="AP58" s="1"/>
      <c r="AQ58" s="1"/>
      <c r="AR58" s="1"/>
      <c r="AS58" s="1"/>
      <c r="AT58" s="1"/>
      <c r="AU58" s="1"/>
    </row>
    <row r="59" ht="15.75" customHeight="1">
      <c r="A59" s="16"/>
      <c r="B59" s="16"/>
      <c r="C59" s="16"/>
      <c r="D59" s="13" t="s">
        <v>6</v>
      </c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>
        <f t="shared" si="2"/>
        <v>0</v>
      </c>
      <c r="AK59" s="1"/>
      <c r="AL59" s="1"/>
      <c r="AM59" s="4"/>
      <c r="AN59" s="1"/>
      <c r="AO59" s="1"/>
      <c r="AP59" s="1"/>
      <c r="AQ59" s="1"/>
      <c r="AR59" s="1"/>
      <c r="AS59" s="1"/>
      <c r="AT59" s="1"/>
      <c r="AU59" s="1"/>
    </row>
    <row r="60" ht="15.75" customHeight="1">
      <c r="A60" s="10"/>
      <c r="B60" s="10"/>
      <c r="C60" s="10"/>
      <c r="D60" s="13" t="s">
        <v>7</v>
      </c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>
        <f t="shared" si="2"/>
        <v>0</v>
      </c>
      <c r="AK60" s="1"/>
      <c r="AL60" s="1"/>
      <c r="AM60" s="4"/>
      <c r="AN60" s="1"/>
      <c r="AO60" s="1"/>
      <c r="AP60" s="1"/>
      <c r="AQ60" s="1"/>
      <c r="AR60" s="1"/>
      <c r="AS60" s="1"/>
      <c r="AT60" s="1"/>
      <c r="AU60" s="1"/>
    </row>
    <row r="61" ht="15.75" customHeight="1">
      <c r="A61" s="12"/>
      <c r="B61" s="12"/>
      <c r="C61" s="12"/>
      <c r="D61" s="13" t="s">
        <v>5</v>
      </c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>
        <f t="shared" si="2"/>
        <v>0</v>
      </c>
      <c r="AK61" s="1"/>
      <c r="AL61" s="1"/>
      <c r="AM61" s="4"/>
      <c r="AN61" s="1"/>
      <c r="AO61" s="1"/>
      <c r="AP61" s="1"/>
      <c r="AQ61" s="1"/>
      <c r="AR61" s="1"/>
      <c r="AS61" s="1"/>
      <c r="AT61" s="1"/>
      <c r="AU61" s="1"/>
    </row>
    <row r="62" ht="15.75" customHeight="1">
      <c r="A62" s="16"/>
      <c r="B62" s="16"/>
      <c r="C62" s="16"/>
      <c r="D62" s="13" t="s">
        <v>6</v>
      </c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>
        <f t="shared" si="2"/>
        <v>0</v>
      </c>
      <c r="AK62" s="1"/>
      <c r="AL62" s="1"/>
      <c r="AM62" s="4"/>
      <c r="AN62" s="1"/>
      <c r="AO62" s="1"/>
      <c r="AP62" s="1"/>
      <c r="AQ62" s="1"/>
      <c r="AR62" s="1"/>
      <c r="AS62" s="1"/>
      <c r="AT62" s="1"/>
      <c r="AU62" s="1"/>
    </row>
    <row r="63" ht="15.75" customHeight="1">
      <c r="A63" s="10"/>
      <c r="B63" s="10"/>
      <c r="C63" s="10"/>
      <c r="D63" s="13" t="s">
        <v>7</v>
      </c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>
        <f t="shared" si="2"/>
        <v>0</v>
      </c>
      <c r="AK63" s="1"/>
      <c r="AL63" s="1"/>
      <c r="AM63" s="4"/>
      <c r="AN63" s="1"/>
      <c r="AO63" s="1"/>
      <c r="AP63" s="1"/>
      <c r="AQ63" s="1"/>
      <c r="AR63" s="1"/>
      <c r="AS63" s="1"/>
      <c r="AT63" s="1"/>
      <c r="AU63" s="1"/>
    </row>
    <row r="64" ht="15.75" customHeight="1">
      <c r="A64" s="12"/>
      <c r="B64" s="12"/>
      <c r="C64" s="12"/>
      <c r="D64" s="13" t="s">
        <v>5</v>
      </c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>
        <f t="shared" si="2"/>
        <v>0</v>
      </c>
      <c r="AK64" s="1"/>
      <c r="AL64" s="1"/>
      <c r="AM64" s="4"/>
      <c r="AN64" s="1"/>
      <c r="AO64" s="1"/>
      <c r="AP64" s="1"/>
      <c r="AQ64" s="1"/>
      <c r="AR64" s="1"/>
      <c r="AS64" s="1"/>
      <c r="AT64" s="1"/>
      <c r="AU64" s="1"/>
    </row>
    <row r="65" ht="15.75" customHeight="1">
      <c r="A65" s="16"/>
      <c r="B65" s="16"/>
      <c r="C65" s="16"/>
      <c r="D65" s="13" t="s">
        <v>6</v>
      </c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>
        <f t="shared" si="2"/>
        <v>0</v>
      </c>
      <c r="AK65" s="1"/>
      <c r="AL65" s="1"/>
      <c r="AM65" s="4"/>
      <c r="AN65" s="1"/>
      <c r="AO65" s="1"/>
      <c r="AP65" s="1"/>
      <c r="AQ65" s="1"/>
      <c r="AR65" s="1"/>
      <c r="AS65" s="1"/>
      <c r="AT65" s="1"/>
      <c r="AU65" s="1"/>
    </row>
    <row r="66" ht="15.75" customHeight="1">
      <c r="A66" s="10"/>
      <c r="B66" s="10"/>
      <c r="C66" s="10"/>
      <c r="D66" s="13" t="s">
        <v>7</v>
      </c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>
        <f t="shared" si="2"/>
        <v>0</v>
      </c>
      <c r="AK66" s="1"/>
      <c r="AL66" s="1"/>
      <c r="AM66" s="4"/>
      <c r="AN66" s="1"/>
      <c r="AO66" s="1"/>
      <c r="AP66" s="1"/>
      <c r="AQ66" s="1"/>
      <c r="AR66" s="1"/>
      <c r="AS66" s="1"/>
      <c r="AT66" s="1"/>
      <c r="AU66" s="1"/>
    </row>
    <row r="67" ht="15.75" customHeight="1">
      <c r="A67" s="12"/>
      <c r="B67" s="12"/>
      <c r="C67" s="12"/>
      <c r="D67" s="13" t="s">
        <v>5</v>
      </c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>
        <f t="shared" si="2"/>
        <v>0</v>
      </c>
      <c r="AK67" s="1"/>
      <c r="AL67" s="1"/>
      <c r="AM67" s="4"/>
      <c r="AN67" s="1"/>
      <c r="AO67" s="1"/>
      <c r="AP67" s="1"/>
      <c r="AQ67" s="1"/>
      <c r="AR67" s="1"/>
      <c r="AS67" s="1"/>
      <c r="AT67" s="1"/>
      <c r="AU67" s="1"/>
    </row>
    <row r="68" ht="15.75" customHeight="1">
      <c r="A68" s="16"/>
      <c r="B68" s="16"/>
      <c r="C68" s="16"/>
      <c r="D68" s="13" t="s">
        <v>6</v>
      </c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>
        <f t="shared" si="2"/>
        <v>0</v>
      </c>
      <c r="AK68" s="1"/>
      <c r="AL68" s="1"/>
      <c r="AM68" s="4"/>
      <c r="AN68" s="1"/>
      <c r="AO68" s="1"/>
      <c r="AP68" s="1"/>
      <c r="AQ68" s="1"/>
      <c r="AR68" s="1"/>
      <c r="AS68" s="1"/>
      <c r="AT68" s="1"/>
      <c r="AU68" s="1"/>
    </row>
    <row r="69" ht="15.75" customHeight="1">
      <c r="A69" s="10"/>
      <c r="B69" s="10"/>
      <c r="C69" s="10"/>
      <c r="D69" s="13" t="s">
        <v>7</v>
      </c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>
        <f t="shared" si="2"/>
        <v>0</v>
      </c>
      <c r="AK69" s="1"/>
      <c r="AL69" s="1"/>
      <c r="AM69" s="4"/>
      <c r="AN69" s="1"/>
      <c r="AO69" s="1"/>
      <c r="AP69" s="1"/>
      <c r="AQ69" s="1"/>
      <c r="AR69" s="1"/>
      <c r="AS69" s="1"/>
      <c r="AT69" s="1"/>
      <c r="AU69" s="1"/>
    </row>
    <row r="70" ht="15.75" customHeight="1">
      <c r="A70" s="12"/>
      <c r="B70" s="12"/>
      <c r="C70" s="12"/>
      <c r="D70" s="13" t="s">
        <v>5</v>
      </c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>
        <f t="shared" si="2"/>
        <v>0</v>
      </c>
      <c r="AK70" s="1"/>
      <c r="AL70" s="1"/>
      <c r="AM70" s="4"/>
      <c r="AN70" s="1"/>
      <c r="AO70" s="1"/>
      <c r="AP70" s="1"/>
      <c r="AQ70" s="1"/>
      <c r="AR70" s="1"/>
      <c r="AS70" s="1"/>
      <c r="AT70" s="1"/>
      <c r="AU70" s="1"/>
    </row>
    <row r="71" ht="15.75" customHeight="1">
      <c r="A71" s="16"/>
      <c r="B71" s="16"/>
      <c r="C71" s="16"/>
      <c r="D71" s="13" t="s">
        <v>6</v>
      </c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>
        <f t="shared" si="2"/>
        <v>0</v>
      </c>
      <c r="AK71" s="1"/>
      <c r="AL71" s="1"/>
      <c r="AM71" s="4"/>
      <c r="AN71" s="1"/>
      <c r="AO71" s="1"/>
      <c r="AP71" s="1"/>
      <c r="AQ71" s="1"/>
      <c r="AR71" s="1"/>
      <c r="AS71" s="1"/>
      <c r="AT71" s="1"/>
      <c r="AU71" s="1"/>
    </row>
    <row r="72" ht="15.75" customHeight="1">
      <c r="A72" s="10"/>
      <c r="B72" s="10"/>
      <c r="C72" s="10"/>
      <c r="D72" s="13" t="s">
        <v>7</v>
      </c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>
        <f t="shared" si="2"/>
        <v>0</v>
      </c>
      <c r="AK72" s="1"/>
      <c r="AL72" s="1"/>
      <c r="AM72" s="4"/>
      <c r="AN72" s="1"/>
      <c r="AO72" s="1"/>
      <c r="AP72" s="1"/>
      <c r="AQ72" s="1"/>
      <c r="AR72" s="1"/>
      <c r="AS72" s="1"/>
      <c r="AT72" s="1"/>
      <c r="AU72" s="1"/>
    </row>
    <row r="73" ht="15.75" customHeight="1">
      <c r="A73" s="31"/>
      <c r="B73" s="31"/>
      <c r="C73" s="3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4"/>
      <c r="AN73" s="1"/>
      <c r="AO73" s="1"/>
      <c r="AP73" s="1"/>
      <c r="AQ73" s="1"/>
      <c r="AR73" s="1"/>
      <c r="AS73" s="1"/>
      <c r="AT73" s="1"/>
      <c r="AU73" s="1"/>
    </row>
    <row r="74" ht="15.75" customHeight="1">
      <c r="A74" s="31"/>
      <c r="B74" s="31"/>
      <c r="C74" s="3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4"/>
      <c r="AN74" s="1"/>
      <c r="AO74" s="1"/>
      <c r="AP74" s="1"/>
      <c r="AQ74" s="1"/>
      <c r="AR74" s="1"/>
      <c r="AS74" s="1"/>
      <c r="AT74" s="1"/>
      <c r="AU74" s="1"/>
    </row>
    <row r="75" ht="15.75" customHeight="1">
      <c r="A75" s="31"/>
      <c r="B75" s="31"/>
      <c r="C75" s="3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4"/>
      <c r="AN75" s="1"/>
      <c r="AO75" s="1"/>
      <c r="AP75" s="1"/>
      <c r="AQ75" s="1"/>
      <c r="AR75" s="1"/>
      <c r="AS75" s="1"/>
      <c r="AT75" s="1"/>
      <c r="AU75" s="1"/>
    </row>
    <row r="76" ht="15.75" customHeight="1">
      <c r="A76" s="31"/>
      <c r="B76" s="31"/>
      <c r="C76" s="3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4"/>
      <c r="AN76" s="1"/>
      <c r="AO76" s="1"/>
      <c r="AP76" s="1"/>
      <c r="AQ76" s="1"/>
      <c r="AR76" s="1"/>
      <c r="AS76" s="1"/>
      <c r="AT76" s="1"/>
      <c r="AU76" s="1"/>
    </row>
    <row r="77" ht="15.75" customHeight="1">
      <c r="A77" s="31"/>
      <c r="B77" s="31"/>
      <c r="C77" s="3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4"/>
      <c r="AN77" s="1"/>
      <c r="AO77" s="1"/>
      <c r="AP77" s="1"/>
      <c r="AQ77" s="1"/>
      <c r="AR77" s="1"/>
      <c r="AS77" s="1"/>
      <c r="AT77" s="1"/>
      <c r="AU77" s="1"/>
    </row>
    <row r="78" ht="15.75" customHeight="1">
      <c r="A78" s="31"/>
      <c r="B78" s="31"/>
      <c r="C78" s="3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4"/>
      <c r="AN78" s="1"/>
      <c r="AO78" s="1"/>
      <c r="AP78" s="1"/>
      <c r="AQ78" s="1"/>
      <c r="AR78" s="1"/>
      <c r="AS78" s="1"/>
      <c r="AT78" s="1"/>
      <c r="AU78" s="1"/>
    </row>
    <row r="79" ht="15.75" customHeight="1">
      <c r="A79" s="31"/>
      <c r="B79" s="31"/>
      <c r="C79" s="3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4"/>
      <c r="AN79" s="1"/>
      <c r="AO79" s="1"/>
      <c r="AP79" s="1"/>
      <c r="AQ79" s="1"/>
      <c r="AR79" s="1"/>
      <c r="AS79" s="1"/>
      <c r="AT79" s="1"/>
      <c r="AU79" s="1"/>
    </row>
    <row r="80" ht="15.75" customHeight="1">
      <c r="A80" s="31"/>
      <c r="B80" s="31"/>
      <c r="C80" s="3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4"/>
      <c r="AN80" s="1"/>
      <c r="AO80" s="1"/>
      <c r="AP80" s="1"/>
      <c r="AQ80" s="1"/>
      <c r="AR80" s="1"/>
      <c r="AS80" s="1"/>
      <c r="AT80" s="1"/>
      <c r="AU80" s="1"/>
    </row>
    <row r="81" ht="15.75" customHeight="1">
      <c r="A81" s="31"/>
      <c r="B81" s="31"/>
      <c r="C81" s="3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4"/>
      <c r="AN81" s="1"/>
      <c r="AO81" s="1"/>
      <c r="AP81" s="1"/>
      <c r="AQ81" s="1"/>
      <c r="AR81" s="1"/>
      <c r="AS81" s="1"/>
      <c r="AT81" s="1"/>
      <c r="AU81" s="1"/>
    </row>
    <row r="82" ht="15.75" customHeight="1">
      <c r="A82" s="31"/>
      <c r="B82" s="31"/>
      <c r="C82" s="3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4"/>
      <c r="AN82" s="1"/>
      <c r="AO82" s="1"/>
      <c r="AP82" s="1"/>
      <c r="AQ82" s="1"/>
      <c r="AR82" s="1"/>
      <c r="AS82" s="1"/>
      <c r="AT82" s="1"/>
      <c r="AU82" s="1"/>
    </row>
    <row r="83" ht="15.75" customHeight="1">
      <c r="A83" s="31"/>
      <c r="B83" s="31"/>
      <c r="C83" s="3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4"/>
      <c r="AN83" s="1"/>
      <c r="AO83" s="1"/>
      <c r="AP83" s="1"/>
      <c r="AQ83" s="1"/>
      <c r="AR83" s="1"/>
      <c r="AS83" s="1"/>
      <c r="AT83" s="1"/>
      <c r="AU83" s="1"/>
    </row>
    <row r="84" ht="15.75" customHeight="1">
      <c r="A84" s="31"/>
      <c r="B84" s="31"/>
      <c r="C84" s="3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4"/>
      <c r="AN84" s="1"/>
      <c r="AO84" s="1"/>
      <c r="AP84" s="1"/>
      <c r="AQ84" s="1"/>
      <c r="AR84" s="1"/>
      <c r="AS84" s="1"/>
      <c r="AT84" s="1"/>
      <c r="AU84" s="1"/>
    </row>
    <row r="85" ht="15.75" customHeight="1">
      <c r="A85" s="31"/>
      <c r="B85" s="31"/>
      <c r="C85" s="3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4"/>
      <c r="AN85" s="1"/>
      <c r="AO85" s="1"/>
      <c r="AP85" s="1"/>
      <c r="AQ85" s="1"/>
      <c r="AR85" s="1"/>
      <c r="AS85" s="1"/>
      <c r="AT85" s="1"/>
      <c r="AU85" s="1"/>
    </row>
    <row r="86" ht="15.75" customHeight="1">
      <c r="A86" s="31"/>
      <c r="B86" s="31"/>
      <c r="C86" s="3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4"/>
      <c r="AN86" s="1"/>
      <c r="AO86" s="1"/>
      <c r="AP86" s="1"/>
      <c r="AQ86" s="1"/>
      <c r="AR86" s="1"/>
      <c r="AS86" s="1"/>
      <c r="AT86" s="1"/>
      <c r="AU86" s="1"/>
    </row>
    <row r="87" ht="15.75" customHeight="1">
      <c r="A87" s="31"/>
      <c r="B87" s="31"/>
      <c r="C87" s="3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4"/>
      <c r="AN87" s="1"/>
      <c r="AO87" s="1"/>
      <c r="AP87" s="1"/>
      <c r="AQ87" s="1"/>
      <c r="AR87" s="1"/>
      <c r="AS87" s="1"/>
      <c r="AT87" s="1"/>
      <c r="AU87" s="1"/>
    </row>
    <row r="88" ht="15.75" customHeight="1">
      <c r="A88" s="31"/>
      <c r="B88" s="31"/>
      <c r="C88" s="3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4"/>
      <c r="AN88" s="1"/>
      <c r="AO88" s="1"/>
      <c r="AP88" s="1"/>
      <c r="AQ88" s="1"/>
      <c r="AR88" s="1"/>
      <c r="AS88" s="1"/>
      <c r="AT88" s="1"/>
      <c r="AU88" s="1"/>
    </row>
    <row r="89" ht="15.75" customHeight="1">
      <c r="A89" s="31"/>
      <c r="B89" s="31"/>
      <c r="C89" s="3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4"/>
      <c r="AN89" s="1"/>
      <c r="AO89" s="1"/>
      <c r="AP89" s="1"/>
      <c r="AQ89" s="1"/>
      <c r="AR89" s="1"/>
      <c r="AS89" s="1"/>
      <c r="AT89" s="1"/>
      <c r="AU89" s="1"/>
    </row>
    <row r="90" ht="15.75" customHeight="1">
      <c r="A90" s="31"/>
      <c r="B90" s="31"/>
      <c r="C90" s="3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4"/>
      <c r="AN90" s="1"/>
      <c r="AO90" s="1"/>
      <c r="AP90" s="1"/>
      <c r="AQ90" s="1"/>
      <c r="AR90" s="1"/>
      <c r="AS90" s="1"/>
      <c r="AT90" s="1"/>
      <c r="AU90" s="1"/>
    </row>
    <row r="91" ht="15.75" customHeight="1">
      <c r="A91" s="31"/>
      <c r="B91" s="31"/>
      <c r="C91" s="3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4"/>
      <c r="AN91" s="1"/>
      <c r="AO91" s="1"/>
      <c r="AP91" s="1"/>
      <c r="AQ91" s="1"/>
      <c r="AR91" s="1"/>
      <c r="AS91" s="1"/>
      <c r="AT91" s="1"/>
      <c r="AU91" s="1"/>
    </row>
    <row r="92" ht="15.75" customHeight="1">
      <c r="A92" s="31"/>
      <c r="B92" s="31"/>
      <c r="C92" s="3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4"/>
      <c r="AN92" s="1"/>
      <c r="AO92" s="1"/>
      <c r="AP92" s="1"/>
      <c r="AQ92" s="1"/>
      <c r="AR92" s="1"/>
      <c r="AS92" s="1"/>
      <c r="AT92" s="1"/>
      <c r="AU92" s="1"/>
    </row>
    <row r="93" ht="15.75" customHeight="1">
      <c r="A93" s="31"/>
      <c r="B93" s="31"/>
      <c r="C93" s="3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4"/>
      <c r="AN93" s="1"/>
      <c r="AO93" s="1"/>
      <c r="AP93" s="1"/>
      <c r="AQ93" s="1"/>
      <c r="AR93" s="1"/>
      <c r="AS93" s="1"/>
      <c r="AT93" s="1"/>
      <c r="AU93" s="1"/>
    </row>
    <row r="94" ht="15.75" customHeight="1">
      <c r="A94" s="31"/>
      <c r="B94" s="31"/>
      <c r="C94" s="3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4"/>
      <c r="AN94" s="1"/>
      <c r="AO94" s="1"/>
      <c r="AP94" s="1"/>
      <c r="AQ94" s="1"/>
      <c r="AR94" s="1"/>
      <c r="AS94" s="1"/>
      <c r="AT94" s="1"/>
      <c r="AU94" s="1"/>
    </row>
    <row r="95" ht="15.75" customHeight="1">
      <c r="A95" s="31"/>
      <c r="B95" s="31"/>
      <c r="C95" s="3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4"/>
      <c r="AN95" s="1"/>
      <c r="AO95" s="1"/>
      <c r="AP95" s="1"/>
      <c r="AQ95" s="1"/>
      <c r="AR95" s="1"/>
      <c r="AS95" s="1"/>
      <c r="AT95" s="1"/>
      <c r="AU95" s="1"/>
    </row>
    <row r="96" ht="15.75" customHeight="1">
      <c r="A96" s="31"/>
      <c r="B96" s="31"/>
      <c r="C96" s="3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4"/>
      <c r="AN96" s="1"/>
      <c r="AO96" s="1"/>
      <c r="AP96" s="1"/>
      <c r="AQ96" s="1"/>
      <c r="AR96" s="1"/>
      <c r="AS96" s="1"/>
      <c r="AT96" s="1"/>
      <c r="AU96" s="1"/>
    </row>
    <row r="97" ht="15.75" customHeight="1">
      <c r="A97" s="31"/>
      <c r="B97" s="31"/>
      <c r="C97" s="3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4"/>
      <c r="AN97" s="1"/>
      <c r="AO97" s="1"/>
      <c r="AP97" s="1"/>
      <c r="AQ97" s="1"/>
      <c r="AR97" s="1"/>
      <c r="AS97" s="1"/>
      <c r="AT97" s="1"/>
      <c r="AU97" s="1"/>
    </row>
    <row r="98" ht="15.75" customHeight="1">
      <c r="A98" s="31"/>
      <c r="B98" s="31"/>
      <c r="C98" s="3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4"/>
      <c r="AN98" s="1"/>
      <c r="AO98" s="1"/>
      <c r="AP98" s="1"/>
      <c r="AQ98" s="1"/>
      <c r="AR98" s="1"/>
      <c r="AS98" s="1"/>
      <c r="AT98" s="1"/>
      <c r="AU98" s="1"/>
    </row>
    <row r="99" ht="15.75" customHeight="1">
      <c r="A99" s="31"/>
      <c r="B99" s="31"/>
      <c r="C99" s="3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4"/>
      <c r="AN99" s="1"/>
      <c r="AO99" s="1"/>
      <c r="AP99" s="1"/>
      <c r="AQ99" s="1"/>
      <c r="AR99" s="1"/>
      <c r="AS99" s="1"/>
      <c r="AT99" s="1"/>
      <c r="AU99" s="1"/>
    </row>
    <row r="100" ht="15.75" customHeight="1">
      <c r="A100" s="31"/>
      <c r="B100" s="31"/>
      <c r="C100" s="3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4"/>
      <c r="AN100" s="1"/>
      <c r="AO100" s="1"/>
      <c r="AP100" s="1"/>
      <c r="AQ100" s="1"/>
      <c r="AR100" s="1"/>
      <c r="AS100" s="1"/>
      <c r="AT100" s="1"/>
      <c r="AU100" s="1"/>
    </row>
    <row r="101" ht="15.75" customHeight="1">
      <c r="A101" s="31"/>
      <c r="B101" s="31"/>
      <c r="C101" s="3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4"/>
      <c r="AN101" s="1"/>
      <c r="AO101" s="1"/>
      <c r="AP101" s="1"/>
      <c r="AQ101" s="1"/>
      <c r="AR101" s="1"/>
      <c r="AS101" s="1"/>
      <c r="AT101" s="1"/>
      <c r="AU101" s="1"/>
    </row>
    <row r="102" ht="15.75" customHeight="1">
      <c r="A102" s="31"/>
      <c r="B102" s="31"/>
      <c r="C102" s="3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4"/>
      <c r="AN102" s="1"/>
      <c r="AO102" s="1"/>
      <c r="AP102" s="1"/>
      <c r="AQ102" s="1"/>
      <c r="AR102" s="1"/>
      <c r="AS102" s="1"/>
      <c r="AT102" s="1"/>
      <c r="AU102" s="1"/>
    </row>
    <row r="103" ht="15.75" customHeight="1">
      <c r="A103" s="31"/>
      <c r="B103" s="31"/>
      <c r="C103" s="3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4"/>
      <c r="AN103" s="1"/>
      <c r="AO103" s="1"/>
      <c r="AP103" s="1"/>
      <c r="AQ103" s="1"/>
      <c r="AR103" s="1"/>
      <c r="AS103" s="1"/>
      <c r="AT103" s="1"/>
      <c r="AU103" s="1"/>
    </row>
    <row r="104" ht="15.75" customHeight="1">
      <c r="A104" s="31"/>
      <c r="B104" s="31"/>
      <c r="C104" s="3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4"/>
      <c r="AN104" s="1"/>
      <c r="AO104" s="1"/>
      <c r="AP104" s="1"/>
      <c r="AQ104" s="1"/>
      <c r="AR104" s="1"/>
      <c r="AS104" s="1"/>
      <c r="AT104" s="1"/>
      <c r="AU104" s="1"/>
    </row>
    <row r="105" ht="15.75" customHeight="1">
      <c r="A105" s="31"/>
      <c r="B105" s="31"/>
      <c r="C105" s="3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4"/>
      <c r="AN105" s="1"/>
      <c r="AO105" s="1"/>
      <c r="AP105" s="1"/>
      <c r="AQ105" s="1"/>
      <c r="AR105" s="1"/>
      <c r="AS105" s="1"/>
      <c r="AT105" s="1"/>
      <c r="AU105" s="1"/>
    </row>
    <row r="106" ht="15.75" customHeight="1">
      <c r="A106" s="31"/>
      <c r="B106" s="31"/>
      <c r="C106" s="3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4"/>
      <c r="AN106" s="1"/>
      <c r="AO106" s="1"/>
      <c r="AP106" s="1"/>
      <c r="AQ106" s="1"/>
      <c r="AR106" s="1"/>
      <c r="AS106" s="1"/>
      <c r="AT106" s="1"/>
      <c r="AU106" s="1"/>
    </row>
    <row r="107" ht="15.75" customHeight="1">
      <c r="A107" s="31"/>
      <c r="B107" s="31"/>
      <c r="C107" s="3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4"/>
      <c r="AN107" s="1"/>
      <c r="AO107" s="1"/>
      <c r="AP107" s="1"/>
      <c r="AQ107" s="1"/>
      <c r="AR107" s="1"/>
      <c r="AS107" s="1"/>
      <c r="AT107" s="1"/>
      <c r="AU107" s="1"/>
    </row>
    <row r="108" ht="15.75" customHeight="1">
      <c r="A108" s="31"/>
      <c r="B108" s="31"/>
      <c r="C108" s="3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4"/>
      <c r="AN108" s="1"/>
      <c r="AO108" s="1"/>
      <c r="AP108" s="1"/>
      <c r="AQ108" s="1"/>
      <c r="AR108" s="1"/>
      <c r="AS108" s="1"/>
      <c r="AT108" s="1"/>
      <c r="AU108" s="1"/>
    </row>
    <row r="109" ht="15.75" customHeight="1">
      <c r="A109" s="31"/>
      <c r="B109" s="31"/>
      <c r="C109" s="3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4"/>
      <c r="AN109" s="1"/>
      <c r="AO109" s="1"/>
      <c r="AP109" s="1"/>
      <c r="AQ109" s="1"/>
      <c r="AR109" s="1"/>
      <c r="AS109" s="1"/>
      <c r="AT109" s="1"/>
      <c r="AU109" s="1"/>
    </row>
    <row r="110" ht="15.75" customHeight="1">
      <c r="A110" s="31"/>
      <c r="B110" s="31"/>
      <c r="C110" s="3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4"/>
      <c r="AN110" s="1"/>
      <c r="AO110" s="1"/>
      <c r="AP110" s="1"/>
      <c r="AQ110" s="1"/>
      <c r="AR110" s="1"/>
      <c r="AS110" s="1"/>
      <c r="AT110" s="1"/>
      <c r="AU110" s="1"/>
    </row>
    <row r="111" ht="15.75" customHeight="1">
      <c r="A111" s="31"/>
      <c r="B111" s="31"/>
      <c r="C111" s="3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4"/>
      <c r="AN111" s="1"/>
      <c r="AO111" s="1"/>
      <c r="AP111" s="1"/>
      <c r="AQ111" s="1"/>
      <c r="AR111" s="1"/>
      <c r="AS111" s="1"/>
      <c r="AT111" s="1"/>
      <c r="AU111" s="1"/>
    </row>
    <row r="112" ht="15.75" customHeight="1">
      <c r="A112" s="31"/>
      <c r="B112" s="31"/>
      <c r="C112" s="3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4"/>
      <c r="AN112" s="1"/>
      <c r="AO112" s="1"/>
      <c r="AP112" s="1"/>
      <c r="AQ112" s="1"/>
      <c r="AR112" s="1"/>
      <c r="AS112" s="1"/>
      <c r="AT112" s="1"/>
      <c r="AU112" s="1"/>
    </row>
    <row r="113" ht="15.75" customHeight="1">
      <c r="A113" s="31"/>
      <c r="B113" s="31"/>
      <c r="C113" s="3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4"/>
      <c r="AN113" s="1"/>
      <c r="AO113" s="1"/>
      <c r="AP113" s="1"/>
      <c r="AQ113" s="1"/>
      <c r="AR113" s="1"/>
      <c r="AS113" s="1"/>
      <c r="AT113" s="1"/>
      <c r="AU113" s="1"/>
    </row>
    <row r="114" ht="15.75" customHeight="1">
      <c r="A114" s="31"/>
      <c r="B114" s="31"/>
      <c r="C114" s="3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4"/>
      <c r="AN114" s="1"/>
      <c r="AO114" s="1"/>
      <c r="AP114" s="1"/>
      <c r="AQ114" s="1"/>
      <c r="AR114" s="1"/>
      <c r="AS114" s="1"/>
      <c r="AT114" s="1"/>
      <c r="AU114" s="1"/>
    </row>
    <row r="115" ht="15.75" customHeight="1">
      <c r="A115" s="31"/>
      <c r="B115" s="31"/>
      <c r="C115" s="3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4"/>
      <c r="AN115" s="1"/>
      <c r="AO115" s="1"/>
      <c r="AP115" s="1"/>
      <c r="AQ115" s="1"/>
      <c r="AR115" s="1"/>
      <c r="AS115" s="1"/>
      <c r="AT115" s="1"/>
      <c r="AU115" s="1"/>
    </row>
    <row r="116" ht="15.75" customHeight="1">
      <c r="A116" s="31"/>
      <c r="B116" s="31"/>
      <c r="C116" s="3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4"/>
      <c r="AN116" s="1"/>
      <c r="AO116" s="1"/>
      <c r="AP116" s="1"/>
      <c r="AQ116" s="1"/>
      <c r="AR116" s="1"/>
      <c r="AS116" s="1"/>
      <c r="AT116" s="1"/>
      <c r="AU116" s="1"/>
    </row>
    <row r="117" ht="15.75" customHeight="1">
      <c r="A117" s="31"/>
      <c r="B117" s="31"/>
      <c r="C117" s="3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4"/>
      <c r="AN117" s="1"/>
      <c r="AO117" s="1"/>
      <c r="AP117" s="1"/>
      <c r="AQ117" s="1"/>
      <c r="AR117" s="1"/>
      <c r="AS117" s="1"/>
      <c r="AT117" s="1"/>
      <c r="AU117" s="1"/>
    </row>
    <row r="118" ht="15.75" customHeight="1">
      <c r="A118" s="31"/>
      <c r="B118" s="31"/>
      <c r="C118" s="3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4"/>
      <c r="AN118" s="1"/>
      <c r="AO118" s="1"/>
      <c r="AP118" s="1"/>
      <c r="AQ118" s="1"/>
      <c r="AR118" s="1"/>
      <c r="AS118" s="1"/>
      <c r="AT118" s="1"/>
      <c r="AU118" s="1"/>
    </row>
    <row r="119" ht="15.75" customHeight="1">
      <c r="A119" s="31"/>
      <c r="B119" s="31"/>
      <c r="C119" s="3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4"/>
      <c r="AN119" s="1"/>
      <c r="AO119" s="1"/>
      <c r="AP119" s="1"/>
      <c r="AQ119" s="1"/>
      <c r="AR119" s="1"/>
      <c r="AS119" s="1"/>
      <c r="AT119" s="1"/>
      <c r="AU119" s="1"/>
    </row>
    <row r="120" ht="15.75" customHeight="1">
      <c r="A120" s="31"/>
      <c r="B120" s="31"/>
      <c r="C120" s="3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4"/>
      <c r="AN120" s="1"/>
      <c r="AO120" s="1"/>
      <c r="AP120" s="1"/>
      <c r="AQ120" s="1"/>
      <c r="AR120" s="1"/>
      <c r="AS120" s="1"/>
      <c r="AT120" s="1"/>
      <c r="AU120" s="1"/>
    </row>
    <row r="121" ht="15.75" customHeight="1">
      <c r="A121" s="31"/>
      <c r="B121" s="31"/>
      <c r="C121" s="3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4"/>
      <c r="AN121" s="1"/>
      <c r="AO121" s="1"/>
      <c r="AP121" s="1"/>
      <c r="AQ121" s="1"/>
      <c r="AR121" s="1"/>
      <c r="AS121" s="1"/>
      <c r="AT121" s="1"/>
      <c r="AU121" s="1"/>
    </row>
    <row r="122" ht="15.75" customHeight="1">
      <c r="A122" s="31"/>
      <c r="B122" s="31"/>
      <c r="C122" s="3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4"/>
      <c r="AN122" s="1"/>
      <c r="AO122" s="1"/>
      <c r="AP122" s="1"/>
      <c r="AQ122" s="1"/>
      <c r="AR122" s="1"/>
      <c r="AS122" s="1"/>
      <c r="AT122" s="1"/>
      <c r="AU122" s="1"/>
    </row>
    <row r="123" ht="15.75" customHeight="1">
      <c r="A123" s="31"/>
      <c r="B123" s="31"/>
      <c r="C123" s="3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4"/>
      <c r="AN123" s="1"/>
      <c r="AO123" s="1"/>
      <c r="AP123" s="1"/>
      <c r="AQ123" s="1"/>
      <c r="AR123" s="1"/>
      <c r="AS123" s="1"/>
      <c r="AT123" s="1"/>
      <c r="AU123" s="1"/>
    </row>
    <row r="124" ht="15.75" customHeight="1">
      <c r="A124" s="31"/>
      <c r="B124" s="31"/>
      <c r="C124" s="3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4"/>
      <c r="AN124" s="1"/>
      <c r="AO124" s="1"/>
      <c r="AP124" s="1"/>
      <c r="AQ124" s="1"/>
      <c r="AR124" s="1"/>
      <c r="AS124" s="1"/>
      <c r="AT124" s="1"/>
      <c r="AU124" s="1"/>
    </row>
    <row r="125" ht="15.75" customHeight="1">
      <c r="A125" s="31"/>
      <c r="B125" s="31"/>
      <c r="C125" s="3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4"/>
      <c r="AN125" s="1"/>
      <c r="AO125" s="1"/>
      <c r="AP125" s="1"/>
      <c r="AQ125" s="1"/>
      <c r="AR125" s="1"/>
      <c r="AS125" s="1"/>
      <c r="AT125" s="1"/>
      <c r="AU125" s="1"/>
    </row>
    <row r="126" ht="15.75" customHeight="1">
      <c r="A126" s="31"/>
      <c r="B126" s="31"/>
      <c r="C126" s="3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4"/>
      <c r="AN126" s="1"/>
      <c r="AO126" s="1"/>
      <c r="AP126" s="1"/>
      <c r="AQ126" s="1"/>
      <c r="AR126" s="1"/>
      <c r="AS126" s="1"/>
      <c r="AT126" s="1"/>
      <c r="AU126" s="1"/>
    </row>
    <row r="127" ht="15.75" customHeight="1">
      <c r="A127" s="31"/>
      <c r="B127" s="31"/>
      <c r="C127" s="3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4"/>
      <c r="AN127" s="1"/>
      <c r="AO127" s="1"/>
      <c r="AP127" s="1"/>
      <c r="AQ127" s="1"/>
      <c r="AR127" s="1"/>
      <c r="AS127" s="1"/>
      <c r="AT127" s="1"/>
      <c r="AU127" s="1"/>
    </row>
    <row r="128" ht="15.75" customHeight="1">
      <c r="A128" s="31"/>
      <c r="B128" s="31"/>
      <c r="C128" s="3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4"/>
      <c r="AN128" s="1"/>
      <c r="AO128" s="1"/>
      <c r="AP128" s="1"/>
      <c r="AQ128" s="1"/>
      <c r="AR128" s="1"/>
      <c r="AS128" s="1"/>
      <c r="AT128" s="1"/>
      <c r="AU128" s="1"/>
    </row>
    <row r="129" ht="15.75" customHeight="1">
      <c r="A129" s="31"/>
      <c r="B129" s="31"/>
      <c r="C129" s="3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4"/>
      <c r="AN129" s="1"/>
      <c r="AO129" s="1"/>
      <c r="AP129" s="1"/>
      <c r="AQ129" s="1"/>
      <c r="AR129" s="1"/>
      <c r="AS129" s="1"/>
      <c r="AT129" s="1"/>
      <c r="AU129" s="1"/>
    </row>
    <row r="130" ht="15.75" customHeight="1">
      <c r="A130" s="31"/>
      <c r="B130" s="31"/>
      <c r="C130" s="3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4"/>
      <c r="AN130" s="1"/>
      <c r="AO130" s="1"/>
      <c r="AP130" s="1"/>
      <c r="AQ130" s="1"/>
      <c r="AR130" s="1"/>
      <c r="AS130" s="1"/>
      <c r="AT130" s="1"/>
      <c r="AU130" s="1"/>
    </row>
    <row r="131" ht="15.75" customHeight="1">
      <c r="A131" s="31"/>
      <c r="B131" s="31"/>
      <c r="C131" s="3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4"/>
      <c r="AN131" s="1"/>
      <c r="AO131" s="1"/>
      <c r="AP131" s="1"/>
      <c r="AQ131" s="1"/>
      <c r="AR131" s="1"/>
      <c r="AS131" s="1"/>
      <c r="AT131" s="1"/>
      <c r="AU131" s="1"/>
    </row>
    <row r="132" ht="15.75" customHeight="1">
      <c r="A132" s="31"/>
      <c r="B132" s="31"/>
      <c r="C132" s="3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4"/>
      <c r="AN132" s="1"/>
      <c r="AO132" s="1"/>
      <c r="AP132" s="1"/>
      <c r="AQ132" s="1"/>
      <c r="AR132" s="1"/>
      <c r="AS132" s="1"/>
      <c r="AT132" s="1"/>
      <c r="AU132" s="1"/>
    </row>
    <row r="133" ht="15.75" customHeight="1">
      <c r="A133" s="31"/>
      <c r="B133" s="31"/>
      <c r="C133" s="3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4"/>
      <c r="AN133" s="1"/>
      <c r="AO133" s="1"/>
      <c r="AP133" s="1"/>
      <c r="AQ133" s="1"/>
      <c r="AR133" s="1"/>
      <c r="AS133" s="1"/>
      <c r="AT133" s="1"/>
      <c r="AU133" s="1"/>
    </row>
    <row r="134" ht="15.75" customHeight="1">
      <c r="A134" s="31"/>
      <c r="B134" s="31"/>
      <c r="C134" s="3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4"/>
      <c r="AN134" s="1"/>
      <c r="AO134" s="1"/>
      <c r="AP134" s="1"/>
      <c r="AQ134" s="1"/>
      <c r="AR134" s="1"/>
      <c r="AS134" s="1"/>
      <c r="AT134" s="1"/>
      <c r="AU134" s="1"/>
    </row>
    <row r="135" ht="15.75" customHeight="1">
      <c r="A135" s="31"/>
      <c r="B135" s="31"/>
      <c r="C135" s="3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4"/>
      <c r="AN135" s="1"/>
      <c r="AO135" s="1"/>
      <c r="AP135" s="1"/>
      <c r="AQ135" s="1"/>
      <c r="AR135" s="1"/>
      <c r="AS135" s="1"/>
      <c r="AT135" s="1"/>
      <c r="AU135" s="1"/>
    </row>
    <row r="136" ht="15.75" customHeight="1">
      <c r="A136" s="31"/>
      <c r="B136" s="31"/>
      <c r="C136" s="3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4"/>
      <c r="AN136" s="1"/>
      <c r="AO136" s="1"/>
      <c r="AP136" s="1"/>
      <c r="AQ136" s="1"/>
      <c r="AR136" s="1"/>
      <c r="AS136" s="1"/>
      <c r="AT136" s="1"/>
      <c r="AU136" s="1"/>
    </row>
    <row r="137" ht="15.75" customHeight="1">
      <c r="A137" s="31"/>
      <c r="B137" s="31"/>
      <c r="C137" s="3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4"/>
      <c r="AN137" s="1"/>
      <c r="AO137" s="1"/>
      <c r="AP137" s="1"/>
      <c r="AQ137" s="1"/>
      <c r="AR137" s="1"/>
      <c r="AS137" s="1"/>
      <c r="AT137" s="1"/>
      <c r="AU137" s="1"/>
    </row>
    <row r="138" ht="15.75" customHeight="1">
      <c r="A138" s="31"/>
      <c r="B138" s="31"/>
      <c r="C138" s="3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4"/>
      <c r="AN138" s="1"/>
      <c r="AO138" s="1"/>
      <c r="AP138" s="1"/>
      <c r="AQ138" s="1"/>
      <c r="AR138" s="1"/>
      <c r="AS138" s="1"/>
      <c r="AT138" s="1"/>
      <c r="AU138" s="1"/>
    </row>
    <row r="139" ht="15.75" customHeight="1">
      <c r="A139" s="31"/>
      <c r="B139" s="31"/>
      <c r="C139" s="3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4"/>
      <c r="AN139" s="1"/>
      <c r="AO139" s="1"/>
      <c r="AP139" s="1"/>
      <c r="AQ139" s="1"/>
      <c r="AR139" s="1"/>
      <c r="AS139" s="1"/>
      <c r="AT139" s="1"/>
      <c r="AU139" s="1"/>
    </row>
    <row r="140" ht="15.75" customHeight="1">
      <c r="A140" s="31"/>
      <c r="B140" s="31"/>
      <c r="C140" s="3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4"/>
      <c r="AN140" s="1"/>
      <c r="AO140" s="1"/>
      <c r="AP140" s="1"/>
      <c r="AQ140" s="1"/>
      <c r="AR140" s="1"/>
      <c r="AS140" s="1"/>
      <c r="AT140" s="1"/>
      <c r="AU140" s="1"/>
    </row>
    <row r="141" ht="15.75" customHeight="1">
      <c r="A141" s="31"/>
      <c r="B141" s="31"/>
      <c r="C141" s="3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4"/>
      <c r="AN141" s="1"/>
      <c r="AO141" s="1"/>
      <c r="AP141" s="1"/>
      <c r="AQ141" s="1"/>
      <c r="AR141" s="1"/>
      <c r="AS141" s="1"/>
      <c r="AT141" s="1"/>
      <c r="AU141" s="1"/>
    </row>
    <row r="142" ht="15.75" customHeight="1">
      <c r="A142" s="31"/>
      <c r="B142" s="31"/>
      <c r="C142" s="3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4"/>
      <c r="AN142" s="1"/>
      <c r="AO142" s="1"/>
      <c r="AP142" s="1"/>
      <c r="AQ142" s="1"/>
      <c r="AR142" s="1"/>
      <c r="AS142" s="1"/>
      <c r="AT142" s="1"/>
      <c r="AU142" s="1"/>
    </row>
    <row r="143" ht="15.75" customHeight="1">
      <c r="A143" s="31"/>
      <c r="B143" s="31"/>
      <c r="C143" s="3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4"/>
      <c r="AN143" s="1"/>
      <c r="AO143" s="1"/>
      <c r="AP143" s="1"/>
      <c r="AQ143" s="1"/>
      <c r="AR143" s="1"/>
      <c r="AS143" s="1"/>
      <c r="AT143" s="1"/>
      <c r="AU143" s="1"/>
    </row>
    <row r="144" ht="15.75" customHeight="1">
      <c r="A144" s="31"/>
      <c r="B144" s="31"/>
      <c r="C144" s="3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4"/>
      <c r="AN144" s="1"/>
      <c r="AO144" s="1"/>
      <c r="AP144" s="1"/>
      <c r="AQ144" s="1"/>
      <c r="AR144" s="1"/>
      <c r="AS144" s="1"/>
      <c r="AT144" s="1"/>
      <c r="AU144" s="1"/>
    </row>
    <row r="145" ht="15.75" customHeight="1">
      <c r="A145" s="31"/>
      <c r="B145" s="31"/>
      <c r="C145" s="3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4"/>
      <c r="AN145" s="1"/>
      <c r="AO145" s="1"/>
      <c r="AP145" s="1"/>
      <c r="AQ145" s="1"/>
      <c r="AR145" s="1"/>
      <c r="AS145" s="1"/>
      <c r="AT145" s="1"/>
      <c r="AU145" s="1"/>
    </row>
    <row r="146" ht="15.75" customHeight="1">
      <c r="A146" s="31"/>
      <c r="B146" s="31"/>
      <c r="C146" s="3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4"/>
      <c r="AN146" s="1"/>
      <c r="AO146" s="1"/>
      <c r="AP146" s="1"/>
      <c r="AQ146" s="1"/>
      <c r="AR146" s="1"/>
      <c r="AS146" s="1"/>
      <c r="AT146" s="1"/>
      <c r="AU146" s="1"/>
    </row>
    <row r="147" ht="15.75" customHeight="1">
      <c r="A147" s="31"/>
      <c r="B147" s="31"/>
      <c r="C147" s="3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4"/>
      <c r="AN147" s="1"/>
      <c r="AO147" s="1"/>
      <c r="AP147" s="1"/>
      <c r="AQ147" s="1"/>
      <c r="AR147" s="1"/>
      <c r="AS147" s="1"/>
      <c r="AT147" s="1"/>
      <c r="AU147" s="1"/>
    </row>
    <row r="148" ht="15.75" customHeight="1">
      <c r="A148" s="31"/>
      <c r="B148" s="31"/>
      <c r="C148" s="3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4"/>
      <c r="AN148" s="1"/>
      <c r="AO148" s="1"/>
      <c r="AP148" s="1"/>
      <c r="AQ148" s="1"/>
      <c r="AR148" s="1"/>
      <c r="AS148" s="1"/>
      <c r="AT148" s="1"/>
      <c r="AU148" s="1"/>
    </row>
    <row r="149" ht="15.75" customHeight="1">
      <c r="A149" s="31"/>
      <c r="B149" s="31"/>
      <c r="C149" s="3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4"/>
      <c r="AN149" s="1"/>
      <c r="AO149" s="1"/>
      <c r="AP149" s="1"/>
      <c r="AQ149" s="1"/>
      <c r="AR149" s="1"/>
      <c r="AS149" s="1"/>
      <c r="AT149" s="1"/>
      <c r="AU149" s="1"/>
    </row>
    <row r="150" ht="15.75" customHeight="1">
      <c r="A150" s="31"/>
      <c r="B150" s="31"/>
      <c r="C150" s="3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4"/>
      <c r="AN150" s="1"/>
      <c r="AO150" s="1"/>
      <c r="AP150" s="1"/>
      <c r="AQ150" s="1"/>
      <c r="AR150" s="1"/>
      <c r="AS150" s="1"/>
      <c r="AT150" s="1"/>
      <c r="AU150" s="1"/>
    </row>
    <row r="151" ht="15.75" customHeight="1">
      <c r="A151" s="31"/>
      <c r="B151" s="31"/>
      <c r="C151" s="3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4"/>
      <c r="AN151" s="1"/>
      <c r="AO151" s="1"/>
      <c r="AP151" s="1"/>
      <c r="AQ151" s="1"/>
      <c r="AR151" s="1"/>
      <c r="AS151" s="1"/>
      <c r="AT151" s="1"/>
      <c r="AU151" s="1"/>
    </row>
    <row r="152" ht="15.75" customHeight="1">
      <c r="A152" s="31"/>
      <c r="B152" s="31"/>
      <c r="C152" s="3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4"/>
      <c r="AN152" s="1"/>
      <c r="AO152" s="1"/>
      <c r="AP152" s="1"/>
      <c r="AQ152" s="1"/>
      <c r="AR152" s="1"/>
      <c r="AS152" s="1"/>
      <c r="AT152" s="1"/>
      <c r="AU152" s="1"/>
    </row>
    <row r="153" ht="15.75" customHeight="1">
      <c r="A153" s="31"/>
      <c r="B153" s="31"/>
      <c r="C153" s="3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4"/>
      <c r="AN153" s="1"/>
      <c r="AO153" s="1"/>
      <c r="AP153" s="1"/>
      <c r="AQ153" s="1"/>
      <c r="AR153" s="1"/>
      <c r="AS153" s="1"/>
      <c r="AT153" s="1"/>
      <c r="AU153" s="1"/>
    </row>
    <row r="154" ht="15.75" customHeight="1">
      <c r="A154" s="31"/>
      <c r="B154" s="31"/>
      <c r="C154" s="3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4"/>
      <c r="AN154" s="1"/>
      <c r="AO154" s="1"/>
      <c r="AP154" s="1"/>
      <c r="AQ154" s="1"/>
      <c r="AR154" s="1"/>
      <c r="AS154" s="1"/>
      <c r="AT154" s="1"/>
      <c r="AU154" s="1"/>
    </row>
    <row r="155" ht="15.75" customHeight="1">
      <c r="A155" s="31"/>
      <c r="B155" s="31"/>
      <c r="C155" s="3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4"/>
      <c r="AN155" s="1"/>
      <c r="AO155" s="1"/>
      <c r="AP155" s="1"/>
      <c r="AQ155" s="1"/>
      <c r="AR155" s="1"/>
      <c r="AS155" s="1"/>
      <c r="AT155" s="1"/>
      <c r="AU155" s="1"/>
    </row>
    <row r="156" ht="15.75" customHeight="1">
      <c r="A156" s="31"/>
      <c r="B156" s="31"/>
      <c r="C156" s="3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4"/>
      <c r="AN156" s="1"/>
      <c r="AO156" s="1"/>
      <c r="AP156" s="1"/>
      <c r="AQ156" s="1"/>
      <c r="AR156" s="1"/>
      <c r="AS156" s="1"/>
      <c r="AT156" s="1"/>
      <c r="AU156" s="1"/>
    </row>
    <row r="157" ht="15.75" customHeight="1">
      <c r="A157" s="31"/>
      <c r="B157" s="31"/>
      <c r="C157" s="3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4"/>
      <c r="AN157" s="1"/>
      <c r="AO157" s="1"/>
      <c r="AP157" s="1"/>
      <c r="AQ157" s="1"/>
      <c r="AR157" s="1"/>
      <c r="AS157" s="1"/>
      <c r="AT157" s="1"/>
      <c r="AU157" s="1"/>
    </row>
    <row r="158" ht="15.75" customHeight="1">
      <c r="A158" s="31"/>
      <c r="B158" s="31"/>
      <c r="C158" s="3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4"/>
      <c r="AN158" s="1"/>
      <c r="AO158" s="1"/>
      <c r="AP158" s="1"/>
      <c r="AQ158" s="1"/>
      <c r="AR158" s="1"/>
      <c r="AS158" s="1"/>
      <c r="AT158" s="1"/>
      <c r="AU158" s="1"/>
    </row>
    <row r="159" ht="15.75" customHeight="1">
      <c r="A159" s="31"/>
      <c r="B159" s="31"/>
      <c r="C159" s="3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4"/>
      <c r="AN159" s="1"/>
      <c r="AO159" s="1"/>
      <c r="AP159" s="1"/>
      <c r="AQ159" s="1"/>
      <c r="AR159" s="1"/>
      <c r="AS159" s="1"/>
      <c r="AT159" s="1"/>
      <c r="AU159" s="1"/>
    </row>
    <row r="160" ht="15.75" customHeight="1">
      <c r="A160" s="31"/>
      <c r="B160" s="31"/>
      <c r="C160" s="3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4"/>
      <c r="AN160" s="1"/>
      <c r="AO160" s="1"/>
      <c r="AP160" s="1"/>
      <c r="AQ160" s="1"/>
      <c r="AR160" s="1"/>
      <c r="AS160" s="1"/>
      <c r="AT160" s="1"/>
      <c r="AU160" s="1"/>
    </row>
    <row r="161" ht="15.75" customHeight="1">
      <c r="A161" s="31"/>
      <c r="B161" s="31"/>
      <c r="C161" s="3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4"/>
      <c r="AN161" s="1"/>
      <c r="AO161" s="1"/>
      <c r="AP161" s="1"/>
      <c r="AQ161" s="1"/>
      <c r="AR161" s="1"/>
      <c r="AS161" s="1"/>
      <c r="AT161" s="1"/>
      <c r="AU161" s="1"/>
    </row>
    <row r="162" ht="15.75" customHeight="1">
      <c r="A162" s="31"/>
      <c r="B162" s="31"/>
      <c r="C162" s="3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4"/>
      <c r="AN162" s="1"/>
      <c r="AO162" s="1"/>
      <c r="AP162" s="1"/>
      <c r="AQ162" s="1"/>
      <c r="AR162" s="1"/>
      <c r="AS162" s="1"/>
      <c r="AT162" s="1"/>
      <c r="AU162" s="1"/>
    </row>
    <row r="163" ht="15.75" customHeight="1">
      <c r="A163" s="31"/>
      <c r="B163" s="31"/>
      <c r="C163" s="3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4"/>
      <c r="AN163" s="1"/>
      <c r="AO163" s="1"/>
      <c r="AP163" s="1"/>
      <c r="AQ163" s="1"/>
      <c r="AR163" s="1"/>
      <c r="AS163" s="1"/>
      <c r="AT163" s="1"/>
      <c r="AU163" s="1"/>
    </row>
    <row r="164" ht="15.75" customHeight="1">
      <c r="A164" s="31"/>
      <c r="B164" s="31"/>
      <c r="C164" s="3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4"/>
      <c r="AN164" s="1"/>
      <c r="AO164" s="1"/>
      <c r="AP164" s="1"/>
      <c r="AQ164" s="1"/>
      <c r="AR164" s="1"/>
      <c r="AS164" s="1"/>
      <c r="AT164" s="1"/>
      <c r="AU164" s="1"/>
    </row>
    <row r="165" ht="15.75" customHeight="1">
      <c r="A165" s="31"/>
      <c r="B165" s="31"/>
      <c r="C165" s="3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4"/>
      <c r="AN165" s="1"/>
      <c r="AO165" s="1"/>
      <c r="AP165" s="1"/>
      <c r="AQ165" s="1"/>
      <c r="AR165" s="1"/>
      <c r="AS165" s="1"/>
      <c r="AT165" s="1"/>
      <c r="AU165" s="1"/>
    </row>
    <row r="166" ht="15.75" customHeight="1">
      <c r="A166" s="31"/>
      <c r="B166" s="31"/>
      <c r="C166" s="3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4"/>
      <c r="AN166" s="1"/>
      <c r="AO166" s="1"/>
      <c r="AP166" s="1"/>
      <c r="AQ166" s="1"/>
      <c r="AR166" s="1"/>
      <c r="AS166" s="1"/>
      <c r="AT166" s="1"/>
      <c r="AU166" s="1"/>
    </row>
    <row r="167" ht="15.75" customHeight="1">
      <c r="A167" s="31"/>
      <c r="B167" s="31"/>
      <c r="C167" s="3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4"/>
      <c r="AN167" s="1"/>
      <c r="AO167" s="1"/>
      <c r="AP167" s="1"/>
      <c r="AQ167" s="1"/>
      <c r="AR167" s="1"/>
      <c r="AS167" s="1"/>
      <c r="AT167" s="1"/>
      <c r="AU167" s="1"/>
    </row>
    <row r="168" ht="15.75" customHeight="1">
      <c r="A168" s="31"/>
      <c r="B168" s="31"/>
      <c r="C168" s="3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4"/>
      <c r="AN168" s="1"/>
      <c r="AO168" s="1"/>
      <c r="AP168" s="1"/>
      <c r="AQ168" s="1"/>
      <c r="AR168" s="1"/>
      <c r="AS168" s="1"/>
      <c r="AT168" s="1"/>
      <c r="AU168" s="1"/>
    </row>
    <row r="169" ht="15.75" customHeight="1">
      <c r="A169" s="31"/>
      <c r="B169" s="31"/>
      <c r="C169" s="3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4"/>
      <c r="AN169" s="1"/>
      <c r="AO169" s="1"/>
      <c r="AP169" s="1"/>
      <c r="AQ169" s="1"/>
      <c r="AR169" s="1"/>
      <c r="AS169" s="1"/>
      <c r="AT169" s="1"/>
      <c r="AU169" s="1"/>
    </row>
    <row r="170" ht="15.75" customHeight="1">
      <c r="A170" s="31"/>
      <c r="B170" s="31"/>
      <c r="C170" s="3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4"/>
      <c r="AN170" s="1"/>
      <c r="AO170" s="1"/>
      <c r="AP170" s="1"/>
      <c r="AQ170" s="1"/>
      <c r="AR170" s="1"/>
      <c r="AS170" s="1"/>
      <c r="AT170" s="1"/>
      <c r="AU170" s="1"/>
    </row>
    <row r="171" ht="15.75" customHeight="1">
      <c r="A171" s="31"/>
      <c r="B171" s="31"/>
      <c r="C171" s="3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4"/>
      <c r="AN171" s="1"/>
      <c r="AO171" s="1"/>
      <c r="AP171" s="1"/>
      <c r="AQ171" s="1"/>
      <c r="AR171" s="1"/>
      <c r="AS171" s="1"/>
      <c r="AT171" s="1"/>
      <c r="AU171" s="1"/>
    </row>
    <row r="172" ht="15.75" customHeight="1">
      <c r="A172" s="31"/>
      <c r="B172" s="31"/>
      <c r="C172" s="3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4"/>
      <c r="AN172" s="1"/>
      <c r="AO172" s="1"/>
      <c r="AP172" s="1"/>
      <c r="AQ172" s="1"/>
      <c r="AR172" s="1"/>
      <c r="AS172" s="1"/>
      <c r="AT172" s="1"/>
      <c r="AU172" s="1"/>
    </row>
    <row r="173" ht="15.75" customHeight="1">
      <c r="A173" s="31"/>
      <c r="B173" s="31"/>
      <c r="C173" s="3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4"/>
      <c r="AN173" s="1"/>
      <c r="AO173" s="1"/>
      <c r="AP173" s="1"/>
      <c r="AQ173" s="1"/>
      <c r="AR173" s="1"/>
      <c r="AS173" s="1"/>
      <c r="AT173" s="1"/>
      <c r="AU173" s="1"/>
    </row>
    <row r="174" ht="15.75" customHeight="1">
      <c r="A174" s="31"/>
      <c r="B174" s="31"/>
      <c r="C174" s="3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4"/>
      <c r="AN174" s="1"/>
      <c r="AO174" s="1"/>
      <c r="AP174" s="1"/>
      <c r="AQ174" s="1"/>
      <c r="AR174" s="1"/>
      <c r="AS174" s="1"/>
      <c r="AT174" s="1"/>
      <c r="AU174" s="1"/>
    </row>
    <row r="175" ht="15.75" customHeight="1">
      <c r="A175" s="31"/>
      <c r="B175" s="31"/>
      <c r="C175" s="3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4"/>
      <c r="AN175" s="1"/>
      <c r="AO175" s="1"/>
      <c r="AP175" s="1"/>
      <c r="AQ175" s="1"/>
      <c r="AR175" s="1"/>
      <c r="AS175" s="1"/>
      <c r="AT175" s="1"/>
      <c r="AU175" s="1"/>
    </row>
    <row r="176" ht="15.75" customHeight="1">
      <c r="A176" s="31"/>
      <c r="B176" s="31"/>
      <c r="C176" s="3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4"/>
      <c r="AN176" s="1"/>
      <c r="AO176" s="1"/>
      <c r="AP176" s="1"/>
      <c r="AQ176" s="1"/>
      <c r="AR176" s="1"/>
      <c r="AS176" s="1"/>
      <c r="AT176" s="1"/>
      <c r="AU176" s="1"/>
    </row>
    <row r="177" ht="15.75" customHeight="1">
      <c r="A177" s="31"/>
      <c r="B177" s="31"/>
      <c r="C177" s="3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4"/>
      <c r="AN177" s="1"/>
      <c r="AO177" s="1"/>
      <c r="AP177" s="1"/>
      <c r="AQ177" s="1"/>
      <c r="AR177" s="1"/>
      <c r="AS177" s="1"/>
      <c r="AT177" s="1"/>
      <c r="AU177" s="1"/>
    </row>
    <row r="178" ht="15.75" customHeight="1">
      <c r="A178" s="31"/>
      <c r="B178" s="31"/>
      <c r="C178" s="3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4"/>
      <c r="AN178" s="1"/>
      <c r="AO178" s="1"/>
      <c r="AP178" s="1"/>
      <c r="AQ178" s="1"/>
      <c r="AR178" s="1"/>
      <c r="AS178" s="1"/>
      <c r="AT178" s="1"/>
      <c r="AU178" s="1"/>
    </row>
    <row r="179" ht="15.75" customHeight="1">
      <c r="A179" s="31"/>
      <c r="B179" s="31"/>
      <c r="C179" s="3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4"/>
      <c r="AN179" s="1"/>
      <c r="AO179" s="1"/>
      <c r="AP179" s="1"/>
      <c r="AQ179" s="1"/>
      <c r="AR179" s="1"/>
      <c r="AS179" s="1"/>
      <c r="AT179" s="1"/>
      <c r="AU179" s="1"/>
    </row>
    <row r="180" ht="15.75" customHeight="1">
      <c r="A180" s="31"/>
      <c r="B180" s="31"/>
      <c r="C180" s="3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4"/>
      <c r="AN180" s="1"/>
      <c r="AO180" s="1"/>
      <c r="AP180" s="1"/>
      <c r="AQ180" s="1"/>
      <c r="AR180" s="1"/>
      <c r="AS180" s="1"/>
      <c r="AT180" s="1"/>
      <c r="AU180" s="1"/>
    </row>
    <row r="181" ht="15.75" customHeight="1">
      <c r="A181" s="31"/>
      <c r="B181" s="31"/>
      <c r="C181" s="3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4"/>
      <c r="AN181" s="1"/>
      <c r="AO181" s="1"/>
      <c r="AP181" s="1"/>
      <c r="AQ181" s="1"/>
      <c r="AR181" s="1"/>
      <c r="AS181" s="1"/>
      <c r="AT181" s="1"/>
      <c r="AU181" s="1"/>
    </row>
    <row r="182" ht="15.75" customHeight="1">
      <c r="A182" s="31"/>
      <c r="B182" s="31"/>
      <c r="C182" s="3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4"/>
      <c r="AN182" s="1"/>
      <c r="AO182" s="1"/>
      <c r="AP182" s="1"/>
      <c r="AQ182" s="1"/>
      <c r="AR182" s="1"/>
      <c r="AS182" s="1"/>
      <c r="AT182" s="1"/>
      <c r="AU182" s="1"/>
    </row>
    <row r="183" ht="15.75" customHeight="1">
      <c r="A183" s="31"/>
      <c r="B183" s="31"/>
      <c r="C183" s="3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4"/>
      <c r="AN183" s="1"/>
      <c r="AO183" s="1"/>
      <c r="AP183" s="1"/>
      <c r="AQ183" s="1"/>
      <c r="AR183" s="1"/>
      <c r="AS183" s="1"/>
      <c r="AT183" s="1"/>
      <c r="AU183" s="1"/>
    </row>
    <row r="184" ht="15.75" customHeight="1">
      <c r="A184" s="31"/>
      <c r="B184" s="31"/>
      <c r="C184" s="3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4"/>
      <c r="AN184" s="1"/>
      <c r="AO184" s="1"/>
      <c r="AP184" s="1"/>
      <c r="AQ184" s="1"/>
      <c r="AR184" s="1"/>
      <c r="AS184" s="1"/>
      <c r="AT184" s="1"/>
      <c r="AU184" s="1"/>
    </row>
    <row r="185" ht="15.75" customHeight="1">
      <c r="A185" s="31"/>
      <c r="B185" s="31"/>
      <c r="C185" s="3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4"/>
      <c r="AN185" s="1"/>
      <c r="AO185" s="1"/>
      <c r="AP185" s="1"/>
      <c r="AQ185" s="1"/>
      <c r="AR185" s="1"/>
      <c r="AS185" s="1"/>
      <c r="AT185" s="1"/>
      <c r="AU185" s="1"/>
    </row>
    <row r="186" ht="15.75" customHeight="1">
      <c r="A186" s="31"/>
      <c r="B186" s="31"/>
      <c r="C186" s="3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4"/>
      <c r="AN186" s="1"/>
      <c r="AO186" s="1"/>
      <c r="AP186" s="1"/>
      <c r="AQ186" s="1"/>
      <c r="AR186" s="1"/>
      <c r="AS186" s="1"/>
      <c r="AT186" s="1"/>
      <c r="AU186" s="1"/>
    </row>
    <row r="187" ht="15.75" customHeight="1">
      <c r="A187" s="31"/>
      <c r="B187" s="31"/>
      <c r="C187" s="3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4"/>
      <c r="AN187" s="1"/>
      <c r="AO187" s="1"/>
      <c r="AP187" s="1"/>
      <c r="AQ187" s="1"/>
      <c r="AR187" s="1"/>
      <c r="AS187" s="1"/>
      <c r="AT187" s="1"/>
      <c r="AU187" s="1"/>
    </row>
    <row r="188" ht="15.75" customHeight="1">
      <c r="A188" s="31"/>
      <c r="B188" s="31"/>
      <c r="C188" s="3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4"/>
      <c r="AN188" s="1"/>
      <c r="AO188" s="1"/>
      <c r="AP188" s="1"/>
      <c r="AQ188" s="1"/>
      <c r="AR188" s="1"/>
      <c r="AS188" s="1"/>
      <c r="AT188" s="1"/>
      <c r="AU188" s="1"/>
    </row>
    <row r="189" ht="15.75" customHeight="1">
      <c r="A189" s="31"/>
      <c r="B189" s="31"/>
      <c r="C189" s="3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4"/>
      <c r="AN189" s="1"/>
      <c r="AO189" s="1"/>
      <c r="AP189" s="1"/>
      <c r="AQ189" s="1"/>
      <c r="AR189" s="1"/>
      <c r="AS189" s="1"/>
      <c r="AT189" s="1"/>
      <c r="AU189" s="1"/>
    </row>
    <row r="190" ht="15.75" customHeight="1">
      <c r="A190" s="31"/>
      <c r="B190" s="31"/>
      <c r="C190" s="3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4"/>
      <c r="AN190" s="1"/>
      <c r="AO190" s="1"/>
      <c r="AP190" s="1"/>
      <c r="AQ190" s="1"/>
      <c r="AR190" s="1"/>
      <c r="AS190" s="1"/>
      <c r="AT190" s="1"/>
      <c r="AU190" s="1"/>
    </row>
    <row r="191" ht="15.75" customHeight="1">
      <c r="A191" s="31"/>
      <c r="B191" s="31"/>
      <c r="C191" s="3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4"/>
      <c r="AN191" s="1"/>
      <c r="AO191" s="1"/>
      <c r="AP191" s="1"/>
      <c r="AQ191" s="1"/>
      <c r="AR191" s="1"/>
      <c r="AS191" s="1"/>
      <c r="AT191" s="1"/>
      <c r="AU191" s="1"/>
    </row>
    <row r="192" ht="15.75" customHeight="1">
      <c r="A192" s="31"/>
      <c r="B192" s="31"/>
      <c r="C192" s="3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4"/>
      <c r="AN192" s="1"/>
      <c r="AO192" s="1"/>
      <c r="AP192" s="1"/>
      <c r="AQ192" s="1"/>
      <c r="AR192" s="1"/>
      <c r="AS192" s="1"/>
      <c r="AT192" s="1"/>
      <c r="AU192" s="1"/>
    </row>
    <row r="193" ht="15.75" customHeight="1">
      <c r="A193" s="31"/>
      <c r="B193" s="31"/>
      <c r="C193" s="3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4"/>
      <c r="AN193" s="1"/>
      <c r="AO193" s="1"/>
      <c r="AP193" s="1"/>
      <c r="AQ193" s="1"/>
      <c r="AR193" s="1"/>
      <c r="AS193" s="1"/>
      <c r="AT193" s="1"/>
      <c r="AU193" s="1"/>
    </row>
    <row r="194" ht="15.75" customHeight="1">
      <c r="A194" s="31"/>
      <c r="B194" s="31"/>
      <c r="C194" s="3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4"/>
      <c r="AN194" s="1"/>
      <c r="AO194" s="1"/>
      <c r="AP194" s="1"/>
      <c r="AQ194" s="1"/>
      <c r="AR194" s="1"/>
      <c r="AS194" s="1"/>
      <c r="AT194" s="1"/>
      <c r="AU194" s="1"/>
    </row>
    <row r="195" ht="15.75" customHeight="1">
      <c r="A195" s="31"/>
      <c r="B195" s="31"/>
      <c r="C195" s="3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4"/>
      <c r="AN195" s="1"/>
      <c r="AO195" s="1"/>
      <c r="AP195" s="1"/>
      <c r="AQ195" s="1"/>
      <c r="AR195" s="1"/>
      <c r="AS195" s="1"/>
      <c r="AT195" s="1"/>
      <c r="AU195" s="1"/>
    </row>
    <row r="196" ht="15.75" customHeight="1">
      <c r="A196" s="31"/>
      <c r="B196" s="31"/>
      <c r="C196" s="3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4"/>
      <c r="AN196" s="1"/>
      <c r="AO196" s="1"/>
      <c r="AP196" s="1"/>
      <c r="AQ196" s="1"/>
      <c r="AR196" s="1"/>
      <c r="AS196" s="1"/>
      <c r="AT196" s="1"/>
      <c r="AU196" s="1"/>
    </row>
    <row r="197" ht="15.75" customHeight="1">
      <c r="A197" s="31"/>
      <c r="B197" s="31"/>
      <c r="C197" s="3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4"/>
      <c r="AN197" s="1"/>
      <c r="AO197" s="1"/>
      <c r="AP197" s="1"/>
      <c r="AQ197" s="1"/>
      <c r="AR197" s="1"/>
      <c r="AS197" s="1"/>
      <c r="AT197" s="1"/>
      <c r="AU197" s="1"/>
    </row>
    <row r="198" ht="15.75" customHeight="1">
      <c r="A198" s="31"/>
      <c r="B198" s="31"/>
      <c r="C198" s="3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4"/>
      <c r="AN198" s="1"/>
      <c r="AO198" s="1"/>
      <c r="AP198" s="1"/>
      <c r="AQ198" s="1"/>
      <c r="AR198" s="1"/>
      <c r="AS198" s="1"/>
      <c r="AT198" s="1"/>
      <c r="AU198" s="1"/>
    </row>
    <row r="199" ht="15.75" customHeight="1">
      <c r="A199" s="31"/>
      <c r="B199" s="31"/>
      <c r="C199" s="3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4"/>
      <c r="AN199" s="1"/>
      <c r="AO199" s="1"/>
      <c r="AP199" s="1"/>
      <c r="AQ199" s="1"/>
      <c r="AR199" s="1"/>
      <c r="AS199" s="1"/>
      <c r="AT199" s="1"/>
      <c r="AU199" s="1"/>
    </row>
    <row r="200" ht="15.75" customHeight="1">
      <c r="A200" s="31"/>
      <c r="B200" s="31"/>
      <c r="C200" s="3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4"/>
      <c r="AN200" s="1"/>
      <c r="AO200" s="1"/>
      <c r="AP200" s="1"/>
      <c r="AQ200" s="1"/>
      <c r="AR200" s="1"/>
      <c r="AS200" s="1"/>
      <c r="AT200" s="1"/>
      <c r="AU200" s="1"/>
    </row>
    <row r="201" ht="15.75" customHeight="1">
      <c r="A201" s="31"/>
      <c r="B201" s="31"/>
      <c r="C201" s="3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4"/>
      <c r="AN201" s="1"/>
      <c r="AO201" s="1"/>
      <c r="AP201" s="1"/>
      <c r="AQ201" s="1"/>
      <c r="AR201" s="1"/>
      <c r="AS201" s="1"/>
      <c r="AT201" s="1"/>
      <c r="AU201" s="1"/>
    </row>
    <row r="202" ht="15.75" customHeight="1">
      <c r="A202" s="31"/>
      <c r="B202" s="31"/>
      <c r="C202" s="3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4"/>
      <c r="AN202" s="1"/>
      <c r="AO202" s="1"/>
      <c r="AP202" s="1"/>
      <c r="AQ202" s="1"/>
      <c r="AR202" s="1"/>
      <c r="AS202" s="1"/>
      <c r="AT202" s="1"/>
      <c r="AU202" s="1"/>
    </row>
    <row r="203" ht="15.75" customHeight="1">
      <c r="A203" s="31"/>
      <c r="B203" s="31"/>
      <c r="C203" s="3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4"/>
      <c r="AN203" s="1"/>
      <c r="AO203" s="1"/>
      <c r="AP203" s="1"/>
      <c r="AQ203" s="1"/>
      <c r="AR203" s="1"/>
      <c r="AS203" s="1"/>
      <c r="AT203" s="1"/>
      <c r="AU203" s="1"/>
    </row>
    <row r="204" ht="15.75" customHeight="1">
      <c r="A204" s="31"/>
      <c r="B204" s="31"/>
      <c r="C204" s="3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4"/>
      <c r="AN204" s="1"/>
      <c r="AO204" s="1"/>
      <c r="AP204" s="1"/>
      <c r="AQ204" s="1"/>
      <c r="AR204" s="1"/>
      <c r="AS204" s="1"/>
      <c r="AT204" s="1"/>
      <c r="AU204" s="1"/>
    </row>
    <row r="205" ht="15.75" customHeight="1">
      <c r="A205" s="31"/>
      <c r="B205" s="31"/>
      <c r="C205" s="3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4"/>
      <c r="AN205" s="1"/>
      <c r="AO205" s="1"/>
      <c r="AP205" s="1"/>
      <c r="AQ205" s="1"/>
      <c r="AR205" s="1"/>
      <c r="AS205" s="1"/>
      <c r="AT205" s="1"/>
      <c r="AU205" s="1"/>
    </row>
    <row r="206" ht="15.75" customHeight="1">
      <c r="A206" s="31"/>
      <c r="B206" s="31"/>
      <c r="C206" s="3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4"/>
      <c r="AN206" s="1"/>
      <c r="AO206" s="1"/>
      <c r="AP206" s="1"/>
      <c r="AQ206" s="1"/>
      <c r="AR206" s="1"/>
      <c r="AS206" s="1"/>
      <c r="AT206" s="1"/>
      <c r="AU206" s="1"/>
    </row>
    <row r="207" ht="15.75" customHeight="1">
      <c r="A207" s="31"/>
      <c r="B207" s="31"/>
      <c r="C207" s="3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4"/>
      <c r="AN207" s="1"/>
      <c r="AO207" s="1"/>
      <c r="AP207" s="1"/>
      <c r="AQ207" s="1"/>
      <c r="AR207" s="1"/>
      <c r="AS207" s="1"/>
      <c r="AT207" s="1"/>
      <c r="AU207" s="1"/>
    </row>
    <row r="208" ht="15.75" customHeight="1">
      <c r="A208" s="31"/>
      <c r="B208" s="31"/>
      <c r="C208" s="3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4"/>
      <c r="AN208" s="1"/>
      <c r="AO208" s="1"/>
      <c r="AP208" s="1"/>
      <c r="AQ208" s="1"/>
      <c r="AR208" s="1"/>
      <c r="AS208" s="1"/>
      <c r="AT208" s="1"/>
      <c r="AU208" s="1"/>
    </row>
    <row r="209" ht="15.75" customHeight="1">
      <c r="A209" s="31"/>
      <c r="B209" s="31"/>
      <c r="C209" s="3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4"/>
      <c r="AN209" s="1"/>
      <c r="AO209" s="1"/>
      <c r="AP209" s="1"/>
      <c r="AQ209" s="1"/>
      <c r="AR209" s="1"/>
      <c r="AS209" s="1"/>
      <c r="AT209" s="1"/>
      <c r="AU209" s="1"/>
    </row>
    <row r="210" ht="15.75" customHeight="1">
      <c r="A210" s="31"/>
      <c r="B210" s="31"/>
      <c r="C210" s="3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4"/>
      <c r="AN210" s="1"/>
      <c r="AO210" s="1"/>
      <c r="AP210" s="1"/>
      <c r="AQ210" s="1"/>
      <c r="AR210" s="1"/>
      <c r="AS210" s="1"/>
      <c r="AT210" s="1"/>
      <c r="AU210" s="1"/>
    </row>
    <row r="211" ht="15.75" customHeight="1">
      <c r="A211" s="31"/>
      <c r="B211" s="31"/>
      <c r="C211" s="3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4"/>
      <c r="AN211" s="1"/>
      <c r="AO211" s="1"/>
      <c r="AP211" s="1"/>
      <c r="AQ211" s="1"/>
      <c r="AR211" s="1"/>
      <c r="AS211" s="1"/>
      <c r="AT211" s="1"/>
      <c r="AU211" s="1"/>
    </row>
    <row r="212" ht="15.75" customHeight="1">
      <c r="A212" s="31"/>
      <c r="B212" s="31"/>
      <c r="C212" s="3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4"/>
      <c r="AN212" s="1"/>
      <c r="AO212" s="1"/>
      <c r="AP212" s="1"/>
      <c r="AQ212" s="1"/>
      <c r="AR212" s="1"/>
      <c r="AS212" s="1"/>
      <c r="AT212" s="1"/>
      <c r="AU212" s="1"/>
    </row>
    <row r="213" ht="15.75" customHeight="1">
      <c r="A213" s="31"/>
      <c r="B213" s="31"/>
      <c r="C213" s="3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4"/>
      <c r="AN213" s="1"/>
      <c r="AO213" s="1"/>
      <c r="AP213" s="1"/>
      <c r="AQ213" s="1"/>
      <c r="AR213" s="1"/>
      <c r="AS213" s="1"/>
      <c r="AT213" s="1"/>
      <c r="AU213" s="1"/>
    </row>
    <row r="214" ht="15.75" customHeight="1">
      <c r="A214" s="31"/>
      <c r="B214" s="31"/>
      <c r="C214" s="3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4"/>
      <c r="AN214" s="1"/>
      <c r="AO214" s="1"/>
      <c r="AP214" s="1"/>
      <c r="AQ214" s="1"/>
      <c r="AR214" s="1"/>
      <c r="AS214" s="1"/>
      <c r="AT214" s="1"/>
      <c r="AU214" s="1"/>
    </row>
    <row r="215" ht="15.75" customHeight="1">
      <c r="A215" s="31"/>
      <c r="B215" s="31"/>
      <c r="C215" s="3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4"/>
      <c r="AN215" s="1"/>
      <c r="AO215" s="1"/>
      <c r="AP215" s="1"/>
      <c r="AQ215" s="1"/>
      <c r="AR215" s="1"/>
      <c r="AS215" s="1"/>
      <c r="AT215" s="1"/>
      <c r="AU215" s="1"/>
    </row>
    <row r="216" ht="15.75" customHeight="1">
      <c r="A216" s="31"/>
      <c r="B216" s="31"/>
      <c r="C216" s="3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4"/>
      <c r="AN216" s="1"/>
      <c r="AO216" s="1"/>
      <c r="AP216" s="1"/>
      <c r="AQ216" s="1"/>
      <c r="AR216" s="1"/>
      <c r="AS216" s="1"/>
      <c r="AT216" s="1"/>
      <c r="AU216" s="1"/>
    </row>
    <row r="217" ht="15.75" customHeight="1">
      <c r="A217" s="31"/>
      <c r="B217" s="31"/>
      <c r="C217" s="3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4"/>
      <c r="AN217" s="1"/>
      <c r="AO217" s="1"/>
      <c r="AP217" s="1"/>
      <c r="AQ217" s="1"/>
      <c r="AR217" s="1"/>
      <c r="AS217" s="1"/>
      <c r="AT217" s="1"/>
      <c r="AU217" s="1"/>
    </row>
    <row r="218" ht="15.75" customHeight="1">
      <c r="A218" s="31"/>
      <c r="B218" s="31"/>
      <c r="C218" s="3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4"/>
      <c r="AN218" s="1"/>
      <c r="AO218" s="1"/>
      <c r="AP218" s="1"/>
      <c r="AQ218" s="1"/>
      <c r="AR218" s="1"/>
      <c r="AS218" s="1"/>
      <c r="AT218" s="1"/>
      <c r="AU218" s="1"/>
    </row>
    <row r="219" ht="15.75" customHeight="1">
      <c r="A219" s="31"/>
      <c r="B219" s="31"/>
      <c r="C219" s="3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4"/>
      <c r="AN219" s="1"/>
      <c r="AO219" s="1"/>
      <c r="AP219" s="1"/>
      <c r="AQ219" s="1"/>
      <c r="AR219" s="1"/>
      <c r="AS219" s="1"/>
      <c r="AT219" s="1"/>
      <c r="AU219" s="1"/>
    </row>
    <row r="220" ht="15.75" customHeight="1">
      <c r="A220" s="31"/>
      <c r="B220" s="31"/>
      <c r="C220" s="3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4"/>
      <c r="AN220" s="1"/>
      <c r="AO220" s="1"/>
      <c r="AP220" s="1"/>
      <c r="AQ220" s="1"/>
      <c r="AR220" s="1"/>
      <c r="AS220" s="1"/>
      <c r="AT220" s="1"/>
      <c r="AU220" s="1"/>
    </row>
    <row r="221" ht="15.75" customHeight="1">
      <c r="A221" s="31"/>
      <c r="B221" s="31"/>
      <c r="C221" s="3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4"/>
      <c r="AN221" s="1"/>
      <c r="AO221" s="1"/>
      <c r="AP221" s="1"/>
      <c r="AQ221" s="1"/>
      <c r="AR221" s="1"/>
      <c r="AS221" s="1"/>
      <c r="AT221" s="1"/>
      <c r="AU221" s="1"/>
    </row>
    <row r="222" ht="15.75" customHeight="1">
      <c r="A222" s="31"/>
      <c r="B222" s="31"/>
      <c r="C222" s="3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4"/>
      <c r="AN222" s="1"/>
      <c r="AO222" s="1"/>
      <c r="AP222" s="1"/>
      <c r="AQ222" s="1"/>
      <c r="AR222" s="1"/>
      <c r="AS222" s="1"/>
      <c r="AT222" s="1"/>
      <c r="AU222" s="1"/>
    </row>
    <row r="223" ht="15.75" customHeight="1">
      <c r="A223" s="31"/>
      <c r="B223" s="31"/>
      <c r="C223" s="3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4"/>
      <c r="AN223" s="1"/>
      <c r="AO223" s="1"/>
      <c r="AP223" s="1"/>
      <c r="AQ223" s="1"/>
      <c r="AR223" s="1"/>
      <c r="AS223" s="1"/>
      <c r="AT223" s="1"/>
      <c r="AU223" s="1"/>
    </row>
    <row r="224" ht="15.75" customHeight="1">
      <c r="A224" s="31"/>
      <c r="B224" s="31"/>
      <c r="C224" s="3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4"/>
      <c r="AN224" s="1"/>
      <c r="AO224" s="1"/>
      <c r="AP224" s="1"/>
      <c r="AQ224" s="1"/>
      <c r="AR224" s="1"/>
      <c r="AS224" s="1"/>
      <c r="AT224" s="1"/>
      <c r="AU224" s="1"/>
    </row>
    <row r="225" ht="15.75" customHeight="1">
      <c r="A225" s="31"/>
      <c r="B225" s="31"/>
      <c r="C225" s="3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4"/>
      <c r="AN225" s="1"/>
      <c r="AO225" s="1"/>
      <c r="AP225" s="1"/>
      <c r="AQ225" s="1"/>
      <c r="AR225" s="1"/>
      <c r="AS225" s="1"/>
      <c r="AT225" s="1"/>
      <c r="AU225" s="1"/>
    </row>
    <row r="226" ht="15.75" customHeight="1">
      <c r="A226" s="31"/>
      <c r="B226" s="31"/>
      <c r="C226" s="3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4"/>
      <c r="AN226" s="1"/>
      <c r="AO226" s="1"/>
      <c r="AP226" s="1"/>
      <c r="AQ226" s="1"/>
      <c r="AR226" s="1"/>
      <c r="AS226" s="1"/>
      <c r="AT226" s="1"/>
      <c r="AU226" s="1"/>
    </row>
    <row r="227" ht="15.75" customHeight="1">
      <c r="A227" s="31"/>
      <c r="B227" s="31"/>
      <c r="C227" s="3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4"/>
      <c r="AN227" s="1"/>
      <c r="AO227" s="1"/>
      <c r="AP227" s="1"/>
      <c r="AQ227" s="1"/>
      <c r="AR227" s="1"/>
      <c r="AS227" s="1"/>
      <c r="AT227" s="1"/>
      <c r="AU227" s="1"/>
    </row>
    <row r="228" ht="15.75" customHeight="1">
      <c r="A228" s="31"/>
      <c r="B228" s="31"/>
      <c r="C228" s="3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4"/>
      <c r="AN228" s="1"/>
      <c r="AO228" s="1"/>
      <c r="AP228" s="1"/>
      <c r="AQ228" s="1"/>
      <c r="AR228" s="1"/>
      <c r="AS228" s="1"/>
      <c r="AT228" s="1"/>
      <c r="AU228" s="1"/>
    </row>
    <row r="229" ht="15.75" customHeight="1">
      <c r="A229" s="31"/>
      <c r="B229" s="31"/>
      <c r="C229" s="3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4"/>
      <c r="AN229" s="1"/>
      <c r="AO229" s="1"/>
      <c r="AP229" s="1"/>
      <c r="AQ229" s="1"/>
      <c r="AR229" s="1"/>
      <c r="AS229" s="1"/>
      <c r="AT229" s="1"/>
      <c r="AU229" s="1"/>
    </row>
    <row r="230" ht="15.75" customHeight="1">
      <c r="A230" s="31"/>
      <c r="B230" s="31"/>
      <c r="C230" s="3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4"/>
      <c r="AN230" s="1"/>
      <c r="AO230" s="1"/>
      <c r="AP230" s="1"/>
      <c r="AQ230" s="1"/>
      <c r="AR230" s="1"/>
      <c r="AS230" s="1"/>
      <c r="AT230" s="1"/>
      <c r="AU230" s="1"/>
    </row>
    <row r="231" ht="15.75" customHeight="1">
      <c r="A231" s="31"/>
      <c r="B231" s="31"/>
      <c r="C231" s="3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4"/>
      <c r="AN231" s="1"/>
      <c r="AO231" s="1"/>
      <c r="AP231" s="1"/>
      <c r="AQ231" s="1"/>
      <c r="AR231" s="1"/>
      <c r="AS231" s="1"/>
      <c r="AT231" s="1"/>
      <c r="AU231" s="1"/>
    </row>
    <row r="232" ht="15.75" customHeight="1">
      <c r="A232" s="31"/>
      <c r="B232" s="31"/>
      <c r="C232" s="3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4"/>
      <c r="AN232" s="1"/>
      <c r="AO232" s="1"/>
      <c r="AP232" s="1"/>
      <c r="AQ232" s="1"/>
      <c r="AR232" s="1"/>
      <c r="AS232" s="1"/>
      <c r="AT232" s="1"/>
      <c r="AU232" s="1"/>
    </row>
    <row r="233" ht="15.75" customHeight="1">
      <c r="A233" s="31"/>
      <c r="B233" s="31"/>
      <c r="C233" s="3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4"/>
      <c r="AN233" s="1"/>
      <c r="AO233" s="1"/>
      <c r="AP233" s="1"/>
      <c r="AQ233" s="1"/>
      <c r="AR233" s="1"/>
      <c r="AS233" s="1"/>
      <c r="AT233" s="1"/>
      <c r="AU233" s="1"/>
    </row>
    <row r="234" ht="15.75" customHeight="1">
      <c r="A234" s="31"/>
      <c r="B234" s="31"/>
      <c r="C234" s="3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4"/>
      <c r="AN234" s="1"/>
      <c r="AO234" s="1"/>
      <c r="AP234" s="1"/>
      <c r="AQ234" s="1"/>
      <c r="AR234" s="1"/>
      <c r="AS234" s="1"/>
      <c r="AT234" s="1"/>
      <c r="AU234" s="1"/>
    </row>
    <row r="235" ht="15.75" customHeight="1">
      <c r="A235" s="31"/>
      <c r="B235" s="31"/>
      <c r="C235" s="3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4"/>
      <c r="AN235" s="1"/>
      <c r="AO235" s="1"/>
      <c r="AP235" s="1"/>
      <c r="AQ235" s="1"/>
      <c r="AR235" s="1"/>
      <c r="AS235" s="1"/>
      <c r="AT235" s="1"/>
      <c r="AU235" s="1"/>
    </row>
    <row r="236" ht="15.75" customHeight="1">
      <c r="A236" s="31"/>
      <c r="B236" s="31"/>
      <c r="C236" s="3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4"/>
      <c r="AN236" s="1"/>
      <c r="AO236" s="1"/>
      <c r="AP236" s="1"/>
      <c r="AQ236" s="1"/>
      <c r="AR236" s="1"/>
      <c r="AS236" s="1"/>
      <c r="AT236" s="1"/>
      <c r="AU236" s="1"/>
    </row>
    <row r="237" ht="15.75" customHeight="1">
      <c r="A237" s="31"/>
      <c r="B237" s="31"/>
      <c r="C237" s="3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4"/>
      <c r="AN237" s="1"/>
      <c r="AO237" s="1"/>
      <c r="AP237" s="1"/>
      <c r="AQ237" s="1"/>
      <c r="AR237" s="1"/>
      <c r="AS237" s="1"/>
      <c r="AT237" s="1"/>
      <c r="AU237" s="1"/>
    </row>
    <row r="238" ht="15.75" customHeight="1">
      <c r="A238" s="31"/>
      <c r="B238" s="31"/>
      <c r="C238" s="3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4"/>
      <c r="AN238" s="1"/>
      <c r="AO238" s="1"/>
      <c r="AP238" s="1"/>
      <c r="AQ238" s="1"/>
      <c r="AR238" s="1"/>
      <c r="AS238" s="1"/>
      <c r="AT238" s="1"/>
      <c r="AU238" s="1"/>
    </row>
    <row r="239" ht="15.75" customHeight="1">
      <c r="A239" s="31"/>
      <c r="B239" s="31"/>
      <c r="C239" s="3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4"/>
      <c r="AN239" s="1"/>
      <c r="AO239" s="1"/>
      <c r="AP239" s="1"/>
      <c r="AQ239" s="1"/>
      <c r="AR239" s="1"/>
      <c r="AS239" s="1"/>
      <c r="AT239" s="1"/>
      <c r="AU239" s="1"/>
    </row>
    <row r="240" ht="15.75" customHeight="1">
      <c r="A240" s="31"/>
      <c r="B240" s="31"/>
      <c r="C240" s="3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4"/>
      <c r="AN240" s="1"/>
      <c r="AO240" s="1"/>
      <c r="AP240" s="1"/>
      <c r="AQ240" s="1"/>
      <c r="AR240" s="1"/>
      <c r="AS240" s="1"/>
      <c r="AT240" s="1"/>
      <c r="AU240" s="1"/>
    </row>
    <row r="241" ht="15.75" customHeight="1">
      <c r="A241" s="31"/>
      <c r="B241" s="31"/>
      <c r="C241" s="3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4"/>
      <c r="AN241" s="1"/>
      <c r="AO241" s="1"/>
      <c r="AP241" s="1"/>
      <c r="AQ241" s="1"/>
      <c r="AR241" s="1"/>
      <c r="AS241" s="1"/>
      <c r="AT241" s="1"/>
      <c r="AU241" s="1"/>
    </row>
    <row r="242" ht="15.75" customHeight="1">
      <c r="A242" s="31"/>
      <c r="B242" s="31"/>
      <c r="C242" s="3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4"/>
      <c r="AN242" s="1"/>
      <c r="AO242" s="1"/>
      <c r="AP242" s="1"/>
      <c r="AQ242" s="1"/>
      <c r="AR242" s="1"/>
      <c r="AS242" s="1"/>
      <c r="AT242" s="1"/>
      <c r="AU242" s="1"/>
    </row>
    <row r="243" ht="15.75" customHeight="1">
      <c r="A243" s="31"/>
      <c r="B243" s="31"/>
      <c r="C243" s="3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4"/>
      <c r="AN243" s="1"/>
      <c r="AO243" s="1"/>
      <c r="AP243" s="1"/>
      <c r="AQ243" s="1"/>
      <c r="AR243" s="1"/>
      <c r="AS243" s="1"/>
      <c r="AT243" s="1"/>
      <c r="AU243" s="1"/>
    </row>
    <row r="244" ht="15.75" customHeight="1">
      <c r="A244" s="31"/>
      <c r="B244" s="31"/>
      <c r="C244" s="3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4"/>
      <c r="AN244" s="1"/>
      <c r="AO244" s="1"/>
      <c r="AP244" s="1"/>
      <c r="AQ244" s="1"/>
      <c r="AR244" s="1"/>
      <c r="AS244" s="1"/>
      <c r="AT244" s="1"/>
      <c r="AU244" s="1"/>
    </row>
    <row r="245" ht="15.75" customHeight="1">
      <c r="A245" s="31"/>
      <c r="B245" s="31"/>
      <c r="C245" s="3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4"/>
      <c r="AN245" s="1"/>
      <c r="AO245" s="1"/>
      <c r="AP245" s="1"/>
      <c r="AQ245" s="1"/>
      <c r="AR245" s="1"/>
      <c r="AS245" s="1"/>
      <c r="AT245" s="1"/>
      <c r="AU245" s="1"/>
    </row>
    <row r="246" ht="15.75" customHeight="1">
      <c r="A246" s="31"/>
      <c r="B246" s="31"/>
      <c r="C246" s="3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4"/>
      <c r="AN246" s="1"/>
      <c r="AO246" s="1"/>
      <c r="AP246" s="1"/>
      <c r="AQ246" s="1"/>
      <c r="AR246" s="1"/>
      <c r="AS246" s="1"/>
      <c r="AT246" s="1"/>
      <c r="AU246" s="1"/>
    </row>
    <row r="247" ht="15.75" customHeight="1">
      <c r="A247" s="31"/>
      <c r="B247" s="31"/>
      <c r="C247" s="3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4"/>
      <c r="AN247" s="1"/>
      <c r="AO247" s="1"/>
      <c r="AP247" s="1"/>
      <c r="AQ247" s="1"/>
      <c r="AR247" s="1"/>
      <c r="AS247" s="1"/>
      <c r="AT247" s="1"/>
      <c r="AU247" s="1"/>
    </row>
    <row r="248" ht="15.75" customHeight="1">
      <c r="A248" s="31"/>
      <c r="B248" s="31"/>
      <c r="C248" s="3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4"/>
      <c r="AN248" s="1"/>
      <c r="AO248" s="1"/>
      <c r="AP248" s="1"/>
      <c r="AQ248" s="1"/>
      <c r="AR248" s="1"/>
      <c r="AS248" s="1"/>
      <c r="AT248" s="1"/>
      <c r="AU248" s="1"/>
    </row>
    <row r="249" ht="15.75" customHeight="1">
      <c r="A249" s="31"/>
      <c r="B249" s="31"/>
      <c r="C249" s="3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4"/>
      <c r="AN249" s="1"/>
      <c r="AO249" s="1"/>
      <c r="AP249" s="1"/>
      <c r="AQ249" s="1"/>
      <c r="AR249" s="1"/>
      <c r="AS249" s="1"/>
      <c r="AT249" s="1"/>
      <c r="AU249" s="1"/>
    </row>
    <row r="250" ht="15.75" customHeight="1">
      <c r="A250" s="31"/>
      <c r="B250" s="31"/>
      <c r="C250" s="3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4"/>
      <c r="AN250" s="1"/>
      <c r="AO250" s="1"/>
      <c r="AP250" s="1"/>
      <c r="AQ250" s="1"/>
      <c r="AR250" s="1"/>
      <c r="AS250" s="1"/>
      <c r="AT250" s="1"/>
      <c r="AU250" s="1"/>
    </row>
    <row r="251" ht="15.75" customHeight="1">
      <c r="A251" s="31"/>
      <c r="B251" s="31"/>
      <c r="C251" s="3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4"/>
      <c r="AN251" s="1"/>
      <c r="AO251" s="1"/>
      <c r="AP251" s="1"/>
      <c r="AQ251" s="1"/>
      <c r="AR251" s="1"/>
      <c r="AS251" s="1"/>
      <c r="AT251" s="1"/>
      <c r="AU251" s="1"/>
    </row>
    <row r="252" ht="15.75" customHeight="1">
      <c r="A252" s="31"/>
      <c r="B252" s="31"/>
      <c r="C252" s="3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4"/>
      <c r="AN252" s="1"/>
      <c r="AO252" s="1"/>
      <c r="AP252" s="1"/>
      <c r="AQ252" s="1"/>
      <c r="AR252" s="1"/>
      <c r="AS252" s="1"/>
      <c r="AT252" s="1"/>
      <c r="AU252" s="1"/>
    </row>
    <row r="253" ht="15.75" customHeight="1">
      <c r="A253" s="31"/>
      <c r="B253" s="31"/>
      <c r="C253" s="3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4"/>
      <c r="AN253" s="1"/>
      <c r="AO253" s="1"/>
      <c r="AP253" s="1"/>
      <c r="AQ253" s="1"/>
      <c r="AR253" s="1"/>
      <c r="AS253" s="1"/>
      <c r="AT253" s="1"/>
      <c r="AU253" s="1"/>
    </row>
    <row r="254" ht="15.75" customHeight="1">
      <c r="A254" s="31"/>
      <c r="B254" s="31"/>
      <c r="C254" s="3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4"/>
      <c r="AN254" s="1"/>
      <c r="AO254" s="1"/>
      <c r="AP254" s="1"/>
      <c r="AQ254" s="1"/>
      <c r="AR254" s="1"/>
      <c r="AS254" s="1"/>
      <c r="AT254" s="1"/>
      <c r="AU254" s="1"/>
    </row>
    <row r="255" ht="15.75" customHeight="1">
      <c r="A255" s="31"/>
      <c r="B255" s="31"/>
      <c r="C255" s="3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4"/>
      <c r="AN255" s="1"/>
      <c r="AO255" s="1"/>
      <c r="AP255" s="1"/>
      <c r="AQ255" s="1"/>
      <c r="AR255" s="1"/>
      <c r="AS255" s="1"/>
      <c r="AT255" s="1"/>
      <c r="AU255" s="1"/>
    </row>
    <row r="256" ht="15.75" customHeight="1">
      <c r="A256" s="31"/>
      <c r="B256" s="31"/>
      <c r="C256" s="3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4"/>
      <c r="AN256" s="1"/>
      <c r="AO256" s="1"/>
      <c r="AP256" s="1"/>
      <c r="AQ256" s="1"/>
      <c r="AR256" s="1"/>
      <c r="AS256" s="1"/>
      <c r="AT256" s="1"/>
      <c r="AU256" s="1"/>
    </row>
    <row r="257" ht="15.75" customHeight="1">
      <c r="A257" s="31"/>
      <c r="B257" s="31"/>
      <c r="C257" s="3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4"/>
      <c r="AN257" s="1"/>
      <c r="AO257" s="1"/>
      <c r="AP257" s="1"/>
      <c r="AQ257" s="1"/>
      <c r="AR257" s="1"/>
      <c r="AS257" s="1"/>
      <c r="AT257" s="1"/>
      <c r="AU257" s="1"/>
    </row>
    <row r="258" ht="15.75" customHeight="1">
      <c r="A258" s="31"/>
      <c r="B258" s="31"/>
      <c r="C258" s="3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4"/>
      <c r="AN258" s="1"/>
      <c r="AO258" s="1"/>
      <c r="AP258" s="1"/>
      <c r="AQ258" s="1"/>
      <c r="AR258" s="1"/>
      <c r="AS258" s="1"/>
      <c r="AT258" s="1"/>
      <c r="AU258" s="1"/>
    </row>
    <row r="259" ht="15.75" customHeight="1">
      <c r="A259" s="31"/>
      <c r="B259" s="31"/>
      <c r="C259" s="3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4"/>
      <c r="AN259" s="1"/>
      <c r="AO259" s="1"/>
      <c r="AP259" s="1"/>
      <c r="AQ259" s="1"/>
      <c r="AR259" s="1"/>
      <c r="AS259" s="1"/>
      <c r="AT259" s="1"/>
      <c r="AU259" s="1"/>
    </row>
    <row r="260" ht="15.75" customHeight="1">
      <c r="A260" s="31"/>
      <c r="B260" s="31"/>
      <c r="C260" s="3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4"/>
      <c r="AN260" s="1"/>
      <c r="AO260" s="1"/>
      <c r="AP260" s="1"/>
      <c r="AQ260" s="1"/>
      <c r="AR260" s="1"/>
      <c r="AS260" s="1"/>
      <c r="AT260" s="1"/>
      <c r="AU260" s="1"/>
    </row>
    <row r="261" ht="15.75" customHeight="1">
      <c r="A261" s="31"/>
      <c r="B261" s="31"/>
      <c r="C261" s="3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4"/>
      <c r="AN261" s="1"/>
      <c r="AO261" s="1"/>
      <c r="AP261" s="1"/>
      <c r="AQ261" s="1"/>
      <c r="AR261" s="1"/>
      <c r="AS261" s="1"/>
      <c r="AT261" s="1"/>
      <c r="AU261" s="1"/>
    </row>
    <row r="262" ht="15.75" customHeight="1">
      <c r="A262" s="31"/>
      <c r="B262" s="31"/>
      <c r="C262" s="3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4"/>
      <c r="AN262" s="1"/>
      <c r="AO262" s="1"/>
      <c r="AP262" s="1"/>
      <c r="AQ262" s="1"/>
      <c r="AR262" s="1"/>
      <c r="AS262" s="1"/>
      <c r="AT262" s="1"/>
      <c r="AU262" s="1"/>
    </row>
    <row r="263" ht="15.75" customHeight="1">
      <c r="A263" s="31"/>
      <c r="B263" s="31"/>
      <c r="C263" s="3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4"/>
      <c r="AN263" s="1"/>
      <c r="AO263" s="1"/>
      <c r="AP263" s="1"/>
      <c r="AQ263" s="1"/>
      <c r="AR263" s="1"/>
      <c r="AS263" s="1"/>
      <c r="AT263" s="1"/>
      <c r="AU263" s="1"/>
    </row>
    <row r="264" ht="15.75" customHeight="1">
      <c r="A264" s="31"/>
      <c r="B264" s="31"/>
      <c r="C264" s="3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4"/>
      <c r="AN264" s="1"/>
      <c r="AO264" s="1"/>
      <c r="AP264" s="1"/>
      <c r="AQ264" s="1"/>
      <c r="AR264" s="1"/>
      <c r="AS264" s="1"/>
      <c r="AT264" s="1"/>
      <c r="AU264" s="1"/>
    </row>
    <row r="265" ht="15.75" customHeight="1">
      <c r="A265" s="31"/>
      <c r="B265" s="31"/>
      <c r="C265" s="3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4"/>
      <c r="AN265" s="1"/>
      <c r="AO265" s="1"/>
      <c r="AP265" s="1"/>
      <c r="AQ265" s="1"/>
      <c r="AR265" s="1"/>
      <c r="AS265" s="1"/>
      <c r="AT265" s="1"/>
      <c r="AU265" s="1"/>
    </row>
    <row r="266" ht="15.75" customHeight="1">
      <c r="A266" s="31"/>
      <c r="B266" s="31"/>
      <c r="C266" s="3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4"/>
      <c r="AN266" s="1"/>
      <c r="AO266" s="1"/>
      <c r="AP266" s="1"/>
      <c r="AQ266" s="1"/>
      <c r="AR266" s="1"/>
      <c r="AS266" s="1"/>
      <c r="AT266" s="1"/>
      <c r="AU266" s="1"/>
    </row>
    <row r="267" ht="15.75" customHeight="1">
      <c r="A267" s="31"/>
      <c r="B267" s="31"/>
      <c r="C267" s="3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4"/>
      <c r="AN267" s="1"/>
      <c r="AO267" s="1"/>
      <c r="AP267" s="1"/>
      <c r="AQ267" s="1"/>
      <c r="AR267" s="1"/>
      <c r="AS267" s="1"/>
      <c r="AT267" s="1"/>
      <c r="AU267" s="1"/>
    </row>
    <row r="268" ht="15.75" customHeight="1">
      <c r="A268" s="31"/>
      <c r="B268" s="31"/>
      <c r="C268" s="3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4"/>
      <c r="AN268" s="1"/>
      <c r="AO268" s="1"/>
      <c r="AP268" s="1"/>
      <c r="AQ268" s="1"/>
      <c r="AR268" s="1"/>
      <c r="AS268" s="1"/>
      <c r="AT268" s="1"/>
      <c r="AU268" s="1"/>
    </row>
    <row r="269" ht="15.75" customHeight="1">
      <c r="A269" s="31"/>
      <c r="B269" s="31"/>
      <c r="C269" s="3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4"/>
      <c r="AN269" s="1"/>
      <c r="AO269" s="1"/>
      <c r="AP269" s="1"/>
      <c r="AQ269" s="1"/>
      <c r="AR269" s="1"/>
      <c r="AS269" s="1"/>
      <c r="AT269" s="1"/>
      <c r="AU269" s="1"/>
    </row>
    <row r="270" ht="15.75" customHeight="1">
      <c r="A270" s="31"/>
      <c r="B270" s="31"/>
      <c r="C270" s="3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4"/>
      <c r="AN270" s="1"/>
      <c r="AO270" s="1"/>
      <c r="AP270" s="1"/>
      <c r="AQ270" s="1"/>
      <c r="AR270" s="1"/>
      <c r="AS270" s="1"/>
      <c r="AT270" s="1"/>
      <c r="AU270" s="1"/>
    </row>
    <row r="271" ht="15.75" customHeight="1">
      <c r="A271" s="31"/>
      <c r="B271" s="31"/>
      <c r="C271" s="3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4"/>
      <c r="AN271" s="1"/>
      <c r="AO271" s="1"/>
      <c r="AP271" s="1"/>
      <c r="AQ271" s="1"/>
      <c r="AR271" s="1"/>
      <c r="AS271" s="1"/>
      <c r="AT271" s="1"/>
      <c r="AU271" s="1"/>
    </row>
    <row r="272" ht="15.75" customHeight="1">
      <c r="A272" s="31"/>
      <c r="B272" s="31"/>
      <c r="C272" s="3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4"/>
      <c r="AN272" s="1"/>
      <c r="AO272" s="1"/>
      <c r="AP272" s="1"/>
      <c r="AQ272" s="1"/>
      <c r="AR272" s="1"/>
      <c r="AS272" s="1"/>
      <c r="AT272" s="1"/>
      <c r="AU272" s="1"/>
    </row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6">
    <mergeCell ref="A7:A9"/>
    <mergeCell ref="B7:B9"/>
    <mergeCell ref="C7:C9"/>
    <mergeCell ref="AM7:AM9"/>
    <mergeCell ref="A2:A3"/>
    <mergeCell ref="B2:B3"/>
    <mergeCell ref="C2:C3"/>
    <mergeCell ref="D2:D3"/>
    <mergeCell ref="A4:A6"/>
    <mergeCell ref="B4:B6"/>
    <mergeCell ref="C4:C6"/>
    <mergeCell ref="B16:B18"/>
    <mergeCell ref="C16:C18"/>
    <mergeCell ref="AM16:AM18"/>
    <mergeCell ref="A19:A21"/>
    <mergeCell ref="B19:B21"/>
    <mergeCell ref="C19:C21"/>
    <mergeCell ref="AM19:AM21"/>
    <mergeCell ref="A10:A12"/>
    <mergeCell ref="B10:B12"/>
    <mergeCell ref="C10:C12"/>
    <mergeCell ref="A13:A15"/>
    <mergeCell ref="B13:B15"/>
    <mergeCell ref="C13:C15"/>
    <mergeCell ref="A16:A18"/>
    <mergeCell ref="B28:B30"/>
    <mergeCell ref="C28:C30"/>
    <mergeCell ref="A22:A24"/>
    <mergeCell ref="B22:B24"/>
    <mergeCell ref="C22:C24"/>
    <mergeCell ref="A25:A27"/>
    <mergeCell ref="B25:B27"/>
    <mergeCell ref="C25:C27"/>
    <mergeCell ref="A28:A30"/>
    <mergeCell ref="B64:B66"/>
    <mergeCell ref="C64:C66"/>
    <mergeCell ref="A58:A60"/>
    <mergeCell ref="B58:B60"/>
    <mergeCell ref="C58:C60"/>
    <mergeCell ref="A61:A63"/>
    <mergeCell ref="B61:B63"/>
    <mergeCell ref="C61:C63"/>
    <mergeCell ref="A64:A66"/>
    <mergeCell ref="B37:B39"/>
    <mergeCell ref="C37:C39"/>
    <mergeCell ref="A31:A33"/>
    <mergeCell ref="B31:B33"/>
    <mergeCell ref="C31:C33"/>
    <mergeCell ref="A34:A36"/>
    <mergeCell ref="B34:B36"/>
    <mergeCell ref="C34:C36"/>
    <mergeCell ref="A37:A39"/>
    <mergeCell ref="B46:B48"/>
    <mergeCell ref="C46:C48"/>
    <mergeCell ref="A40:A42"/>
    <mergeCell ref="B40:B42"/>
    <mergeCell ref="C40:C42"/>
    <mergeCell ref="A43:A45"/>
    <mergeCell ref="B43:B45"/>
    <mergeCell ref="C43:C45"/>
    <mergeCell ref="A46:A48"/>
    <mergeCell ref="B55:B57"/>
    <mergeCell ref="C55:C57"/>
    <mergeCell ref="A49:A51"/>
    <mergeCell ref="B49:B51"/>
    <mergeCell ref="C49:C51"/>
    <mergeCell ref="A52:A54"/>
    <mergeCell ref="B52:B54"/>
    <mergeCell ref="C52:C54"/>
    <mergeCell ref="A55:A57"/>
    <mergeCell ref="A67:A69"/>
    <mergeCell ref="B67:B69"/>
    <mergeCell ref="C67:C69"/>
    <mergeCell ref="A70:A72"/>
    <mergeCell ref="B70:B72"/>
    <mergeCell ref="C70:C72"/>
  </mergeCells>
  <printOptions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4" width="12.63"/>
    <col customWidth="1" min="5" max="35" width="2.63"/>
    <col customWidth="1" min="36" max="36" width="5.25"/>
    <col customWidth="1" min="37" max="37" width="5.63"/>
    <col customWidth="1" min="38" max="38" width="7.63"/>
    <col customWidth="1" min="39" max="39" width="25.75"/>
    <col customWidth="1" min="40" max="47" width="2.63"/>
  </cols>
  <sheetData>
    <row r="1" ht="15.75" customHeight="1">
      <c r="A1" s="1">
        <v>2025.0</v>
      </c>
      <c r="B1" s="1">
        <v>8.0</v>
      </c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4"/>
      <c r="AN1" s="1"/>
      <c r="AO1" s="1"/>
      <c r="AP1" s="1"/>
      <c r="AQ1" s="1"/>
      <c r="AR1" s="1"/>
      <c r="AS1" s="1"/>
      <c r="AT1" s="1"/>
      <c r="AU1" s="1"/>
    </row>
    <row r="2" ht="15.75" customHeight="1">
      <c r="A2" s="5" t="s">
        <v>0</v>
      </c>
      <c r="B2" s="5" t="s">
        <v>1</v>
      </c>
      <c r="C2" s="5" t="s">
        <v>2</v>
      </c>
      <c r="D2" s="6"/>
      <c r="E2" s="7">
        <f>DATE($A$1,$B$1,1)</f>
        <v>45870</v>
      </c>
      <c r="F2" s="7">
        <f>DATE($A$1,$B$1,2)</f>
        <v>45871</v>
      </c>
      <c r="G2" s="7">
        <f>DATE($A$1,$B$1,3)</f>
        <v>45872</v>
      </c>
      <c r="H2" s="7">
        <f>DATE($A$1,$B$1,4)</f>
        <v>45873</v>
      </c>
      <c r="I2" s="7">
        <f>DATE($A$1,$B$1,5)</f>
        <v>45874</v>
      </c>
      <c r="J2" s="7">
        <f>DATE($A$1,$B$1,6)</f>
        <v>45875</v>
      </c>
      <c r="K2" s="7">
        <f>DATE($A$1,$B$1,7)</f>
        <v>45876</v>
      </c>
      <c r="L2" s="7">
        <f>DATE($A$1,$B$1,8)</f>
        <v>45877</v>
      </c>
      <c r="M2" s="7">
        <f>DATE($A$1,$B$1,9)</f>
        <v>45878</v>
      </c>
      <c r="N2" s="7">
        <f>DATE($A$1,$B$1,10)</f>
        <v>45879</v>
      </c>
      <c r="O2" s="7">
        <f>DATE($A$1,$B$1,11)</f>
        <v>45880</v>
      </c>
      <c r="P2" s="7">
        <f>DATE($A$1,$B$1,12)</f>
        <v>45881</v>
      </c>
      <c r="Q2" s="7">
        <f>DATE($A$1,$B$1,13)</f>
        <v>45882</v>
      </c>
      <c r="R2" s="7">
        <f>DATE($A$1,$B$1,14)</f>
        <v>45883</v>
      </c>
      <c r="S2" s="7">
        <f>DATE($A$1,$B$1,15)</f>
        <v>45884</v>
      </c>
      <c r="T2" s="7">
        <f>DATE($A$1,$B$1,16)</f>
        <v>45885</v>
      </c>
      <c r="U2" s="7">
        <f>DATE($A$1,$B$1,17)</f>
        <v>45886</v>
      </c>
      <c r="V2" s="7">
        <f>DATE($A$1,$B$1,18)</f>
        <v>45887</v>
      </c>
      <c r="W2" s="7">
        <f>DATE($A$1,$B$1,19)</f>
        <v>45888</v>
      </c>
      <c r="X2" s="7">
        <f>DATE($A$1,$B$1,20)</f>
        <v>45889</v>
      </c>
      <c r="Y2" s="7">
        <f>DATE($A$1,$B$1,21)</f>
        <v>45890</v>
      </c>
      <c r="Z2" s="7">
        <f>DATE($A$1,$B$1,22)</f>
        <v>45891</v>
      </c>
      <c r="AA2" s="7">
        <f>DATE($A$1,$B$1,23)</f>
        <v>45892</v>
      </c>
      <c r="AB2" s="7">
        <f>DATE($A$1,$B$1,24)</f>
        <v>45893</v>
      </c>
      <c r="AC2" s="7">
        <f>DATE($A$1,$B$1,25)</f>
        <v>45894</v>
      </c>
      <c r="AD2" s="7">
        <f>DATE($A$1,$B$1,26)</f>
        <v>45895</v>
      </c>
      <c r="AE2" s="7">
        <f>DATE($A$1,$B$1,27)</f>
        <v>45896</v>
      </c>
      <c r="AF2" s="7">
        <f>DATE($A$1,$B$1,28)</f>
        <v>45897</v>
      </c>
      <c r="AG2" s="7">
        <f>DATE($A$1,$B$1,29)</f>
        <v>45898</v>
      </c>
      <c r="AH2" s="7">
        <f>DATE($A$1,$B$1,30)</f>
        <v>45899</v>
      </c>
      <c r="AI2" s="7">
        <f>DATE($A$1,$B$1,31)</f>
        <v>45900</v>
      </c>
      <c r="AJ2" s="8" t="s">
        <v>3</v>
      </c>
      <c r="AK2" s="9"/>
      <c r="AL2" s="8" t="s">
        <v>4</v>
      </c>
      <c r="AM2" s="4"/>
      <c r="AN2" s="1"/>
      <c r="AO2" s="1"/>
      <c r="AP2" s="1"/>
      <c r="AQ2" s="1"/>
      <c r="AR2" s="1"/>
      <c r="AS2" s="1"/>
      <c r="AT2" s="1"/>
      <c r="AU2" s="1"/>
    </row>
    <row r="3" ht="15.75" customHeight="1">
      <c r="A3" s="10"/>
      <c r="B3" s="10"/>
      <c r="C3" s="10"/>
      <c r="D3" s="10"/>
      <c r="E3" s="11" t="str">
        <f t="shared" ref="E3:AI3" si="1">TEXT(E2,"ddd")</f>
        <v>金</v>
      </c>
      <c r="F3" s="11" t="str">
        <f t="shared" si="1"/>
        <v>土</v>
      </c>
      <c r="G3" s="11" t="str">
        <f t="shared" si="1"/>
        <v>日</v>
      </c>
      <c r="H3" s="11" t="str">
        <f t="shared" si="1"/>
        <v>月</v>
      </c>
      <c r="I3" s="11" t="str">
        <f t="shared" si="1"/>
        <v>火</v>
      </c>
      <c r="J3" s="11" t="str">
        <f t="shared" si="1"/>
        <v>水</v>
      </c>
      <c r="K3" s="11" t="str">
        <f t="shared" si="1"/>
        <v>木</v>
      </c>
      <c r="L3" s="11" t="str">
        <f t="shared" si="1"/>
        <v>金</v>
      </c>
      <c r="M3" s="11" t="str">
        <f t="shared" si="1"/>
        <v>土</v>
      </c>
      <c r="N3" s="11" t="str">
        <f t="shared" si="1"/>
        <v>日</v>
      </c>
      <c r="O3" s="11" t="str">
        <f t="shared" si="1"/>
        <v>月</v>
      </c>
      <c r="P3" s="11" t="str">
        <f t="shared" si="1"/>
        <v>火</v>
      </c>
      <c r="Q3" s="11" t="str">
        <f t="shared" si="1"/>
        <v>水</v>
      </c>
      <c r="R3" s="11" t="str">
        <f t="shared" si="1"/>
        <v>木</v>
      </c>
      <c r="S3" s="11" t="str">
        <f t="shared" si="1"/>
        <v>金</v>
      </c>
      <c r="T3" s="11" t="str">
        <f t="shared" si="1"/>
        <v>土</v>
      </c>
      <c r="U3" s="11" t="str">
        <f t="shared" si="1"/>
        <v>日</v>
      </c>
      <c r="V3" s="11" t="str">
        <f t="shared" si="1"/>
        <v>月</v>
      </c>
      <c r="W3" s="11" t="str">
        <f t="shared" si="1"/>
        <v>火</v>
      </c>
      <c r="X3" s="11" t="str">
        <f t="shared" si="1"/>
        <v>水</v>
      </c>
      <c r="Y3" s="11" t="str">
        <f t="shared" si="1"/>
        <v>木</v>
      </c>
      <c r="Z3" s="11" t="str">
        <f t="shared" si="1"/>
        <v>金</v>
      </c>
      <c r="AA3" s="11" t="str">
        <f t="shared" si="1"/>
        <v>土</v>
      </c>
      <c r="AB3" s="11" t="str">
        <f t="shared" si="1"/>
        <v>日</v>
      </c>
      <c r="AC3" s="11" t="str">
        <f t="shared" si="1"/>
        <v>月</v>
      </c>
      <c r="AD3" s="11" t="str">
        <f t="shared" si="1"/>
        <v>火</v>
      </c>
      <c r="AE3" s="11" t="str">
        <f t="shared" si="1"/>
        <v>水</v>
      </c>
      <c r="AF3" s="11" t="str">
        <f t="shared" si="1"/>
        <v>木</v>
      </c>
      <c r="AG3" s="11" t="str">
        <f t="shared" si="1"/>
        <v>金</v>
      </c>
      <c r="AH3" s="11" t="str">
        <f t="shared" si="1"/>
        <v>土</v>
      </c>
      <c r="AI3" s="11" t="str">
        <f t="shared" si="1"/>
        <v>日</v>
      </c>
      <c r="AJ3" s="9"/>
      <c r="AK3" s="9"/>
      <c r="AL3" s="6"/>
      <c r="AM3" s="4"/>
      <c r="AN3" s="1"/>
      <c r="AO3" s="1"/>
      <c r="AP3" s="1"/>
      <c r="AQ3" s="1"/>
      <c r="AR3" s="1"/>
      <c r="AS3" s="1"/>
      <c r="AT3" s="1"/>
      <c r="AU3" s="1"/>
    </row>
    <row r="4" ht="15.75" hidden="1" customHeight="1">
      <c r="A4" s="12" t="s">
        <v>30</v>
      </c>
      <c r="B4" s="12" t="s">
        <v>31</v>
      </c>
      <c r="C4" s="12" t="s">
        <v>36</v>
      </c>
      <c r="D4" s="13" t="s">
        <v>5</v>
      </c>
      <c r="E4" s="13">
        <v>1.0</v>
      </c>
      <c r="F4" s="13">
        <v>1.0</v>
      </c>
      <c r="G4" s="13">
        <v>1.0</v>
      </c>
      <c r="H4" s="13">
        <v>1.0</v>
      </c>
      <c r="I4" s="13">
        <v>1.0</v>
      </c>
      <c r="J4" s="13">
        <v>1.0</v>
      </c>
      <c r="K4" s="13">
        <v>1.0</v>
      </c>
      <c r="L4" s="13">
        <v>1.0</v>
      </c>
      <c r="M4" s="13">
        <v>1.0</v>
      </c>
      <c r="N4" s="13">
        <v>1.0</v>
      </c>
      <c r="O4" s="13">
        <v>1.0</v>
      </c>
      <c r="P4" s="13">
        <v>1.0</v>
      </c>
      <c r="Q4" s="13">
        <v>1.0</v>
      </c>
      <c r="R4" s="13">
        <v>1.0</v>
      </c>
      <c r="S4" s="13">
        <v>1.0</v>
      </c>
      <c r="T4" s="13">
        <v>1.0</v>
      </c>
      <c r="U4" s="13">
        <v>1.0</v>
      </c>
      <c r="V4" s="13">
        <v>1.0</v>
      </c>
      <c r="W4" s="13">
        <v>1.0</v>
      </c>
      <c r="X4" s="13">
        <v>1.0</v>
      </c>
      <c r="Y4" s="13">
        <v>1.0</v>
      </c>
      <c r="Z4" s="13">
        <v>1.0</v>
      </c>
      <c r="AA4" s="13">
        <v>1.0</v>
      </c>
      <c r="AB4" s="13">
        <v>1.0</v>
      </c>
      <c r="AC4" s="13">
        <v>1.0</v>
      </c>
      <c r="AD4" s="13">
        <v>1.0</v>
      </c>
      <c r="AE4" s="13">
        <v>1.0</v>
      </c>
      <c r="AF4" s="13">
        <v>1.0</v>
      </c>
      <c r="AG4" s="13">
        <v>1.0</v>
      </c>
      <c r="AH4" s="13">
        <v>1.0</v>
      </c>
      <c r="AI4" s="13">
        <v>1.0</v>
      </c>
      <c r="AJ4" s="13">
        <f t="shared" ref="AJ4:AJ72" si="2">SUM(E4:AI4)</f>
        <v>31</v>
      </c>
      <c r="AK4" s="14">
        <f>330*AJ4</f>
        <v>10230</v>
      </c>
      <c r="AL4" s="15"/>
      <c r="AM4" s="4"/>
      <c r="AN4" s="1"/>
      <c r="AO4" s="1"/>
      <c r="AP4" s="1"/>
      <c r="AQ4" s="1"/>
      <c r="AR4" s="1"/>
      <c r="AS4" s="1"/>
      <c r="AT4" s="1"/>
      <c r="AU4" s="1"/>
    </row>
    <row r="5" ht="15.75" hidden="1" customHeight="1">
      <c r="A5" s="16"/>
      <c r="B5" s="16"/>
      <c r="C5" s="16"/>
      <c r="D5" s="13" t="s">
        <v>6</v>
      </c>
      <c r="E5" s="13">
        <v>0.0</v>
      </c>
      <c r="F5" s="13">
        <v>1.0</v>
      </c>
      <c r="G5" s="13">
        <v>1.0</v>
      </c>
      <c r="H5" s="13">
        <v>1.0</v>
      </c>
      <c r="I5" s="13">
        <v>1.0</v>
      </c>
      <c r="J5" s="13">
        <v>1.0</v>
      </c>
      <c r="K5" s="13">
        <v>1.0</v>
      </c>
      <c r="L5" s="13">
        <v>0.0</v>
      </c>
      <c r="M5" s="13">
        <v>1.0</v>
      </c>
      <c r="N5" s="13">
        <v>1.0</v>
      </c>
      <c r="O5" s="13">
        <v>1.0</v>
      </c>
      <c r="P5" s="13">
        <v>1.0</v>
      </c>
      <c r="Q5" s="13">
        <v>1.0</v>
      </c>
      <c r="R5" s="13">
        <v>1.0</v>
      </c>
      <c r="S5" s="13">
        <v>0.0</v>
      </c>
      <c r="T5" s="13">
        <v>1.0</v>
      </c>
      <c r="U5" s="13">
        <v>1.0</v>
      </c>
      <c r="V5" s="13">
        <v>1.0</v>
      </c>
      <c r="W5" s="13">
        <v>1.0</v>
      </c>
      <c r="X5" s="13">
        <v>1.0</v>
      </c>
      <c r="Y5" s="13">
        <v>1.0</v>
      </c>
      <c r="Z5" s="13">
        <v>1.0</v>
      </c>
      <c r="AA5" s="13">
        <v>1.0</v>
      </c>
      <c r="AB5" s="13">
        <v>1.0</v>
      </c>
      <c r="AC5" s="13">
        <v>1.0</v>
      </c>
      <c r="AD5" s="13">
        <v>1.0</v>
      </c>
      <c r="AE5" s="13">
        <v>1.0</v>
      </c>
      <c r="AF5" s="13">
        <v>1.0</v>
      </c>
      <c r="AG5" s="13">
        <v>0.0</v>
      </c>
      <c r="AH5" s="13">
        <v>1.0</v>
      </c>
      <c r="AI5" s="13">
        <v>1.0</v>
      </c>
      <c r="AJ5" s="13">
        <f t="shared" si="2"/>
        <v>27</v>
      </c>
      <c r="AK5" s="14">
        <f t="shared" ref="AK5:AK6" si="3">550*AJ5</f>
        <v>14850</v>
      </c>
      <c r="AL5" s="19"/>
      <c r="AM5" s="4"/>
      <c r="AN5" s="1"/>
      <c r="AO5" s="1"/>
      <c r="AP5" s="1"/>
      <c r="AQ5" s="1"/>
      <c r="AR5" s="1"/>
      <c r="AS5" s="1"/>
      <c r="AT5" s="1"/>
      <c r="AU5" s="1"/>
    </row>
    <row r="6" ht="15.75" hidden="1" customHeight="1">
      <c r="A6" s="10"/>
      <c r="B6" s="10"/>
      <c r="C6" s="10"/>
      <c r="D6" s="13" t="s">
        <v>7</v>
      </c>
      <c r="E6" s="13">
        <v>1.0</v>
      </c>
      <c r="F6" s="13">
        <v>1.0</v>
      </c>
      <c r="G6" s="13">
        <v>1.0</v>
      </c>
      <c r="H6" s="13">
        <v>1.0</v>
      </c>
      <c r="I6" s="13">
        <v>1.0</v>
      </c>
      <c r="J6" s="13">
        <v>1.0</v>
      </c>
      <c r="K6" s="13">
        <v>1.0</v>
      </c>
      <c r="L6" s="13">
        <v>1.0</v>
      </c>
      <c r="M6" s="13">
        <v>1.0</v>
      </c>
      <c r="N6" s="13">
        <v>1.0</v>
      </c>
      <c r="O6" s="13">
        <v>1.0</v>
      </c>
      <c r="P6" s="13">
        <v>1.0</v>
      </c>
      <c r="Q6" s="13">
        <v>1.0</v>
      </c>
      <c r="R6" s="13">
        <v>1.0</v>
      </c>
      <c r="S6" s="13">
        <v>1.0</v>
      </c>
      <c r="T6" s="13">
        <v>1.0</v>
      </c>
      <c r="U6" s="13">
        <v>1.0</v>
      </c>
      <c r="V6" s="13">
        <v>1.0</v>
      </c>
      <c r="W6" s="13">
        <v>1.0</v>
      </c>
      <c r="X6" s="13">
        <v>1.0</v>
      </c>
      <c r="Y6" s="13">
        <v>1.0</v>
      </c>
      <c r="Z6" s="13">
        <v>1.0</v>
      </c>
      <c r="AA6" s="13">
        <v>1.0</v>
      </c>
      <c r="AB6" s="13">
        <v>1.0</v>
      </c>
      <c r="AC6" s="13">
        <v>1.0</v>
      </c>
      <c r="AD6" s="13">
        <v>1.0</v>
      </c>
      <c r="AE6" s="13">
        <v>1.0</v>
      </c>
      <c r="AF6" s="13">
        <v>1.0</v>
      </c>
      <c r="AG6" s="13">
        <v>1.0</v>
      </c>
      <c r="AH6" s="13">
        <v>1.0</v>
      </c>
      <c r="AI6" s="13">
        <v>1.0</v>
      </c>
      <c r="AJ6" s="13">
        <f t="shared" si="2"/>
        <v>31</v>
      </c>
      <c r="AK6" s="14">
        <f t="shared" si="3"/>
        <v>17050</v>
      </c>
      <c r="AL6" s="20">
        <f>SUM(AK4:AK6)</f>
        <v>42130</v>
      </c>
      <c r="AM6" s="4"/>
      <c r="AN6" s="1"/>
      <c r="AO6" s="1"/>
      <c r="AP6" s="1"/>
      <c r="AQ6" s="1"/>
      <c r="AR6" s="1"/>
      <c r="AS6" s="1"/>
      <c r="AT6" s="1"/>
      <c r="AU6" s="1"/>
    </row>
    <row r="7" ht="15.75" hidden="1" customHeight="1">
      <c r="A7" s="21" t="s">
        <v>8</v>
      </c>
      <c r="B7" s="21" t="s">
        <v>9</v>
      </c>
      <c r="C7" s="21" t="s">
        <v>10</v>
      </c>
      <c r="D7" s="22" t="s">
        <v>5</v>
      </c>
      <c r="E7" s="22">
        <v>0.0</v>
      </c>
      <c r="F7" s="22">
        <v>0.0</v>
      </c>
      <c r="G7" s="22">
        <v>0.0</v>
      </c>
      <c r="H7" s="22">
        <v>0.0</v>
      </c>
      <c r="I7" s="22">
        <v>0.0</v>
      </c>
      <c r="J7" s="22">
        <v>0.0</v>
      </c>
      <c r="K7" s="22">
        <v>0.0</v>
      </c>
      <c r="L7" s="22">
        <v>0.0</v>
      </c>
      <c r="M7" s="22">
        <v>0.0</v>
      </c>
      <c r="N7" s="22">
        <v>0.0</v>
      </c>
      <c r="O7" s="22">
        <v>0.0</v>
      </c>
      <c r="P7" s="22">
        <v>0.0</v>
      </c>
      <c r="Q7" s="22">
        <v>0.0</v>
      </c>
      <c r="R7" s="22">
        <v>0.0</v>
      </c>
      <c r="S7" s="22">
        <v>0.0</v>
      </c>
      <c r="T7" s="22">
        <v>0.0</v>
      </c>
      <c r="U7" s="22">
        <v>0.0</v>
      </c>
      <c r="V7" s="22">
        <v>0.0</v>
      </c>
      <c r="W7" s="22">
        <v>0.0</v>
      </c>
      <c r="X7" s="22">
        <v>0.0</v>
      </c>
      <c r="Y7" s="22">
        <v>0.0</v>
      </c>
      <c r="Z7" s="22">
        <v>0.0</v>
      </c>
      <c r="AA7" s="22">
        <v>0.0</v>
      </c>
      <c r="AB7" s="22">
        <v>0.0</v>
      </c>
      <c r="AC7" s="22">
        <v>0.0</v>
      </c>
      <c r="AD7" s="22">
        <v>0.0</v>
      </c>
      <c r="AE7" s="22">
        <v>0.0</v>
      </c>
      <c r="AF7" s="22">
        <v>0.0</v>
      </c>
      <c r="AG7" s="22">
        <v>0.0</v>
      </c>
      <c r="AH7" s="22">
        <v>0.0</v>
      </c>
      <c r="AI7" s="22">
        <v>0.0</v>
      </c>
      <c r="AJ7" s="22">
        <f t="shared" si="2"/>
        <v>0</v>
      </c>
      <c r="AK7" s="23">
        <f>330*AJ7</f>
        <v>0</v>
      </c>
      <c r="AL7" s="24"/>
      <c r="AM7" s="25"/>
      <c r="AN7" s="1"/>
      <c r="AO7" s="1"/>
      <c r="AP7" s="1"/>
      <c r="AQ7" s="1"/>
      <c r="AR7" s="1"/>
      <c r="AS7" s="1"/>
      <c r="AT7" s="1"/>
      <c r="AU7" s="1"/>
    </row>
    <row r="8" ht="15.75" hidden="1" customHeight="1">
      <c r="A8" s="16"/>
      <c r="B8" s="16"/>
      <c r="C8" s="16"/>
      <c r="D8" s="22" t="s">
        <v>6</v>
      </c>
      <c r="E8" s="22">
        <v>0.0</v>
      </c>
      <c r="F8" s="22">
        <v>0.0</v>
      </c>
      <c r="G8" s="22">
        <v>0.0</v>
      </c>
      <c r="H8" s="22">
        <v>0.0</v>
      </c>
      <c r="I8" s="22">
        <v>0.0</v>
      </c>
      <c r="J8" s="22">
        <v>0.0</v>
      </c>
      <c r="K8" s="22">
        <v>0.0</v>
      </c>
      <c r="L8" s="22">
        <v>0.0</v>
      </c>
      <c r="M8" s="22">
        <v>0.0</v>
      </c>
      <c r="N8" s="22">
        <v>0.0</v>
      </c>
      <c r="O8" s="22">
        <v>0.0</v>
      </c>
      <c r="P8" s="22">
        <v>0.0</v>
      </c>
      <c r="Q8" s="22">
        <v>0.0</v>
      </c>
      <c r="R8" s="22">
        <v>0.0</v>
      </c>
      <c r="S8" s="22">
        <v>0.0</v>
      </c>
      <c r="T8" s="22">
        <v>0.0</v>
      </c>
      <c r="U8" s="22">
        <v>0.0</v>
      </c>
      <c r="V8" s="22">
        <v>0.0</v>
      </c>
      <c r="W8" s="22">
        <v>0.0</v>
      </c>
      <c r="X8" s="22">
        <v>0.0</v>
      </c>
      <c r="Y8" s="22">
        <v>0.0</v>
      </c>
      <c r="Z8" s="22">
        <v>0.0</v>
      </c>
      <c r="AA8" s="22">
        <v>0.0</v>
      </c>
      <c r="AB8" s="22">
        <v>0.0</v>
      </c>
      <c r="AC8" s="22">
        <v>0.0</v>
      </c>
      <c r="AD8" s="22">
        <v>0.0</v>
      </c>
      <c r="AE8" s="22">
        <v>0.0</v>
      </c>
      <c r="AF8" s="22">
        <v>0.0</v>
      </c>
      <c r="AG8" s="22">
        <v>0.0</v>
      </c>
      <c r="AH8" s="22">
        <v>0.0</v>
      </c>
      <c r="AI8" s="22">
        <v>0.0</v>
      </c>
      <c r="AJ8" s="22">
        <f t="shared" si="2"/>
        <v>0</v>
      </c>
      <c r="AK8" s="23">
        <f t="shared" ref="AK8:AK9" si="4">550*AJ8</f>
        <v>0</v>
      </c>
      <c r="AL8" s="24"/>
      <c r="AN8" s="1"/>
      <c r="AO8" s="1"/>
      <c r="AP8" s="1"/>
      <c r="AQ8" s="1"/>
      <c r="AR8" s="1"/>
      <c r="AS8" s="1"/>
      <c r="AT8" s="1"/>
      <c r="AU8" s="1"/>
    </row>
    <row r="9" ht="15.75" hidden="1" customHeight="1">
      <c r="A9" s="10"/>
      <c r="B9" s="10"/>
      <c r="C9" s="10"/>
      <c r="D9" s="22" t="s">
        <v>7</v>
      </c>
      <c r="E9" s="22">
        <v>0.0</v>
      </c>
      <c r="F9" s="22">
        <v>0.0</v>
      </c>
      <c r="G9" s="22">
        <v>0.0</v>
      </c>
      <c r="H9" s="22">
        <v>0.0</v>
      </c>
      <c r="I9" s="22">
        <v>0.0</v>
      </c>
      <c r="J9" s="22">
        <v>0.0</v>
      </c>
      <c r="K9" s="22">
        <v>0.0</v>
      </c>
      <c r="L9" s="22">
        <v>0.0</v>
      </c>
      <c r="M9" s="22">
        <v>0.0</v>
      </c>
      <c r="N9" s="22">
        <v>0.0</v>
      </c>
      <c r="O9" s="22">
        <v>0.0</v>
      </c>
      <c r="P9" s="22">
        <v>0.0</v>
      </c>
      <c r="Q9" s="22">
        <v>0.0</v>
      </c>
      <c r="R9" s="22">
        <v>0.0</v>
      </c>
      <c r="S9" s="22">
        <v>0.0</v>
      </c>
      <c r="T9" s="22">
        <v>0.0</v>
      </c>
      <c r="U9" s="22">
        <v>0.0</v>
      </c>
      <c r="V9" s="22">
        <v>0.0</v>
      </c>
      <c r="W9" s="22">
        <v>0.0</v>
      </c>
      <c r="X9" s="22">
        <v>0.0</v>
      </c>
      <c r="Y9" s="22">
        <v>0.0</v>
      </c>
      <c r="Z9" s="22">
        <v>0.0</v>
      </c>
      <c r="AA9" s="22">
        <v>0.0</v>
      </c>
      <c r="AB9" s="22">
        <v>0.0</v>
      </c>
      <c r="AC9" s="22">
        <v>0.0</v>
      </c>
      <c r="AD9" s="22">
        <v>0.0</v>
      </c>
      <c r="AE9" s="22">
        <v>0.0</v>
      </c>
      <c r="AF9" s="22">
        <v>0.0</v>
      </c>
      <c r="AG9" s="22">
        <v>0.0</v>
      </c>
      <c r="AH9" s="22">
        <v>0.0</v>
      </c>
      <c r="AI9" s="22">
        <v>0.0</v>
      </c>
      <c r="AJ9" s="22">
        <f t="shared" si="2"/>
        <v>0</v>
      </c>
      <c r="AK9" s="23">
        <f t="shared" si="4"/>
        <v>0</v>
      </c>
      <c r="AL9" s="26">
        <f>SUM(AK7:AK9)</f>
        <v>0</v>
      </c>
      <c r="AN9" s="1"/>
      <c r="AO9" s="1"/>
      <c r="AP9" s="1"/>
      <c r="AQ9" s="1"/>
      <c r="AR9" s="1"/>
      <c r="AS9" s="1"/>
      <c r="AT9" s="1"/>
      <c r="AU9" s="1"/>
    </row>
    <row r="10" ht="15.75" customHeight="1">
      <c r="A10" s="12" t="s">
        <v>11</v>
      </c>
      <c r="B10" s="12" t="s">
        <v>12</v>
      </c>
      <c r="C10" s="12" t="s">
        <v>37</v>
      </c>
      <c r="D10" s="13" t="s">
        <v>5</v>
      </c>
      <c r="E10" s="18">
        <v>0.0</v>
      </c>
      <c r="F10" s="18">
        <v>0.0</v>
      </c>
      <c r="G10" s="18">
        <v>0.0</v>
      </c>
      <c r="H10" s="18">
        <v>0.0</v>
      </c>
      <c r="I10" s="18">
        <v>0.0</v>
      </c>
      <c r="J10" s="18">
        <v>0.0</v>
      </c>
      <c r="K10" s="18">
        <v>0.0</v>
      </c>
      <c r="L10" s="18">
        <v>0.0</v>
      </c>
      <c r="M10" s="18">
        <v>0.0</v>
      </c>
      <c r="N10" s="18">
        <v>0.0</v>
      </c>
      <c r="O10" s="18">
        <v>0.0</v>
      </c>
      <c r="P10" s="18">
        <v>0.0</v>
      </c>
      <c r="Q10" s="18">
        <v>0.0</v>
      </c>
      <c r="R10" s="18">
        <v>0.0</v>
      </c>
      <c r="S10" s="18">
        <v>0.0</v>
      </c>
      <c r="T10" s="18">
        <v>0.0</v>
      </c>
      <c r="U10" s="18">
        <v>0.0</v>
      </c>
      <c r="V10" s="18">
        <v>0.0</v>
      </c>
      <c r="W10" s="18">
        <v>0.0</v>
      </c>
      <c r="X10" s="18">
        <v>0.0</v>
      </c>
      <c r="Y10" s="18">
        <v>0.0</v>
      </c>
      <c r="Z10" s="18">
        <v>0.0</v>
      </c>
      <c r="AA10" s="18">
        <v>0.0</v>
      </c>
      <c r="AB10" s="18">
        <v>0.0</v>
      </c>
      <c r="AC10" s="18">
        <v>0.0</v>
      </c>
      <c r="AD10" s="18">
        <v>0.0</v>
      </c>
      <c r="AE10" s="18">
        <v>0.0</v>
      </c>
      <c r="AF10" s="18">
        <v>0.0</v>
      </c>
      <c r="AG10" s="18">
        <v>0.0</v>
      </c>
      <c r="AH10" s="18">
        <v>0.0</v>
      </c>
      <c r="AI10" s="18">
        <v>0.0</v>
      </c>
      <c r="AJ10" s="13">
        <f t="shared" si="2"/>
        <v>0</v>
      </c>
      <c r="AK10" s="14">
        <f>330*AJ10</f>
        <v>0</v>
      </c>
      <c r="AL10" s="19"/>
      <c r="AM10" s="4"/>
      <c r="AN10" s="1"/>
      <c r="AO10" s="1"/>
      <c r="AP10" s="1"/>
      <c r="AQ10" s="1"/>
      <c r="AR10" s="1"/>
      <c r="AS10" s="1"/>
      <c r="AT10" s="1"/>
      <c r="AU10" s="1"/>
    </row>
    <row r="11" ht="15.75" customHeight="1">
      <c r="A11" s="16"/>
      <c r="B11" s="16"/>
      <c r="C11" s="16"/>
      <c r="D11" s="13" t="s">
        <v>6</v>
      </c>
      <c r="E11" s="13">
        <v>1.0</v>
      </c>
      <c r="F11" s="13">
        <v>1.0</v>
      </c>
      <c r="G11" s="13">
        <v>1.0</v>
      </c>
      <c r="H11" s="13">
        <v>1.0</v>
      </c>
      <c r="I11" s="13">
        <v>1.0</v>
      </c>
      <c r="J11" s="13">
        <v>1.0</v>
      </c>
      <c r="K11" s="13">
        <v>1.0</v>
      </c>
      <c r="L11" s="13">
        <v>1.0</v>
      </c>
      <c r="M11" s="13">
        <v>1.0</v>
      </c>
      <c r="N11" s="13">
        <v>1.0</v>
      </c>
      <c r="O11" s="13">
        <v>1.0</v>
      </c>
      <c r="P11" s="13">
        <v>1.0</v>
      </c>
      <c r="Q11" s="13">
        <v>1.0</v>
      </c>
      <c r="R11" s="13">
        <v>0.0</v>
      </c>
      <c r="S11" s="13">
        <v>0.0</v>
      </c>
      <c r="T11" s="13">
        <v>0.0</v>
      </c>
      <c r="U11" s="13">
        <v>0.0</v>
      </c>
      <c r="V11" s="13">
        <v>0.0</v>
      </c>
      <c r="W11" s="13">
        <v>0.0</v>
      </c>
      <c r="X11" s="13">
        <v>1.0</v>
      </c>
      <c r="Y11" s="13">
        <v>1.0</v>
      </c>
      <c r="Z11" s="13">
        <v>1.0</v>
      </c>
      <c r="AA11" s="13">
        <v>1.0</v>
      </c>
      <c r="AB11" s="13">
        <v>1.0</v>
      </c>
      <c r="AC11" s="13">
        <v>1.0</v>
      </c>
      <c r="AD11" s="13">
        <v>1.0</v>
      </c>
      <c r="AE11" s="13">
        <v>1.0</v>
      </c>
      <c r="AF11" s="13">
        <v>1.0</v>
      </c>
      <c r="AG11" s="13">
        <v>1.0</v>
      </c>
      <c r="AH11" s="13">
        <v>1.0</v>
      </c>
      <c r="AI11" s="13">
        <v>1.0</v>
      </c>
      <c r="AJ11" s="13">
        <f t="shared" si="2"/>
        <v>25</v>
      </c>
      <c r="AK11" s="14">
        <f t="shared" ref="AK11:AK12" si="5">550*AJ11</f>
        <v>13750</v>
      </c>
      <c r="AL11" s="19"/>
      <c r="AM11" s="27"/>
      <c r="AN11" s="1"/>
      <c r="AO11" s="1"/>
      <c r="AP11" s="1"/>
      <c r="AQ11" s="1"/>
      <c r="AR11" s="1"/>
      <c r="AS11" s="1"/>
      <c r="AT11" s="1"/>
      <c r="AU11" s="1"/>
    </row>
    <row r="12" ht="15.75" customHeight="1">
      <c r="A12" s="10"/>
      <c r="B12" s="10"/>
      <c r="C12" s="10"/>
      <c r="D12" s="13" t="s">
        <v>7</v>
      </c>
      <c r="E12" s="13" t="s">
        <v>35</v>
      </c>
      <c r="F12" s="13" t="s">
        <v>35</v>
      </c>
      <c r="G12" s="13" t="s">
        <v>35</v>
      </c>
      <c r="H12" s="13" t="s">
        <v>35</v>
      </c>
      <c r="I12" s="13" t="s">
        <v>35</v>
      </c>
      <c r="J12" s="13" t="s">
        <v>35</v>
      </c>
      <c r="K12" s="13" t="s">
        <v>35</v>
      </c>
      <c r="L12" s="13" t="s">
        <v>35</v>
      </c>
      <c r="M12" s="13" t="s">
        <v>35</v>
      </c>
      <c r="N12" s="13" t="s">
        <v>35</v>
      </c>
      <c r="O12" s="13" t="s">
        <v>35</v>
      </c>
      <c r="P12" s="13" t="s">
        <v>35</v>
      </c>
      <c r="Q12" s="13" t="s">
        <v>35</v>
      </c>
      <c r="R12" s="13" t="s">
        <v>35</v>
      </c>
      <c r="S12" s="13" t="s">
        <v>35</v>
      </c>
      <c r="T12" s="13" t="s">
        <v>35</v>
      </c>
      <c r="U12" s="13" t="s">
        <v>35</v>
      </c>
      <c r="V12" s="13" t="s">
        <v>35</v>
      </c>
      <c r="W12" s="13" t="s">
        <v>35</v>
      </c>
      <c r="X12" s="13" t="s">
        <v>35</v>
      </c>
      <c r="Y12" s="13" t="s">
        <v>35</v>
      </c>
      <c r="Z12" s="13" t="s">
        <v>35</v>
      </c>
      <c r="AA12" s="13" t="s">
        <v>35</v>
      </c>
      <c r="AB12" s="13" t="s">
        <v>35</v>
      </c>
      <c r="AC12" s="13" t="s">
        <v>35</v>
      </c>
      <c r="AD12" s="13" t="s">
        <v>35</v>
      </c>
      <c r="AE12" s="13" t="s">
        <v>35</v>
      </c>
      <c r="AF12" s="13" t="s">
        <v>35</v>
      </c>
      <c r="AG12" s="13" t="s">
        <v>35</v>
      </c>
      <c r="AH12" s="13" t="s">
        <v>35</v>
      </c>
      <c r="AI12" s="13" t="s">
        <v>35</v>
      </c>
      <c r="AJ12" s="13">
        <f t="shared" si="2"/>
        <v>0</v>
      </c>
      <c r="AK12" s="14">
        <f t="shared" si="5"/>
        <v>0</v>
      </c>
      <c r="AL12" s="20">
        <f>SUM(AK10:AK12)</f>
        <v>13750</v>
      </c>
      <c r="AM12" s="4"/>
      <c r="AN12" s="1"/>
      <c r="AO12" s="1"/>
      <c r="AP12" s="1"/>
      <c r="AQ12" s="1"/>
      <c r="AR12" s="1"/>
      <c r="AS12" s="1"/>
      <c r="AT12" s="1"/>
      <c r="AU12" s="1"/>
    </row>
    <row r="13" ht="15.75" customHeight="1">
      <c r="A13" s="21" t="s">
        <v>14</v>
      </c>
      <c r="B13" s="21" t="s">
        <v>15</v>
      </c>
      <c r="C13" s="21"/>
      <c r="D13" s="22" t="s">
        <v>5</v>
      </c>
      <c r="E13" s="28">
        <v>1.0</v>
      </c>
      <c r="F13" s="28">
        <v>1.0</v>
      </c>
      <c r="G13" s="28">
        <v>1.0</v>
      </c>
      <c r="H13" s="28">
        <v>1.0</v>
      </c>
      <c r="I13" s="28">
        <v>1.0</v>
      </c>
      <c r="J13" s="28">
        <v>1.0</v>
      </c>
      <c r="K13" s="28">
        <v>1.0</v>
      </c>
      <c r="L13" s="28">
        <v>1.0</v>
      </c>
      <c r="M13" s="28">
        <v>1.0</v>
      </c>
      <c r="N13" s="28">
        <v>1.0</v>
      </c>
      <c r="O13" s="28">
        <v>1.0</v>
      </c>
      <c r="P13" s="28">
        <v>1.0</v>
      </c>
      <c r="Q13" s="28">
        <v>1.0</v>
      </c>
      <c r="R13" s="28">
        <v>1.0</v>
      </c>
      <c r="S13" s="28">
        <v>1.0</v>
      </c>
      <c r="T13" s="28">
        <v>1.0</v>
      </c>
      <c r="U13" s="28">
        <v>1.0</v>
      </c>
      <c r="V13" s="28">
        <v>1.0</v>
      </c>
      <c r="W13" s="28">
        <v>1.0</v>
      </c>
      <c r="X13" s="28">
        <v>1.0</v>
      </c>
      <c r="Y13" s="28">
        <v>1.0</v>
      </c>
      <c r="Z13" s="28">
        <v>1.0</v>
      </c>
      <c r="AA13" s="28">
        <v>1.0</v>
      </c>
      <c r="AB13" s="28">
        <v>1.0</v>
      </c>
      <c r="AC13" s="28">
        <v>1.0</v>
      </c>
      <c r="AD13" s="28">
        <v>1.0</v>
      </c>
      <c r="AE13" s="28">
        <v>1.0</v>
      </c>
      <c r="AF13" s="28">
        <v>1.0</v>
      </c>
      <c r="AG13" s="22">
        <v>1.0</v>
      </c>
      <c r="AH13" s="22">
        <v>1.0</v>
      </c>
      <c r="AI13" s="22">
        <v>1.0</v>
      </c>
      <c r="AJ13" s="22">
        <f t="shared" si="2"/>
        <v>31</v>
      </c>
      <c r="AK13" s="23">
        <f>330*AJ13</f>
        <v>10230</v>
      </c>
      <c r="AL13" s="24"/>
      <c r="AM13" s="25"/>
      <c r="AN13" s="1"/>
      <c r="AO13" s="1"/>
      <c r="AP13" s="1"/>
      <c r="AQ13" s="1"/>
      <c r="AR13" s="1"/>
      <c r="AS13" s="1"/>
      <c r="AT13" s="1"/>
      <c r="AU13" s="1"/>
    </row>
    <row r="14" ht="15.75" customHeight="1">
      <c r="A14" s="16"/>
      <c r="B14" s="16"/>
      <c r="C14" s="16"/>
      <c r="D14" s="22" t="s">
        <v>6</v>
      </c>
      <c r="E14" s="28">
        <v>1.0</v>
      </c>
      <c r="F14" s="28">
        <v>1.0</v>
      </c>
      <c r="G14" s="28">
        <v>1.0</v>
      </c>
      <c r="H14" s="28">
        <v>1.0</v>
      </c>
      <c r="I14" s="28">
        <v>1.0</v>
      </c>
      <c r="J14" s="28">
        <v>1.0</v>
      </c>
      <c r="K14" s="28">
        <v>1.0</v>
      </c>
      <c r="L14" s="28">
        <v>1.0</v>
      </c>
      <c r="M14" s="28">
        <v>1.0</v>
      </c>
      <c r="N14" s="28">
        <v>1.0</v>
      </c>
      <c r="O14" s="28">
        <v>1.0</v>
      </c>
      <c r="P14" s="28">
        <v>1.0</v>
      </c>
      <c r="Q14" s="28">
        <v>1.0</v>
      </c>
      <c r="R14" s="28">
        <v>1.0</v>
      </c>
      <c r="S14" s="28">
        <v>1.0</v>
      </c>
      <c r="T14" s="28">
        <v>1.0</v>
      </c>
      <c r="U14" s="28">
        <v>1.0</v>
      </c>
      <c r="V14" s="28">
        <v>1.0</v>
      </c>
      <c r="W14" s="28">
        <v>1.0</v>
      </c>
      <c r="X14" s="28">
        <v>1.0</v>
      </c>
      <c r="Y14" s="28">
        <v>1.0</v>
      </c>
      <c r="Z14" s="28">
        <v>1.0</v>
      </c>
      <c r="AA14" s="28">
        <v>1.0</v>
      </c>
      <c r="AB14" s="28">
        <v>1.0</v>
      </c>
      <c r="AC14" s="28">
        <v>1.0</v>
      </c>
      <c r="AD14" s="28">
        <v>1.0</v>
      </c>
      <c r="AE14" s="28">
        <v>1.0</v>
      </c>
      <c r="AF14" s="28">
        <v>1.0</v>
      </c>
      <c r="AG14" s="22">
        <v>1.0</v>
      </c>
      <c r="AH14" s="22">
        <v>1.0</v>
      </c>
      <c r="AI14" s="22">
        <v>1.0</v>
      </c>
      <c r="AJ14" s="22">
        <f t="shared" si="2"/>
        <v>31</v>
      </c>
      <c r="AK14" s="23">
        <f t="shared" ref="AK14:AK15" si="6">550*AJ14</f>
        <v>17050</v>
      </c>
      <c r="AL14" s="24"/>
      <c r="AM14" s="4"/>
      <c r="AN14" s="1"/>
      <c r="AO14" s="1"/>
      <c r="AP14" s="1"/>
      <c r="AQ14" s="1"/>
      <c r="AR14" s="1"/>
      <c r="AS14" s="1"/>
      <c r="AT14" s="1"/>
      <c r="AU14" s="1"/>
    </row>
    <row r="15" ht="15.75" customHeight="1">
      <c r="A15" s="10"/>
      <c r="B15" s="10"/>
      <c r="C15" s="10"/>
      <c r="D15" s="22" t="s">
        <v>7</v>
      </c>
      <c r="E15" s="28">
        <v>1.0</v>
      </c>
      <c r="F15" s="28">
        <v>1.0</v>
      </c>
      <c r="G15" s="28">
        <v>1.0</v>
      </c>
      <c r="H15" s="28">
        <v>1.0</v>
      </c>
      <c r="I15" s="28">
        <v>1.0</v>
      </c>
      <c r="J15" s="28">
        <v>1.0</v>
      </c>
      <c r="K15" s="28">
        <v>1.0</v>
      </c>
      <c r="L15" s="28">
        <v>1.0</v>
      </c>
      <c r="M15" s="28">
        <v>1.0</v>
      </c>
      <c r="N15" s="28">
        <v>1.0</v>
      </c>
      <c r="O15" s="28">
        <v>1.0</v>
      </c>
      <c r="P15" s="28">
        <v>1.0</v>
      </c>
      <c r="Q15" s="28">
        <v>1.0</v>
      </c>
      <c r="R15" s="28">
        <v>1.0</v>
      </c>
      <c r="S15" s="28">
        <v>1.0</v>
      </c>
      <c r="T15" s="28">
        <v>1.0</v>
      </c>
      <c r="U15" s="28">
        <v>1.0</v>
      </c>
      <c r="V15" s="28">
        <v>1.0</v>
      </c>
      <c r="W15" s="28">
        <v>1.0</v>
      </c>
      <c r="X15" s="28">
        <v>1.0</v>
      </c>
      <c r="Y15" s="28">
        <v>1.0</v>
      </c>
      <c r="Z15" s="28">
        <v>1.0</v>
      </c>
      <c r="AA15" s="28">
        <v>1.0</v>
      </c>
      <c r="AB15" s="28">
        <v>1.0</v>
      </c>
      <c r="AC15" s="28">
        <v>1.0</v>
      </c>
      <c r="AD15" s="28">
        <v>1.0</v>
      </c>
      <c r="AE15" s="28">
        <v>1.0</v>
      </c>
      <c r="AF15" s="28">
        <v>1.0</v>
      </c>
      <c r="AG15" s="22">
        <v>1.0</v>
      </c>
      <c r="AH15" s="22">
        <v>1.0</v>
      </c>
      <c r="AI15" s="22">
        <v>1.0</v>
      </c>
      <c r="AJ15" s="22">
        <f t="shared" si="2"/>
        <v>31</v>
      </c>
      <c r="AK15" s="23">
        <f t="shared" si="6"/>
        <v>17050</v>
      </c>
      <c r="AL15" s="26">
        <f>SUM(AK13:AK15)</f>
        <v>44330</v>
      </c>
      <c r="AM15" s="4"/>
      <c r="AN15" s="1"/>
      <c r="AO15" s="1"/>
      <c r="AP15" s="1"/>
      <c r="AQ15" s="1"/>
      <c r="AR15" s="1"/>
      <c r="AS15" s="1"/>
      <c r="AT15" s="1"/>
      <c r="AU15" s="1"/>
    </row>
    <row r="16" ht="15.75" customHeight="1">
      <c r="A16" s="12" t="s">
        <v>16</v>
      </c>
      <c r="B16" s="12" t="s">
        <v>17</v>
      </c>
      <c r="C16" s="12" t="s">
        <v>10</v>
      </c>
      <c r="D16" s="13" t="s">
        <v>5</v>
      </c>
      <c r="E16" s="18">
        <v>0.0</v>
      </c>
      <c r="F16" s="18">
        <v>0.0</v>
      </c>
      <c r="G16" s="18">
        <v>0.0</v>
      </c>
      <c r="H16" s="18">
        <v>0.0</v>
      </c>
      <c r="I16" s="18">
        <v>0.0</v>
      </c>
      <c r="J16" s="18">
        <v>0.0</v>
      </c>
      <c r="K16" s="18">
        <v>0.0</v>
      </c>
      <c r="L16" s="18">
        <v>0.0</v>
      </c>
      <c r="M16" s="18">
        <v>0.0</v>
      </c>
      <c r="N16" s="18">
        <v>0.0</v>
      </c>
      <c r="O16" s="18">
        <v>0.0</v>
      </c>
      <c r="P16" s="18">
        <v>0.0</v>
      </c>
      <c r="Q16" s="18">
        <v>0.0</v>
      </c>
      <c r="R16" s="18">
        <v>0.0</v>
      </c>
      <c r="S16" s="18">
        <v>0.0</v>
      </c>
      <c r="T16" s="18">
        <v>0.0</v>
      </c>
      <c r="U16" s="18">
        <v>0.0</v>
      </c>
      <c r="V16" s="18">
        <v>0.0</v>
      </c>
      <c r="W16" s="18">
        <v>0.0</v>
      </c>
      <c r="X16" s="18">
        <v>0.0</v>
      </c>
      <c r="Y16" s="18">
        <v>0.0</v>
      </c>
      <c r="Z16" s="18">
        <v>0.0</v>
      </c>
      <c r="AA16" s="18">
        <v>0.0</v>
      </c>
      <c r="AB16" s="18">
        <v>0.0</v>
      </c>
      <c r="AC16" s="18">
        <v>0.0</v>
      </c>
      <c r="AD16" s="18">
        <v>0.0</v>
      </c>
      <c r="AE16" s="18">
        <v>0.0</v>
      </c>
      <c r="AF16" s="18">
        <v>0.0</v>
      </c>
      <c r="AG16" s="18">
        <v>0.0</v>
      </c>
      <c r="AH16" s="18">
        <v>0.0</v>
      </c>
      <c r="AI16" s="18">
        <v>0.0</v>
      </c>
      <c r="AJ16" s="13">
        <f t="shared" si="2"/>
        <v>0</v>
      </c>
      <c r="AK16" s="14">
        <f>330*AJ16</f>
        <v>0</v>
      </c>
      <c r="AL16" s="19"/>
      <c r="AM16" s="25"/>
      <c r="AN16" s="1"/>
      <c r="AO16" s="1"/>
      <c r="AP16" s="1"/>
      <c r="AQ16" s="1"/>
      <c r="AR16" s="1"/>
      <c r="AS16" s="1"/>
      <c r="AT16" s="1"/>
      <c r="AU16" s="1"/>
    </row>
    <row r="17" ht="15.75" customHeight="1">
      <c r="A17" s="16"/>
      <c r="B17" s="16"/>
      <c r="C17" s="16"/>
      <c r="D17" s="13" t="s">
        <v>6</v>
      </c>
      <c r="E17" s="18">
        <v>0.0</v>
      </c>
      <c r="F17" s="18">
        <v>0.0</v>
      </c>
      <c r="G17" s="18">
        <v>0.0</v>
      </c>
      <c r="H17" s="18">
        <v>0.0</v>
      </c>
      <c r="I17" s="18">
        <v>0.0</v>
      </c>
      <c r="J17" s="18">
        <v>0.0</v>
      </c>
      <c r="K17" s="18">
        <v>0.0</v>
      </c>
      <c r="L17" s="18">
        <v>0.0</v>
      </c>
      <c r="M17" s="18">
        <v>0.0</v>
      </c>
      <c r="N17" s="18">
        <v>0.0</v>
      </c>
      <c r="O17" s="18">
        <v>0.0</v>
      </c>
      <c r="P17" s="18">
        <v>0.0</v>
      </c>
      <c r="Q17" s="18">
        <v>0.0</v>
      </c>
      <c r="R17" s="18">
        <v>0.0</v>
      </c>
      <c r="S17" s="18">
        <v>0.0</v>
      </c>
      <c r="T17" s="18">
        <v>0.0</v>
      </c>
      <c r="U17" s="18">
        <v>0.0</v>
      </c>
      <c r="V17" s="18">
        <v>0.0</v>
      </c>
      <c r="W17" s="18">
        <v>0.0</v>
      </c>
      <c r="X17" s="18">
        <v>0.0</v>
      </c>
      <c r="Y17" s="18">
        <v>0.0</v>
      </c>
      <c r="Z17" s="18">
        <v>0.0</v>
      </c>
      <c r="AA17" s="18">
        <v>0.0</v>
      </c>
      <c r="AB17" s="18">
        <v>0.0</v>
      </c>
      <c r="AC17" s="18">
        <v>0.0</v>
      </c>
      <c r="AD17" s="18">
        <v>0.0</v>
      </c>
      <c r="AE17" s="18">
        <v>0.0</v>
      </c>
      <c r="AF17" s="18">
        <v>0.0</v>
      </c>
      <c r="AG17" s="18">
        <v>0.0</v>
      </c>
      <c r="AH17" s="18">
        <v>0.0</v>
      </c>
      <c r="AI17" s="18">
        <v>0.0</v>
      </c>
      <c r="AJ17" s="13">
        <f t="shared" si="2"/>
        <v>0</v>
      </c>
      <c r="AK17" s="14">
        <f t="shared" ref="AK17:AK18" si="7">550*AJ17</f>
        <v>0</v>
      </c>
      <c r="AL17" s="19"/>
      <c r="AN17" s="1"/>
      <c r="AO17" s="1"/>
      <c r="AP17" s="1"/>
      <c r="AQ17" s="1"/>
      <c r="AR17" s="1"/>
      <c r="AS17" s="1"/>
      <c r="AT17" s="1"/>
      <c r="AU17" s="1"/>
    </row>
    <row r="18" ht="15.75" customHeight="1">
      <c r="A18" s="10"/>
      <c r="B18" s="10"/>
      <c r="C18" s="10"/>
      <c r="D18" s="13" t="s">
        <v>7</v>
      </c>
      <c r="E18" s="18">
        <v>0.0</v>
      </c>
      <c r="F18" s="18">
        <v>0.0</v>
      </c>
      <c r="G18" s="18">
        <v>0.0</v>
      </c>
      <c r="H18" s="18">
        <v>0.0</v>
      </c>
      <c r="I18" s="18">
        <v>0.0</v>
      </c>
      <c r="J18" s="18">
        <v>0.0</v>
      </c>
      <c r="K18" s="18">
        <v>0.0</v>
      </c>
      <c r="L18" s="18">
        <v>0.0</v>
      </c>
      <c r="M18" s="18">
        <v>0.0</v>
      </c>
      <c r="N18" s="18">
        <v>0.0</v>
      </c>
      <c r="O18" s="18">
        <v>0.0</v>
      </c>
      <c r="P18" s="18">
        <v>0.0</v>
      </c>
      <c r="Q18" s="18">
        <v>0.0</v>
      </c>
      <c r="R18" s="18">
        <v>0.0</v>
      </c>
      <c r="S18" s="18">
        <v>0.0</v>
      </c>
      <c r="T18" s="18">
        <v>0.0</v>
      </c>
      <c r="U18" s="18">
        <v>0.0</v>
      </c>
      <c r="V18" s="18">
        <v>0.0</v>
      </c>
      <c r="W18" s="18">
        <v>0.0</v>
      </c>
      <c r="X18" s="18">
        <v>0.0</v>
      </c>
      <c r="Y18" s="18">
        <v>0.0</v>
      </c>
      <c r="Z18" s="18">
        <v>0.0</v>
      </c>
      <c r="AA18" s="18">
        <v>0.0</v>
      </c>
      <c r="AB18" s="18">
        <v>0.0</v>
      </c>
      <c r="AC18" s="18">
        <v>0.0</v>
      </c>
      <c r="AD18" s="18">
        <v>0.0</v>
      </c>
      <c r="AE18" s="18">
        <v>0.0</v>
      </c>
      <c r="AF18" s="18">
        <v>0.0</v>
      </c>
      <c r="AG18" s="18">
        <v>0.0</v>
      </c>
      <c r="AH18" s="18">
        <v>0.0</v>
      </c>
      <c r="AI18" s="18">
        <v>0.0</v>
      </c>
      <c r="AJ18" s="13">
        <f t="shared" si="2"/>
        <v>0</v>
      </c>
      <c r="AK18" s="14">
        <f t="shared" si="7"/>
        <v>0</v>
      </c>
      <c r="AL18" s="20">
        <f>SUM(AK16:AK18)</f>
        <v>0</v>
      </c>
      <c r="AN18" s="1"/>
      <c r="AO18" s="1"/>
      <c r="AP18" s="1"/>
      <c r="AQ18" s="1"/>
      <c r="AR18" s="1"/>
      <c r="AS18" s="1"/>
      <c r="AT18" s="1"/>
      <c r="AU18" s="1"/>
    </row>
    <row r="19" ht="15.75" customHeight="1">
      <c r="A19" s="29" t="s">
        <v>18</v>
      </c>
      <c r="B19" s="29" t="s">
        <v>19</v>
      </c>
      <c r="C19" s="29" t="s">
        <v>20</v>
      </c>
      <c r="D19" s="28" t="s">
        <v>5</v>
      </c>
      <c r="E19" s="22">
        <v>0.0</v>
      </c>
      <c r="F19" s="22">
        <v>0.0</v>
      </c>
      <c r="G19" s="22">
        <v>0.0</v>
      </c>
      <c r="H19" s="22">
        <v>0.0</v>
      </c>
      <c r="I19" s="22">
        <v>0.0</v>
      </c>
      <c r="J19" s="22">
        <v>0.0</v>
      </c>
      <c r="K19" s="22">
        <v>0.0</v>
      </c>
      <c r="L19" s="22">
        <v>0.0</v>
      </c>
      <c r="M19" s="22">
        <v>0.0</v>
      </c>
      <c r="N19" s="22">
        <v>0.0</v>
      </c>
      <c r="O19" s="22">
        <v>0.0</v>
      </c>
      <c r="P19" s="22">
        <v>0.0</v>
      </c>
      <c r="Q19" s="22">
        <v>0.0</v>
      </c>
      <c r="R19" s="22">
        <v>0.0</v>
      </c>
      <c r="S19" s="22">
        <v>0.0</v>
      </c>
      <c r="T19" s="22">
        <v>0.0</v>
      </c>
      <c r="U19" s="22">
        <v>0.0</v>
      </c>
      <c r="V19" s="22">
        <v>0.0</v>
      </c>
      <c r="W19" s="22">
        <v>0.0</v>
      </c>
      <c r="X19" s="22">
        <v>0.0</v>
      </c>
      <c r="Y19" s="22">
        <v>0.0</v>
      </c>
      <c r="Z19" s="22">
        <v>0.0</v>
      </c>
      <c r="AA19" s="22">
        <v>0.0</v>
      </c>
      <c r="AB19" s="22">
        <v>0.0</v>
      </c>
      <c r="AC19" s="22">
        <v>0.0</v>
      </c>
      <c r="AD19" s="22">
        <v>0.0</v>
      </c>
      <c r="AE19" s="22">
        <v>0.0</v>
      </c>
      <c r="AF19" s="22">
        <v>0.0</v>
      </c>
      <c r="AG19" s="22">
        <v>0.0</v>
      </c>
      <c r="AH19" s="22">
        <v>0.0</v>
      </c>
      <c r="AI19" s="22">
        <v>0.0</v>
      </c>
      <c r="AJ19" s="28">
        <f t="shared" si="2"/>
        <v>0</v>
      </c>
      <c r="AK19" s="23">
        <f>330*AJ19</f>
        <v>0</v>
      </c>
      <c r="AL19" s="24"/>
      <c r="AM19" s="25"/>
      <c r="AN19" s="1"/>
      <c r="AO19" s="1"/>
      <c r="AP19" s="1"/>
      <c r="AQ19" s="1"/>
      <c r="AR19" s="1"/>
      <c r="AS19" s="1"/>
      <c r="AT19" s="1"/>
      <c r="AU19" s="1"/>
    </row>
    <row r="20" ht="15.75" customHeight="1">
      <c r="A20" s="16"/>
      <c r="B20" s="16"/>
      <c r="C20" s="16"/>
      <c r="D20" s="28" t="s">
        <v>6</v>
      </c>
      <c r="E20" s="22">
        <v>0.0</v>
      </c>
      <c r="F20" s="22">
        <v>0.0</v>
      </c>
      <c r="G20" s="22">
        <v>0.0</v>
      </c>
      <c r="H20" s="22">
        <v>0.0</v>
      </c>
      <c r="I20" s="22">
        <v>0.0</v>
      </c>
      <c r="J20" s="22">
        <v>0.0</v>
      </c>
      <c r="K20" s="22">
        <v>0.0</v>
      </c>
      <c r="L20" s="22">
        <v>0.0</v>
      </c>
      <c r="M20" s="22">
        <v>0.0</v>
      </c>
      <c r="N20" s="22">
        <v>0.0</v>
      </c>
      <c r="O20" s="22">
        <v>0.0</v>
      </c>
      <c r="P20" s="22">
        <v>0.0</v>
      </c>
      <c r="Q20" s="22">
        <v>0.0</v>
      </c>
      <c r="R20" s="22">
        <v>0.0</v>
      </c>
      <c r="S20" s="22">
        <v>0.0</v>
      </c>
      <c r="T20" s="22">
        <v>0.0</v>
      </c>
      <c r="U20" s="22">
        <v>0.0</v>
      </c>
      <c r="V20" s="22">
        <v>0.0</v>
      </c>
      <c r="W20" s="22">
        <v>0.0</v>
      </c>
      <c r="X20" s="22">
        <v>0.0</v>
      </c>
      <c r="Y20" s="22">
        <v>0.0</v>
      </c>
      <c r="Z20" s="22">
        <v>0.0</v>
      </c>
      <c r="AA20" s="22">
        <v>0.0</v>
      </c>
      <c r="AB20" s="22">
        <v>0.0</v>
      </c>
      <c r="AC20" s="22">
        <v>0.0</v>
      </c>
      <c r="AD20" s="22">
        <v>0.0</v>
      </c>
      <c r="AE20" s="22">
        <v>0.0</v>
      </c>
      <c r="AF20" s="22">
        <v>0.0</v>
      </c>
      <c r="AG20" s="22">
        <v>0.0</v>
      </c>
      <c r="AH20" s="22">
        <v>0.0</v>
      </c>
      <c r="AI20" s="22">
        <v>0.0</v>
      </c>
      <c r="AJ20" s="28">
        <f t="shared" si="2"/>
        <v>0</v>
      </c>
      <c r="AK20" s="23">
        <f t="shared" ref="AK20:AK21" si="8">550*AJ20</f>
        <v>0</v>
      </c>
      <c r="AL20" s="24"/>
      <c r="AN20" s="1"/>
      <c r="AO20" s="1"/>
      <c r="AP20" s="1"/>
      <c r="AQ20" s="1"/>
      <c r="AR20" s="1"/>
      <c r="AS20" s="1"/>
      <c r="AT20" s="1"/>
      <c r="AU20" s="1"/>
    </row>
    <row r="21" ht="15.75" customHeight="1">
      <c r="A21" s="10"/>
      <c r="B21" s="10"/>
      <c r="C21" s="10"/>
      <c r="D21" s="28" t="s">
        <v>7</v>
      </c>
      <c r="E21" s="22">
        <v>1.0</v>
      </c>
      <c r="F21" s="22">
        <v>1.0</v>
      </c>
      <c r="G21" s="22">
        <v>1.0</v>
      </c>
      <c r="H21" s="22">
        <v>1.0</v>
      </c>
      <c r="I21" s="22">
        <v>1.0</v>
      </c>
      <c r="J21" s="22">
        <v>1.0</v>
      </c>
      <c r="K21" s="22">
        <v>1.0</v>
      </c>
      <c r="L21" s="22">
        <v>1.0</v>
      </c>
      <c r="M21" s="22">
        <v>1.0</v>
      </c>
      <c r="N21" s="22">
        <v>1.0</v>
      </c>
      <c r="O21" s="22">
        <v>1.0</v>
      </c>
      <c r="P21" s="22">
        <v>1.0</v>
      </c>
      <c r="Q21" s="22">
        <v>1.0</v>
      </c>
      <c r="R21" s="22">
        <v>1.0</v>
      </c>
      <c r="S21" s="22">
        <v>1.0</v>
      </c>
      <c r="T21" s="22">
        <v>1.0</v>
      </c>
      <c r="U21" s="22">
        <v>1.0</v>
      </c>
      <c r="V21" s="22">
        <v>1.0</v>
      </c>
      <c r="W21" s="22">
        <v>1.0</v>
      </c>
      <c r="X21" s="22">
        <v>1.0</v>
      </c>
      <c r="Y21" s="22">
        <v>1.0</v>
      </c>
      <c r="Z21" s="22">
        <v>1.0</v>
      </c>
      <c r="AA21" s="22">
        <v>1.0</v>
      </c>
      <c r="AB21" s="22">
        <v>1.0</v>
      </c>
      <c r="AC21" s="22">
        <v>1.0</v>
      </c>
      <c r="AD21" s="22">
        <v>1.0</v>
      </c>
      <c r="AE21" s="22">
        <v>1.0</v>
      </c>
      <c r="AF21" s="22">
        <v>1.0</v>
      </c>
      <c r="AG21" s="22">
        <v>1.0</v>
      </c>
      <c r="AH21" s="22">
        <v>1.0</v>
      </c>
      <c r="AI21" s="22">
        <v>1.0</v>
      </c>
      <c r="AJ21" s="28">
        <f t="shared" si="2"/>
        <v>31</v>
      </c>
      <c r="AK21" s="23">
        <f t="shared" si="8"/>
        <v>17050</v>
      </c>
      <c r="AL21" s="26">
        <f>SUM(AK19:AK21)</f>
        <v>17050</v>
      </c>
      <c r="AN21" s="1"/>
      <c r="AO21" s="1"/>
      <c r="AP21" s="1"/>
      <c r="AQ21" s="1"/>
      <c r="AR21" s="1"/>
      <c r="AS21" s="1"/>
      <c r="AT21" s="1"/>
      <c r="AU21" s="1"/>
    </row>
    <row r="22" ht="15.75" customHeight="1">
      <c r="A22" s="12" t="s">
        <v>21</v>
      </c>
      <c r="B22" s="12" t="s">
        <v>22</v>
      </c>
      <c r="C22" s="12" t="s">
        <v>23</v>
      </c>
      <c r="D22" s="14" t="s">
        <v>5</v>
      </c>
      <c r="E22" s="13">
        <v>1.0</v>
      </c>
      <c r="F22" s="13">
        <v>1.0</v>
      </c>
      <c r="G22" s="13">
        <v>1.0</v>
      </c>
      <c r="H22" s="13">
        <v>1.0</v>
      </c>
      <c r="I22" s="13">
        <v>1.0</v>
      </c>
      <c r="J22" s="13">
        <v>1.0</v>
      </c>
      <c r="K22" s="13">
        <v>1.0</v>
      </c>
      <c r="L22" s="13">
        <v>1.0</v>
      </c>
      <c r="M22" s="13">
        <v>1.0</v>
      </c>
      <c r="N22" s="13">
        <v>1.0</v>
      </c>
      <c r="O22" s="13">
        <v>1.0</v>
      </c>
      <c r="P22" s="13">
        <v>1.0</v>
      </c>
      <c r="Q22" s="13">
        <v>1.0</v>
      </c>
      <c r="R22" s="13">
        <v>1.0</v>
      </c>
      <c r="S22" s="13">
        <v>1.0</v>
      </c>
      <c r="T22" s="13">
        <v>1.0</v>
      </c>
      <c r="U22" s="13">
        <v>1.0</v>
      </c>
      <c r="V22" s="13">
        <v>1.0</v>
      </c>
      <c r="W22" s="13">
        <v>1.0</v>
      </c>
      <c r="X22" s="13">
        <v>1.0</v>
      </c>
      <c r="Y22" s="13">
        <v>1.0</v>
      </c>
      <c r="Z22" s="13">
        <v>1.0</v>
      </c>
      <c r="AA22" s="13">
        <v>1.0</v>
      </c>
      <c r="AB22" s="13">
        <v>1.0</v>
      </c>
      <c r="AC22" s="13">
        <v>1.0</v>
      </c>
      <c r="AD22" s="13">
        <v>1.0</v>
      </c>
      <c r="AE22" s="13">
        <v>1.0</v>
      </c>
      <c r="AF22" s="13">
        <v>1.0</v>
      </c>
      <c r="AG22" s="13">
        <v>1.0</v>
      </c>
      <c r="AH22" s="13">
        <v>1.0</v>
      </c>
      <c r="AI22" s="13">
        <v>1.0</v>
      </c>
      <c r="AJ22" s="14">
        <f t="shared" si="2"/>
        <v>31</v>
      </c>
      <c r="AK22" s="14">
        <f>330*AJ22</f>
        <v>10230</v>
      </c>
      <c r="AL22" s="19"/>
      <c r="AM22" s="4"/>
      <c r="AN22" s="1"/>
      <c r="AO22" s="1"/>
      <c r="AP22" s="1"/>
      <c r="AQ22" s="1"/>
      <c r="AR22" s="1"/>
      <c r="AS22" s="1"/>
      <c r="AT22" s="1"/>
      <c r="AU22" s="1"/>
    </row>
    <row r="23" ht="15.75" customHeight="1">
      <c r="A23" s="16"/>
      <c r="B23" s="16"/>
      <c r="C23" s="16"/>
      <c r="D23" s="14" t="s">
        <v>6</v>
      </c>
      <c r="E23" s="13">
        <v>1.0</v>
      </c>
      <c r="F23" s="13">
        <v>1.0</v>
      </c>
      <c r="G23" s="13">
        <v>1.0</v>
      </c>
      <c r="H23" s="13">
        <v>1.0</v>
      </c>
      <c r="I23" s="13">
        <v>1.0</v>
      </c>
      <c r="J23" s="13">
        <v>0.0</v>
      </c>
      <c r="K23" s="13">
        <v>1.0</v>
      </c>
      <c r="L23" s="13">
        <v>1.0</v>
      </c>
      <c r="M23" s="13">
        <v>1.0</v>
      </c>
      <c r="N23" s="13">
        <v>1.0</v>
      </c>
      <c r="O23" s="13">
        <v>1.0</v>
      </c>
      <c r="P23" s="13">
        <v>1.0</v>
      </c>
      <c r="Q23" s="13">
        <v>0.0</v>
      </c>
      <c r="R23" s="13">
        <v>1.0</v>
      </c>
      <c r="S23" s="13">
        <v>1.0</v>
      </c>
      <c r="T23" s="13">
        <v>1.0</v>
      </c>
      <c r="U23" s="13">
        <v>1.0</v>
      </c>
      <c r="V23" s="13">
        <v>1.0</v>
      </c>
      <c r="W23" s="13">
        <v>1.0</v>
      </c>
      <c r="X23" s="13">
        <v>0.0</v>
      </c>
      <c r="Y23" s="13">
        <v>1.0</v>
      </c>
      <c r="Z23" s="13">
        <v>1.0</v>
      </c>
      <c r="AA23" s="13">
        <v>1.0</v>
      </c>
      <c r="AB23" s="13">
        <v>1.0</v>
      </c>
      <c r="AC23" s="13">
        <v>1.0</v>
      </c>
      <c r="AD23" s="13">
        <v>1.0</v>
      </c>
      <c r="AE23" s="13">
        <v>0.0</v>
      </c>
      <c r="AF23" s="13">
        <v>1.0</v>
      </c>
      <c r="AG23" s="13">
        <v>1.0</v>
      </c>
      <c r="AH23" s="13">
        <v>1.0</v>
      </c>
      <c r="AI23" s="13">
        <v>1.0</v>
      </c>
      <c r="AJ23" s="14">
        <f t="shared" si="2"/>
        <v>27</v>
      </c>
      <c r="AK23" s="14">
        <f t="shared" ref="AK23:AK24" si="9">550*AJ23</f>
        <v>14850</v>
      </c>
      <c r="AL23" s="19"/>
      <c r="AM23" s="4"/>
      <c r="AN23" s="1"/>
      <c r="AO23" s="1"/>
      <c r="AP23" s="1"/>
      <c r="AQ23" s="1"/>
      <c r="AR23" s="1"/>
      <c r="AS23" s="1"/>
      <c r="AT23" s="1"/>
      <c r="AU23" s="1"/>
    </row>
    <row r="24" ht="15.75" customHeight="1">
      <c r="A24" s="10"/>
      <c r="B24" s="10"/>
      <c r="C24" s="10"/>
      <c r="D24" s="14" t="s">
        <v>7</v>
      </c>
      <c r="E24" s="13">
        <v>1.0</v>
      </c>
      <c r="F24" s="13">
        <v>1.0</v>
      </c>
      <c r="G24" s="13">
        <v>1.0</v>
      </c>
      <c r="H24" s="13">
        <v>1.0</v>
      </c>
      <c r="I24" s="13">
        <v>1.0</v>
      </c>
      <c r="J24" s="13">
        <v>1.0</v>
      </c>
      <c r="K24" s="13">
        <v>1.0</v>
      </c>
      <c r="L24" s="13">
        <v>1.0</v>
      </c>
      <c r="M24" s="13">
        <v>1.0</v>
      </c>
      <c r="N24" s="13">
        <v>1.0</v>
      </c>
      <c r="O24" s="13">
        <v>1.0</v>
      </c>
      <c r="P24" s="13">
        <v>1.0</v>
      </c>
      <c r="Q24" s="13">
        <v>1.0</v>
      </c>
      <c r="R24" s="13">
        <v>1.0</v>
      </c>
      <c r="S24" s="13">
        <v>1.0</v>
      </c>
      <c r="T24" s="13">
        <v>1.0</v>
      </c>
      <c r="U24" s="13">
        <v>1.0</v>
      </c>
      <c r="V24" s="13">
        <v>1.0</v>
      </c>
      <c r="W24" s="13">
        <v>1.0</v>
      </c>
      <c r="X24" s="13">
        <v>1.0</v>
      </c>
      <c r="Y24" s="13">
        <v>1.0</v>
      </c>
      <c r="Z24" s="13">
        <v>1.0</v>
      </c>
      <c r="AA24" s="13">
        <v>1.0</v>
      </c>
      <c r="AB24" s="13">
        <v>1.0</v>
      </c>
      <c r="AC24" s="13">
        <v>1.0</v>
      </c>
      <c r="AD24" s="13">
        <v>1.0</v>
      </c>
      <c r="AE24" s="13">
        <v>1.0</v>
      </c>
      <c r="AF24" s="13">
        <v>1.0</v>
      </c>
      <c r="AG24" s="13">
        <v>1.0</v>
      </c>
      <c r="AH24" s="13">
        <v>1.0</v>
      </c>
      <c r="AI24" s="13">
        <v>1.0</v>
      </c>
      <c r="AJ24" s="14">
        <f t="shared" si="2"/>
        <v>31</v>
      </c>
      <c r="AK24" s="14">
        <f t="shared" si="9"/>
        <v>17050</v>
      </c>
      <c r="AL24" s="20">
        <f>SUM(AK22:AK24)</f>
        <v>42130</v>
      </c>
      <c r="AM24" s="4"/>
      <c r="AN24" s="1"/>
      <c r="AO24" s="1"/>
      <c r="AP24" s="1"/>
      <c r="AQ24" s="1"/>
      <c r="AR24" s="1"/>
      <c r="AS24" s="1"/>
      <c r="AT24" s="1"/>
      <c r="AU24" s="1"/>
    </row>
    <row r="25" ht="15.75" customHeight="1">
      <c r="A25" s="12" t="s">
        <v>24</v>
      </c>
      <c r="B25" s="12" t="s">
        <v>25</v>
      </c>
      <c r="C25" s="12" t="s">
        <v>38</v>
      </c>
      <c r="D25" s="13" t="s">
        <v>5</v>
      </c>
      <c r="E25" s="30">
        <v>1.0</v>
      </c>
      <c r="F25" s="30">
        <v>1.0</v>
      </c>
      <c r="G25" s="30">
        <v>1.0</v>
      </c>
      <c r="H25" s="30">
        <v>1.0</v>
      </c>
      <c r="I25" s="30">
        <v>1.0</v>
      </c>
      <c r="J25" s="30">
        <v>1.0</v>
      </c>
      <c r="K25" s="30">
        <v>1.0</v>
      </c>
      <c r="L25" s="30">
        <v>1.0</v>
      </c>
      <c r="M25" s="30">
        <v>1.0</v>
      </c>
      <c r="N25" s="30">
        <v>1.0</v>
      </c>
      <c r="O25" s="30">
        <v>1.0</v>
      </c>
      <c r="P25" s="30">
        <v>1.0</v>
      </c>
      <c r="Q25" s="30">
        <v>1.0</v>
      </c>
      <c r="R25" s="30">
        <v>1.0</v>
      </c>
      <c r="S25" s="30">
        <v>1.0</v>
      </c>
      <c r="T25" s="30">
        <v>1.0</v>
      </c>
      <c r="U25" s="30">
        <v>1.0</v>
      </c>
      <c r="V25" s="30">
        <v>1.0</v>
      </c>
      <c r="W25" s="30">
        <v>1.0</v>
      </c>
      <c r="X25" s="30">
        <v>1.0</v>
      </c>
      <c r="Y25" s="30">
        <v>1.0</v>
      </c>
      <c r="Z25" s="30">
        <v>1.0</v>
      </c>
      <c r="AA25" s="30">
        <v>1.0</v>
      </c>
      <c r="AB25" s="30">
        <v>1.0</v>
      </c>
      <c r="AC25" s="30">
        <v>1.0</v>
      </c>
      <c r="AD25" s="30">
        <v>1.0</v>
      </c>
      <c r="AE25" s="30">
        <v>1.0</v>
      </c>
      <c r="AF25" s="30">
        <v>1.0</v>
      </c>
      <c r="AG25" s="30">
        <v>1.0</v>
      </c>
      <c r="AH25" s="30">
        <v>1.0</v>
      </c>
      <c r="AI25" s="30">
        <v>1.0</v>
      </c>
      <c r="AJ25" s="13">
        <f t="shared" si="2"/>
        <v>31</v>
      </c>
      <c r="AK25" s="23">
        <f>330*AJ25</f>
        <v>10230</v>
      </c>
      <c r="AL25" s="24"/>
      <c r="AM25" s="4"/>
      <c r="AN25" s="1"/>
      <c r="AO25" s="1"/>
      <c r="AP25" s="1"/>
      <c r="AQ25" s="1"/>
      <c r="AR25" s="1"/>
      <c r="AS25" s="1"/>
      <c r="AT25" s="1"/>
      <c r="AU25" s="1"/>
    </row>
    <row r="26" ht="15.75" customHeight="1">
      <c r="A26" s="16"/>
      <c r="B26" s="16"/>
      <c r="C26" s="16"/>
      <c r="D26" s="13" t="s">
        <v>6</v>
      </c>
      <c r="E26" s="30">
        <v>1.0</v>
      </c>
      <c r="F26" s="30">
        <v>1.0</v>
      </c>
      <c r="G26" s="30">
        <v>1.0</v>
      </c>
      <c r="H26" s="30">
        <v>1.0</v>
      </c>
      <c r="I26" s="30">
        <v>1.0</v>
      </c>
      <c r="J26" s="30">
        <v>1.0</v>
      </c>
      <c r="K26" s="30">
        <v>1.0</v>
      </c>
      <c r="L26" s="30">
        <v>1.0</v>
      </c>
      <c r="M26" s="30">
        <v>1.0</v>
      </c>
      <c r="N26" s="30">
        <v>1.0</v>
      </c>
      <c r="O26" s="30">
        <v>1.0</v>
      </c>
      <c r="P26" s="30">
        <v>1.0</v>
      </c>
      <c r="Q26" s="30">
        <v>1.0</v>
      </c>
      <c r="R26" s="30">
        <v>1.0</v>
      </c>
      <c r="S26" s="30">
        <v>1.0</v>
      </c>
      <c r="T26" s="30">
        <v>1.0</v>
      </c>
      <c r="U26" s="30">
        <v>1.0</v>
      </c>
      <c r="V26" s="30">
        <v>1.0</v>
      </c>
      <c r="W26" s="30">
        <v>1.0</v>
      </c>
      <c r="X26" s="30">
        <v>1.0</v>
      </c>
      <c r="Y26" s="30">
        <v>1.0</v>
      </c>
      <c r="Z26" s="30">
        <v>1.0</v>
      </c>
      <c r="AA26" s="30">
        <v>1.0</v>
      </c>
      <c r="AB26" s="30">
        <v>1.0</v>
      </c>
      <c r="AC26" s="30">
        <v>1.0</v>
      </c>
      <c r="AD26" s="30">
        <v>1.0</v>
      </c>
      <c r="AE26" s="30">
        <v>1.0</v>
      </c>
      <c r="AF26" s="30">
        <v>1.0</v>
      </c>
      <c r="AG26" s="30">
        <v>1.0</v>
      </c>
      <c r="AH26" s="30">
        <v>1.0</v>
      </c>
      <c r="AI26" s="30">
        <v>1.0</v>
      </c>
      <c r="AJ26" s="13">
        <f t="shared" si="2"/>
        <v>31</v>
      </c>
      <c r="AK26" s="23">
        <f t="shared" ref="AK26:AK27" si="10">550*AJ26</f>
        <v>17050</v>
      </c>
      <c r="AL26" s="24"/>
      <c r="AM26" s="4"/>
      <c r="AN26" s="1"/>
      <c r="AO26" s="1"/>
      <c r="AP26" s="1"/>
      <c r="AQ26" s="1"/>
      <c r="AR26" s="1"/>
      <c r="AS26" s="1"/>
      <c r="AT26" s="1"/>
      <c r="AU26" s="1"/>
    </row>
    <row r="27" ht="15.75" customHeight="1">
      <c r="A27" s="10"/>
      <c r="B27" s="10"/>
      <c r="C27" s="10"/>
      <c r="D27" s="13" t="s">
        <v>7</v>
      </c>
      <c r="E27" s="30">
        <v>1.0</v>
      </c>
      <c r="F27" s="30">
        <v>1.0</v>
      </c>
      <c r="G27" s="30">
        <v>1.0</v>
      </c>
      <c r="H27" s="30">
        <v>1.0</v>
      </c>
      <c r="I27" s="30">
        <v>1.0</v>
      </c>
      <c r="J27" s="30">
        <v>1.0</v>
      </c>
      <c r="K27" s="30">
        <v>1.0</v>
      </c>
      <c r="L27" s="30">
        <v>1.0</v>
      </c>
      <c r="M27" s="30">
        <v>1.0</v>
      </c>
      <c r="N27" s="30">
        <v>1.0</v>
      </c>
      <c r="O27" s="30">
        <v>1.0</v>
      </c>
      <c r="P27" s="30">
        <v>1.0</v>
      </c>
      <c r="Q27" s="30">
        <v>1.0</v>
      </c>
      <c r="R27" s="30">
        <v>1.0</v>
      </c>
      <c r="S27" s="30">
        <v>1.0</v>
      </c>
      <c r="T27" s="30">
        <v>1.0</v>
      </c>
      <c r="U27" s="30">
        <v>1.0</v>
      </c>
      <c r="V27" s="30">
        <v>1.0</v>
      </c>
      <c r="W27" s="30">
        <v>1.0</v>
      </c>
      <c r="X27" s="30">
        <v>1.0</v>
      </c>
      <c r="Y27" s="30">
        <v>1.0</v>
      </c>
      <c r="Z27" s="30">
        <v>1.0</v>
      </c>
      <c r="AA27" s="30">
        <v>1.0</v>
      </c>
      <c r="AB27" s="30">
        <v>1.0</v>
      </c>
      <c r="AC27" s="30">
        <v>1.0</v>
      </c>
      <c r="AD27" s="30">
        <v>1.0</v>
      </c>
      <c r="AE27" s="30">
        <v>1.0</v>
      </c>
      <c r="AF27" s="30">
        <v>1.0</v>
      </c>
      <c r="AG27" s="30">
        <v>1.0</v>
      </c>
      <c r="AH27" s="30">
        <v>1.0</v>
      </c>
      <c r="AI27" s="30">
        <v>1.0</v>
      </c>
      <c r="AJ27" s="13">
        <f t="shared" si="2"/>
        <v>31</v>
      </c>
      <c r="AK27" s="23">
        <f t="shared" si="10"/>
        <v>17050</v>
      </c>
      <c r="AL27" s="26">
        <f>SUM(AK25:AK27)</f>
        <v>44330</v>
      </c>
      <c r="AM27" s="4"/>
      <c r="AN27" s="1"/>
      <c r="AO27" s="1"/>
      <c r="AP27" s="1"/>
      <c r="AQ27" s="1"/>
      <c r="AR27" s="1"/>
      <c r="AS27" s="1"/>
      <c r="AT27" s="1"/>
      <c r="AU27" s="1"/>
    </row>
    <row r="28" ht="15.75" customHeight="1">
      <c r="A28" s="12" t="s">
        <v>27</v>
      </c>
      <c r="B28" s="12" t="s">
        <v>28</v>
      </c>
      <c r="C28" s="12" t="s">
        <v>29</v>
      </c>
      <c r="D28" s="13" t="s">
        <v>5</v>
      </c>
      <c r="E28" s="33">
        <v>1.0</v>
      </c>
      <c r="F28" s="33">
        <v>1.0</v>
      </c>
      <c r="G28" s="33">
        <v>1.0</v>
      </c>
      <c r="H28" s="33">
        <v>1.0</v>
      </c>
      <c r="I28" s="33">
        <v>1.0</v>
      </c>
      <c r="J28" s="33">
        <v>1.0</v>
      </c>
      <c r="K28" s="33">
        <v>1.0</v>
      </c>
      <c r="L28" s="33">
        <v>1.0</v>
      </c>
      <c r="M28" s="33">
        <v>1.0</v>
      </c>
      <c r="N28" s="33">
        <v>1.0</v>
      </c>
      <c r="O28" s="33">
        <v>1.0</v>
      </c>
      <c r="P28" s="33">
        <v>1.0</v>
      </c>
      <c r="Q28" s="33">
        <v>1.0</v>
      </c>
      <c r="R28" s="33">
        <v>1.0</v>
      </c>
      <c r="S28" s="33">
        <v>1.0</v>
      </c>
      <c r="T28" s="33">
        <v>1.0</v>
      </c>
      <c r="U28" s="33">
        <v>1.0</v>
      </c>
      <c r="V28" s="33">
        <v>1.0</v>
      </c>
      <c r="W28" s="33">
        <v>1.0</v>
      </c>
      <c r="X28" s="33">
        <v>1.0</v>
      </c>
      <c r="Y28" s="33">
        <v>1.0</v>
      </c>
      <c r="Z28" s="33">
        <v>1.0</v>
      </c>
      <c r="AA28" s="33">
        <v>0.0</v>
      </c>
      <c r="AB28" s="33">
        <v>0.0</v>
      </c>
      <c r="AC28" s="33">
        <v>0.0</v>
      </c>
      <c r="AD28" s="33">
        <v>0.0</v>
      </c>
      <c r="AE28" s="33">
        <v>0.0</v>
      </c>
      <c r="AF28" s="33">
        <v>0.0</v>
      </c>
      <c r="AG28" s="33">
        <v>1.0</v>
      </c>
      <c r="AH28" s="33">
        <v>1.0</v>
      </c>
      <c r="AI28" s="33">
        <v>1.0</v>
      </c>
      <c r="AJ28" s="13">
        <f t="shared" si="2"/>
        <v>25</v>
      </c>
      <c r="AK28" s="14">
        <f>330*AJ28</f>
        <v>8250</v>
      </c>
      <c r="AL28" s="19"/>
      <c r="AM28" s="4"/>
      <c r="AN28" s="1"/>
      <c r="AO28" s="1"/>
      <c r="AP28" s="1"/>
      <c r="AQ28" s="1"/>
      <c r="AR28" s="1"/>
      <c r="AS28" s="1"/>
      <c r="AT28" s="1"/>
      <c r="AU28" s="1"/>
    </row>
    <row r="29" ht="15.75" customHeight="1">
      <c r="A29" s="16"/>
      <c r="B29" s="16"/>
      <c r="C29" s="16"/>
      <c r="D29" s="13" t="s">
        <v>6</v>
      </c>
      <c r="E29" s="33">
        <v>1.0</v>
      </c>
      <c r="F29" s="33">
        <v>1.0</v>
      </c>
      <c r="G29" s="33">
        <v>1.0</v>
      </c>
      <c r="H29" s="33">
        <v>1.0</v>
      </c>
      <c r="I29" s="33">
        <v>1.0</v>
      </c>
      <c r="J29" s="33">
        <v>1.0</v>
      </c>
      <c r="K29" s="33">
        <v>0.0</v>
      </c>
      <c r="L29" s="33">
        <v>1.0</v>
      </c>
      <c r="M29" s="33">
        <v>1.0</v>
      </c>
      <c r="N29" s="33">
        <v>1.0</v>
      </c>
      <c r="O29" s="33">
        <v>1.0</v>
      </c>
      <c r="P29" s="33">
        <v>1.0</v>
      </c>
      <c r="Q29" s="33">
        <v>1.0</v>
      </c>
      <c r="R29" s="33">
        <v>1.0</v>
      </c>
      <c r="S29" s="33">
        <v>1.0</v>
      </c>
      <c r="T29" s="33">
        <v>1.0</v>
      </c>
      <c r="U29" s="33">
        <v>1.0</v>
      </c>
      <c r="V29" s="33">
        <v>1.0</v>
      </c>
      <c r="W29" s="33">
        <v>1.0</v>
      </c>
      <c r="X29" s="33">
        <v>1.0</v>
      </c>
      <c r="Y29" s="33">
        <v>1.0</v>
      </c>
      <c r="Z29" s="33">
        <v>1.0</v>
      </c>
      <c r="AA29" s="33">
        <v>1.0</v>
      </c>
      <c r="AB29" s="33">
        <v>1.0</v>
      </c>
      <c r="AC29" s="33">
        <v>1.0</v>
      </c>
      <c r="AD29" s="33">
        <v>0.0</v>
      </c>
      <c r="AE29" s="33">
        <v>0.0</v>
      </c>
      <c r="AF29" s="33">
        <v>0.0</v>
      </c>
      <c r="AG29" s="33">
        <v>0.0</v>
      </c>
      <c r="AH29" s="33">
        <v>0.0</v>
      </c>
      <c r="AI29" s="33">
        <v>0.0</v>
      </c>
      <c r="AJ29" s="13">
        <f t="shared" si="2"/>
        <v>24</v>
      </c>
      <c r="AK29" s="14">
        <f t="shared" ref="AK29:AK30" si="11">550*AJ29</f>
        <v>13200</v>
      </c>
      <c r="AL29" s="19"/>
      <c r="AM29" s="4"/>
      <c r="AN29" s="1"/>
      <c r="AO29" s="1"/>
      <c r="AP29" s="1"/>
      <c r="AQ29" s="1"/>
      <c r="AR29" s="1"/>
      <c r="AS29" s="1"/>
      <c r="AT29" s="1"/>
      <c r="AU29" s="1"/>
    </row>
    <row r="30" ht="15.75" customHeight="1">
      <c r="A30" s="10"/>
      <c r="B30" s="10"/>
      <c r="C30" s="10"/>
      <c r="D30" s="13" t="s">
        <v>7</v>
      </c>
      <c r="E30" s="33">
        <v>1.0</v>
      </c>
      <c r="F30" s="33">
        <v>1.0</v>
      </c>
      <c r="G30" s="33">
        <v>1.0</v>
      </c>
      <c r="H30" s="33">
        <v>1.0</v>
      </c>
      <c r="I30" s="33">
        <v>1.0</v>
      </c>
      <c r="J30" s="33">
        <v>1.0</v>
      </c>
      <c r="K30" s="33">
        <v>0.0</v>
      </c>
      <c r="L30" s="33">
        <v>1.0</v>
      </c>
      <c r="M30" s="33">
        <v>0.0</v>
      </c>
      <c r="N30" s="33">
        <v>0.0</v>
      </c>
      <c r="O30" s="33">
        <v>0.0</v>
      </c>
      <c r="P30" s="33">
        <v>0.0</v>
      </c>
      <c r="Q30" s="33">
        <v>0.0</v>
      </c>
      <c r="R30" s="33">
        <v>0.0</v>
      </c>
      <c r="S30" s="33">
        <v>0.0</v>
      </c>
      <c r="T30" s="33">
        <v>0.0</v>
      </c>
      <c r="U30" s="33">
        <v>0.0</v>
      </c>
      <c r="V30" s="33">
        <v>0.0</v>
      </c>
      <c r="W30" s="33">
        <v>0.0</v>
      </c>
      <c r="X30" s="33">
        <v>0.0</v>
      </c>
      <c r="Y30" s="33">
        <v>0.0</v>
      </c>
      <c r="Z30" s="33">
        <v>0.0</v>
      </c>
      <c r="AA30" s="33">
        <v>0.0</v>
      </c>
      <c r="AB30" s="33">
        <v>0.0</v>
      </c>
      <c r="AC30" s="33">
        <v>0.0</v>
      </c>
      <c r="AD30" s="33">
        <v>0.0</v>
      </c>
      <c r="AE30" s="33">
        <v>0.0</v>
      </c>
      <c r="AF30" s="33">
        <v>0.0</v>
      </c>
      <c r="AG30" s="33">
        <v>0.0</v>
      </c>
      <c r="AH30" s="33">
        <v>0.0</v>
      </c>
      <c r="AI30" s="33">
        <v>0.0</v>
      </c>
      <c r="AJ30" s="13">
        <f t="shared" si="2"/>
        <v>7</v>
      </c>
      <c r="AK30" s="14">
        <f t="shared" si="11"/>
        <v>3850</v>
      </c>
      <c r="AL30" s="20">
        <f>SUM(AK28:AK30)</f>
        <v>25300</v>
      </c>
      <c r="AM30" s="4"/>
      <c r="AN30" s="1"/>
      <c r="AO30" s="1"/>
      <c r="AP30" s="1"/>
      <c r="AQ30" s="1"/>
      <c r="AR30" s="1"/>
      <c r="AS30" s="1"/>
      <c r="AT30" s="1"/>
      <c r="AU30" s="1"/>
    </row>
    <row r="31" ht="15.75" customHeight="1">
      <c r="A31" s="12"/>
      <c r="B31" s="12"/>
      <c r="C31" s="12"/>
      <c r="D31" s="13" t="s">
        <v>5</v>
      </c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>
        <f t="shared" si="2"/>
        <v>0</v>
      </c>
      <c r="AK31" s="23">
        <f>330*AJ31</f>
        <v>0</v>
      </c>
      <c r="AL31" s="24"/>
      <c r="AM31" s="4"/>
      <c r="AN31" s="1"/>
      <c r="AO31" s="1"/>
      <c r="AP31" s="1"/>
      <c r="AQ31" s="1"/>
      <c r="AR31" s="1"/>
      <c r="AS31" s="1"/>
      <c r="AT31" s="1"/>
      <c r="AU31" s="1"/>
    </row>
    <row r="32" ht="15.75" customHeight="1">
      <c r="A32" s="16"/>
      <c r="B32" s="16"/>
      <c r="C32" s="16"/>
      <c r="D32" s="13" t="s">
        <v>6</v>
      </c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>
        <f t="shared" si="2"/>
        <v>0</v>
      </c>
      <c r="AK32" s="23">
        <f t="shared" ref="AK32:AK33" si="12">550*AJ32</f>
        <v>0</v>
      </c>
      <c r="AL32" s="24"/>
      <c r="AM32" s="4"/>
      <c r="AN32" s="1"/>
      <c r="AO32" s="1"/>
      <c r="AP32" s="1"/>
      <c r="AQ32" s="1"/>
      <c r="AR32" s="1"/>
      <c r="AS32" s="1"/>
      <c r="AT32" s="1"/>
      <c r="AU32" s="1"/>
    </row>
    <row r="33" ht="15.75" customHeight="1">
      <c r="A33" s="10"/>
      <c r="B33" s="10"/>
      <c r="C33" s="10"/>
      <c r="D33" s="13" t="s">
        <v>7</v>
      </c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>
        <f t="shared" si="2"/>
        <v>0</v>
      </c>
      <c r="AK33" s="23">
        <f t="shared" si="12"/>
        <v>0</v>
      </c>
      <c r="AL33" s="26">
        <f>SUM(AK31:AK33)</f>
        <v>0</v>
      </c>
      <c r="AM33" s="4"/>
      <c r="AN33" s="1"/>
      <c r="AO33" s="1"/>
      <c r="AP33" s="1"/>
      <c r="AQ33" s="1"/>
      <c r="AR33" s="1"/>
      <c r="AS33" s="1"/>
      <c r="AT33" s="1"/>
      <c r="AU33" s="1"/>
    </row>
    <row r="34" ht="15.75" customHeight="1">
      <c r="A34" s="12"/>
      <c r="B34" s="12"/>
      <c r="C34" s="12"/>
      <c r="D34" s="13" t="s">
        <v>5</v>
      </c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>
        <f t="shared" si="2"/>
        <v>0</v>
      </c>
      <c r="AK34" s="1"/>
      <c r="AL34" s="1"/>
      <c r="AM34" s="4"/>
      <c r="AN34" s="1"/>
      <c r="AO34" s="1"/>
      <c r="AP34" s="1"/>
      <c r="AQ34" s="1"/>
      <c r="AR34" s="1"/>
      <c r="AS34" s="1"/>
      <c r="AT34" s="1"/>
      <c r="AU34" s="1"/>
    </row>
    <row r="35" ht="15.75" customHeight="1">
      <c r="A35" s="16"/>
      <c r="B35" s="16"/>
      <c r="C35" s="16"/>
      <c r="D35" s="13" t="s">
        <v>6</v>
      </c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>
        <f t="shared" si="2"/>
        <v>0</v>
      </c>
      <c r="AK35" s="1"/>
      <c r="AL35" s="1"/>
      <c r="AM35" s="4"/>
      <c r="AN35" s="1"/>
      <c r="AO35" s="1"/>
      <c r="AP35" s="1"/>
      <c r="AQ35" s="1"/>
      <c r="AR35" s="1"/>
      <c r="AS35" s="1"/>
      <c r="AT35" s="1"/>
      <c r="AU35" s="1"/>
    </row>
    <row r="36" ht="15.75" customHeight="1">
      <c r="A36" s="10"/>
      <c r="B36" s="10"/>
      <c r="C36" s="10"/>
      <c r="D36" s="13" t="s">
        <v>7</v>
      </c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>
        <f t="shared" si="2"/>
        <v>0</v>
      </c>
      <c r="AK36" s="1"/>
      <c r="AL36" s="1"/>
      <c r="AM36" s="4"/>
      <c r="AN36" s="1"/>
      <c r="AO36" s="1"/>
      <c r="AP36" s="1"/>
      <c r="AQ36" s="1"/>
      <c r="AR36" s="1"/>
      <c r="AS36" s="1"/>
      <c r="AT36" s="1"/>
      <c r="AU36" s="1"/>
    </row>
    <row r="37" ht="15.75" customHeight="1">
      <c r="A37" s="12"/>
      <c r="B37" s="12"/>
      <c r="C37" s="12"/>
      <c r="D37" s="13" t="s">
        <v>5</v>
      </c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>
        <f t="shared" si="2"/>
        <v>0</v>
      </c>
      <c r="AK37" s="1"/>
      <c r="AL37" s="1"/>
      <c r="AM37" s="4"/>
      <c r="AN37" s="1"/>
      <c r="AO37" s="1"/>
      <c r="AP37" s="1"/>
      <c r="AQ37" s="1"/>
      <c r="AR37" s="1"/>
      <c r="AS37" s="1"/>
      <c r="AT37" s="1"/>
      <c r="AU37" s="1"/>
    </row>
    <row r="38" ht="15.75" customHeight="1">
      <c r="A38" s="16"/>
      <c r="B38" s="16"/>
      <c r="C38" s="16"/>
      <c r="D38" s="13" t="s">
        <v>6</v>
      </c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>
        <f t="shared" si="2"/>
        <v>0</v>
      </c>
      <c r="AK38" s="1"/>
      <c r="AL38" s="1"/>
      <c r="AM38" s="4"/>
      <c r="AN38" s="1"/>
      <c r="AO38" s="1"/>
      <c r="AP38" s="1"/>
      <c r="AQ38" s="1"/>
      <c r="AR38" s="1"/>
      <c r="AS38" s="1"/>
      <c r="AT38" s="1"/>
      <c r="AU38" s="1"/>
    </row>
    <row r="39" ht="15.75" customHeight="1">
      <c r="A39" s="10"/>
      <c r="B39" s="10"/>
      <c r="C39" s="10"/>
      <c r="D39" s="13" t="s">
        <v>7</v>
      </c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>
        <f t="shared" si="2"/>
        <v>0</v>
      </c>
      <c r="AK39" s="1"/>
      <c r="AL39" s="1"/>
      <c r="AM39" s="4"/>
      <c r="AN39" s="1"/>
      <c r="AO39" s="1"/>
      <c r="AP39" s="1"/>
      <c r="AQ39" s="1"/>
      <c r="AR39" s="1"/>
      <c r="AS39" s="1"/>
      <c r="AT39" s="1"/>
      <c r="AU39" s="1"/>
    </row>
    <row r="40" ht="15.75" customHeight="1">
      <c r="A40" s="12"/>
      <c r="B40" s="12"/>
      <c r="C40" s="12"/>
      <c r="D40" s="13" t="s">
        <v>5</v>
      </c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>
        <f t="shared" si="2"/>
        <v>0</v>
      </c>
      <c r="AK40" s="1"/>
      <c r="AL40" s="1"/>
      <c r="AM40" s="4"/>
      <c r="AN40" s="1"/>
      <c r="AO40" s="1"/>
      <c r="AP40" s="1"/>
      <c r="AQ40" s="1"/>
      <c r="AR40" s="1"/>
      <c r="AS40" s="1"/>
      <c r="AT40" s="1"/>
      <c r="AU40" s="1"/>
    </row>
    <row r="41" ht="15.75" customHeight="1">
      <c r="A41" s="16"/>
      <c r="B41" s="16"/>
      <c r="C41" s="16"/>
      <c r="D41" s="13" t="s">
        <v>6</v>
      </c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>
        <f t="shared" si="2"/>
        <v>0</v>
      </c>
      <c r="AK41" s="1"/>
      <c r="AL41" s="1"/>
      <c r="AM41" s="4"/>
      <c r="AN41" s="1"/>
      <c r="AO41" s="1"/>
      <c r="AP41" s="1"/>
      <c r="AQ41" s="1"/>
      <c r="AR41" s="1"/>
      <c r="AS41" s="1"/>
      <c r="AT41" s="1"/>
      <c r="AU41" s="1"/>
    </row>
    <row r="42" ht="15.75" customHeight="1">
      <c r="A42" s="10"/>
      <c r="B42" s="10"/>
      <c r="C42" s="10"/>
      <c r="D42" s="13" t="s">
        <v>7</v>
      </c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>
        <f t="shared" si="2"/>
        <v>0</v>
      </c>
      <c r="AK42" s="1"/>
      <c r="AL42" s="1"/>
      <c r="AM42" s="4"/>
      <c r="AN42" s="1"/>
      <c r="AO42" s="1"/>
      <c r="AP42" s="1"/>
      <c r="AQ42" s="1"/>
      <c r="AR42" s="1"/>
      <c r="AS42" s="1"/>
      <c r="AT42" s="1"/>
      <c r="AU42" s="1"/>
    </row>
    <row r="43" ht="15.75" customHeight="1">
      <c r="A43" s="12"/>
      <c r="B43" s="12"/>
      <c r="C43" s="12"/>
      <c r="D43" s="13" t="s">
        <v>5</v>
      </c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>
        <f t="shared" si="2"/>
        <v>0</v>
      </c>
      <c r="AK43" s="1"/>
      <c r="AL43" s="1"/>
      <c r="AM43" s="4"/>
      <c r="AN43" s="1"/>
      <c r="AO43" s="1"/>
      <c r="AP43" s="1"/>
      <c r="AQ43" s="1"/>
      <c r="AR43" s="1"/>
      <c r="AS43" s="1"/>
      <c r="AT43" s="1"/>
      <c r="AU43" s="1"/>
    </row>
    <row r="44" ht="15.75" customHeight="1">
      <c r="A44" s="16"/>
      <c r="B44" s="16"/>
      <c r="C44" s="16"/>
      <c r="D44" s="13" t="s">
        <v>6</v>
      </c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>
        <f t="shared" si="2"/>
        <v>0</v>
      </c>
      <c r="AK44" s="1"/>
      <c r="AL44" s="1"/>
      <c r="AM44" s="4"/>
      <c r="AN44" s="1"/>
      <c r="AO44" s="1"/>
      <c r="AP44" s="1"/>
      <c r="AQ44" s="1"/>
      <c r="AR44" s="1"/>
      <c r="AS44" s="1"/>
      <c r="AT44" s="1"/>
      <c r="AU44" s="1"/>
    </row>
    <row r="45" ht="15.75" customHeight="1">
      <c r="A45" s="10"/>
      <c r="B45" s="10"/>
      <c r="C45" s="10"/>
      <c r="D45" s="13" t="s">
        <v>7</v>
      </c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>
        <f t="shared" si="2"/>
        <v>0</v>
      </c>
      <c r="AK45" s="1"/>
      <c r="AL45" s="1"/>
      <c r="AM45" s="4"/>
      <c r="AN45" s="1"/>
      <c r="AO45" s="1"/>
      <c r="AP45" s="1"/>
      <c r="AQ45" s="1"/>
      <c r="AR45" s="1"/>
      <c r="AS45" s="1"/>
      <c r="AT45" s="1"/>
      <c r="AU45" s="1"/>
    </row>
    <row r="46" ht="15.75" customHeight="1">
      <c r="A46" s="12"/>
      <c r="B46" s="12"/>
      <c r="C46" s="12"/>
      <c r="D46" s="13" t="s">
        <v>5</v>
      </c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>
        <f t="shared" si="2"/>
        <v>0</v>
      </c>
      <c r="AK46" s="1"/>
      <c r="AL46" s="1"/>
      <c r="AM46" s="4"/>
      <c r="AN46" s="1"/>
      <c r="AO46" s="1"/>
      <c r="AP46" s="1"/>
      <c r="AQ46" s="1"/>
      <c r="AR46" s="1"/>
      <c r="AS46" s="1"/>
      <c r="AT46" s="1"/>
      <c r="AU46" s="1"/>
    </row>
    <row r="47" ht="15.75" customHeight="1">
      <c r="A47" s="16"/>
      <c r="B47" s="16"/>
      <c r="C47" s="16"/>
      <c r="D47" s="13" t="s">
        <v>6</v>
      </c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>
        <f t="shared" si="2"/>
        <v>0</v>
      </c>
      <c r="AK47" s="1"/>
      <c r="AL47" s="1"/>
      <c r="AM47" s="4"/>
      <c r="AN47" s="1"/>
      <c r="AO47" s="1"/>
      <c r="AP47" s="1"/>
      <c r="AQ47" s="1"/>
      <c r="AR47" s="1"/>
      <c r="AS47" s="1"/>
      <c r="AT47" s="1"/>
      <c r="AU47" s="1"/>
    </row>
    <row r="48" ht="15.75" customHeight="1">
      <c r="A48" s="10"/>
      <c r="B48" s="10"/>
      <c r="C48" s="10"/>
      <c r="D48" s="13" t="s">
        <v>7</v>
      </c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>
        <f t="shared" si="2"/>
        <v>0</v>
      </c>
      <c r="AK48" s="1"/>
      <c r="AL48" s="1"/>
      <c r="AM48" s="4"/>
      <c r="AN48" s="1"/>
      <c r="AO48" s="1"/>
      <c r="AP48" s="1"/>
      <c r="AQ48" s="1"/>
      <c r="AR48" s="1"/>
      <c r="AS48" s="1"/>
      <c r="AT48" s="1"/>
      <c r="AU48" s="1"/>
    </row>
    <row r="49" ht="15.75" customHeight="1">
      <c r="A49" s="12"/>
      <c r="B49" s="12"/>
      <c r="C49" s="12"/>
      <c r="D49" s="13" t="s">
        <v>5</v>
      </c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>
        <f t="shared" si="2"/>
        <v>0</v>
      </c>
      <c r="AK49" s="1"/>
      <c r="AL49" s="1"/>
      <c r="AM49" s="4"/>
      <c r="AN49" s="1"/>
      <c r="AO49" s="1"/>
      <c r="AP49" s="1"/>
      <c r="AQ49" s="1"/>
      <c r="AR49" s="1"/>
      <c r="AS49" s="1"/>
      <c r="AT49" s="1"/>
      <c r="AU49" s="1"/>
    </row>
    <row r="50" ht="15.75" customHeight="1">
      <c r="A50" s="16"/>
      <c r="B50" s="16"/>
      <c r="C50" s="16"/>
      <c r="D50" s="13" t="s">
        <v>6</v>
      </c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>
        <f t="shared" si="2"/>
        <v>0</v>
      </c>
      <c r="AK50" s="1"/>
      <c r="AL50" s="1"/>
      <c r="AM50" s="4"/>
      <c r="AN50" s="1"/>
      <c r="AO50" s="1"/>
      <c r="AP50" s="1"/>
      <c r="AQ50" s="1"/>
      <c r="AR50" s="1"/>
      <c r="AS50" s="1"/>
      <c r="AT50" s="1"/>
      <c r="AU50" s="1"/>
    </row>
    <row r="51" ht="15.75" customHeight="1">
      <c r="A51" s="10"/>
      <c r="B51" s="10"/>
      <c r="C51" s="10"/>
      <c r="D51" s="13" t="s">
        <v>7</v>
      </c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>
        <f t="shared" si="2"/>
        <v>0</v>
      </c>
      <c r="AK51" s="1"/>
      <c r="AL51" s="1"/>
      <c r="AM51" s="4"/>
      <c r="AN51" s="1"/>
      <c r="AO51" s="1"/>
      <c r="AP51" s="1"/>
      <c r="AQ51" s="1"/>
      <c r="AR51" s="1"/>
      <c r="AS51" s="1"/>
      <c r="AT51" s="1"/>
      <c r="AU51" s="1"/>
    </row>
    <row r="52" ht="15.75" customHeight="1">
      <c r="A52" s="12"/>
      <c r="B52" s="12"/>
      <c r="C52" s="12"/>
      <c r="D52" s="13" t="s">
        <v>5</v>
      </c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>
        <f t="shared" si="2"/>
        <v>0</v>
      </c>
      <c r="AK52" s="1"/>
      <c r="AL52" s="1"/>
      <c r="AM52" s="4"/>
      <c r="AN52" s="1"/>
      <c r="AO52" s="1"/>
      <c r="AP52" s="1"/>
      <c r="AQ52" s="1"/>
      <c r="AR52" s="1"/>
      <c r="AS52" s="1"/>
      <c r="AT52" s="1"/>
      <c r="AU52" s="1"/>
    </row>
    <row r="53" ht="15.75" customHeight="1">
      <c r="A53" s="16"/>
      <c r="B53" s="16"/>
      <c r="C53" s="16"/>
      <c r="D53" s="13" t="s">
        <v>6</v>
      </c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>
        <f t="shared" si="2"/>
        <v>0</v>
      </c>
      <c r="AK53" s="1"/>
      <c r="AL53" s="1"/>
      <c r="AM53" s="4"/>
      <c r="AN53" s="1"/>
      <c r="AO53" s="1"/>
      <c r="AP53" s="1"/>
      <c r="AQ53" s="1"/>
      <c r="AR53" s="1"/>
      <c r="AS53" s="1"/>
      <c r="AT53" s="1"/>
      <c r="AU53" s="1"/>
    </row>
    <row r="54" ht="15.75" customHeight="1">
      <c r="A54" s="10"/>
      <c r="B54" s="10"/>
      <c r="C54" s="10"/>
      <c r="D54" s="13" t="s">
        <v>7</v>
      </c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>
        <f t="shared" si="2"/>
        <v>0</v>
      </c>
      <c r="AK54" s="1"/>
      <c r="AL54" s="1"/>
      <c r="AM54" s="4"/>
      <c r="AN54" s="1"/>
      <c r="AO54" s="1"/>
      <c r="AP54" s="1"/>
      <c r="AQ54" s="1"/>
      <c r="AR54" s="1"/>
      <c r="AS54" s="1"/>
      <c r="AT54" s="1"/>
      <c r="AU54" s="1"/>
    </row>
    <row r="55" ht="15.75" customHeight="1">
      <c r="A55" s="12"/>
      <c r="B55" s="12"/>
      <c r="C55" s="12"/>
      <c r="D55" s="13" t="s">
        <v>5</v>
      </c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>
        <f t="shared" si="2"/>
        <v>0</v>
      </c>
      <c r="AK55" s="1"/>
      <c r="AL55" s="1"/>
      <c r="AM55" s="4"/>
      <c r="AN55" s="1"/>
      <c r="AO55" s="1"/>
      <c r="AP55" s="1"/>
      <c r="AQ55" s="1"/>
      <c r="AR55" s="1"/>
      <c r="AS55" s="1"/>
      <c r="AT55" s="1"/>
      <c r="AU55" s="1"/>
    </row>
    <row r="56" ht="15.75" customHeight="1">
      <c r="A56" s="16"/>
      <c r="B56" s="16"/>
      <c r="C56" s="16"/>
      <c r="D56" s="13" t="s">
        <v>6</v>
      </c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>
        <f t="shared" si="2"/>
        <v>0</v>
      </c>
      <c r="AK56" s="1"/>
      <c r="AL56" s="1"/>
      <c r="AM56" s="4"/>
      <c r="AN56" s="1"/>
      <c r="AO56" s="1"/>
      <c r="AP56" s="1"/>
      <c r="AQ56" s="1"/>
      <c r="AR56" s="1"/>
      <c r="AS56" s="1"/>
      <c r="AT56" s="1"/>
      <c r="AU56" s="1"/>
    </row>
    <row r="57" ht="15.75" customHeight="1">
      <c r="A57" s="10"/>
      <c r="B57" s="10"/>
      <c r="C57" s="10"/>
      <c r="D57" s="13" t="s">
        <v>7</v>
      </c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>
        <f t="shared" si="2"/>
        <v>0</v>
      </c>
      <c r="AK57" s="1"/>
      <c r="AL57" s="1"/>
      <c r="AM57" s="4"/>
      <c r="AN57" s="1"/>
      <c r="AO57" s="1"/>
      <c r="AP57" s="1"/>
      <c r="AQ57" s="1"/>
      <c r="AR57" s="1"/>
      <c r="AS57" s="1"/>
      <c r="AT57" s="1"/>
      <c r="AU57" s="1"/>
    </row>
    <row r="58" ht="15.75" customHeight="1">
      <c r="A58" s="12"/>
      <c r="B58" s="12"/>
      <c r="C58" s="12"/>
      <c r="D58" s="13" t="s">
        <v>5</v>
      </c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>
        <f t="shared" si="2"/>
        <v>0</v>
      </c>
      <c r="AK58" s="1"/>
      <c r="AL58" s="1"/>
      <c r="AM58" s="4"/>
      <c r="AN58" s="1"/>
      <c r="AO58" s="1"/>
      <c r="AP58" s="1"/>
      <c r="AQ58" s="1"/>
      <c r="AR58" s="1"/>
      <c r="AS58" s="1"/>
      <c r="AT58" s="1"/>
      <c r="AU58" s="1"/>
    </row>
    <row r="59" ht="15.75" customHeight="1">
      <c r="A59" s="16"/>
      <c r="B59" s="16"/>
      <c r="C59" s="16"/>
      <c r="D59" s="13" t="s">
        <v>6</v>
      </c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>
        <f t="shared" si="2"/>
        <v>0</v>
      </c>
      <c r="AK59" s="1"/>
      <c r="AL59" s="1"/>
      <c r="AM59" s="4"/>
      <c r="AN59" s="1"/>
      <c r="AO59" s="1"/>
      <c r="AP59" s="1"/>
      <c r="AQ59" s="1"/>
      <c r="AR59" s="1"/>
      <c r="AS59" s="1"/>
      <c r="AT59" s="1"/>
      <c r="AU59" s="1"/>
    </row>
    <row r="60" ht="15.75" customHeight="1">
      <c r="A60" s="10"/>
      <c r="B60" s="10"/>
      <c r="C60" s="10"/>
      <c r="D60" s="13" t="s">
        <v>7</v>
      </c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>
        <f t="shared" si="2"/>
        <v>0</v>
      </c>
      <c r="AK60" s="1"/>
      <c r="AL60" s="1"/>
      <c r="AM60" s="4"/>
      <c r="AN60" s="1"/>
      <c r="AO60" s="1"/>
      <c r="AP60" s="1"/>
      <c r="AQ60" s="1"/>
      <c r="AR60" s="1"/>
      <c r="AS60" s="1"/>
      <c r="AT60" s="1"/>
      <c r="AU60" s="1"/>
    </row>
    <row r="61" ht="15.75" customHeight="1">
      <c r="A61" s="12"/>
      <c r="B61" s="12"/>
      <c r="C61" s="12"/>
      <c r="D61" s="13" t="s">
        <v>5</v>
      </c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>
        <f t="shared" si="2"/>
        <v>0</v>
      </c>
      <c r="AK61" s="1"/>
      <c r="AL61" s="1"/>
      <c r="AM61" s="4"/>
      <c r="AN61" s="1"/>
      <c r="AO61" s="1"/>
      <c r="AP61" s="1"/>
      <c r="AQ61" s="1"/>
      <c r="AR61" s="1"/>
      <c r="AS61" s="1"/>
      <c r="AT61" s="1"/>
      <c r="AU61" s="1"/>
    </row>
    <row r="62" ht="15.75" customHeight="1">
      <c r="A62" s="16"/>
      <c r="B62" s="16"/>
      <c r="C62" s="16"/>
      <c r="D62" s="13" t="s">
        <v>6</v>
      </c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>
        <f t="shared" si="2"/>
        <v>0</v>
      </c>
      <c r="AK62" s="1"/>
      <c r="AL62" s="1"/>
      <c r="AM62" s="4"/>
      <c r="AN62" s="1"/>
      <c r="AO62" s="1"/>
      <c r="AP62" s="1"/>
      <c r="AQ62" s="1"/>
      <c r="AR62" s="1"/>
      <c r="AS62" s="1"/>
      <c r="AT62" s="1"/>
      <c r="AU62" s="1"/>
    </row>
    <row r="63" ht="15.75" customHeight="1">
      <c r="A63" s="10"/>
      <c r="B63" s="10"/>
      <c r="C63" s="10"/>
      <c r="D63" s="13" t="s">
        <v>7</v>
      </c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>
        <f t="shared" si="2"/>
        <v>0</v>
      </c>
      <c r="AK63" s="1"/>
      <c r="AL63" s="1"/>
      <c r="AM63" s="4"/>
      <c r="AN63" s="1"/>
      <c r="AO63" s="1"/>
      <c r="AP63" s="1"/>
      <c r="AQ63" s="1"/>
      <c r="AR63" s="1"/>
      <c r="AS63" s="1"/>
      <c r="AT63" s="1"/>
      <c r="AU63" s="1"/>
    </row>
    <row r="64" ht="15.75" customHeight="1">
      <c r="A64" s="12"/>
      <c r="B64" s="12"/>
      <c r="C64" s="12"/>
      <c r="D64" s="13" t="s">
        <v>5</v>
      </c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>
        <f t="shared" si="2"/>
        <v>0</v>
      </c>
      <c r="AK64" s="1"/>
      <c r="AL64" s="1"/>
      <c r="AM64" s="4"/>
      <c r="AN64" s="1"/>
      <c r="AO64" s="1"/>
      <c r="AP64" s="1"/>
      <c r="AQ64" s="1"/>
      <c r="AR64" s="1"/>
      <c r="AS64" s="1"/>
      <c r="AT64" s="1"/>
      <c r="AU64" s="1"/>
    </row>
    <row r="65" ht="15.75" customHeight="1">
      <c r="A65" s="16"/>
      <c r="B65" s="16"/>
      <c r="C65" s="16"/>
      <c r="D65" s="13" t="s">
        <v>6</v>
      </c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>
        <f t="shared" si="2"/>
        <v>0</v>
      </c>
      <c r="AK65" s="1"/>
      <c r="AL65" s="1"/>
      <c r="AM65" s="4"/>
      <c r="AN65" s="1"/>
      <c r="AO65" s="1"/>
      <c r="AP65" s="1"/>
      <c r="AQ65" s="1"/>
      <c r="AR65" s="1"/>
      <c r="AS65" s="1"/>
      <c r="AT65" s="1"/>
      <c r="AU65" s="1"/>
    </row>
    <row r="66" ht="15.75" customHeight="1">
      <c r="A66" s="10"/>
      <c r="B66" s="10"/>
      <c r="C66" s="10"/>
      <c r="D66" s="13" t="s">
        <v>7</v>
      </c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>
        <f t="shared" si="2"/>
        <v>0</v>
      </c>
      <c r="AK66" s="1"/>
      <c r="AL66" s="1"/>
      <c r="AM66" s="4"/>
      <c r="AN66" s="1"/>
      <c r="AO66" s="1"/>
      <c r="AP66" s="1"/>
      <c r="AQ66" s="1"/>
      <c r="AR66" s="1"/>
      <c r="AS66" s="1"/>
      <c r="AT66" s="1"/>
      <c r="AU66" s="1"/>
    </row>
    <row r="67" ht="15.75" customHeight="1">
      <c r="A67" s="12"/>
      <c r="B67" s="12"/>
      <c r="C67" s="12"/>
      <c r="D67" s="13" t="s">
        <v>5</v>
      </c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>
        <f t="shared" si="2"/>
        <v>0</v>
      </c>
      <c r="AK67" s="1"/>
      <c r="AL67" s="1"/>
      <c r="AM67" s="4"/>
      <c r="AN67" s="1"/>
      <c r="AO67" s="1"/>
      <c r="AP67" s="1"/>
      <c r="AQ67" s="1"/>
      <c r="AR67" s="1"/>
      <c r="AS67" s="1"/>
      <c r="AT67" s="1"/>
      <c r="AU67" s="1"/>
    </row>
    <row r="68" ht="15.75" customHeight="1">
      <c r="A68" s="16"/>
      <c r="B68" s="16"/>
      <c r="C68" s="16"/>
      <c r="D68" s="13" t="s">
        <v>6</v>
      </c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>
        <f t="shared" si="2"/>
        <v>0</v>
      </c>
      <c r="AK68" s="1"/>
      <c r="AL68" s="1"/>
      <c r="AM68" s="4"/>
      <c r="AN68" s="1"/>
      <c r="AO68" s="1"/>
      <c r="AP68" s="1"/>
      <c r="AQ68" s="1"/>
      <c r="AR68" s="1"/>
      <c r="AS68" s="1"/>
      <c r="AT68" s="1"/>
      <c r="AU68" s="1"/>
    </row>
    <row r="69" ht="15.75" customHeight="1">
      <c r="A69" s="10"/>
      <c r="B69" s="10"/>
      <c r="C69" s="10"/>
      <c r="D69" s="13" t="s">
        <v>7</v>
      </c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>
        <f t="shared" si="2"/>
        <v>0</v>
      </c>
      <c r="AK69" s="1"/>
      <c r="AL69" s="1"/>
      <c r="AM69" s="4"/>
      <c r="AN69" s="1"/>
      <c r="AO69" s="1"/>
      <c r="AP69" s="1"/>
      <c r="AQ69" s="1"/>
      <c r="AR69" s="1"/>
      <c r="AS69" s="1"/>
      <c r="AT69" s="1"/>
      <c r="AU69" s="1"/>
    </row>
    <row r="70" ht="15.75" customHeight="1">
      <c r="A70" s="12"/>
      <c r="B70" s="12"/>
      <c r="C70" s="12"/>
      <c r="D70" s="13" t="s">
        <v>5</v>
      </c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>
        <f t="shared" si="2"/>
        <v>0</v>
      </c>
      <c r="AK70" s="1"/>
      <c r="AL70" s="1"/>
      <c r="AM70" s="4"/>
      <c r="AN70" s="1"/>
      <c r="AO70" s="1"/>
      <c r="AP70" s="1"/>
      <c r="AQ70" s="1"/>
      <c r="AR70" s="1"/>
      <c r="AS70" s="1"/>
      <c r="AT70" s="1"/>
      <c r="AU70" s="1"/>
    </row>
    <row r="71" ht="15.75" customHeight="1">
      <c r="A71" s="16"/>
      <c r="B71" s="16"/>
      <c r="C71" s="16"/>
      <c r="D71" s="13" t="s">
        <v>6</v>
      </c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>
        <f t="shared" si="2"/>
        <v>0</v>
      </c>
      <c r="AK71" s="1"/>
      <c r="AL71" s="1"/>
      <c r="AM71" s="4"/>
      <c r="AN71" s="1"/>
      <c r="AO71" s="1"/>
      <c r="AP71" s="1"/>
      <c r="AQ71" s="1"/>
      <c r="AR71" s="1"/>
      <c r="AS71" s="1"/>
      <c r="AT71" s="1"/>
      <c r="AU71" s="1"/>
    </row>
    <row r="72" ht="15.75" customHeight="1">
      <c r="A72" s="10"/>
      <c r="B72" s="10"/>
      <c r="C72" s="10"/>
      <c r="D72" s="13" t="s">
        <v>7</v>
      </c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>
        <f t="shared" si="2"/>
        <v>0</v>
      </c>
      <c r="AK72" s="1"/>
      <c r="AL72" s="1"/>
      <c r="AM72" s="4"/>
      <c r="AN72" s="1"/>
      <c r="AO72" s="1"/>
      <c r="AP72" s="1"/>
      <c r="AQ72" s="1"/>
      <c r="AR72" s="1"/>
      <c r="AS72" s="1"/>
      <c r="AT72" s="1"/>
      <c r="AU72" s="1"/>
    </row>
    <row r="73" ht="15.75" customHeight="1">
      <c r="A73" s="31"/>
      <c r="B73" s="31"/>
      <c r="C73" s="3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4"/>
      <c r="AN73" s="1"/>
      <c r="AO73" s="1"/>
      <c r="AP73" s="1"/>
      <c r="AQ73" s="1"/>
      <c r="AR73" s="1"/>
      <c r="AS73" s="1"/>
      <c r="AT73" s="1"/>
      <c r="AU73" s="1"/>
    </row>
    <row r="74" ht="15.75" customHeight="1">
      <c r="A74" s="31"/>
      <c r="B74" s="31"/>
      <c r="C74" s="3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4"/>
      <c r="AN74" s="1"/>
      <c r="AO74" s="1"/>
      <c r="AP74" s="1"/>
      <c r="AQ74" s="1"/>
      <c r="AR74" s="1"/>
      <c r="AS74" s="1"/>
      <c r="AT74" s="1"/>
      <c r="AU74" s="1"/>
    </row>
    <row r="75" ht="15.75" customHeight="1">
      <c r="A75" s="31"/>
      <c r="B75" s="31"/>
      <c r="C75" s="3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4"/>
      <c r="AN75" s="1"/>
      <c r="AO75" s="1"/>
      <c r="AP75" s="1"/>
      <c r="AQ75" s="1"/>
      <c r="AR75" s="1"/>
      <c r="AS75" s="1"/>
      <c r="AT75" s="1"/>
      <c r="AU75" s="1"/>
    </row>
    <row r="76" ht="15.75" customHeight="1">
      <c r="A76" s="31"/>
      <c r="B76" s="31"/>
      <c r="C76" s="3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4"/>
      <c r="AN76" s="1"/>
      <c r="AO76" s="1"/>
      <c r="AP76" s="1"/>
      <c r="AQ76" s="1"/>
      <c r="AR76" s="1"/>
      <c r="AS76" s="1"/>
      <c r="AT76" s="1"/>
      <c r="AU76" s="1"/>
    </row>
    <row r="77" ht="15.75" customHeight="1">
      <c r="A77" s="31"/>
      <c r="B77" s="31"/>
      <c r="C77" s="3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4"/>
      <c r="AN77" s="1"/>
      <c r="AO77" s="1"/>
      <c r="AP77" s="1"/>
      <c r="AQ77" s="1"/>
      <c r="AR77" s="1"/>
      <c r="AS77" s="1"/>
      <c r="AT77" s="1"/>
      <c r="AU77" s="1"/>
    </row>
    <row r="78" ht="15.75" customHeight="1">
      <c r="A78" s="31"/>
      <c r="B78" s="31"/>
      <c r="C78" s="3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4"/>
      <c r="AN78" s="1"/>
      <c r="AO78" s="1"/>
      <c r="AP78" s="1"/>
      <c r="AQ78" s="1"/>
      <c r="AR78" s="1"/>
      <c r="AS78" s="1"/>
      <c r="AT78" s="1"/>
      <c r="AU78" s="1"/>
    </row>
    <row r="79" ht="15.75" customHeight="1">
      <c r="A79" s="31"/>
      <c r="B79" s="31"/>
      <c r="C79" s="3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4"/>
      <c r="AN79" s="1"/>
      <c r="AO79" s="1"/>
      <c r="AP79" s="1"/>
      <c r="AQ79" s="1"/>
      <c r="AR79" s="1"/>
      <c r="AS79" s="1"/>
      <c r="AT79" s="1"/>
      <c r="AU79" s="1"/>
    </row>
    <row r="80" ht="15.75" customHeight="1">
      <c r="A80" s="31"/>
      <c r="B80" s="31"/>
      <c r="C80" s="3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4"/>
      <c r="AN80" s="1"/>
      <c r="AO80" s="1"/>
      <c r="AP80" s="1"/>
      <c r="AQ80" s="1"/>
      <c r="AR80" s="1"/>
      <c r="AS80" s="1"/>
      <c r="AT80" s="1"/>
      <c r="AU80" s="1"/>
    </row>
    <row r="81" ht="15.75" customHeight="1">
      <c r="A81" s="31"/>
      <c r="B81" s="31"/>
      <c r="C81" s="3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4"/>
      <c r="AN81" s="1"/>
      <c r="AO81" s="1"/>
      <c r="AP81" s="1"/>
      <c r="AQ81" s="1"/>
      <c r="AR81" s="1"/>
      <c r="AS81" s="1"/>
      <c r="AT81" s="1"/>
      <c r="AU81" s="1"/>
    </row>
    <row r="82" ht="15.75" customHeight="1">
      <c r="A82" s="31"/>
      <c r="B82" s="31"/>
      <c r="C82" s="3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4"/>
      <c r="AN82" s="1"/>
      <c r="AO82" s="1"/>
      <c r="AP82" s="1"/>
      <c r="AQ82" s="1"/>
      <c r="AR82" s="1"/>
      <c r="AS82" s="1"/>
      <c r="AT82" s="1"/>
      <c r="AU82" s="1"/>
    </row>
    <row r="83" ht="15.75" customHeight="1">
      <c r="A83" s="31"/>
      <c r="B83" s="31"/>
      <c r="C83" s="3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4"/>
      <c r="AN83" s="1"/>
      <c r="AO83" s="1"/>
      <c r="AP83" s="1"/>
      <c r="AQ83" s="1"/>
      <c r="AR83" s="1"/>
      <c r="AS83" s="1"/>
      <c r="AT83" s="1"/>
      <c r="AU83" s="1"/>
    </row>
    <row r="84" ht="15.75" customHeight="1">
      <c r="A84" s="31"/>
      <c r="B84" s="31"/>
      <c r="C84" s="3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4"/>
      <c r="AN84" s="1"/>
      <c r="AO84" s="1"/>
      <c r="AP84" s="1"/>
      <c r="AQ84" s="1"/>
      <c r="AR84" s="1"/>
      <c r="AS84" s="1"/>
      <c r="AT84" s="1"/>
      <c r="AU84" s="1"/>
    </row>
    <row r="85" ht="15.75" customHeight="1">
      <c r="A85" s="31"/>
      <c r="B85" s="31"/>
      <c r="C85" s="3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4"/>
      <c r="AN85" s="1"/>
      <c r="AO85" s="1"/>
      <c r="AP85" s="1"/>
      <c r="AQ85" s="1"/>
      <c r="AR85" s="1"/>
      <c r="AS85" s="1"/>
      <c r="AT85" s="1"/>
      <c r="AU85" s="1"/>
    </row>
    <row r="86" ht="15.75" customHeight="1">
      <c r="A86" s="31"/>
      <c r="B86" s="31"/>
      <c r="C86" s="3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4"/>
      <c r="AN86" s="1"/>
      <c r="AO86" s="1"/>
      <c r="AP86" s="1"/>
      <c r="AQ86" s="1"/>
      <c r="AR86" s="1"/>
      <c r="AS86" s="1"/>
      <c r="AT86" s="1"/>
      <c r="AU86" s="1"/>
    </row>
    <row r="87" ht="15.75" customHeight="1">
      <c r="A87" s="31"/>
      <c r="B87" s="31"/>
      <c r="C87" s="3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4"/>
      <c r="AN87" s="1"/>
      <c r="AO87" s="1"/>
      <c r="AP87" s="1"/>
      <c r="AQ87" s="1"/>
      <c r="AR87" s="1"/>
      <c r="AS87" s="1"/>
      <c r="AT87" s="1"/>
      <c r="AU87" s="1"/>
    </row>
    <row r="88" ht="15.75" customHeight="1">
      <c r="A88" s="31"/>
      <c r="B88" s="31"/>
      <c r="C88" s="3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4"/>
      <c r="AN88" s="1"/>
      <c r="AO88" s="1"/>
      <c r="AP88" s="1"/>
      <c r="AQ88" s="1"/>
      <c r="AR88" s="1"/>
      <c r="AS88" s="1"/>
      <c r="AT88" s="1"/>
      <c r="AU88" s="1"/>
    </row>
    <row r="89" ht="15.75" customHeight="1">
      <c r="A89" s="31"/>
      <c r="B89" s="31"/>
      <c r="C89" s="3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4"/>
      <c r="AN89" s="1"/>
      <c r="AO89" s="1"/>
      <c r="AP89" s="1"/>
      <c r="AQ89" s="1"/>
      <c r="AR89" s="1"/>
      <c r="AS89" s="1"/>
      <c r="AT89" s="1"/>
      <c r="AU89" s="1"/>
    </row>
    <row r="90" ht="15.75" customHeight="1">
      <c r="A90" s="31"/>
      <c r="B90" s="31"/>
      <c r="C90" s="3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4"/>
      <c r="AN90" s="1"/>
      <c r="AO90" s="1"/>
      <c r="AP90" s="1"/>
      <c r="AQ90" s="1"/>
      <c r="AR90" s="1"/>
      <c r="AS90" s="1"/>
      <c r="AT90" s="1"/>
      <c r="AU90" s="1"/>
    </row>
    <row r="91" ht="15.75" customHeight="1">
      <c r="A91" s="31"/>
      <c r="B91" s="31"/>
      <c r="C91" s="3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4"/>
      <c r="AN91" s="1"/>
      <c r="AO91" s="1"/>
      <c r="AP91" s="1"/>
      <c r="AQ91" s="1"/>
      <c r="AR91" s="1"/>
      <c r="AS91" s="1"/>
      <c r="AT91" s="1"/>
      <c r="AU91" s="1"/>
    </row>
    <row r="92" ht="15.75" customHeight="1">
      <c r="A92" s="31"/>
      <c r="B92" s="31"/>
      <c r="C92" s="3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4"/>
      <c r="AN92" s="1"/>
      <c r="AO92" s="1"/>
      <c r="AP92" s="1"/>
      <c r="AQ92" s="1"/>
      <c r="AR92" s="1"/>
      <c r="AS92" s="1"/>
      <c r="AT92" s="1"/>
      <c r="AU92" s="1"/>
    </row>
    <row r="93" ht="15.75" customHeight="1">
      <c r="A93" s="31"/>
      <c r="B93" s="31"/>
      <c r="C93" s="3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4"/>
      <c r="AN93" s="1"/>
      <c r="AO93" s="1"/>
      <c r="AP93" s="1"/>
      <c r="AQ93" s="1"/>
      <c r="AR93" s="1"/>
      <c r="AS93" s="1"/>
      <c r="AT93" s="1"/>
      <c r="AU93" s="1"/>
    </row>
    <row r="94" ht="15.75" customHeight="1">
      <c r="A94" s="31"/>
      <c r="B94" s="31"/>
      <c r="C94" s="3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4"/>
      <c r="AN94" s="1"/>
      <c r="AO94" s="1"/>
      <c r="AP94" s="1"/>
      <c r="AQ94" s="1"/>
      <c r="AR94" s="1"/>
      <c r="AS94" s="1"/>
      <c r="AT94" s="1"/>
      <c r="AU94" s="1"/>
    </row>
    <row r="95" ht="15.75" customHeight="1">
      <c r="A95" s="31"/>
      <c r="B95" s="31"/>
      <c r="C95" s="3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4"/>
      <c r="AN95" s="1"/>
      <c r="AO95" s="1"/>
      <c r="AP95" s="1"/>
      <c r="AQ95" s="1"/>
      <c r="AR95" s="1"/>
      <c r="AS95" s="1"/>
      <c r="AT95" s="1"/>
      <c r="AU95" s="1"/>
    </row>
    <row r="96" ht="15.75" customHeight="1">
      <c r="A96" s="31"/>
      <c r="B96" s="31"/>
      <c r="C96" s="3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4"/>
      <c r="AN96" s="1"/>
      <c r="AO96" s="1"/>
      <c r="AP96" s="1"/>
      <c r="AQ96" s="1"/>
      <c r="AR96" s="1"/>
      <c r="AS96" s="1"/>
      <c r="AT96" s="1"/>
      <c r="AU96" s="1"/>
    </row>
    <row r="97" ht="15.75" customHeight="1">
      <c r="A97" s="31"/>
      <c r="B97" s="31"/>
      <c r="C97" s="3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4"/>
      <c r="AN97" s="1"/>
      <c r="AO97" s="1"/>
      <c r="AP97" s="1"/>
      <c r="AQ97" s="1"/>
      <c r="AR97" s="1"/>
      <c r="AS97" s="1"/>
      <c r="AT97" s="1"/>
      <c r="AU97" s="1"/>
    </row>
    <row r="98" ht="15.75" customHeight="1">
      <c r="A98" s="31"/>
      <c r="B98" s="31"/>
      <c r="C98" s="3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4"/>
      <c r="AN98" s="1"/>
      <c r="AO98" s="1"/>
      <c r="AP98" s="1"/>
      <c r="AQ98" s="1"/>
      <c r="AR98" s="1"/>
      <c r="AS98" s="1"/>
      <c r="AT98" s="1"/>
      <c r="AU98" s="1"/>
    </row>
    <row r="99" ht="15.75" customHeight="1">
      <c r="A99" s="31"/>
      <c r="B99" s="31"/>
      <c r="C99" s="3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4"/>
      <c r="AN99" s="1"/>
      <c r="AO99" s="1"/>
      <c r="AP99" s="1"/>
      <c r="AQ99" s="1"/>
      <c r="AR99" s="1"/>
      <c r="AS99" s="1"/>
      <c r="AT99" s="1"/>
      <c r="AU99" s="1"/>
    </row>
    <row r="100" ht="15.75" customHeight="1">
      <c r="A100" s="31"/>
      <c r="B100" s="31"/>
      <c r="C100" s="3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4"/>
      <c r="AN100" s="1"/>
      <c r="AO100" s="1"/>
      <c r="AP100" s="1"/>
      <c r="AQ100" s="1"/>
      <c r="AR100" s="1"/>
      <c r="AS100" s="1"/>
      <c r="AT100" s="1"/>
      <c r="AU100" s="1"/>
    </row>
    <row r="101" ht="15.75" customHeight="1">
      <c r="A101" s="31"/>
      <c r="B101" s="31"/>
      <c r="C101" s="3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4"/>
      <c r="AN101" s="1"/>
      <c r="AO101" s="1"/>
      <c r="AP101" s="1"/>
      <c r="AQ101" s="1"/>
      <c r="AR101" s="1"/>
      <c r="AS101" s="1"/>
      <c r="AT101" s="1"/>
      <c r="AU101" s="1"/>
    </row>
    <row r="102" ht="15.75" customHeight="1">
      <c r="A102" s="31"/>
      <c r="B102" s="31"/>
      <c r="C102" s="3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4"/>
      <c r="AN102" s="1"/>
      <c r="AO102" s="1"/>
      <c r="AP102" s="1"/>
      <c r="AQ102" s="1"/>
      <c r="AR102" s="1"/>
      <c r="AS102" s="1"/>
      <c r="AT102" s="1"/>
      <c r="AU102" s="1"/>
    </row>
    <row r="103" ht="15.75" customHeight="1">
      <c r="A103" s="31"/>
      <c r="B103" s="31"/>
      <c r="C103" s="3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4"/>
      <c r="AN103" s="1"/>
      <c r="AO103" s="1"/>
      <c r="AP103" s="1"/>
      <c r="AQ103" s="1"/>
      <c r="AR103" s="1"/>
      <c r="AS103" s="1"/>
      <c r="AT103" s="1"/>
      <c r="AU103" s="1"/>
    </row>
    <row r="104" ht="15.75" customHeight="1">
      <c r="A104" s="31"/>
      <c r="B104" s="31"/>
      <c r="C104" s="3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4"/>
      <c r="AN104" s="1"/>
      <c r="AO104" s="1"/>
      <c r="AP104" s="1"/>
      <c r="AQ104" s="1"/>
      <c r="AR104" s="1"/>
      <c r="AS104" s="1"/>
      <c r="AT104" s="1"/>
      <c r="AU104" s="1"/>
    </row>
    <row r="105" ht="15.75" customHeight="1">
      <c r="A105" s="31"/>
      <c r="B105" s="31"/>
      <c r="C105" s="3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4"/>
      <c r="AN105" s="1"/>
      <c r="AO105" s="1"/>
      <c r="AP105" s="1"/>
      <c r="AQ105" s="1"/>
      <c r="AR105" s="1"/>
      <c r="AS105" s="1"/>
      <c r="AT105" s="1"/>
      <c r="AU105" s="1"/>
    </row>
    <row r="106" ht="15.75" customHeight="1">
      <c r="A106" s="31"/>
      <c r="B106" s="31"/>
      <c r="C106" s="3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4"/>
      <c r="AN106" s="1"/>
      <c r="AO106" s="1"/>
      <c r="AP106" s="1"/>
      <c r="AQ106" s="1"/>
      <c r="AR106" s="1"/>
      <c r="AS106" s="1"/>
      <c r="AT106" s="1"/>
      <c r="AU106" s="1"/>
    </row>
    <row r="107" ht="15.75" customHeight="1">
      <c r="A107" s="31"/>
      <c r="B107" s="31"/>
      <c r="C107" s="3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4"/>
      <c r="AN107" s="1"/>
      <c r="AO107" s="1"/>
      <c r="AP107" s="1"/>
      <c r="AQ107" s="1"/>
      <c r="AR107" s="1"/>
      <c r="AS107" s="1"/>
      <c r="AT107" s="1"/>
      <c r="AU107" s="1"/>
    </row>
    <row r="108" ht="15.75" customHeight="1">
      <c r="A108" s="31"/>
      <c r="B108" s="31"/>
      <c r="C108" s="3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4"/>
      <c r="AN108" s="1"/>
      <c r="AO108" s="1"/>
      <c r="AP108" s="1"/>
      <c r="AQ108" s="1"/>
      <c r="AR108" s="1"/>
      <c r="AS108" s="1"/>
      <c r="AT108" s="1"/>
      <c r="AU108" s="1"/>
    </row>
    <row r="109" ht="15.75" customHeight="1">
      <c r="A109" s="31"/>
      <c r="B109" s="31"/>
      <c r="C109" s="3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4"/>
      <c r="AN109" s="1"/>
      <c r="AO109" s="1"/>
      <c r="AP109" s="1"/>
      <c r="AQ109" s="1"/>
      <c r="AR109" s="1"/>
      <c r="AS109" s="1"/>
      <c r="AT109" s="1"/>
      <c r="AU109" s="1"/>
    </row>
    <row r="110" ht="15.75" customHeight="1">
      <c r="A110" s="31"/>
      <c r="B110" s="31"/>
      <c r="C110" s="3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4"/>
      <c r="AN110" s="1"/>
      <c r="AO110" s="1"/>
      <c r="AP110" s="1"/>
      <c r="AQ110" s="1"/>
      <c r="AR110" s="1"/>
      <c r="AS110" s="1"/>
      <c r="AT110" s="1"/>
      <c r="AU110" s="1"/>
    </row>
    <row r="111" ht="15.75" customHeight="1">
      <c r="A111" s="31"/>
      <c r="B111" s="31"/>
      <c r="C111" s="3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4"/>
      <c r="AN111" s="1"/>
      <c r="AO111" s="1"/>
      <c r="AP111" s="1"/>
      <c r="AQ111" s="1"/>
      <c r="AR111" s="1"/>
      <c r="AS111" s="1"/>
      <c r="AT111" s="1"/>
      <c r="AU111" s="1"/>
    </row>
    <row r="112" ht="15.75" customHeight="1">
      <c r="A112" s="31"/>
      <c r="B112" s="31"/>
      <c r="C112" s="3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4"/>
      <c r="AN112" s="1"/>
      <c r="AO112" s="1"/>
      <c r="AP112" s="1"/>
      <c r="AQ112" s="1"/>
      <c r="AR112" s="1"/>
      <c r="AS112" s="1"/>
      <c r="AT112" s="1"/>
      <c r="AU112" s="1"/>
    </row>
    <row r="113" ht="15.75" customHeight="1">
      <c r="A113" s="31"/>
      <c r="B113" s="31"/>
      <c r="C113" s="3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4"/>
      <c r="AN113" s="1"/>
      <c r="AO113" s="1"/>
      <c r="AP113" s="1"/>
      <c r="AQ113" s="1"/>
      <c r="AR113" s="1"/>
      <c r="AS113" s="1"/>
      <c r="AT113" s="1"/>
      <c r="AU113" s="1"/>
    </row>
    <row r="114" ht="15.75" customHeight="1">
      <c r="A114" s="31"/>
      <c r="B114" s="31"/>
      <c r="C114" s="3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4"/>
      <c r="AN114" s="1"/>
      <c r="AO114" s="1"/>
      <c r="AP114" s="1"/>
      <c r="AQ114" s="1"/>
      <c r="AR114" s="1"/>
      <c r="AS114" s="1"/>
      <c r="AT114" s="1"/>
      <c r="AU114" s="1"/>
    </row>
    <row r="115" ht="15.75" customHeight="1">
      <c r="A115" s="31"/>
      <c r="B115" s="31"/>
      <c r="C115" s="3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4"/>
      <c r="AN115" s="1"/>
      <c r="AO115" s="1"/>
      <c r="AP115" s="1"/>
      <c r="AQ115" s="1"/>
      <c r="AR115" s="1"/>
      <c r="AS115" s="1"/>
      <c r="AT115" s="1"/>
      <c r="AU115" s="1"/>
    </row>
    <row r="116" ht="15.75" customHeight="1">
      <c r="A116" s="31"/>
      <c r="B116" s="31"/>
      <c r="C116" s="3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4"/>
      <c r="AN116" s="1"/>
      <c r="AO116" s="1"/>
      <c r="AP116" s="1"/>
      <c r="AQ116" s="1"/>
      <c r="AR116" s="1"/>
      <c r="AS116" s="1"/>
      <c r="AT116" s="1"/>
      <c r="AU116" s="1"/>
    </row>
    <row r="117" ht="15.75" customHeight="1">
      <c r="A117" s="31"/>
      <c r="B117" s="31"/>
      <c r="C117" s="3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4"/>
      <c r="AN117" s="1"/>
      <c r="AO117" s="1"/>
      <c r="AP117" s="1"/>
      <c r="AQ117" s="1"/>
      <c r="AR117" s="1"/>
      <c r="AS117" s="1"/>
      <c r="AT117" s="1"/>
      <c r="AU117" s="1"/>
    </row>
    <row r="118" ht="15.75" customHeight="1">
      <c r="A118" s="31"/>
      <c r="B118" s="31"/>
      <c r="C118" s="3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4"/>
      <c r="AN118" s="1"/>
      <c r="AO118" s="1"/>
      <c r="AP118" s="1"/>
      <c r="AQ118" s="1"/>
      <c r="AR118" s="1"/>
      <c r="AS118" s="1"/>
      <c r="AT118" s="1"/>
      <c r="AU118" s="1"/>
    </row>
    <row r="119" ht="15.75" customHeight="1">
      <c r="A119" s="31"/>
      <c r="B119" s="31"/>
      <c r="C119" s="3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4"/>
      <c r="AN119" s="1"/>
      <c r="AO119" s="1"/>
      <c r="AP119" s="1"/>
      <c r="AQ119" s="1"/>
      <c r="AR119" s="1"/>
      <c r="AS119" s="1"/>
      <c r="AT119" s="1"/>
      <c r="AU119" s="1"/>
    </row>
    <row r="120" ht="15.75" customHeight="1">
      <c r="A120" s="31"/>
      <c r="B120" s="31"/>
      <c r="C120" s="3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4"/>
      <c r="AN120" s="1"/>
      <c r="AO120" s="1"/>
      <c r="AP120" s="1"/>
      <c r="AQ120" s="1"/>
      <c r="AR120" s="1"/>
      <c r="AS120" s="1"/>
      <c r="AT120" s="1"/>
      <c r="AU120" s="1"/>
    </row>
    <row r="121" ht="15.75" customHeight="1">
      <c r="A121" s="31"/>
      <c r="B121" s="31"/>
      <c r="C121" s="3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4"/>
      <c r="AN121" s="1"/>
      <c r="AO121" s="1"/>
      <c r="AP121" s="1"/>
      <c r="AQ121" s="1"/>
      <c r="AR121" s="1"/>
      <c r="AS121" s="1"/>
      <c r="AT121" s="1"/>
      <c r="AU121" s="1"/>
    </row>
    <row r="122" ht="15.75" customHeight="1">
      <c r="A122" s="31"/>
      <c r="B122" s="31"/>
      <c r="C122" s="3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4"/>
      <c r="AN122" s="1"/>
      <c r="AO122" s="1"/>
      <c r="AP122" s="1"/>
      <c r="AQ122" s="1"/>
      <c r="AR122" s="1"/>
      <c r="AS122" s="1"/>
      <c r="AT122" s="1"/>
      <c r="AU122" s="1"/>
    </row>
    <row r="123" ht="15.75" customHeight="1">
      <c r="A123" s="31"/>
      <c r="B123" s="31"/>
      <c r="C123" s="3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4"/>
      <c r="AN123" s="1"/>
      <c r="AO123" s="1"/>
      <c r="AP123" s="1"/>
      <c r="AQ123" s="1"/>
      <c r="AR123" s="1"/>
      <c r="AS123" s="1"/>
      <c r="AT123" s="1"/>
      <c r="AU123" s="1"/>
    </row>
    <row r="124" ht="15.75" customHeight="1">
      <c r="A124" s="31"/>
      <c r="B124" s="31"/>
      <c r="C124" s="3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4"/>
      <c r="AN124" s="1"/>
      <c r="AO124" s="1"/>
      <c r="AP124" s="1"/>
      <c r="AQ124" s="1"/>
      <c r="AR124" s="1"/>
      <c r="AS124" s="1"/>
      <c r="AT124" s="1"/>
      <c r="AU124" s="1"/>
    </row>
    <row r="125" ht="15.75" customHeight="1">
      <c r="A125" s="31"/>
      <c r="B125" s="31"/>
      <c r="C125" s="3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4"/>
      <c r="AN125" s="1"/>
      <c r="AO125" s="1"/>
      <c r="AP125" s="1"/>
      <c r="AQ125" s="1"/>
      <c r="AR125" s="1"/>
      <c r="AS125" s="1"/>
      <c r="AT125" s="1"/>
      <c r="AU125" s="1"/>
    </row>
    <row r="126" ht="15.75" customHeight="1">
      <c r="A126" s="31"/>
      <c r="B126" s="31"/>
      <c r="C126" s="3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4"/>
      <c r="AN126" s="1"/>
      <c r="AO126" s="1"/>
      <c r="AP126" s="1"/>
      <c r="AQ126" s="1"/>
      <c r="AR126" s="1"/>
      <c r="AS126" s="1"/>
      <c r="AT126" s="1"/>
      <c r="AU126" s="1"/>
    </row>
    <row r="127" ht="15.75" customHeight="1">
      <c r="A127" s="31"/>
      <c r="B127" s="31"/>
      <c r="C127" s="3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4"/>
      <c r="AN127" s="1"/>
      <c r="AO127" s="1"/>
      <c r="AP127" s="1"/>
      <c r="AQ127" s="1"/>
      <c r="AR127" s="1"/>
      <c r="AS127" s="1"/>
      <c r="AT127" s="1"/>
      <c r="AU127" s="1"/>
    </row>
    <row r="128" ht="15.75" customHeight="1">
      <c r="A128" s="31"/>
      <c r="B128" s="31"/>
      <c r="C128" s="3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4"/>
      <c r="AN128" s="1"/>
      <c r="AO128" s="1"/>
      <c r="AP128" s="1"/>
      <c r="AQ128" s="1"/>
      <c r="AR128" s="1"/>
      <c r="AS128" s="1"/>
      <c r="AT128" s="1"/>
      <c r="AU128" s="1"/>
    </row>
    <row r="129" ht="15.75" customHeight="1">
      <c r="A129" s="31"/>
      <c r="B129" s="31"/>
      <c r="C129" s="3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4"/>
      <c r="AN129" s="1"/>
      <c r="AO129" s="1"/>
      <c r="AP129" s="1"/>
      <c r="AQ129" s="1"/>
      <c r="AR129" s="1"/>
      <c r="AS129" s="1"/>
      <c r="AT129" s="1"/>
      <c r="AU129" s="1"/>
    </row>
    <row r="130" ht="15.75" customHeight="1">
      <c r="A130" s="31"/>
      <c r="B130" s="31"/>
      <c r="C130" s="3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4"/>
      <c r="AN130" s="1"/>
      <c r="AO130" s="1"/>
      <c r="AP130" s="1"/>
      <c r="AQ130" s="1"/>
      <c r="AR130" s="1"/>
      <c r="AS130" s="1"/>
      <c r="AT130" s="1"/>
      <c r="AU130" s="1"/>
    </row>
    <row r="131" ht="15.75" customHeight="1">
      <c r="A131" s="31"/>
      <c r="B131" s="31"/>
      <c r="C131" s="3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4"/>
      <c r="AN131" s="1"/>
      <c r="AO131" s="1"/>
      <c r="AP131" s="1"/>
      <c r="AQ131" s="1"/>
      <c r="AR131" s="1"/>
      <c r="AS131" s="1"/>
      <c r="AT131" s="1"/>
      <c r="AU131" s="1"/>
    </row>
    <row r="132" ht="15.75" customHeight="1">
      <c r="A132" s="31"/>
      <c r="B132" s="31"/>
      <c r="C132" s="3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4"/>
      <c r="AN132" s="1"/>
      <c r="AO132" s="1"/>
      <c r="AP132" s="1"/>
      <c r="AQ132" s="1"/>
      <c r="AR132" s="1"/>
      <c r="AS132" s="1"/>
      <c r="AT132" s="1"/>
      <c r="AU132" s="1"/>
    </row>
    <row r="133" ht="15.75" customHeight="1">
      <c r="A133" s="31"/>
      <c r="B133" s="31"/>
      <c r="C133" s="3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4"/>
      <c r="AN133" s="1"/>
      <c r="AO133" s="1"/>
      <c r="AP133" s="1"/>
      <c r="AQ133" s="1"/>
      <c r="AR133" s="1"/>
      <c r="AS133" s="1"/>
      <c r="AT133" s="1"/>
      <c r="AU133" s="1"/>
    </row>
    <row r="134" ht="15.75" customHeight="1">
      <c r="A134" s="31"/>
      <c r="B134" s="31"/>
      <c r="C134" s="3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4"/>
      <c r="AN134" s="1"/>
      <c r="AO134" s="1"/>
      <c r="AP134" s="1"/>
      <c r="AQ134" s="1"/>
      <c r="AR134" s="1"/>
      <c r="AS134" s="1"/>
      <c r="AT134" s="1"/>
      <c r="AU134" s="1"/>
    </row>
    <row r="135" ht="15.75" customHeight="1">
      <c r="A135" s="31"/>
      <c r="B135" s="31"/>
      <c r="C135" s="3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4"/>
      <c r="AN135" s="1"/>
      <c r="AO135" s="1"/>
      <c r="AP135" s="1"/>
      <c r="AQ135" s="1"/>
      <c r="AR135" s="1"/>
      <c r="AS135" s="1"/>
      <c r="AT135" s="1"/>
      <c r="AU135" s="1"/>
    </row>
    <row r="136" ht="15.75" customHeight="1">
      <c r="A136" s="31"/>
      <c r="B136" s="31"/>
      <c r="C136" s="3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4"/>
      <c r="AN136" s="1"/>
      <c r="AO136" s="1"/>
      <c r="AP136" s="1"/>
      <c r="AQ136" s="1"/>
      <c r="AR136" s="1"/>
      <c r="AS136" s="1"/>
      <c r="AT136" s="1"/>
      <c r="AU136" s="1"/>
    </row>
    <row r="137" ht="15.75" customHeight="1">
      <c r="A137" s="31"/>
      <c r="B137" s="31"/>
      <c r="C137" s="3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4"/>
      <c r="AN137" s="1"/>
      <c r="AO137" s="1"/>
      <c r="AP137" s="1"/>
      <c r="AQ137" s="1"/>
      <c r="AR137" s="1"/>
      <c r="AS137" s="1"/>
      <c r="AT137" s="1"/>
      <c r="AU137" s="1"/>
    </row>
    <row r="138" ht="15.75" customHeight="1">
      <c r="A138" s="31"/>
      <c r="B138" s="31"/>
      <c r="C138" s="3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4"/>
      <c r="AN138" s="1"/>
      <c r="AO138" s="1"/>
      <c r="AP138" s="1"/>
      <c r="AQ138" s="1"/>
      <c r="AR138" s="1"/>
      <c r="AS138" s="1"/>
      <c r="AT138" s="1"/>
      <c r="AU138" s="1"/>
    </row>
    <row r="139" ht="15.75" customHeight="1">
      <c r="A139" s="31"/>
      <c r="B139" s="31"/>
      <c r="C139" s="3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4"/>
      <c r="AN139" s="1"/>
      <c r="AO139" s="1"/>
      <c r="AP139" s="1"/>
      <c r="AQ139" s="1"/>
      <c r="AR139" s="1"/>
      <c r="AS139" s="1"/>
      <c r="AT139" s="1"/>
      <c r="AU139" s="1"/>
    </row>
    <row r="140" ht="15.75" customHeight="1">
      <c r="A140" s="31"/>
      <c r="B140" s="31"/>
      <c r="C140" s="3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4"/>
      <c r="AN140" s="1"/>
      <c r="AO140" s="1"/>
      <c r="AP140" s="1"/>
      <c r="AQ140" s="1"/>
      <c r="AR140" s="1"/>
      <c r="AS140" s="1"/>
      <c r="AT140" s="1"/>
      <c r="AU140" s="1"/>
    </row>
    <row r="141" ht="15.75" customHeight="1">
      <c r="A141" s="31"/>
      <c r="B141" s="31"/>
      <c r="C141" s="3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4"/>
      <c r="AN141" s="1"/>
      <c r="AO141" s="1"/>
      <c r="AP141" s="1"/>
      <c r="AQ141" s="1"/>
      <c r="AR141" s="1"/>
      <c r="AS141" s="1"/>
      <c r="AT141" s="1"/>
      <c r="AU141" s="1"/>
    </row>
    <row r="142" ht="15.75" customHeight="1">
      <c r="A142" s="31"/>
      <c r="B142" s="31"/>
      <c r="C142" s="3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4"/>
      <c r="AN142" s="1"/>
      <c r="AO142" s="1"/>
      <c r="AP142" s="1"/>
      <c r="AQ142" s="1"/>
      <c r="AR142" s="1"/>
      <c r="AS142" s="1"/>
      <c r="AT142" s="1"/>
      <c r="AU142" s="1"/>
    </row>
    <row r="143" ht="15.75" customHeight="1">
      <c r="A143" s="31"/>
      <c r="B143" s="31"/>
      <c r="C143" s="3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4"/>
      <c r="AN143" s="1"/>
      <c r="AO143" s="1"/>
      <c r="AP143" s="1"/>
      <c r="AQ143" s="1"/>
      <c r="AR143" s="1"/>
      <c r="AS143" s="1"/>
      <c r="AT143" s="1"/>
      <c r="AU143" s="1"/>
    </row>
    <row r="144" ht="15.75" customHeight="1">
      <c r="A144" s="31"/>
      <c r="B144" s="31"/>
      <c r="C144" s="3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4"/>
      <c r="AN144" s="1"/>
      <c r="AO144" s="1"/>
      <c r="AP144" s="1"/>
      <c r="AQ144" s="1"/>
      <c r="AR144" s="1"/>
      <c r="AS144" s="1"/>
      <c r="AT144" s="1"/>
      <c r="AU144" s="1"/>
    </row>
    <row r="145" ht="15.75" customHeight="1">
      <c r="A145" s="31"/>
      <c r="B145" s="31"/>
      <c r="C145" s="3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4"/>
      <c r="AN145" s="1"/>
      <c r="AO145" s="1"/>
      <c r="AP145" s="1"/>
      <c r="AQ145" s="1"/>
      <c r="AR145" s="1"/>
      <c r="AS145" s="1"/>
      <c r="AT145" s="1"/>
      <c r="AU145" s="1"/>
    </row>
    <row r="146" ht="15.75" customHeight="1">
      <c r="A146" s="31"/>
      <c r="B146" s="31"/>
      <c r="C146" s="3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4"/>
      <c r="AN146" s="1"/>
      <c r="AO146" s="1"/>
      <c r="AP146" s="1"/>
      <c r="AQ146" s="1"/>
      <c r="AR146" s="1"/>
      <c r="AS146" s="1"/>
      <c r="AT146" s="1"/>
      <c r="AU146" s="1"/>
    </row>
    <row r="147" ht="15.75" customHeight="1">
      <c r="A147" s="31"/>
      <c r="B147" s="31"/>
      <c r="C147" s="3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4"/>
      <c r="AN147" s="1"/>
      <c r="AO147" s="1"/>
      <c r="AP147" s="1"/>
      <c r="AQ147" s="1"/>
      <c r="AR147" s="1"/>
      <c r="AS147" s="1"/>
      <c r="AT147" s="1"/>
      <c r="AU147" s="1"/>
    </row>
    <row r="148" ht="15.75" customHeight="1">
      <c r="A148" s="31"/>
      <c r="B148" s="31"/>
      <c r="C148" s="3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4"/>
      <c r="AN148" s="1"/>
      <c r="AO148" s="1"/>
      <c r="AP148" s="1"/>
      <c r="AQ148" s="1"/>
      <c r="AR148" s="1"/>
      <c r="AS148" s="1"/>
      <c r="AT148" s="1"/>
      <c r="AU148" s="1"/>
    </row>
    <row r="149" ht="15.75" customHeight="1">
      <c r="A149" s="31"/>
      <c r="B149" s="31"/>
      <c r="C149" s="3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4"/>
      <c r="AN149" s="1"/>
      <c r="AO149" s="1"/>
      <c r="AP149" s="1"/>
      <c r="AQ149" s="1"/>
      <c r="AR149" s="1"/>
      <c r="AS149" s="1"/>
      <c r="AT149" s="1"/>
      <c r="AU149" s="1"/>
    </row>
    <row r="150" ht="15.75" customHeight="1">
      <c r="A150" s="31"/>
      <c r="B150" s="31"/>
      <c r="C150" s="3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4"/>
      <c r="AN150" s="1"/>
      <c r="AO150" s="1"/>
      <c r="AP150" s="1"/>
      <c r="AQ150" s="1"/>
      <c r="AR150" s="1"/>
      <c r="AS150" s="1"/>
      <c r="AT150" s="1"/>
      <c r="AU150" s="1"/>
    </row>
    <row r="151" ht="15.75" customHeight="1">
      <c r="A151" s="31"/>
      <c r="B151" s="31"/>
      <c r="C151" s="3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4"/>
      <c r="AN151" s="1"/>
      <c r="AO151" s="1"/>
      <c r="AP151" s="1"/>
      <c r="AQ151" s="1"/>
      <c r="AR151" s="1"/>
      <c r="AS151" s="1"/>
      <c r="AT151" s="1"/>
      <c r="AU151" s="1"/>
    </row>
    <row r="152" ht="15.75" customHeight="1">
      <c r="A152" s="31"/>
      <c r="B152" s="31"/>
      <c r="C152" s="3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4"/>
      <c r="AN152" s="1"/>
      <c r="AO152" s="1"/>
      <c r="AP152" s="1"/>
      <c r="AQ152" s="1"/>
      <c r="AR152" s="1"/>
      <c r="AS152" s="1"/>
      <c r="AT152" s="1"/>
      <c r="AU152" s="1"/>
    </row>
    <row r="153" ht="15.75" customHeight="1">
      <c r="A153" s="31"/>
      <c r="B153" s="31"/>
      <c r="C153" s="3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4"/>
      <c r="AN153" s="1"/>
      <c r="AO153" s="1"/>
      <c r="AP153" s="1"/>
      <c r="AQ153" s="1"/>
      <c r="AR153" s="1"/>
      <c r="AS153" s="1"/>
      <c r="AT153" s="1"/>
      <c r="AU153" s="1"/>
    </row>
    <row r="154" ht="15.75" customHeight="1">
      <c r="A154" s="31"/>
      <c r="B154" s="31"/>
      <c r="C154" s="3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4"/>
      <c r="AN154" s="1"/>
      <c r="AO154" s="1"/>
      <c r="AP154" s="1"/>
      <c r="AQ154" s="1"/>
      <c r="AR154" s="1"/>
      <c r="AS154" s="1"/>
      <c r="AT154" s="1"/>
      <c r="AU154" s="1"/>
    </row>
    <row r="155" ht="15.75" customHeight="1">
      <c r="A155" s="31"/>
      <c r="B155" s="31"/>
      <c r="C155" s="3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4"/>
      <c r="AN155" s="1"/>
      <c r="AO155" s="1"/>
      <c r="AP155" s="1"/>
      <c r="AQ155" s="1"/>
      <c r="AR155" s="1"/>
      <c r="AS155" s="1"/>
      <c r="AT155" s="1"/>
      <c r="AU155" s="1"/>
    </row>
    <row r="156" ht="15.75" customHeight="1">
      <c r="A156" s="31"/>
      <c r="B156" s="31"/>
      <c r="C156" s="3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4"/>
      <c r="AN156" s="1"/>
      <c r="AO156" s="1"/>
      <c r="AP156" s="1"/>
      <c r="AQ156" s="1"/>
      <c r="AR156" s="1"/>
      <c r="AS156" s="1"/>
      <c r="AT156" s="1"/>
      <c r="AU156" s="1"/>
    </row>
    <row r="157" ht="15.75" customHeight="1">
      <c r="A157" s="31"/>
      <c r="B157" s="31"/>
      <c r="C157" s="3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4"/>
      <c r="AN157" s="1"/>
      <c r="AO157" s="1"/>
      <c r="AP157" s="1"/>
      <c r="AQ157" s="1"/>
      <c r="AR157" s="1"/>
      <c r="AS157" s="1"/>
      <c r="AT157" s="1"/>
      <c r="AU157" s="1"/>
    </row>
    <row r="158" ht="15.75" customHeight="1">
      <c r="A158" s="31"/>
      <c r="B158" s="31"/>
      <c r="C158" s="3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4"/>
      <c r="AN158" s="1"/>
      <c r="AO158" s="1"/>
      <c r="AP158" s="1"/>
      <c r="AQ158" s="1"/>
      <c r="AR158" s="1"/>
      <c r="AS158" s="1"/>
      <c r="AT158" s="1"/>
      <c r="AU158" s="1"/>
    </row>
    <row r="159" ht="15.75" customHeight="1">
      <c r="A159" s="31"/>
      <c r="B159" s="31"/>
      <c r="C159" s="3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4"/>
      <c r="AN159" s="1"/>
      <c r="AO159" s="1"/>
      <c r="AP159" s="1"/>
      <c r="AQ159" s="1"/>
      <c r="AR159" s="1"/>
      <c r="AS159" s="1"/>
      <c r="AT159" s="1"/>
      <c r="AU159" s="1"/>
    </row>
    <row r="160" ht="15.75" customHeight="1">
      <c r="A160" s="31"/>
      <c r="B160" s="31"/>
      <c r="C160" s="3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4"/>
      <c r="AN160" s="1"/>
      <c r="AO160" s="1"/>
      <c r="AP160" s="1"/>
      <c r="AQ160" s="1"/>
      <c r="AR160" s="1"/>
      <c r="AS160" s="1"/>
      <c r="AT160" s="1"/>
      <c r="AU160" s="1"/>
    </row>
    <row r="161" ht="15.75" customHeight="1">
      <c r="A161" s="31"/>
      <c r="B161" s="31"/>
      <c r="C161" s="3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4"/>
      <c r="AN161" s="1"/>
      <c r="AO161" s="1"/>
      <c r="AP161" s="1"/>
      <c r="AQ161" s="1"/>
      <c r="AR161" s="1"/>
      <c r="AS161" s="1"/>
      <c r="AT161" s="1"/>
      <c r="AU161" s="1"/>
    </row>
    <row r="162" ht="15.75" customHeight="1">
      <c r="A162" s="31"/>
      <c r="B162" s="31"/>
      <c r="C162" s="3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4"/>
      <c r="AN162" s="1"/>
      <c r="AO162" s="1"/>
      <c r="AP162" s="1"/>
      <c r="AQ162" s="1"/>
      <c r="AR162" s="1"/>
      <c r="AS162" s="1"/>
      <c r="AT162" s="1"/>
      <c r="AU162" s="1"/>
    </row>
    <row r="163" ht="15.75" customHeight="1">
      <c r="A163" s="31"/>
      <c r="B163" s="31"/>
      <c r="C163" s="3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4"/>
      <c r="AN163" s="1"/>
      <c r="AO163" s="1"/>
      <c r="AP163" s="1"/>
      <c r="AQ163" s="1"/>
      <c r="AR163" s="1"/>
      <c r="AS163" s="1"/>
      <c r="AT163" s="1"/>
      <c r="AU163" s="1"/>
    </row>
    <row r="164" ht="15.75" customHeight="1">
      <c r="A164" s="31"/>
      <c r="B164" s="31"/>
      <c r="C164" s="3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4"/>
      <c r="AN164" s="1"/>
      <c r="AO164" s="1"/>
      <c r="AP164" s="1"/>
      <c r="AQ164" s="1"/>
      <c r="AR164" s="1"/>
      <c r="AS164" s="1"/>
      <c r="AT164" s="1"/>
      <c r="AU164" s="1"/>
    </row>
    <row r="165" ht="15.75" customHeight="1">
      <c r="A165" s="31"/>
      <c r="B165" s="31"/>
      <c r="C165" s="3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4"/>
      <c r="AN165" s="1"/>
      <c r="AO165" s="1"/>
      <c r="AP165" s="1"/>
      <c r="AQ165" s="1"/>
      <c r="AR165" s="1"/>
      <c r="AS165" s="1"/>
      <c r="AT165" s="1"/>
      <c r="AU165" s="1"/>
    </row>
    <row r="166" ht="15.75" customHeight="1">
      <c r="A166" s="31"/>
      <c r="B166" s="31"/>
      <c r="C166" s="3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4"/>
      <c r="AN166" s="1"/>
      <c r="AO166" s="1"/>
      <c r="AP166" s="1"/>
      <c r="AQ166" s="1"/>
      <c r="AR166" s="1"/>
      <c r="AS166" s="1"/>
      <c r="AT166" s="1"/>
      <c r="AU166" s="1"/>
    </row>
    <row r="167" ht="15.75" customHeight="1">
      <c r="A167" s="31"/>
      <c r="B167" s="31"/>
      <c r="C167" s="3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4"/>
      <c r="AN167" s="1"/>
      <c r="AO167" s="1"/>
      <c r="AP167" s="1"/>
      <c r="AQ167" s="1"/>
      <c r="AR167" s="1"/>
      <c r="AS167" s="1"/>
      <c r="AT167" s="1"/>
      <c r="AU167" s="1"/>
    </row>
    <row r="168" ht="15.75" customHeight="1">
      <c r="A168" s="31"/>
      <c r="B168" s="31"/>
      <c r="C168" s="3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4"/>
      <c r="AN168" s="1"/>
      <c r="AO168" s="1"/>
      <c r="AP168" s="1"/>
      <c r="AQ168" s="1"/>
      <c r="AR168" s="1"/>
      <c r="AS168" s="1"/>
      <c r="AT168" s="1"/>
      <c r="AU168" s="1"/>
    </row>
    <row r="169" ht="15.75" customHeight="1">
      <c r="A169" s="31"/>
      <c r="B169" s="31"/>
      <c r="C169" s="3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4"/>
      <c r="AN169" s="1"/>
      <c r="AO169" s="1"/>
      <c r="AP169" s="1"/>
      <c r="AQ169" s="1"/>
      <c r="AR169" s="1"/>
      <c r="AS169" s="1"/>
      <c r="AT169" s="1"/>
      <c r="AU169" s="1"/>
    </row>
    <row r="170" ht="15.75" customHeight="1">
      <c r="A170" s="31"/>
      <c r="B170" s="31"/>
      <c r="C170" s="3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4"/>
      <c r="AN170" s="1"/>
      <c r="AO170" s="1"/>
      <c r="AP170" s="1"/>
      <c r="AQ170" s="1"/>
      <c r="AR170" s="1"/>
      <c r="AS170" s="1"/>
      <c r="AT170" s="1"/>
      <c r="AU170" s="1"/>
    </row>
    <row r="171" ht="15.75" customHeight="1">
      <c r="A171" s="31"/>
      <c r="B171" s="31"/>
      <c r="C171" s="3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4"/>
      <c r="AN171" s="1"/>
      <c r="AO171" s="1"/>
      <c r="AP171" s="1"/>
      <c r="AQ171" s="1"/>
      <c r="AR171" s="1"/>
      <c r="AS171" s="1"/>
      <c r="AT171" s="1"/>
      <c r="AU171" s="1"/>
    </row>
    <row r="172" ht="15.75" customHeight="1">
      <c r="A172" s="31"/>
      <c r="B172" s="31"/>
      <c r="C172" s="3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4"/>
      <c r="AN172" s="1"/>
      <c r="AO172" s="1"/>
      <c r="AP172" s="1"/>
      <c r="AQ172" s="1"/>
      <c r="AR172" s="1"/>
      <c r="AS172" s="1"/>
      <c r="AT172" s="1"/>
      <c r="AU172" s="1"/>
    </row>
    <row r="173" ht="15.75" customHeight="1">
      <c r="A173" s="31"/>
      <c r="B173" s="31"/>
      <c r="C173" s="3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4"/>
      <c r="AN173" s="1"/>
      <c r="AO173" s="1"/>
      <c r="AP173" s="1"/>
      <c r="AQ173" s="1"/>
      <c r="AR173" s="1"/>
      <c r="AS173" s="1"/>
      <c r="AT173" s="1"/>
      <c r="AU173" s="1"/>
    </row>
    <row r="174" ht="15.75" customHeight="1">
      <c r="A174" s="31"/>
      <c r="B174" s="31"/>
      <c r="C174" s="3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4"/>
      <c r="AN174" s="1"/>
      <c r="AO174" s="1"/>
      <c r="AP174" s="1"/>
      <c r="AQ174" s="1"/>
      <c r="AR174" s="1"/>
      <c r="AS174" s="1"/>
      <c r="AT174" s="1"/>
      <c r="AU174" s="1"/>
    </row>
    <row r="175" ht="15.75" customHeight="1">
      <c r="A175" s="31"/>
      <c r="B175" s="31"/>
      <c r="C175" s="3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4"/>
      <c r="AN175" s="1"/>
      <c r="AO175" s="1"/>
      <c r="AP175" s="1"/>
      <c r="AQ175" s="1"/>
      <c r="AR175" s="1"/>
      <c r="AS175" s="1"/>
      <c r="AT175" s="1"/>
      <c r="AU175" s="1"/>
    </row>
    <row r="176" ht="15.75" customHeight="1">
      <c r="A176" s="31"/>
      <c r="B176" s="31"/>
      <c r="C176" s="3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4"/>
      <c r="AN176" s="1"/>
      <c r="AO176" s="1"/>
      <c r="AP176" s="1"/>
      <c r="AQ176" s="1"/>
      <c r="AR176" s="1"/>
      <c r="AS176" s="1"/>
      <c r="AT176" s="1"/>
      <c r="AU176" s="1"/>
    </row>
    <row r="177" ht="15.75" customHeight="1">
      <c r="A177" s="31"/>
      <c r="B177" s="31"/>
      <c r="C177" s="3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4"/>
      <c r="AN177" s="1"/>
      <c r="AO177" s="1"/>
      <c r="AP177" s="1"/>
      <c r="AQ177" s="1"/>
      <c r="AR177" s="1"/>
      <c r="AS177" s="1"/>
      <c r="AT177" s="1"/>
      <c r="AU177" s="1"/>
    </row>
    <row r="178" ht="15.75" customHeight="1">
      <c r="A178" s="31"/>
      <c r="B178" s="31"/>
      <c r="C178" s="3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4"/>
      <c r="AN178" s="1"/>
      <c r="AO178" s="1"/>
      <c r="AP178" s="1"/>
      <c r="AQ178" s="1"/>
      <c r="AR178" s="1"/>
      <c r="AS178" s="1"/>
      <c r="AT178" s="1"/>
      <c r="AU178" s="1"/>
    </row>
    <row r="179" ht="15.75" customHeight="1">
      <c r="A179" s="31"/>
      <c r="B179" s="31"/>
      <c r="C179" s="3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4"/>
      <c r="AN179" s="1"/>
      <c r="AO179" s="1"/>
      <c r="AP179" s="1"/>
      <c r="AQ179" s="1"/>
      <c r="AR179" s="1"/>
      <c r="AS179" s="1"/>
      <c r="AT179" s="1"/>
      <c r="AU179" s="1"/>
    </row>
    <row r="180" ht="15.75" customHeight="1">
      <c r="A180" s="31"/>
      <c r="B180" s="31"/>
      <c r="C180" s="3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4"/>
      <c r="AN180" s="1"/>
      <c r="AO180" s="1"/>
      <c r="AP180" s="1"/>
      <c r="AQ180" s="1"/>
      <c r="AR180" s="1"/>
      <c r="AS180" s="1"/>
      <c r="AT180" s="1"/>
      <c r="AU180" s="1"/>
    </row>
    <row r="181" ht="15.75" customHeight="1">
      <c r="A181" s="31"/>
      <c r="B181" s="31"/>
      <c r="C181" s="3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4"/>
      <c r="AN181" s="1"/>
      <c r="AO181" s="1"/>
      <c r="AP181" s="1"/>
      <c r="AQ181" s="1"/>
      <c r="AR181" s="1"/>
      <c r="AS181" s="1"/>
      <c r="AT181" s="1"/>
      <c r="AU181" s="1"/>
    </row>
    <row r="182" ht="15.75" customHeight="1">
      <c r="A182" s="31"/>
      <c r="B182" s="31"/>
      <c r="C182" s="3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4"/>
      <c r="AN182" s="1"/>
      <c r="AO182" s="1"/>
      <c r="AP182" s="1"/>
      <c r="AQ182" s="1"/>
      <c r="AR182" s="1"/>
      <c r="AS182" s="1"/>
      <c r="AT182" s="1"/>
      <c r="AU182" s="1"/>
    </row>
    <row r="183" ht="15.75" customHeight="1">
      <c r="A183" s="31"/>
      <c r="B183" s="31"/>
      <c r="C183" s="3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4"/>
      <c r="AN183" s="1"/>
      <c r="AO183" s="1"/>
      <c r="AP183" s="1"/>
      <c r="AQ183" s="1"/>
      <c r="AR183" s="1"/>
      <c r="AS183" s="1"/>
      <c r="AT183" s="1"/>
      <c r="AU183" s="1"/>
    </row>
    <row r="184" ht="15.75" customHeight="1">
      <c r="A184" s="31"/>
      <c r="B184" s="31"/>
      <c r="C184" s="3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4"/>
      <c r="AN184" s="1"/>
      <c r="AO184" s="1"/>
      <c r="AP184" s="1"/>
      <c r="AQ184" s="1"/>
      <c r="AR184" s="1"/>
      <c r="AS184" s="1"/>
      <c r="AT184" s="1"/>
      <c r="AU184" s="1"/>
    </row>
    <row r="185" ht="15.75" customHeight="1">
      <c r="A185" s="31"/>
      <c r="B185" s="31"/>
      <c r="C185" s="3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4"/>
      <c r="AN185" s="1"/>
      <c r="AO185" s="1"/>
      <c r="AP185" s="1"/>
      <c r="AQ185" s="1"/>
      <c r="AR185" s="1"/>
      <c r="AS185" s="1"/>
      <c r="AT185" s="1"/>
      <c r="AU185" s="1"/>
    </row>
    <row r="186" ht="15.75" customHeight="1">
      <c r="A186" s="31"/>
      <c r="B186" s="31"/>
      <c r="C186" s="3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4"/>
      <c r="AN186" s="1"/>
      <c r="AO186" s="1"/>
      <c r="AP186" s="1"/>
      <c r="AQ186" s="1"/>
      <c r="AR186" s="1"/>
      <c r="AS186" s="1"/>
      <c r="AT186" s="1"/>
      <c r="AU186" s="1"/>
    </row>
    <row r="187" ht="15.75" customHeight="1">
      <c r="A187" s="31"/>
      <c r="B187" s="31"/>
      <c r="C187" s="3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4"/>
      <c r="AN187" s="1"/>
      <c r="AO187" s="1"/>
      <c r="AP187" s="1"/>
      <c r="AQ187" s="1"/>
      <c r="AR187" s="1"/>
      <c r="AS187" s="1"/>
      <c r="AT187" s="1"/>
      <c r="AU187" s="1"/>
    </row>
    <row r="188" ht="15.75" customHeight="1">
      <c r="A188" s="31"/>
      <c r="B188" s="31"/>
      <c r="C188" s="3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4"/>
      <c r="AN188" s="1"/>
      <c r="AO188" s="1"/>
      <c r="AP188" s="1"/>
      <c r="AQ188" s="1"/>
      <c r="AR188" s="1"/>
      <c r="AS188" s="1"/>
      <c r="AT188" s="1"/>
      <c r="AU188" s="1"/>
    </row>
    <row r="189" ht="15.75" customHeight="1">
      <c r="A189" s="31"/>
      <c r="B189" s="31"/>
      <c r="C189" s="3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4"/>
      <c r="AN189" s="1"/>
      <c r="AO189" s="1"/>
      <c r="AP189" s="1"/>
      <c r="AQ189" s="1"/>
      <c r="AR189" s="1"/>
      <c r="AS189" s="1"/>
      <c r="AT189" s="1"/>
      <c r="AU189" s="1"/>
    </row>
    <row r="190" ht="15.75" customHeight="1">
      <c r="A190" s="31"/>
      <c r="B190" s="31"/>
      <c r="C190" s="3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4"/>
      <c r="AN190" s="1"/>
      <c r="AO190" s="1"/>
      <c r="AP190" s="1"/>
      <c r="AQ190" s="1"/>
      <c r="AR190" s="1"/>
      <c r="AS190" s="1"/>
      <c r="AT190" s="1"/>
      <c r="AU190" s="1"/>
    </row>
    <row r="191" ht="15.75" customHeight="1">
      <c r="A191" s="31"/>
      <c r="B191" s="31"/>
      <c r="C191" s="3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4"/>
      <c r="AN191" s="1"/>
      <c r="AO191" s="1"/>
      <c r="AP191" s="1"/>
      <c r="AQ191" s="1"/>
      <c r="AR191" s="1"/>
      <c r="AS191" s="1"/>
      <c r="AT191" s="1"/>
      <c r="AU191" s="1"/>
    </row>
    <row r="192" ht="15.75" customHeight="1">
      <c r="A192" s="31"/>
      <c r="B192" s="31"/>
      <c r="C192" s="3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4"/>
      <c r="AN192" s="1"/>
      <c r="AO192" s="1"/>
      <c r="AP192" s="1"/>
      <c r="AQ192" s="1"/>
      <c r="AR192" s="1"/>
      <c r="AS192" s="1"/>
      <c r="AT192" s="1"/>
      <c r="AU192" s="1"/>
    </row>
    <row r="193" ht="15.75" customHeight="1">
      <c r="A193" s="31"/>
      <c r="B193" s="31"/>
      <c r="C193" s="3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4"/>
      <c r="AN193" s="1"/>
      <c r="AO193" s="1"/>
      <c r="AP193" s="1"/>
      <c r="AQ193" s="1"/>
      <c r="AR193" s="1"/>
      <c r="AS193" s="1"/>
      <c r="AT193" s="1"/>
      <c r="AU193" s="1"/>
    </row>
    <row r="194" ht="15.75" customHeight="1">
      <c r="A194" s="31"/>
      <c r="B194" s="31"/>
      <c r="C194" s="3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4"/>
      <c r="AN194" s="1"/>
      <c r="AO194" s="1"/>
      <c r="AP194" s="1"/>
      <c r="AQ194" s="1"/>
      <c r="AR194" s="1"/>
      <c r="AS194" s="1"/>
      <c r="AT194" s="1"/>
      <c r="AU194" s="1"/>
    </row>
    <row r="195" ht="15.75" customHeight="1">
      <c r="A195" s="31"/>
      <c r="B195" s="31"/>
      <c r="C195" s="3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4"/>
      <c r="AN195" s="1"/>
      <c r="AO195" s="1"/>
      <c r="AP195" s="1"/>
      <c r="AQ195" s="1"/>
      <c r="AR195" s="1"/>
      <c r="AS195" s="1"/>
      <c r="AT195" s="1"/>
      <c r="AU195" s="1"/>
    </row>
    <row r="196" ht="15.75" customHeight="1">
      <c r="A196" s="31"/>
      <c r="B196" s="31"/>
      <c r="C196" s="3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4"/>
      <c r="AN196" s="1"/>
      <c r="AO196" s="1"/>
      <c r="AP196" s="1"/>
      <c r="AQ196" s="1"/>
      <c r="AR196" s="1"/>
      <c r="AS196" s="1"/>
      <c r="AT196" s="1"/>
      <c r="AU196" s="1"/>
    </row>
    <row r="197" ht="15.75" customHeight="1">
      <c r="A197" s="31"/>
      <c r="B197" s="31"/>
      <c r="C197" s="3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4"/>
      <c r="AN197" s="1"/>
      <c r="AO197" s="1"/>
      <c r="AP197" s="1"/>
      <c r="AQ197" s="1"/>
      <c r="AR197" s="1"/>
      <c r="AS197" s="1"/>
      <c r="AT197" s="1"/>
      <c r="AU197" s="1"/>
    </row>
    <row r="198" ht="15.75" customHeight="1">
      <c r="A198" s="31"/>
      <c r="B198" s="31"/>
      <c r="C198" s="3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4"/>
      <c r="AN198" s="1"/>
      <c r="AO198" s="1"/>
      <c r="AP198" s="1"/>
      <c r="AQ198" s="1"/>
      <c r="AR198" s="1"/>
      <c r="AS198" s="1"/>
      <c r="AT198" s="1"/>
      <c r="AU198" s="1"/>
    </row>
    <row r="199" ht="15.75" customHeight="1">
      <c r="A199" s="31"/>
      <c r="B199" s="31"/>
      <c r="C199" s="3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4"/>
      <c r="AN199" s="1"/>
      <c r="AO199" s="1"/>
      <c r="AP199" s="1"/>
      <c r="AQ199" s="1"/>
      <c r="AR199" s="1"/>
      <c r="AS199" s="1"/>
      <c r="AT199" s="1"/>
      <c r="AU199" s="1"/>
    </row>
    <row r="200" ht="15.75" customHeight="1">
      <c r="A200" s="31"/>
      <c r="B200" s="31"/>
      <c r="C200" s="3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4"/>
      <c r="AN200" s="1"/>
      <c r="AO200" s="1"/>
      <c r="AP200" s="1"/>
      <c r="AQ200" s="1"/>
      <c r="AR200" s="1"/>
      <c r="AS200" s="1"/>
      <c r="AT200" s="1"/>
      <c r="AU200" s="1"/>
    </row>
    <row r="201" ht="15.75" customHeight="1">
      <c r="A201" s="31"/>
      <c r="B201" s="31"/>
      <c r="C201" s="3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4"/>
      <c r="AN201" s="1"/>
      <c r="AO201" s="1"/>
      <c r="AP201" s="1"/>
      <c r="AQ201" s="1"/>
      <c r="AR201" s="1"/>
      <c r="AS201" s="1"/>
      <c r="AT201" s="1"/>
      <c r="AU201" s="1"/>
    </row>
    <row r="202" ht="15.75" customHeight="1">
      <c r="A202" s="31"/>
      <c r="B202" s="31"/>
      <c r="C202" s="3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4"/>
      <c r="AN202" s="1"/>
      <c r="AO202" s="1"/>
      <c r="AP202" s="1"/>
      <c r="AQ202" s="1"/>
      <c r="AR202" s="1"/>
      <c r="AS202" s="1"/>
      <c r="AT202" s="1"/>
      <c r="AU202" s="1"/>
    </row>
    <row r="203" ht="15.75" customHeight="1">
      <c r="A203" s="31"/>
      <c r="B203" s="31"/>
      <c r="C203" s="3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4"/>
      <c r="AN203" s="1"/>
      <c r="AO203" s="1"/>
      <c r="AP203" s="1"/>
      <c r="AQ203" s="1"/>
      <c r="AR203" s="1"/>
      <c r="AS203" s="1"/>
      <c r="AT203" s="1"/>
      <c r="AU203" s="1"/>
    </row>
    <row r="204" ht="15.75" customHeight="1">
      <c r="A204" s="31"/>
      <c r="B204" s="31"/>
      <c r="C204" s="3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4"/>
      <c r="AN204" s="1"/>
      <c r="AO204" s="1"/>
      <c r="AP204" s="1"/>
      <c r="AQ204" s="1"/>
      <c r="AR204" s="1"/>
      <c r="AS204" s="1"/>
      <c r="AT204" s="1"/>
      <c r="AU204" s="1"/>
    </row>
    <row r="205" ht="15.75" customHeight="1">
      <c r="A205" s="31"/>
      <c r="B205" s="31"/>
      <c r="C205" s="3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4"/>
      <c r="AN205" s="1"/>
      <c r="AO205" s="1"/>
      <c r="AP205" s="1"/>
      <c r="AQ205" s="1"/>
      <c r="AR205" s="1"/>
      <c r="AS205" s="1"/>
      <c r="AT205" s="1"/>
      <c r="AU205" s="1"/>
    </row>
    <row r="206" ht="15.75" customHeight="1">
      <c r="A206" s="31"/>
      <c r="B206" s="31"/>
      <c r="C206" s="3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4"/>
      <c r="AN206" s="1"/>
      <c r="AO206" s="1"/>
      <c r="AP206" s="1"/>
      <c r="AQ206" s="1"/>
      <c r="AR206" s="1"/>
      <c r="AS206" s="1"/>
      <c r="AT206" s="1"/>
      <c r="AU206" s="1"/>
    </row>
    <row r="207" ht="15.75" customHeight="1">
      <c r="A207" s="31"/>
      <c r="B207" s="31"/>
      <c r="C207" s="3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4"/>
      <c r="AN207" s="1"/>
      <c r="AO207" s="1"/>
      <c r="AP207" s="1"/>
      <c r="AQ207" s="1"/>
      <c r="AR207" s="1"/>
      <c r="AS207" s="1"/>
      <c r="AT207" s="1"/>
      <c r="AU207" s="1"/>
    </row>
    <row r="208" ht="15.75" customHeight="1">
      <c r="A208" s="31"/>
      <c r="B208" s="31"/>
      <c r="C208" s="3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4"/>
      <c r="AN208" s="1"/>
      <c r="AO208" s="1"/>
      <c r="AP208" s="1"/>
      <c r="AQ208" s="1"/>
      <c r="AR208" s="1"/>
      <c r="AS208" s="1"/>
      <c r="AT208" s="1"/>
      <c r="AU208" s="1"/>
    </row>
    <row r="209" ht="15.75" customHeight="1">
      <c r="A209" s="31"/>
      <c r="B209" s="31"/>
      <c r="C209" s="3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4"/>
      <c r="AN209" s="1"/>
      <c r="AO209" s="1"/>
      <c r="AP209" s="1"/>
      <c r="AQ209" s="1"/>
      <c r="AR209" s="1"/>
      <c r="AS209" s="1"/>
      <c r="AT209" s="1"/>
      <c r="AU209" s="1"/>
    </row>
    <row r="210" ht="15.75" customHeight="1">
      <c r="A210" s="31"/>
      <c r="B210" s="31"/>
      <c r="C210" s="3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4"/>
      <c r="AN210" s="1"/>
      <c r="AO210" s="1"/>
      <c r="AP210" s="1"/>
      <c r="AQ210" s="1"/>
      <c r="AR210" s="1"/>
      <c r="AS210" s="1"/>
      <c r="AT210" s="1"/>
      <c r="AU210" s="1"/>
    </row>
    <row r="211" ht="15.75" customHeight="1">
      <c r="A211" s="31"/>
      <c r="B211" s="31"/>
      <c r="C211" s="3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4"/>
      <c r="AN211" s="1"/>
      <c r="AO211" s="1"/>
      <c r="AP211" s="1"/>
      <c r="AQ211" s="1"/>
      <c r="AR211" s="1"/>
      <c r="AS211" s="1"/>
      <c r="AT211" s="1"/>
      <c r="AU211" s="1"/>
    </row>
    <row r="212" ht="15.75" customHeight="1">
      <c r="A212" s="31"/>
      <c r="B212" s="31"/>
      <c r="C212" s="3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4"/>
      <c r="AN212" s="1"/>
      <c r="AO212" s="1"/>
      <c r="AP212" s="1"/>
      <c r="AQ212" s="1"/>
      <c r="AR212" s="1"/>
      <c r="AS212" s="1"/>
      <c r="AT212" s="1"/>
      <c r="AU212" s="1"/>
    </row>
    <row r="213" ht="15.75" customHeight="1">
      <c r="A213" s="31"/>
      <c r="B213" s="31"/>
      <c r="C213" s="3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4"/>
      <c r="AN213" s="1"/>
      <c r="AO213" s="1"/>
      <c r="AP213" s="1"/>
      <c r="AQ213" s="1"/>
      <c r="AR213" s="1"/>
      <c r="AS213" s="1"/>
      <c r="AT213" s="1"/>
      <c r="AU213" s="1"/>
    </row>
    <row r="214" ht="15.75" customHeight="1">
      <c r="A214" s="31"/>
      <c r="B214" s="31"/>
      <c r="C214" s="3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4"/>
      <c r="AN214" s="1"/>
      <c r="AO214" s="1"/>
      <c r="AP214" s="1"/>
      <c r="AQ214" s="1"/>
      <c r="AR214" s="1"/>
      <c r="AS214" s="1"/>
      <c r="AT214" s="1"/>
      <c r="AU214" s="1"/>
    </row>
    <row r="215" ht="15.75" customHeight="1">
      <c r="A215" s="31"/>
      <c r="B215" s="31"/>
      <c r="C215" s="3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4"/>
      <c r="AN215" s="1"/>
      <c r="AO215" s="1"/>
      <c r="AP215" s="1"/>
      <c r="AQ215" s="1"/>
      <c r="AR215" s="1"/>
      <c r="AS215" s="1"/>
      <c r="AT215" s="1"/>
      <c r="AU215" s="1"/>
    </row>
    <row r="216" ht="15.75" customHeight="1">
      <c r="A216" s="31"/>
      <c r="B216" s="31"/>
      <c r="C216" s="3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4"/>
      <c r="AN216" s="1"/>
      <c r="AO216" s="1"/>
      <c r="AP216" s="1"/>
      <c r="AQ216" s="1"/>
      <c r="AR216" s="1"/>
      <c r="AS216" s="1"/>
      <c r="AT216" s="1"/>
      <c r="AU216" s="1"/>
    </row>
    <row r="217" ht="15.75" customHeight="1">
      <c r="A217" s="31"/>
      <c r="B217" s="31"/>
      <c r="C217" s="3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4"/>
      <c r="AN217" s="1"/>
      <c r="AO217" s="1"/>
      <c r="AP217" s="1"/>
      <c r="AQ217" s="1"/>
      <c r="AR217" s="1"/>
      <c r="AS217" s="1"/>
      <c r="AT217" s="1"/>
      <c r="AU217" s="1"/>
    </row>
    <row r="218" ht="15.75" customHeight="1">
      <c r="A218" s="31"/>
      <c r="B218" s="31"/>
      <c r="C218" s="3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4"/>
      <c r="AN218" s="1"/>
      <c r="AO218" s="1"/>
      <c r="AP218" s="1"/>
      <c r="AQ218" s="1"/>
      <c r="AR218" s="1"/>
      <c r="AS218" s="1"/>
      <c r="AT218" s="1"/>
      <c r="AU218" s="1"/>
    </row>
    <row r="219" ht="15.75" customHeight="1">
      <c r="A219" s="31"/>
      <c r="B219" s="31"/>
      <c r="C219" s="3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4"/>
      <c r="AN219" s="1"/>
      <c r="AO219" s="1"/>
      <c r="AP219" s="1"/>
      <c r="AQ219" s="1"/>
      <c r="AR219" s="1"/>
      <c r="AS219" s="1"/>
      <c r="AT219" s="1"/>
      <c r="AU219" s="1"/>
    </row>
    <row r="220" ht="15.75" customHeight="1">
      <c r="A220" s="31"/>
      <c r="B220" s="31"/>
      <c r="C220" s="3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4"/>
      <c r="AN220" s="1"/>
      <c r="AO220" s="1"/>
      <c r="AP220" s="1"/>
      <c r="AQ220" s="1"/>
      <c r="AR220" s="1"/>
      <c r="AS220" s="1"/>
      <c r="AT220" s="1"/>
      <c r="AU220" s="1"/>
    </row>
    <row r="221" ht="15.75" customHeight="1">
      <c r="A221" s="31"/>
      <c r="B221" s="31"/>
      <c r="C221" s="3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4"/>
      <c r="AN221" s="1"/>
      <c r="AO221" s="1"/>
      <c r="AP221" s="1"/>
      <c r="AQ221" s="1"/>
      <c r="AR221" s="1"/>
      <c r="AS221" s="1"/>
      <c r="AT221" s="1"/>
      <c r="AU221" s="1"/>
    </row>
    <row r="222" ht="15.75" customHeight="1">
      <c r="A222" s="31"/>
      <c r="B222" s="31"/>
      <c r="C222" s="3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4"/>
      <c r="AN222" s="1"/>
      <c r="AO222" s="1"/>
      <c r="AP222" s="1"/>
      <c r="AQ222" s="1"/>
      <c r="AR222" s="1"/>
      <c r="AS222" s="1"/>
      <c r="AT222" s="1"/>
      <c r="AU222" s="1"/>
    </row>
    <row r="223" ht="15.75" customHeight="1">
      <c r="A223" s="31"/>
      <c r="B223" s="31"/>
      <c r="C223" s="3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4"/>
      <c r="AN223" s="1"/>
      <c r="AO223" s="1"/>
      <c r="AP223" s="1"/>
      <c r="AQ223" s="1"/>
      <c r="AR223" s="1"/>
      <c r="AS223" s="1"/>
      <c r="AT223" s="1"/>
      <c r="AU223" s="1"/>
    </row>
    <row r="224" ht="15.75" customHeight="1">
      <c r="A224" s="31"/>
      <c r="B224" s="31"/>
      <c r="C224" s="3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4"/>
      <c r="AN224" s="1"/>
      <c r="AO224" s="1"/>
      <c r="AP224" s="1"/>
      <c r="AQ224" s="1"/>
      <c r="AR224" s="1"/>
      <c r="AS224" s="1"/>
      <c r="AT224" s="1"/>
      <c r="AU224" s="1"/>
    </row>
    <row r="225" ht="15.75" customHeight="1">
      <c r="A225" s="31"/>
      <c r="B225" s="31"/>
      <c r="C225" s="3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4"/>
      <c r="AN225" s="1"/>
      <c r="AO225" s="1"/>
      <c r="AP225" s="1"/>
      <c r="AQ225" s="1"/>
      <c r="AR225" s="1"/>
      <c r="AS225" s="1"/>
      <c r="AT225" s="1"/>
      <c r="AU225" s="1"/>
    </row>
    <row r="226" ht="15.75" customHeight="1">
      <c r="A226" s="31"/>
      <c r="B226" s="31"/>
      <c r="C226" s="3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4"/>
      <c r="AN226" s="1"/>
      <c r="AO226" s="1"/>
      <c r="AP226" s="1"/>
      <c r="AQ226" s="1"/>
      <c r="AR226" s="1"/>
      <c r="AS226" s="1"/>
      <c r="AT226" s="1"/>
      <c r="AU226" s="1"/>
    </row>
    <row r="227" ht="15.75" customHeight="1">
      <c r="A227" s="31"/>
      <c r="B227" s="31"/>
      <c r="C227" s="3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4"/>
      <c r="AN227" s="1"/>
      <c r="AO227" s="1"/>
      <c r="AP227" s="1"/>
      <c r="AQ227" s="1"/>
      <c r="AR227" s="1"/>
      <c r="AS227" s="1"/>
      <c r="AT227" s="1"/>
      <c r="AU227" s="1"/>
    </row>
    <row r="228" ht="15.75" customHeight="1">
      <c r="A228" s="31"/>
      <c r="B228" s="31"/>
      <c r="C228" s="3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4"/>
      <c r="AN228" s="1"/>
      <c r="AO228" s="1"/>
      <c r="AP228" s="1"/>
      <c r="AQ228" s="1"/>
      <c r="AR228" s="1"/>
      <c r="AS228" s="1"/>
      <c r="AT228" s="1"/>
      <c r="AU228" s="1"/>
    </row>
    <row r="229" ht="15.75" customHeight="1">
      <c r="A229" s="31"/>
      <c r="B229" s="31"/>
      <c r="C229" s="3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4"/>
      <c r="AN229" s="1"/>
      <c r="AO229" s="1"/>
      <c r="AP229" s="1"/>
      <c r="AQ229" s="1"/>
      <c r="AR229" s="1"/>
      <c r="AS229" s="1"/>
      <c r="AT229" s="1"/>
      <c r="AU229" s="1"/>
    </row>
    <row r="230" ht="15.75" customHeight="1">
      <c r="A230" s="31"/>
      <c r="B230" s="31"/>
      <c r="C230" s="3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4"/>
      <c r="AN230" s="1"/>
      <c r="AO230" s="1"/>
      <c r="AP230" s="1"/>
      <c r="AQ230" s="1"/>
      <c r="AR230" s="1"/>
      <c r="AS230" s="1"/>
      <c r="AT230" s="1"/>
      <c r="AU230" s="1"/>
    </row>
    <row r="231" ht="15.75" customHeight="1">
      <c r="A231" s="31"/>
      <c r="B231" s="31"/>
      <c r="C231" s="3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4"/>
      <c r="AN231" s="1"/>
      <c r="AO231" s="1"/>
      <c r="AP231" s="1"/>
      <c r="AQ231" s="1"/>
      <c r="AR231" s="1"/>
      <c r="AS231" s="1"/>
      <c r="AT231" s="1"/>
      <c r="AU231" s="1"/>
    </row>
    <row r="232" ht="15.75" customHeight="1">
      <c r="A232" s="31"/>
      <c r="B232" s="31"/>
      <c r="C232" s="3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4"/>
      <c r="AN232" s="1"/>
      <c r="AO232" s="1"/>
      <c r="AP232" s="1"/>
      <c r="AQ232" s="1"/>
      <c r="AR232" s="1"/>
      <c r="AS232" s="1"/>
      <c r="AT232" s="1"/>
      <c r="AU232" s="1"/>
    </row>
    <row r="233" ht="15.75" customHeight="1">
      <c r="A233" s="31"/>
      <c r="B233" s="31"/>
      <c r="C233" s="3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4"/>
      <c r="AN233" s="1"/>
      <c r="AO233" s="1"/>
      <c r="AP233" s="1"/>
      <c r="AQ233" s="1"/>
      <c r="AR233" s="1"/>
      <c r="AS233" s="1"/>
      <c r="AT233" s="1"/>
      <c r="AU233" s="1"/>
    </row>
    <row r="234" ht="15.75" customHeight="1">
      <c r="A234" s="31"/>
      <c r="B234" s="31"/>
      <c r="C234" s="3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4"/>
      <c r="AN234" s="1"/>
      <c r="AO234" s="1"/>
      <c r="AP234" s="1"/>
      <c r="AQ234" s="1"/>
      <c r="AR234" s="1"/>
      <c r="AS234" s="1"/>
      <c r="AT234" s="1"/>
      <c r="AU234" s="1"/>
    </row>
    <row r="235" ht="15.75" customHeight="1">
      <c r="A235" s="31"/>
      <c r="B235" s="31"/>
      <c r="C235" s="3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4"/>
      <c r="AN235" s="1"/>
      <c r="AO235" s="1"/>
      <c r="AP235" s="1"/>
      <c r="AQ235" s="1"/>
      <c r="AR235" s="1"/>
      <c r="AS235" s="1"/>
      <c r="AT235" s="1"/>
      <c r="AU235" s="1"/>
    </row>
    <row r="236" ht="15.75" customHeight="1">
      <c r="A236" s="31"/>
      <c r="B236" s="31"/>
      <c r="C236" s="3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4"/>
      <c r="AN236" s="1"/>
      <c r="AO236" s="1"/>
      <c r="AP236" s="1"/>
      <c r="AQ236" s="1"/>
      <c r="AR236" s="1"/>
      <c r="AS236" s="1"/>
      <c r="AT236" s="1"/>
      <c r="AU236" s="1"/>
    </row>
    <row r="237" ht="15.75" customHeight="1">
      <c r="A237" s="31"/>
      <c r="B237" s="31"/>
      <c r="C237" s="3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4"/>
      <c r="AN237" s="1"/>
      <c r="AO237" s="1"/>
      <c r="AP237" s="1"/>
      <c r="AQ237" s="1"/>
      <c r="AR237" s="1"/>
      <c r="AS237" s="1"/>
      <c r="AT237" s="1"/>
      <c r="AU237" s="1"/>
    </row>
    <row r="238" ht="15.75" customHeight="1">
      <c r="A238" s="31"/>
      <c r="B238" s="31"/>
      <c r="C238" s="3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4"/>
      <c r="AN238" s="1"/>
      <c r="AO238" s="1"/>
      <c r="AP238" s="1"/>
      <c r="AQ238" s="1"/>
      <c r="AR238" s="1"/>
      <c r="AS238" s="1"/>
      <c r="AT238" s="1"/>
      <c r="AU238" s="1"/>
    </row>
    <row r="239" ht="15.75" customHeight="1">
      <c r="A239" s="31"/>
      <c r="B239" s="31"/>
      <c r="C239" s="3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4"/>
      <c r="AN239" s="1"/>
      <c r="AO239" s="1"/>
      <c r="AP239" s="1"/>
      <c r="AQ239" s="1"/>
      <c r="AR239" s="1"/>
      <c r="AS239" s="1"/>
      <c r="AT239" s="1"/>
      <c r="AU239" s="1"/>
    </row>
    <row r="240" ht="15.75" customHeight="1">
      <c r="A240" s="31"/>
      <c r="B240" s="31"/>
      <c r="C240" s="3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4"/>
      <c r="AN240" s="1"/>
      <c r="AO240" s="1"/>
      <c r="AP240" s="1"/>
      <c r="AQ240" s="1"/>
      <c r="AR240" s="1"/>
      <c r="AS240" s="1"/>
      <c r="AT240" s="1"/>
      <c r="AU240" s="1"/>
    </row>
    <row r="241" ht="15.75" customHeight="1">
      <c r="A241" s="31"/>
      <c r="B241" s="31"/>
      <c r="C241" s="3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4"/>
      <c r="AN241" s="1"/>
      <c r="AO241" s="1"/>
      <c r="AP241" s="1"/>
      <c r="AQ241" s="1"/>
      <c r="AR241" s="1"/>
      <c r="AS241" s="1"/>
      <c r="AT241" s="1"/>
      <c r="AU241" s="1"/>
    </row>
    <row r="242" ht="15.75" customHeight="1">
      <c r="A242" s="31"/>
      <c r="B242" s="31"/>
      <c r="C242" s="3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4"/>
      <c r="AN242" s="1"/>
      <c r="AO242" s="1"/>
      <c r="AP242" s="1"/>
      <c r="AQ242" s="1"/>
      <c r="AR242" s="1"/>
      <c r="AS242" s="1"/>
      <c r="AT242" s="1"/>
      <c r="AU242" s="1"/>
    </row>
    <row r="243" ht="15.75" customHeight="1">
      <c r="A243" s="31"/>
      <c r="B243" s="31"/>
      <c r="C243" s="3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4"/>
      <c r="AN243" s="1"/>
      <c r="AO243" s="1"/>
      <c r="AP243" s="1"/>
      <c r="AQ243" s="1"/>
      <c r="AR243" s="1"/>
      <c r="AS243" s="1"/>
      <c r="AT243" s="1"/>
      <c r="AU243" s="1"/>
    </row>
    <row r="244" ht="15.75" customHeight="1">
      <c r="A244" s="31"/>
      <c r="B244" s="31"/>
      <c r="C244" s="3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4"/>
      <c r="AN244" s="1"/>
      <c r="AO244" s="1"/>
      <c r="AP244" s="1"/>
      <c r="AQ244" s="1"/>
      <c r="AR244" s="1"/>
      <c r="AS244" s="1"/>
      <c r="AT244" s="1"/>
      <c r="AU244" s="1"/>
    </row>
    <row r="245" ht="15.75" customHeight="1">
      <c r="A245" s="31"/>
      <c r="B245" s="31"/>
      <c r="C245" s="3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4"/>
      <c r="AN245" s="1"/>
      <c r="AO245" s="1"/>
      <c r="AP245" s="1"/>
      <c r="AQ245" s="1"/>
      <c r="AR245" s="1"/>
      <c r="AS245" s="1"/>
      <c r="AT245" s="1"/>
      <c r="AU245" s="1"/>
    </row>
    <row r="246" ht="15.75" customHeight="1">
      <c r="A246" s="31"/>
      <c r="B246" s="31"/>
      <c r="C246" s="3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4"/>
      <c r="AN246" s="1"/>
      <c r="AO246" s="1"/>
      <c r="AP246" s="1"/>
      <c r="AQ246" s="1"/>
      <c r="AR246" s="1"/>
      <c r="AS246" s="1"/>
      <c r="AT246" s="1"/>
      <c r="AU246" s="1"/>
    </row>
    <row r="247" ht="15.75" customHeight="1">
      <c r="A247" s="31"/>
      <c r="B247" s="31"/>
      <c r="C247" s="3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4"/>
      <c r="AN247" s="1"/>
      <c r="AO247" s="1"/>
      <c r="AP247" s="1"/>
      <c r="AQ247" s="1"/>
      <c r="AR247" s="1"/>
      <c r="AS247" s="1"/>
      <c r="AT247" s="1"/>
      <c r="AU247" s="1"/>
    </row>
    <row r="248" ht="15.75" customHeight="1">
      <c r="A248" s="31"/>
      <c r="B248" s="31"/>
      <c r="C248" s="3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4"/>
      <c r="AN248" s="1"/>
      <c r="AO248" s="1"/>
      <c r="AP248" s="1"/>
      <c r="AQ248" s="1"/>
      <c r="AR248" s="1"/>
      <c r="AS248" s="1"/>
      <c r="AT248" s="1"/>
      <c r="AU248" s="1"/>
    </row>
    <row r="249" ht="15.75" customHeight="1">
      <c r="A249" s="31"/>
      <c r="B249" s="31"/>
      <c r="C249" s="3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4"/>
      <c r="AN249" s="1"/>
      <c r="AO249" s="1"/>
      <c r="AP249" s="1"/>
      <c r="AQ249" s="1"/>
      <c r="AR249" s="1"/>
      <c r="AS249" s="1"/>
      <c r="AT249" s="1"/>
      <c r="AU249" s="1"/>
    </row>
    <row r="250" ht="15.75" customHeight="1">
      <c r="A250" s="31"/>
      <c r="B250" s="31"/>
      <c r="C250" s="3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4"/>
      <c r="AN250" s="1"/>
      <c r="AO250" s="1"/>
      <c r="AP250" s="1"/>
      <c r="AQ250" s="1"/>
      <c r="AR250" s="1"/>
      <c r="AS250" s="1"/>
      <c r="AT250" s="1"/>
      <c r="AU250" s="1"/>
    </row>
    <row r="251" ht="15.75" customHeight="1">
      <c r="A251" s="31"/>
      <c r="B251" s="31"/>
      <c r="C251" s="3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4"/>
      <c r="AN251" s="1"/>
      <c r="AO251" s="1"/>
      <c r="AP251" s="1"/>
      <c r="AQ251" s="1"/>
      <c r="AR251" s="1"/>
      <c r="AS251" s="1"/>
      <c r="AT251" s="1"/>
      <c r="AU251" s="1"/>
    </row>
    <row r="252" ht="15.75" customHeight="1">
      <c r="A252" s="31"/>
      <c r="B252" s="31"/>
      <c r="C252" s="3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4"/>
      <c r="AN252" s="1"/>
      <c r="AO252" s="1"/>
      <c r="AP252" s="1"/>
      <c r="AQ252" s="1"/>
      <c r="AR252" s="1"/>
      <c r="AS252" s="1"/>
      <c r="AT252" s="1"/>
      <c r="AU252" s="1"/>
    </row>
    <row r="253" ht="15.75" customHeight="1">
      <c r="A253" s="31"/>
      <c r="B253" s="31"/>
      <c r="C253" s="3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4"/>
      <c r="AN253" s="1"/>
      <c r="AO253" s="1"/>
      <c r="AP253" s="1"/>
      <c r="AQ253" s="1"/>
      <c r="AR253" s="1"/>
      <c r="AS253" s="1"/>
      <c r="AT253" s="1"/>
      <c r="AU253" s="1"/>
    </row>
    <row r="254" ht="15.75" customHeight="1">
      <c r="A254" s="31"/>
      <c r="B254" s="31"/>
      <c r="C254" s="3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4"/>
      <c r="AN254" s="1"/>
      <c r="AO254" s="1"/>
      <c r="AP254" s="1"/>
      <c r="AQ254" s="1"/>
      <c r="AR254" s="1"/>
      <c r="AS254" s="1"/>
      <c r="AT254" s="1"/>
      <c r="AU254" s="1"/>
    </row>
    <row r="255" ht="15.75" customHeight="1">
      <c r="A255" s="31"/>
      <c r="B255" s="31"/>
      <c r="C255" s="3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4"/>
      <c r="AN255" s="1"/>
      <c r="AO255" s="1"/>
      <c r="AP255" s="1"/>
      <c r="AQ255" s="1"/>
      <c r="AR255" s="1"/>
      <c r="AS255" s="1"/>
      <c r="AT255" s="1"/>
      <c r="AU255" s="1"/>
    </row>
    <row r="256" ht="15.75" customHeight="1">
      <c r="A256" s="31"/>
      <c r="B256" s="31"/>
      <c r="C256" s="3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4"/>
      <c r="AN256" s="1"/>
      <c r="AO256" s="1"/>
      <c r="AP256" s="1"/>
      <c r="AQ256" s="1"/>
      <c r="AR256" s="1"/>
      <c r="AS256" s="1"/>
      <c r="AT256" s="1"/>
      <c r="AU256" s="1"/>
    </row>
    <row r="257" ht="15.75" customHeight="1">
      <c r="A257" s="31"/>
      <c r="B257" s="31"/>
      <c r="C257" s="3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4"/>
      <c r="AN257" s="1"/>
      <c r="AO257" s="1"/>
      <c r="AP257" s="1"/>
      <c r="AQ257" s="1"/>
      <c r="AR257" s="1"/>
      <c r="AS257" s="1"/>
      <c r="AT257" s="1"/>
      <c r="AU257" s="1"/>
    </row>
    <row r="258" ht="15.75" customHeight="1">
      <c r="A258" s="31"/>
      <c r="B258" s="31"/>
      <c r="C258" s="3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4"/>
      <c r="AN258" s="1"/>
      <c r="AO258" s="1"/>
      <c r="AP258" s="1"/>
      <c r="AQ258" s="1"/>
      <c r="AR258" s="1"/>
      <c r="AS258" s="1"/>
      <c r="AT258" s="1"/>
      <c r="AU258" s="1"/>
    </row>
    <row r="259" ht="15.75" customHeight="1">
      <c r="A259" s="31"/>
      <c r="B259" s="31"/>
      <c r="C259" s="3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4"/>
      <c r="AN259" s="1"/>
      <c r="AO259" s="1"/>
      <c r="AP259" s="1"/>
      <c r="AQ259" s="1"/>
      <c r="AR259" s="1"/>
      <c r="AS259" s="1"/>
      <c r="AT259" s="1"/>
      <c r="AU259" s="1"/>
    </row>
    <row r="260" ht="15.75" customHeight="1">
      <c r="A260" s="31"/>
      <c r="B260" s="31"/>
      <c r="C260" s="3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4"/>
      <c r="AN260" s="1"/>
      <c r="AO260" s="1"/>
      <c r="AP260" s="1"/>
      <c r="AQ260" s="1"/>
      <c r="AR260" s="1"/>
      <c r="AS260" s="1"/>
      <c r="AT260" s="1"/>
      <c r="AU260" s="1"/>
    </row>
    <row r="261" ht="15.75" customHeight="1">
      <c r="A261" s="31"/>
      <c r="B261" s="31"/>
      <c r="C261" s="3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4"/>
      <c r="AN261" s="1"/>
      <c r="AO261" s="1"/>
      <c r="AP261" s="1"/>
      <c r="AQ261" s="1"/>
      <c r="AR261" s="1"/>
      <c r="AS261" s="1"/>
      <c r="AT261" s="1"/>
      <c r="AU261" s="1"/>
    </row>
    <row r="262" ht="15.75" customHeight="1">
      <c r="A262" s="31"/>
      <c r="B262" s="31"/>
      <c r="C262" s="3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4"/>
      <c r="AN262" s="1"/>
      <c r="AO262" s="1"/>
      <c r="AP262" s="1"/>
      <c r="AQ262" s="1"/>
      <c r="AR262" s="1"/>
      <c r="AS262" s="1"/>
      <c r="AT262" s="1"/>
      <c r="AU262" s="1"/>
    </row>
    <row r="263" ht="15.75" customHeight="1">
      <c r="A263" s="31"/>
      <c r="B263" s="31"/>
      <c r="C263" s="3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4"/>
      <c r="AN263" s="1"/>
      <c r="AO263" s="1"/>
      <c r="AP263" s="1"/>
      <c r="AQ263" s="1"/>
      <c r="AR263" s="1"/>
      <c r="AS263" s="1"/>
      <c r="AT263" s="1"/>
      <c r="AU263" s="1"/>
    </row>
    <row r="264" ht="15.75" customHeight="1">
      <c r="A264" s="31"/>
      <c r="B264" s="31"/>
      <c r="C264" s="3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4"/>
      <c r="AN264" s="1"/>
      <c r="AO264" s="1"/>
      <c r="AP264" s="1"/>
      <c r="AQ264" s="1"/>
      <c r="AR264" s="1"/>
      <c r="AS264" s="1"/>
      <c r="AT264" s="1"/>
      <c r="AU264" s="1"/>
    </row>
    <row r="265" ht="15.75" customHeight="1">
      <c r="A265" s="31"/>
      <c r="B265" s="31"/>
      <c r="C265" s="3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4"/>
      <c r="AN265" s="1"/>
      <c r="AO265" s="1"/>
      <c r="AP265" s="1"/>
      <c r="AQ265" s="1"/>
      <c r="AR265" s="1"/>
      <c r="AS265" s="1"/>
      <c r="AT265" s="1"/>
      <c r="AU265" s="1"/>
    </row>
    <row r="266" ht="15.75" customHeight="1">
      <c r="A266" s="31"/>
      <c r="B266" s="31"/>
      <c r="C266" s="3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4"/>
      <c r="AN266" s="1"/>
      <c r="AO266" s="1"/>
      <c r="AP266" s="1"/>
      <c r="AQ266" s="1"/>
      <c r="AR266" s="1"/>
      <c r="AS266" s="1"/>
      <c r="AT266" s="1"/>
      <c r="AU266" s="1"/>
    </row>
    <row r="267" ht="15.75" customHeight="1">
      <c r="A267" s="31"/>
      <c r="B267" s="31"/>
      <c r="C267" s="3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4"/>
      <c r="AN267" s="1"/>
      <c r="AO267" s="1"/>
      <c r="AP267" s="1"/>
      <c r="AQ267" s="1"/>
      <c r="AR267" s="1"/>
      <c r="AS267" s="1"/>
      <c r="AT267" s="1"/>
      <c r="AU267" s="1"/>
    </row>
    <row r="268" ht="15.75" customHeight="1">
      <c r="A268" s="31"/>
      <c r="B268" s="31"/>
      <c r="C268" s="3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4"/>
      <c r="AN268" s="1"/>
      <c r="AO268" s="1"/>
      <c r="AP268" s="1"/>
      <c r="AQ268" s="1"/>
      <c r="AR268" s="1"/>
      <c r="AS268" s="1"/>
      <c r="AT268" s="1"/>
      <c r="AU268" s="1"/>
    </row>
    <row r="269" ht="15.75" customHeight="1">
      <c r="A269" s="31"/>
      <c r="B269" s="31"/>
      <c r="C269" s="3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4"/>
      <c r="AN269" s="1"/>
      <c r="AO269" s="1"/>
      <c r="AP269" s="1"/>
      <c r="AQ269" s="1"/>
      <c r="AR269" s="1"/>
      <c r="AS269" s="1"/>
      <c r="AT269" s="1"/>
      <c r="AU269" s="1"/>
    </row>
    <row r="270" ht="15.75" customHeight="1">
      <c r="A270" s="31"/>
      <c r="B270" s="31"/>
      <c r="C270" s="3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4"/>
      <c r="AN270" s="1"/>
      <c r="AO270" s="1"/>
      <c r="AP270" s="1"/>
      <c r="AQ270" s="1"/>
      <c r="AR270" s="1"/>
      <c r="AS270" s="1"/>
      <c r="AT270" s="1"/>
      <c r="AU270" s="1"/>
    </row>
    <row r="271" ht="15.75" customHeight="1">
      <c r="A271" s="31"/>
      <c r="B271" s="31"/>
      <c r="C271" s="3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4"/>
      <c r="AN271" s="1"/>
      <c r="AO271" s="1"/>
      <c r="AP271" s="1"/>
      <c r="AQ271" s="1"/>
      <c r="AR271" s="1"/>
      <c r="AS271" s="1"/>
      <c r="AT271" s="1"/>
      <c r="AU271" s="1"/>
    </row>
    <row r="272" ht="15.75" customHeight="1">
      <c r="A272" s="31"/>
      <c r="B272" s="31"/>
      <c r="C272" s="3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4"/>
      <c r="AN272" s="1"/>
      <c r="AO272" s="1"/>
      <c r="AP272" s="1"/>
      <c r="AQ272" s="1"/>
      <c r="AR272" s="1"/>
      <c r="AS272" s="1"/>
      <c r="AT272" s="1"/>
      <c r="AU272" s="1"/>
    </row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6">
    <mergeCell ref="A7:A9"/>
    <mergeCell ref="B7:B9"/>
    <mergeCell ref="C7:C9"/>
    <mergeCell ref="AM7:AM9"/>
    <mergeCell ref="A2:A3"/>
    <mergeCell ref="B2:B3"/>
    <mergeCell ref="C2:C3"/>
    <mergeCell ref="D2:D3"/>
    <mergeCell ref="A4:A6"/>
    <mergeCell ref="B4:B6"/>
    <mergeCell ref="C4:C6"/>
    <mergeCell ref="B16:B18"/>
    <mergeCell ref="C16:C18"/>
    <mergeCell ref="AM16:AM18"/>
    <mergeCell ref="A19:A21"/>
    <mergeCell ref="B19:B21"/>
    <mergeCell ref="C19:C21"/>
    <mergeCell ref="AM19:AM21"/>
    <mergeCell ref="A10:A12"/>
    <mergeCell ref="B10:B12"/>
    <mergeCell ref="C10:C12"/>
    <mergeCell ref="A13:A15"/>
    <mergeCell ref="B13:B15"/>
    <mergeCell ref="C13:C15"/>
    <mergeCell ref="A16:A18"/>
    <mergeCell ref="B28:B30"/>
    <mergeCell ref="C28:C30"/>
    <mergeCell ref="A22:A24"/>
    <mergeCell ref="B22:B24"/>
    <mergeCell ref="C22:C24"/>
    <mergeCell ref="A25:A27"/>
    <mergeCell ref="B25:B27"/>
    <mergeCell ref="C25:C27"/>
    <mergeCell ref="A28:A30"/>
    <mergeCell ref="B64:B66"/>
    <mergeCell ref="C64:C66"/>
    <mergeCell ref="A58:A60"/>
    <mergeCell ref="B58:B60"/>
    <mergeCell ref="C58:C60"/>
    <mergeCell ref="A61:A63"/>
    <mergeCell ref="B61:B63"/>
    <mergeCell ref="C61:C63"/>
    <mergeCell ref="A64:A66"/>
    <mergeCell ref="B37:B39"/>
    <mergeCell ref="C37:C39"/>
    <mergeCell ref="A31:A33"/>
    <mergeCell ref="B31:B33"/>
    <mergeCell ref="C31:C33"/>
    <mergeCell ref="A34:A36"/>
    <mergeCell ref="B34:B36"/>
    <mergeCell ref="C34:C36"/>
    <mergeCell ref="A37:A39"/>
    <mergeCell ref="B46:B48"/>
    <mergeCell ref="C46:C48"/>
    <mergeCell ref="A40:A42"/>
    <mergeCell ref="B40:B42"/>
    <mergeCell ref="C40:C42"/>
    <mergeCell ref="A43:A45"/>
    <mergeCell ref="B43:B45"/>
    <mergeCell ref="C43:C45"/>
    <mergeCell ref="A46:A48"/>
    <mergeCell ref="B55:B57"/>
    <mergeCell ref="C55:C57"/>
    <mergeCell ref="A49:A51"/>
    <mergeCell ref="B49:B51"/>
    <mergeCell ref="C49:C51"/>
    <mergeCell ref="A52:A54"/>
    <mergeCell ref="B52:B54"/>
    <mergeCell ref="C52:C54"/>
    <mergeCell ref="A55:A57"/>
    <mergeCell ref="A67:A69"/>
    <mergeCell ref="B67:B69"/>
    <mergeCell ref="C67:C69"/>
    <mergeCell ref="A70:A72"/>
    <mergeCell ref="B70:B72"/>
    <mergeCell ref="C70:C72"/>
  </mergeCells>
  <printOptions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4" width="12.63"/>
    <col customWidth="1" min="5" max="35" width="2.63"/>
    <col customWidth="1" min="36" max="36" width="5.25"/>
    <col customWidth="1" min="37" max="37" width="5.63"/>
    <col customWidth="1" min="38" max="38" width="7.63"/>
    <col customWidth="1" min="39" max="39" width="25.75"/>
    <col customWidth="1" min="40" max="47" width="2.63"/>
  </cols>
  <sheetData>
    <row r="1" ht="15.75" customHeight="1">
      <c r="A1" s="1">
        <v>2025.0</v>
      </c>
      <c r="B1" s="1">
        <v>7.0</v>
      </c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4"/>
      <c r="AN1" s="1"/>
      <c r="AO1" s="1"/>
      <c r="AP1" s="1"/>
      <c r="AQ1" s="1"/>
      <c r="AR1" s="1"/>
      <c r="AS1" s="1"/>
      <c r="AT1" s="1"/>
      <c r="AU1" s="1"/>
    </row>
    <row r="2" ht="15.75" customHeight="1">
      <c r="A2" s="5" t="s">
        <v>0</v>
      </c>
      <c r="B2" s="5" t="s">
        <v>1</v>
      </c>
      <c r="C2" s="5" t="s">
        <v>2</v>
      </c>
      <c r="D2" s="6"/>
      <c r="E2" s="7">
        <f>DATE($A$1,$B$1,1)</f>
        <v>45839</v>
      </c>
      <c r="F2" s="7">
        <f>DATE($A$1,$B$1,2)</f>
        <v>45840</v>
      </c>
      <c r="G2" s="7">
        <f>DATE($A$1,$B$1,3)</f>
        <v>45841</v>
      </c>
      <c r="H2" s="7">
        <f>DATE($A$1,$B$1,4)</f>
        <v>45842</v>
      </c>
      <c r="I2" s="7">
        <f>DATE($A$1,$B$1,5)</f>
        <v>45843</v>
      </c>
      <c r="J2" s="7">
        <f>DATE($A$1,$B$1,6)</f>
        <v>45844</v>
      </c>
      <c r="K2" s="7">
        <f>DATE($A$1,$B$1,7)</f>
        <v>45845</v>
      </c>
      <c r="L2" s="7">
        <f>DATE($A$1,$B$1,8)</f>
        <v>45846</v>
      </c>
      <c r="M2" s="7">
        <f>DATE($A$1,$B$1,9)</f>
        <v>45847</v>
      </c>
      <c r="N2" s="7">
        <f>DATE($A$1,$B$1,10)</f>
        <v>45848</v>
      </c>
      <c r="O2" s="7">
        <f>DATE($A$1,$B$1,11)</f>
        <v>45849</v>
      </c>
      <c r="P2" s="7">
        <f>DATE($A$1,$B$1,12)</f>
        <v>45850</v>
      </c>
      <c r="Q2" s="7">
        <f>DATE($A$1,$B$1,13)</f>
        <v>45851</v>
      </c>
      <c r="R2" s="7">
        <f>DATE($A$1,$B$1,14)</f>
        <v>45852</v>
      </c>
      <c r="S2" s="7">
        <f>DATE($A$1,$B$1,15)</f>
        <v>45853</v>
      </c>
      <c r="T2" s="7">
        <f>DATE($A$1,$B$1,16)</f>
        <v>45854</v>
      </c>
      <c r="U2" s="7">
        <f>DATE($A$1,$B$1,17)</f>
        <v>45855</v>
      </c>
      <c r="V2" s="7">
        <f>DATE($A$1,$B$1,18)</f>
        <v>45856</v>
      </c>
      <c r="W2" s="7">
        <f>DATE($A$1,$B$1,19)</f>
        <v>45857</v>
      </c>
      <c r="X2" s="7">
        <f>DATE($A$1,$B$1,20)</f>
        <v>45858</v>
      </c>
      <c r="Y2" s="7">
        <f>DATE($A$1,$B$1,21)</f>
        <v>45859</v>
      </c>
      <c r="Z2" s="7">
        <f>DATE($A$1,$B$1,22)</f>
        <v>45860</v>
      </c>
      <c r="AA2" s="7">
        <f>DATE($A$1,$B$1,23)</f>
        <v>45861</v>
      </c>
      <c r="AB2" s="7">
        <f>DATE($A$1,$B$1,24)</f>
        <v>45862</v>
      </c>
      <c r="AC2" s="7">
        <f>DATE($A$1,$B$1,25)</f>
        <v>45863</v>
      </c>
      <c r="AD2" s="7">
        <f>DATE($A$1,$B$1,26)</f>
        <v>45864</v>
      </c>
      <c r="AE2" s="7">
        <f>DATE($A$1,$B$1,27)</f>
        <v>45865</v>
      </c>
      <c r="AF2" s="7">
        <f>DATE($A$1,$B$1,28)</f>
        <v>45866</v>
      </c>
      <c r="AG2" s="7">
        <f>DATE($A$1,$B$1,29)</f>
        <v>45867</v>
      </c>
      <c r="AH2" s="7">
        <f>DATE($A$1,$B$1,30)</f>
        <v>45868</v>
      </c>
      <c r="AI2" s="7">
        <f>DATE($A$1,$B$1,31)</f>
        <v>45869</v>
      </c>
      <c r="AJ2" s="8" t="s">
        <v>3</v>
      </c>
      <c r="AK2" s="9"/>
      <c r="AL2" s="8" t="s">
        <v>4</v>
      </c>
      <c r="AM2" s="4"/>
      <c r="AN2" s="1"/>
      <c r="AO2" s="1"/>
      <c r="AP2" s="1"/>
      <c r="AQ2" s="1"/>
      <c r="AR2" s="1"/>
      <c r="AS2" s="1"/>
      <c r="AT2" s="1"/>
      <c r="AU2" s="1"/>
    </row>
    <row r="3" ht="15.75" customHeight="1">
      <c r="A3" s="10"/>
      <c r="B3" s="10"/>
      <c r="C3" s="10"/>
      <c r="D3" s="10"/>
      <c r="E3" s="11" t="str">
        <f t="shared" ref="E3:AI3" si="1">TEXT(E2,"ddd")</f>
        <v>火</v>
      </c>
      <c r="F3" s="11" t="str">
        <f t="shared" si="1"/>
        <v>水</v>
      </c>
      <c r="G3" s="11" t="str">
        <f t="shared" si="1"/>
        <v>木</v>
      </c>
      <c r="H3" s="11" t="str">
        <f t="shared" si="1"/>
        <v>金</v>
      </c>
      <c r="I3" s="11" t="str">
        <f t="shared" si="1"/>
        <v>土</v>
      </c>
      <c r="J3" s="11" t="str">
        <f t="shared" si="1"/>
        <v>日</v>
      </c>
      <c r="K3" s="11" t="str">
        <f t="shared" si="1"/>
        <v>月</v>
      </c>
      <c r="L3" s="11" t="str">
        <f t="shared" si="1"/>
        <v>火</v>
      </c>
      <c r="M3" s="11" t="str">
        <f t="shared" si="1"/>
        <v>水</v>
      </c>
      <c r="N3" s="11" t="str">
        <f t="shared" si="1"/>
        <v>木</v>
      </c>
      <c r="O3" s="11" t="str">
        <f t="shared" si="1"/>
        <v>金</v>
      </c>
      <c r="P3" s="11" t="str">
        <f t="shared" si="1"/>
        <v>土</v>
      </c>
      <c r="Q3" s="11" t="str">
        <f t="shared" si="1"/>
        <v>日</v>
      </c>
      <c r="R3" s="11" t="str">
        <f t="shared" si="1"/>
        <v>月</v>
      </c>
      <c r="S3" s="11" t="str">
        <f t="shared" si="1"/>
        <v>火</v>
      </c>
      <c r="T3" s="11" t="str">
        <f t="shared" si="1"/>
        <v>水</v>
      </c>
      <c r="U3" s="11" t="str">
        <f t="shared" si="1"/>
        <v>木</v>
      </c>
      <c r="V3" s="11" t="str">
        <f t="shared" si="1"/>
        <v>金</v>
      </c>
      <c r="W3" s="11" t="str">
        <f t="shared" si="1"/>
        <v>土</v>
      </c>
      <c r="X3" s="11" t="str">
        <f t="shared" si="1"/>
        <v>日</v>
      </c>
      <c r="Y3" s="11" t="str">
        <f t="shared" si="1"/>
        <v>月</v>
      </c>
      <c r="Z3" s="11" t="str">
        <f t="shared" si="1"/>
        <v>火</v>
      </c>
      <c r="AA3" s="11" t="str">
        <f t="shared" si="1"/>
        <v>水</v>
      </c>
      <c r="AB3" s="11" t="str">
        <f t="shared" si="1"/>
        <v>木</v>
      </c>
      <c r="AC3" s="11" t="str">
        <f t="shared" si="1"/>
        <v>金</v>
      </c>
      <c r="AD3" s="11" t="str">
        <f t="shared" si="1"/>
        <v>土</v>
      </c>
      <c r="AE3" s="11" t="str">
        <f t="shared" si="1"/>
        <v>日</v>
      </c>
      <c r="AF3" s="11" t="str">
        <f t="shared" si="1"/>
        <v>月</v>
      </c>
      <c r="AG3" s="11" t="str">
        <f t="shared" si="1"/>
        <v>火</v>
      </c>
      <c r="AH3" s="11" t="str">
        <f t="shared" si="1"/>
        <v>水</v>
      </c>
      <c r="AI3" s="11" t="str">
        <f t="shared" si="1"/>
        <v>木</v>
      </c>
      <c r="AJ3" s="9"/>
      <c r="AK3" s="9"/>
      <c r="AL3" s="6"/>
      <c r="AM3" s="4"/>
      <c r="AN3" s="1"/>
      <c r="AO3" s="1"/>
      <c r="AP3" s="1"/>
      <c r="AQ3" s="1"/>
      <c r="AR3" s="1"/>
      <c r="AS3" s="1"/>
      <c r="AT3" s="1"/>
      <c r="AU3" s="1"/>
    </row>
    <row r="4" ht="15.75" customHeight="1">
      <c r="A4" s="12" t="s">
        <v>30</v>
      </c>
      <c r="B4" s="12" t="s">
        <v>31</v>
      </c>
      <c r="C4" s="12" t="s">
        <v>36</v>
      </c>
      <c r="D4" s="13" t="s">
        <v>5</v>
      </c>
      <c r="E4" s="13">
        <v>1.0</v>
      </c>
      <c r="F4" s="13">
        <v>1.0</v>
      </c>
      <c r="G4" s="13">
        <v>1.0</v>
      </c>
      <c r="H4" s="13">
        <v>1.0</v>
      </c>
      <c r="I4" s="13">
        <v>1.0</v>
      </c>
      <c r="J4" s="13">
        <v>1.0</v>
      </c>
      <c r="K4" s="13">
        <v>1.0</v>
      </c>
      <c r="L4" s="13">
        <v>1.0</v>
      </c>
      <c r="M4" s="13">
        <v>1.0</v>
      </c>
      <c r="N4" s="13">
        <v>1.0</v>
      </c>
      <c r="O4" s="13">
        <v>1.0</v>
      </c>
      <c r="P4" s="13">
        <v>1.0</v>
      </c>
      <c r="Q4" s="13">
        <v>1.0</v>
      </c>
      <c r="R4" s="13">
        <v>1.0</v>
      </c>
      <c r="S4" s="13">
        <v>1.0</v>
      </c>
      <c r="T4" s="13">
        <v>1.0</v>
      </c>
      <c r="U4" s="13">
        <v>1.0</v>
      </c>
      <c r="V4" s="13">
        <v>1.0</v>
      </c>
      <c r="W4" s="13">
        <v>1.0</v>
      </c>
      <c r="X4" s="13">
        <v>1.0</v>
      </c>
      <c r="Y4" s="13">
        <v>1.0</v>
      </c>
      <c r="Z4" s="13">
        <v>1.0</v>
      </c>
      <c r="AA4" s="13">
        <v>1.0</v>
      </c>
      <c r="AB4" s="13">
        <v>1.0</v>
      </c>
      <c r="AC4" s="13">
        <v>1.0</v>
      </c>
      <c r="AD4" s="13">
        <v>1.0</v>
      </c>
      <c r="AE4" s="13">
        <v>1.0</v>
      </c>
      <c r="AF4" s="13">
        <v>1.0</v>
      </c>
      <c r="AG4" s="13">
        <v>1.0</v>
      </c>
      <c r="AH4" s="13">
        <v>1.0</v>
      </c>
      <c r="AI4" s="13">
        <v>1.0</v>
      </c>
      <c r="AJ4" s="13">
        <f t="shared" ref="AJ4:AJ72" si="2">SUM(E4:AI4)</f>
        <v>31</v>
      </c>
      <c r="AK4" s="14">
        <f>330*AJ4</f>
        <v>10230</v>
      </c>
      <c r="AL4" s="15"/>
      <c r="AM4" s="4"/>
      <c r="AN4" s="1"/>
      <c r="AO4" s="1"/>
      <c r="AP4" s="1"/>
      <c r="AQ4" s="1"/>
      <c r="AR4" s="1"/>
      <c r="AS4" s="1"/>
      <c r="AT4" s="1"/>
      <c r="AU4" s="1"/>
    </row>
    <row r="5" ht="15.75" customHeight="1">
      <c r="A5" s="16"/>
      <c r="B5" s="16"/>
      <c r="C5" s="16"/>
      <c r="D5" s="13" t="s">
        <v>6</v>
      </c>
      <c r="E5" s="13">
        <v>1.0</v>
      </c>
      <c r="F5" s="13">
        <v>0.0</v>
      </c>
      <c r="G5" s="13">
        <v>1.0</v>
      </c>
      <c r="H5" s="13">
        <v>1.0</v>
      </c>
      <c r="I5" s="13">
        <v>1.0</v>
      </c>
      <c r="J5" s="13">
        <v>1.0</v>
      </c>
      <c r="K5" s="13">
        <v>1.0</v>
      </c>
      <c r="L5" s="13">
        <v>1.0</v>
      </c>
      <c r="M5" s="13">
        <v>1.0</v>
      </c>
      <c r="N5" s="13">
        <v>1.0</v>
      </c>
      <c r="O5" s="13">
        <v>0.0</v>
      </c>
      <c r="P5" s="13">
        <v>1.0</v>
      </c>
      <c r="Q5" s="13">
        <v>1.0</v>
      </c>
      <c r="R5" s="13">
        <v>1.0</v>
      </c>
      <c r="S5" s="13">
        <v>1.0</v>
      </c>
      <c r="T5" s="13">
        <v>1.0</v>
      </c>
      <c r="U5" s="13">
        <v>1.0</v>
      </c>
      <c r="V5" s="13">
        <v>0.0</v>
      </c>
      <c r="W5" s="13">
        <v>1.0</v>
      </c>
      <c r="X5" s="13">
        <v>1.0</v>
      </c>
      <c r="Y5" s="13">
        <v>1.0</v>
      </c>
      <c r="Z5" s="13">
        <v>1.0</v>
      </c>
      <c r="AA5" s="13">
        <v>1.0</v>
      </c>
      <c r="AB5" s="13">
        <v>1.0</v>
      </c>
      <c r="AC5" s="13">
        <v>0.0</v>
      </c>
      <c r="AD5" s="13">
        <v>1.0</v>
      </c>
      <c r="AE5" s="13">
        <v>1.0</v>
      </c>
      <c r="AF5" s="13">
        <v>1.0</v>
      </c>
      <c r="AG5" s="13">
        <v>1.0</v>
      </c>
      <c r="AH5" s="13">
        <v>1.0</v>
      </c>
      <c r="AI5" s="13">
        <v>1.0</v>
      </c>
      <c r="AJ5" s="13">
        <f t="shared" si="2"/>
        <v>27</v>
      </c>
      <c r="AK5" s="14">
        <f t="shared" ref="AK5:AK6" si="3">550*AJ5</f>
        <v>14850</v>
      </c>
      <c r="AL5" s="19"/>
      <c r="AM5" s="4"/>
      <c r="AN5" s="1"/>
      <c r="AO5" s="1"/>
      <c r="AP5" s="1"/>
      <c r="AQ5" s="1"/>
      <c r="AR5" s="1"/>
      <c r="AS5" s="1"/>
      <c r="AT5" s="1"/>
      <c r="AU5" s="1"/>
    </row>
    <row r="6" ht="15.75" customHeight="1">
      <c r="A6" s="10"/>
      <c r="B6" s="10"/>
      <c r="C6" s="10"/>
      <c r="D6" s="13" t="s">
        <v>7</v>
      </c>
      <c r="E6" s="13">
        <v>1.0</v>
      </c>
      <c r="F6" s="13">
        <v>1.0</v>
      </c>
      <c r="G6" s="13">
        <v>1.0</v>
      </c>
      <c r="H6" s="13">
        <v>1.0</v>
      </c>
      <c r="I6" s="13">
        <v>1.0</v>
      </c>
      <c r="J6" s="13">
        <v>1.0</v>
      </c>
      <c r="K6" s="13">
        <v>1.0</v>
      </c>
      <c r="L6" s="13">
        <v>1.0</v>
      </c>
      <c r="M6" s="13">
        <v>1.0</v>
      </c>
      <c r="N6" s="13">
        <v>1.0</v>
      </c>
      <c r="O6" s="13">
        <v>1.0</v>
      </c>
      <c r="P6" s="13">
        <v>1.0</v>
      </c>
      <c r="Q6" s="13">
        <v>1.0</v>
      </c>
      <c r="R6" s="13">
        <v>1.0</v>
      </c>
      <c r="S6" s="13">
        <v>1.0</v>
      </c>
      <c r="T6" s="13">
        <v>1.0</v>
      </c>
      <c r="U6" s="13">
        <v>1.0</v>
      </c>
      <c r="V6" s="13">
        <v>1.0</v>
      </c>
      <c r="W6" s="13">
        <v>1.0</v>
      </c>
      <c r="X6" s="13">
        <v>1.0</v>
      </c>
      <c r="Y6" s="13">
        <v>1.0</v>
      </c>
      <c r="Z6" s="13">
        <v>1.0</v>
      </c>
      <c r="AA6" s="13">
        <v>1.0</v>
      </c>
      <c r="AB6" s="13">
        <v>1.0</v>
      </c>
      <c r="AC6" s="13">
        <v>1.0</v>
      </c>
      <c r="AD6" s="13">
        <v>1.0</v>
      </c>
      <c r="AE6" s="13">
        <v>1.0</v>
      </c>
      <c r="AF6" s="13">
        <v>1.0</v>
      </c>
      <c r="AG6" s="13">
        <v>1.0</v>
      </c>
      <c r="AH6" s="13">
        <v>1.0</v>
      </c>
      <c r="AI6" s="13">
        <v>1.0</v>
      </c>
      <c r="AJ6" s="13">
        <f t="shared" si="2"/>
        <v>31</v>
      </c>
      <c r="AK6" s="14">
        <f t="shared" si="3"/>
        <v>17050</v>
      </c>
      <c r="AL6" s="20">
        <f>SUM(AK4:AK6)</f>
        <v>42130</v>
      </c>
      <c r="AM6" s="4"/>
      <c r="AN6" s="1"/>
      <c r="AO6" s="1"/>
      <c r="AP6" s="1"/>
      <c r="AQ6" s="1"/>
      <c r="AR6" s="1"/>
      <c r="AS6" s="1"/>
      <c r="AT6" s="1"/>
      <c r="AU6" s="1"/>
    </row>
    <row r="7" ht="15.75" customHeight="1">
      <c r="A7" s="21" t="s">
        <v>8</v>
      </c>
      <c r="B7" s="21" t="s">
        <v>9</v>
      </c>
      <c r="C7" s="21" t="s">
        <v>10</v>
      </c>
      <c r="D7" s="22" t="s">
        <v>5</v>
      </c>
      <c r="E7" s="22">
        <v>0.0</v>
      </c>
      <c r="F7" s="22">
        <v>0.0</v>
      </c>
      <c r="G7" s="22">
        <v>0.0</v>
      </c>
      <c r="H7" s="22">
        <v>0.0</v>
      </c>
      <c r="I7" s="22">
        <v>0.0</v>
      </c>
      <c r="J7" s="22">
        <v>0.0</v>
      </c>
      <c r="K7" s="22">
        <v>0.0</v>
      </c>
      <c r="L7" s="22">
        <v>0.0</v>
      </c>
      <c r="M7" s="22">
        <v>0.0</v>
      </c>
      <c r="N7" s="22">
        <v>0.0</v>
      </c>
      <c r="O7" s="22">
        <v>0.0</v>
      </c>
      <c r="P7" s="22">
        <v>0.0</v>
      </c>
      <c r="Q7" s="22">
        <v>0.0</v>
      </c>
      <c r="R7" s="22">
        <v>0.0</v>
      </c>
      <c r="S7" s="22">
        <v>0.0</v>
      </c>
      <c r="T7" s="22">
        <v>0.0</v>
      </c>
      <c r="U7" s="22">
        <v>0.0</v>
      </c>
      <c r="V7" s="22">
        <v>0.0</v>
      </c>
      <c r="W7" s="22">
        <v>0.0</v>
      </c>
      <c r="X7" s="22">
        <v>0.0</v>
      </c>
      <c r="Y7" s="22">
        <v>0.0</v>
      </c>
      <c r="Z7" s="22">
        <v>0.0</v>
      </c>
      <c r="AA7" s="22">
        <v>0.0</v>
      </c>
      <c r="AB7" s="22">
        <v>0.0</v>
      </c>
      <c r="AC7" s="22">
        <v>0.0</v>
      </c>
      <c r="AD7" s="22">
        <v>0.0</v>
      </c>
      <c r="AE7" s="22">
        <v>0.0</v>
      </c>
      <c r="AF7" s="22">
        <v>0.0</v>
      </c>
      <c r="AG7" s="22">
        <v>0.0</v>
      </c>
      <c r="AH7" s="22">
        <v>0.0</v>
      </c>
      <c r="AI7" s="22">
        <v>0.0</v>
      </c>
      <c r="AJ7" s="22">
        <f t="shared" si="2"/>
        <v>0</v>
      </c>
      <c r="AK7" s="23">
        <f>330*AJ7</f>
        <v>0</v>
      </c>
      <c r="AL7" s="24"/>
      <c r="AM7" s="25"/>
      <c r="AN7" s="1"/>
      <c r="AO7" s="1"/>
      <c r="AP7" s="1"/>
      <c r="AQ7" s="1"/>
      <c r="AR7" s="1"/>
      <c r="AS7" s="1"/>
      <c r="AT7" s="1"/>
      <c r="AU7" s="1"/>
    </row>
    <row r="8" ht="15.75" customHeight="1">
      <c r="A8" s="16"/>
      <c r="B8" s="16"/>
      <c r="C8" s="16"/>
      <c r="D8" s="22" t="s">
        <v>6</v>
      </c>
      <c r="E8" s="22">
        <v>0.0</v>
      </c>
      <c r="F8" s="22">
        <v>0.0</v>
      </c>
      <c r="G8" s="22">
        <v>0.0</v>
      </c>
      <c r="H8" s="22">
        <v>0.0</v>
      </c>
      <c r="I8" s="22">
        <v>0.0</v>
      </c>
      <c r="J8" s="22">
        <v>0.0</v>
      </c>
      <c r="K8" s="22">
        <v>0.0</v>
      </c>
      <c r="L8" s="22">
        <v>0.0</v>
      </c>
      <c r="M8" s="22">
        <v>0.0</v>
      </c>
      <c r="N8" s="22">
        <v>0.0</v>
      </c>
      <c r="O8" s="22">
        <v>0.0</v>
      </c>
      <c r="P8" s="22">
        <v>0.0</v>
      </c>
      <c r="Q8" s="22">
        <v>0.0</v>
      </c>
      <c r="R8" s="22">
        <v>0.0</v>
      </c>
      <c r="S8" s="22">
        <v>0.0</v>
      </c>
      <c r="T8" s="22">
        <v>0.0</v>
      </c>
      <c r="U8" s="22">
        <v>0.0</v>
      </c>
      <c r="V8" s="22">
        <v>0.0</v>
      </c>
      <c r="W8" s="22">
        <v>0.0</v>
      </c>
      <c r="X8" s="22">
        <v>0.0</v>
      </c>
      <c r="Y8" s="22">
        <v>0.0</v>
      </c>
      <c r="Z8" s="22">
        <v>0.0</v>
      </c>
      <c r="AA8" s="22">
        <v>0.0</v>
      </c>
      <c r="AB8" s="22">
        <v>0.0</v>
      </c>
      <c r="AC8" s="22">
        <v>0.0</v>
      </c>
      <c r="AD8" s="22">
        <v>0.0</v>
      </c>
      <c r="AE8" s="22">
        <v>0.0</v>
      </c>
      <c r="AF8" s="22">
        <v>0.0</v>
      </c>
      <c r="AG8" s="22">
        <v>0.0</v>
      </c>
      <c r="AH8" s="22">
        <v>0.0</v>
      </c>
      <c r="AI8" s="22">
        <v>0.0</v>
      </c>
      <c r="AJ8" s="22">
        <f t="shared" si="2"/>
        <v>0</v>
      </c>
      <c r="AK8" s="23">
        <f t="shared" ref="AK8:AK9" si="4">550*AJ8</f>
        <v>0</v>
      </c>
      <c r="AL8" s="24"/>
      <c r="AN8" s="1"/>
      <c r="AO8" s="1"/>
      <c r="AP8" s="1"/>
      <c r="AQ8" s="1"/>
      <c r="AR8" s="1"/>
      <c r="AS8" s="1"/>
      <c r="AT8" s="1"/>
      <c r="AU8" s="1"/>
    </row>
    <row r="9" ht="15.75" customHeight="1">
      <c r="A9" s="10"/>
      <c r="B9" s="10"/>
      <c r="C9" s="10"/>
      <c r="D9" s="22" t="s">
        <v>7</v>
      </c>
      <c r="E9" s="22">
        <v>0.0</v>
      </c>
      <c r="F9" s="22">
        <v>0.0</v>
      </c>
      <c r="G9" s="22">
        <v>0.0</v>
      </c>
      <c r="H9" s="22">
        <v>0.0</v>
      </c>
      <c r="I9" s="22">
        <v>0.0</v>
      </c>
      <c r="J9" s="22">
        <v>0.0</v>
      </c>
      <c r="K9" s="22">
        <v>0.0</v>
      </c>
      <c r="L9" s="22">
        <v>0.0</v>
      </c>
      <c r="M9" s="22">
        <v>0.0</v>
      </c>
      <c r="N9" s="22">
        <v>0.0</v>
      </c>
      <c r="O9" s="22">
        <v>0.0</v>
      </c>
      <c r="P9" s="22">
        <v>0.0</v>
      </c>
      <c r="Q9" s="22">
        <v>0.0</v>
      </c>
      <c r="R9" s="22">
        <v>0.0</v>
      </c>
      <c r="S9" s="22">
        <v>0.0</v>
      </c>
      <c r="T9" s="22">
        <v>0.0</v>
      </c>
      <c r="U9" s="22">
        <v>0.0</v>
      </c>
      <c r="V9" s="22">
        <v>0.0</v>
      </c>
      <c r="W9" s="22">
        <v>0.0</v>
      </c>
      <c r="X9" s="22">
        <v>0.0</v>
      </c>
      <c r="Y9" s="22">
        <v>0.0</v>
      </c>
      <c r="Z9" s="22">
        <v>0.0</v>
      </c>
      <c r="AA9" s="22">
        <v>0.0</v>
      </c>
      <c r="AB9" s="22">
        <v>0.0</v>
      </c>
      <c r="AC9" s="22">
        <v>0.0</v>
      </c>
      <c r="AD9" s="22">
        <v>0.0</v>
      </c>
      <c r="AE9" s="22">
        <v>0.0</v>
      </c>
      <c r="AF9" s="22">
        <v>0.0</v>
      </c>
      <c r="AG9" s="22">
        <v>0.0</v>
      </c>
      <c r="AH9" s="22">
        <v>0.0</v>
      </c>
      <c r="AI9" s="22">
        <v>0.0</v>
      </c>
      <c r="AJ9" s="22">
        <f t="shared" si="2"/>
        <v>0</v>
      </c>
      <c r="AK9" s="23">
        <f t="shared" si="4"/>
        <v>0</v>
      </c>
      <c r="AL9" s="26">
        <f>SUM(AK7:AK9)</f>
        <v>0</v>
      </c>
      <c r="AN9" s="1"/>
      <c r="AO9" s="1"/>
      <c r="AP9" s="1"/>
      <c r="AQ9" s="1"/>
      <c r="AR9" s="1"/>
      <c r="AS9" s="1"/>
      <c r="AT9" s="1"/>
      <c r="AU9" s="1"/>
    </row>
    <row r="10" ht="15.75" customHeight="1">
      <c r="A10" s="12" t="s">
        <v>11</v>
      </c>
      <c r="B10" s="12" t="s">
        <v>12</v>
      </c>
      <c r="C10" s="12" t="s">
        <v>37</v>
      </c>
      <c r="D10" s="13" t="s">
        <v>5</v>
      </c>
      <c r="E10" s="18">
        <v>0.0</v>
      </c>
      <c r="F10" s="18">
        <v>0.0</v>
      </c>
      <c r="G10" s="18">
        <v>0.0</v>
      </c>
      <c r="H10" s="18">
        <v>0.0</v>
      </c>
      <c r="I10" s="18">
        <v>0.0</v>
      </c>
      <c r="J10" s="18">
        <v>0.0</v>
      </c>
      <c r="K10" s="18">
        <v>0.0</v>
      </c>
      <c r="L10" s="18">
        <v>0.0</v>
      </c>
      <c r="M10" s="18">
        <v>0.0</v>
      </c>
      <c r="N10" s="18">
        <v>0.0</v>
      </c>
      <c r="O10" s="18">
        <v>0.0</v>
      </c>
      <c r="P10" s="18">
        <v>0.0</v>
      </c>
      <c r="Q10" s="18">
        <v>0.0</v>
      </c>
      <c r="R10" s="18">
        <v>0.0</v>
      </c>
      <c r="S10" s="18">
        <v>0.0</v>
      </c>
      <c r="T10" s="18">
        <v>0.0</v>
      </c>
      <c r="U10" s="18">
        <v>0.0</v>
      </c>
      <c r="V10" s="18">
        <v>0.0</v>
      </c>
      <c r="W10" s="18">
        <v>0.0</v>
      </c>
      <c r="X10" s="18">
        <v>0.0</v>
      </c>
      <c r="Y10" s="18">
        <v>0.0</v>
      </c>
      <c r="Z10" s="18">
        <v>0.0</v>
      </c>
      <c r="AA10" s="18">
        <v>0.0</v>
      </c>
      <c r="AB10" s="18">
        <v>0.0</v>
      </c>
      <c r="AC10" s="18">
        <v>0.0</v>
      </c>
      <c r="AD10" s="18">
        <v>0.0</v>
      </c>
      <c r="AE10" s="18">
        <v>0.0</v>
      </c>
      <c r="AF10" s="18">
        <v>0.0</v>
      </c>
      <c r="AG10" s="18">
        <v>0.0</v>
      </c>
      <c r="AH10" s="18">
        <v>0.0</v>
      </c>
      <c r="AI10" s="18">
        <v>0.0</v>
      </c>
      <c r="AJ10" s="13">
        <f t="shared" si="2"/>
        <v>0</v>
      </c>
      <c r="AK10" s="14">
        <f>330*AJ10</f>
        <v>0</v>
      </c>
      <c r="AL10" s="19"/>
      <c r="AM10" s="4"/>
      <c r="AN10" s="1"/>
      <c r="AO10" s="1"/>
      <c r="AP10" s="1"/>
      <c r="AQ10" s="1"/>
      <c r="AR10" s="1"/>
      <c r="AS10" s="1"/>
      <c r="AT10" s="1"/>
      <c r="AU10" s="1"/>
    </row>
    <row r="11" ht="15.75" customHeight="1">
      <c r="A11" s="16"/>
      <c r="B11" s="16"/>
      <c r="C11" s="16"/>
      <c r="D11" s="13" t="s">
        <v>6</v>
      </c>
      <c r="E11" s="13">
        <v>1.0</v>
      </c>
      <c r="F11" s="13">
        <v>1.0</v>
      </c>
      <c r="G11" s="13">
        <v>1.0</v>
      </c>
      <c r="H11" s="13">
        <v>1.0</v>
      </c>
      <c r="I11" s="13">
        <v>1.0</v>
      </c>
      <c r="J11" s="13">
        <v>1.0</v>
      </c>
      <c r="K11" s="13">
        <v>1.0</v>
      </c>
      <c r="L11" s="13">
        <v>1.0</v>
      </c>
      <c r="M11" s="13">
        <v>1.0</v>
      </c>
      <c r="N11" s="13">
        <v>1.0</v>
      </c>
      <c r="O11" s="13">
        <v>1.0</v>
      </c>
      <c r="P11" s="13">
        <v>1.0</v>
      </c>
      <c r="Q11" s="13">
        <v>1.0</v>
      </c>
      <c r="R11" s="13">
        <v>1.0</v>
      </c>
      <c r="S11" s="13">
        <v>1.0</v>
      </c>
      <c r="T11" s="13">
        <v>1.0</v>
      </c>
      <c r="U11" s="13">
        <v>1.0</v>
      </c>
      <c r="V11" s="13">
        <v>1.0</v>
      </c>
      <c r="W11" s="13">
        <v>1.0</v>
      </c>
      <c r="X11" s="13">
        <v>1.0</v>
      </c>
      <c r="Y11" s="13">
        <v>1.0</v>
      </c>
      <c r="Z11" s="13">
        <v>0.0</v>
      </c>
      <c r="AA11" s="13">
        <v>1.0</v>
      </c>
      <c r="AB11" s="13">
        <v>1.0</v>
      </c>
      <c r="AC11" s="13">
        <v>1.0</v>
      </c>
      <c r="AD11" s="13">
        <v>1.0</v>
      </c>
      <c r="AE11" s="13">
        <v>1.0</v>
      </c>
      <c r="AF11" s="13">
        <v>1.0</v>
      </c>
      <c r="AG11" s="13">
        <v>1.0</v>
      </c>
      <c r="AH11" s="13">
        <v>1.0</v>
      </c>
      <c r="AI11" s="13">
        <v>1.0</v>
      </c>
      <c r="AJ11" s="13">
        <f t="shared" si="2"/>
        <v>30</v>
      </c>
      <c r="AK11" s="14">
        <f t="shared" ref="AK11:AK12" si="5">550*AJ11</f>
        <v>16500</v>
      </c>
      <c r="AL11" s="19"/>
      <c r="AM11" s="27"/>
      <c r="AN11" s="1"/>
      <c r="AO11" s="1"/>
      <c r="AP11" s="1"/>
      <c r="AQ11" s="1"/>
      <c r="AR11" s="1"/>
      <c r="AS11" s="1"/>
      <c r="AT11" s="1"/>
      <c r="AU11" s="1"/>
    </row>
    <row r="12" ht="15.75" customHeight="1">
      <c r="A12" s="10"/>
      <c r="B12" s="10"/>
      <c r="C12" s="10"/>
      <c r="D12" s="13" t="s">
        <v>7</v>
      </c>
      <c r="E12" s="13" t="s">
        <v>35</v>
      </c>
      <c r="F12" s="13" t="s">
        <v>35</v>
      </c>
      <c r="G12" s="13" t="s">
        <v>35</v>
      </c>
      <c r="H12" s="13" t="s">
        <v>35</v>
      </c>
      <c r="I12" s="13" t="s">
        <v>35</v>
      </c>
      <c r="J12" s="13" t="s">
        <v>35</v>
      </c>
      <c r="K12" s="13" t="s">
        <v>35</v>
      </c>
      <c r="L12" s="13" t="s">
        <v>35</v>
      </c>
      <c r="M12" s="13" t="s">
        <v>35</v>
      </c>
      <c r="N12" s="13" t="s">
        <v>35</v>
      </c>
      <c r="O12" s="13" t="s">
        <v>35</v>
      </c>
      <c r="P12" s="13" t="s">
        <v>35</v>
      </c>
      <c r="Q12" s="13" t="s">
        <v>35</v>
      </c>
      <c r="R12" s="13" t="s">
        <v>35</v>
      </c>
      <c r="S12" s="13" t="s">
        <v>35</v>
      </c>
      <c r="T12" s="13" t="s">
        <v>35</v>
      </c>
      <c r="U12" s="13" t="s">
        <v>35</v>
      </c>
      <c r="V12" s="13" t="s">
        <v>35</v>
      </c>
      <c r="W12" s="13" t="s">
        <v>35</v>
      </c>
      <c r="X12" s="13" t="s">
        <v>35</v>
      </c>
      <c r="Y12" s="13" t="s">
        <v>35</v>
      </c>
      <c r="Z12" s="13" t="s">
        <v>35</v>
      </c>
      <c r="AA12" s="13" t="s">
        <v>35</v>
      </c>
      <c r="AB12" s="13" t="s">
        <v>35</v>
      </c>
      <c r="AC12" s="13" t="s">
        <v>35</v>
      </c>
      <c r="AD12" s="13" t="s">
        <v>35</v>
      </c>
      <c r="AE12" s="13" t="s">
        <v>35</v>
      </c>
      <c r="AF12" s="13" t="s">
        <v>35</v>
      </c>
      <c r="AG12" s="13" t="s">
        <v>35</v>
      </c>
      <c r="AH12" s="13" t="s">
        <v>35</v>
      </c>
      <c r="AI12" s="13" t="s">
        <v>35</v>
      </c>
      <c r="AJ12" s="13">
        <f t="shared" si="2"/>
        <v>0</v>
      </c>
      <c r="AK12" s="14">
        <f t="shared" si="5"/>
        <v>0</v>
      </c>
      <c r="AL12" s="20">
        <f>SUM(AK10:AK12)</f>
        <v>16500</v>
      </c>
      <c r="AM12" s="4"/>
      <c r="AN12" s="1"/>
      <c r="AO12" s="1"/>
      <c r="AP12" s="1"/>
      <c r="AQ12" s="1"/>
      <c r="AR12" s="1"/>
      <c r="AS12" s="1"/>
      <c r="AT12" s="1"/>
      <c r="AU12" s="1"/>
    </row>
    <row r="13" ht="15.75" customHeight="1">
      <c r="A13" s="21" t="s">
        <v>14</v>
      </c>
      <c r="B13" s="21" t="s">
        <v>15</v>
      </c>
      <c r="C13" s="21"/>
      <c r="D13" s="22" t="s">
        <v>5</v>
      </c>
      <c r="E13" s="28">
        <v>1.0</v>
      </c>
      <c r="F13" s="28">
        <v>1.0</v>
      </c>
      <c r="G13" s="28">
        <v>1.0</v>
      </c>
      <c r="H13" s="28">
        <v>1.0</v>
      </c>
      <c r="I13" s="28">
        <v>1.0</v>
      </c>
      <c r="J13" s="28">
        <v>1.0</v>
      </c>
      <c r="K13" s="28">
        <v>1.0</v>
      </c>
      <c r="L13" s="28">
        <v>1.0</v>
      </c>
      <c r="M13" s="28">
        <v>1.0</v>
      </c>
      <c r="N13" s="28">
        <v>1.0</v>
      </c>
      <c r="O13" s="28">
        <v>1.0</v>
      </c>
      <c r="P13" s="28">
        <v>1.0</v>
      </c>
      <c r="Q13" s="28">
        <v>1.0</v>
      </c>
      <c r="R13" s="28">
        <v>1.0</v>
      </c>
      <c r="S13" s="28">
        <v>1.0</v>
      </c>
      <c r="T13" s="28">
        <v>1.0</v>
      </c>
      <c r="U13" s="28">
        <v>1.0</v>
      </c>
      <c r="V13" s="28">
        <v>1.0</v>
      </c>
      <c r="W13" s="28">
        <v>1.0</v>
      </c>
      <c r="X13" s="28">
        <v>1.0</v>
      </c>
      <c r="Y13" s="28">
        <v>1.0</v>
      </c>
      <c r="Z13" s="28">
        <v>1.0</v>
      </c>
      <c r="AA13" s="28">
        <v>1.0</v>
      </c>
      <c r="AB13" s="28">
        <v>1.0</v>
      </c>
      <c r="AC13" s="28">
        <v>1.0</v>
      </c>
      <c r="AD13" s="28">
        <v>1.0</v>
      </c>
      <c r="AE13" s="28">
        <v>1.0</v>
      </c>
      <c r="AF13" s="28">
        <v>1.0</v>
      </c>
      <c r="AG13" s="22">
        <v>1.0</v>
      </c>
      <c r="AH13" s="22">
        <v>1.0</v>
      </c>
      <c r="AI13" s="22">
        <v>1.0</v>
      </c>
      <c r="AJ13" s="22">
        <f t="shared" si="2"/>
        <v>31</v>
      </c>
      <c r="AK13" s="23">
        <f>330*AJ13</f>
        <v>10230</v>
      </c>
      <c r="AL13" s="24"/>
      <c r="AM13" s="25"/>
      <c r="AN13" s="1"/>
      <c r="AO13" s="1"/>
      <c r="AP13" s="1"/>
      <c r="AQ13" s="1"/>
      <c r="AR13" s="1"/>
      <c r="AS13" s="1"/>
      <c r="AT13" s="1"/>
      <c r="AU13" s="1"/>
    </row>
    <row r="14" ht="15.75" customHeight="1">
      <c r="A14" s="16"/>
      <c r="B14" s="16"/>
      <c r="C14" s="16"/>
      <c r="D14" s="22" t="s">
        <v>6</v>
      </c>
      <c r="E14" s="28">
        <v>1.0</v>
      </c>
      <c r="F14" s="28">
        <v>1.0</v>
      </c>
      <c r="G14" s="28">
        <v>1.0</v>
      </c>
      <c r="H14" s="28">
        <v>1.0</v>
      </c>
      <c r="I14" s="28">
        <v>1.0</v>
      </c>
      <c r="J14" s="28">
        <v>1.0</v>
      </c>
      <c r="K14" s="28">
        <v>1.0</v>
      </c>
      <c r="L14" s="28">
        <v>1.0</v>
      </c>
      <c r="M14" s="28">
        <v>1.0</v>
      </c>
      <c r="N14" s="28">
        <v>1.0</v>
      </c>
      <c r="O14" s="28">
        <v>1.0</v>
      </c>
      <c r="P14" s="28">
        <v>1.0</v>
      </c>
      <c r="Q14" s="28">
        <v>1.0</v>
      </c>
      <c r="R14" s="28">
        <v>1.0</v>
      </c>
      <c r="S14" s="28">
        <v>1.0</v>
      </c>
      <c r="T14" s="28">
        <v>1.0</v>
      </c>
      <c r="U14" s="28">
        <v>1.0</v>
      </c>
      <c r="V14" s="28">
        <v>1.0</v>
      </c>
      <c r="W14" s="28">
        <v>1.0</v>
      </c>
      <c r="X14" s="28">
        <v>1.0</v>
      </c>
      <c r="Y14" s="28">
        <v>1.0</v>
      </c>
      <c r="Z14" s="28">
        <v>1.0</v>
      </c>
      <c r="AA14" s="28">
        <v>1.0</v>
      </c>
      <c r="AB14" s="28">
        <v>1.0</v>
      </c>
      <c r="AC14" s="28">
        <v>1.0</v>
      </c>
      <c r="AD14" s="28">
        <v>1.0</v>
      </c>
      <c r="AE14" s="28">
        <v>1.0</v>
      </c>
      <c r="AF14" s="28">
        <v>1.0</v>
      </c>
      <c r="AG14" s="22">
        <v>1.0</v>
      </c>
      <c r="AH14" s="22">
        <v>1.0</v>
      </c>
      <c r="AI14" s="22">
        <v>1.0</v>
      </c>
      <c r="AJ14" s="22">
        <f t="shared" si="2"/>
        <v>31</v>
      </c>
      <c r="AK14" s="23">
        <f t="shared" ref="AK14:AK15" si="6">550*AJ14</f>
        <v>17050</v>
      </c>
      <c r="AL14" s="24"/>
      <c r="AM14" s="4"/>
      <c r="AN14" s="1"/>
      <c r="AO14" s="1"/>
      <c r="AP14" s="1"/>
      <c r="AQ14" s="1"/>
      <c r="AR14" s="1"/>
      <c r="AS14" s="1"/>
      <c r="AT14" s="1"/>
      <c r="AU14" s="1"/>
    </row>
    <row r="15" ht="15.75" customHeight="1">
      <c r="A15" s="10"/>
      <c r="B15" s="10"/>
      <c r="C15" s="10"/>
      <c r="D15" s="22" t="s">
        <v>7</v>
      </c>
      <c r="E15" s="28">
        <v>1.0</v>
      </c>
      <c r="F15" s="28">
        <v>1.0</v>
      </c>
      <c r="G15" s="28">
        <v>1.0</v>
      </c>
      <c r="H15" s="28">
        <v>1.0</v>
      </c>
      <c r="I15" s="28">
        <v>1.0</v>
      </c>
      <c r="J15" s="28">
        <v>1.0</v>
      </c>
      <c r="K15" s="28">
        <v>1.0</v>
      </c>
      <c r="L15" s="28">
        <v>1.0</v>
      </c>
      <c r="M15" s="28">
        <v>1.0</v>
      </c>
      <c r="N15" s="28">
        <v>1.0</v>
      </c>
      <c r="O15" s="28">
        <v>1.0</v>
      </c>
      <c r="P15" s="28">
        <v>1.0</v>
      </c>
      <c r="Q15" s="28">
        <v>1.0</v>
      </c>
      <c r="R15" s="28">
        <v>1.0</v>
      </c>
      <c r="S15" s="28">
        <v>1.0</v>
      </c>
      <c r="T15" s="28">
        <v>1.0</v>
      </c>
      <c r="U15" s="28">
        <v>1.0</v>
      </c>
      <c r="V15" s="28">
        <v>1.0</v>
      </c>
      <c r="W15" s="28">
        <v>1.0</v>
      </c>
      <c r="X15" s="28">
        <v>1.0</v>
      </c>
      <c r="Y15" s="28">
        <v>1.0</v>
      </c>
      <c r="Z15" s="28">
        <v>1.0</v>
      </c>
      <c r="AA15" s="28">
        <v>1.0</v>
      </c>
      <c r="AB15" s="28">
        <v>1.0</v>
      </c>
      <c r="AC15" s="28">
        <v>1.0</v>
      </c>
      <c r="AD15" s="28">
        <v>1.0</v>
      </c>
      <c r="AE15" s="28">
        <v>1.0</v>
      </c>
      <c r="AF15" s="28">
        <v>1.0</v>
      </c>
      <c r="AG15" s="22">
        <v>1.0</v>
      </c>
      <c r="AH15" s="22">
        <v>1.0</v>
      </c>
      <c r="AI15" s="22">
        <v>1.0</v>
      </c>
      <c r="AJ15" s="22">
        <f t="shared" si="2"/>
        <v>31</v>
      </c>
      <c r="AK15" s="23">
        <f t="shared" si="6"/>
        <v>17050</v>
      </c>
      <c r="AL15" s="26">
        <f>SUM(AK13:AK15)</f>
        <v>44330</v>
      </c>
      <c r="AM15" s="4"/>
      <c r="AN15" s="1"/>
      <c r="AO15" s="1"/>
      <c r="AP15" s="1"/>
      <c r="AQ15" s="1"/>
      <c r="AR15" s="1"/>
      <c r="AS15" s="1"/>
      <c r="AT15" s="1"/>
      <c r="AU15" s="1"/>
    </row>
    <row r="16" ht="15.75" customHeight="1">
      <c r="A16" s="12" t="s">
        <v>16</v>
      </c>
      <c r="B16" s="12" t="s">
        <v>17</v>
      </c>
      <c r="C16" s="12" t="s">
        <v>10</v>
      </c>
      <c r="D16" s="13" t="s">
        <v>5</v>
      </c>
      <c r="E16" s="18">
        <v>0.0</v>
      </c>
      <c r="F16" s="18">
        <v>0.0</v>
      </c>
      <c r="G16" s="18">
        <v>0.0</v>
      </c>
      <c r="H16" s="18">
        <v>0.0</v>
      </c>
      <c r="I16" s="18">
        <v>0.0</v>
      </c>
      <c r="J16" s="18">
        <v>0.0</v>
      </c>
      <c r="K16" s="18">
        <v>0.0</v>
      </c>
      <c r="L16" s="18">
        <v>0.0</v>
      </c>
      <c r="M16" s="18">
        <v>0.0</v>
      </c>
      <c r="N16" s="18">
        <v>0.0</v>
      </c>
      <c r="O16" s="18">
        <v>0.0</v>
      </c>
      <c r="P16" s="18">
        <v>0.0</v>
      </c>
      <c r="Q16" s="18">
        <v>0.0</v>
      </c>
      <c r="R16" s="18">
        <v>0.0</v>
      </c>
      <c r="S16" s="18">
        <v>0.0</v>
      </c>
      <c r="T16" s="18">
        <v>0.0</v>
      </c>
      <c r="U16" s="18">
        <v>0.0</v>
      </c>
      <c r="V16" s="18">
        <v>0.0</v>
      </c>
      <c r="W16" s="18">
        <v>0.0</v>
      </c>
      <c r="X16" s="18">
        <v>0.0</v>
      </c>
      <c r="Y16" s="18">
        <v>0.0</v>
      </c>
      <c r="Z16" s="18">
        <v>0.0</v>
      </c>
      <c r="AA16" s="18">
        <v>0.0</v>
      </c>
      <c r="AB16" s="18">
        <v>0.0</v>
      </c>
      <c r="AC16" s="18">
        <v>0.0</v>
      </c>
      <c r="AD16" s="18">
        <v>0.0</v>
      </c>
      <c r="AE16" s="18">
        <v>0.0</v>
      </c>
      <c r="AF16" s="18">
        <v>0.0</v>
      </c>
      <c r="AG16" s="18">
        <v>0.0</v>
      </c>
      <c r="AH16" s="18">
        <v>0.0</v>
      </c>
      <c r="AI16" s="18">
        <v>0.0</v>
      </c>
      <c r="AJ16" s="13">
        <f t="shared" si="2"/>
        <v>0</v>
      </c>
      <c r="AK16" s="14">
        <f>330*AJ16</f>
        <v>0</v>
      </c>
      <c r="AL16" s="19"/>
      <c r="AM16" s="25"/>
      <c r="AN16" s="1"/>
      <c r="AO16" s="1"/>
      <c r="AP16" s="1"/>
      <c r="AQ16" s="1"/>
      <c r="AR16" s="1"/>
      <c r="AS16" s="1"/>
      <c r="AT16" s="1"/>
      <c r="AU16" s="1"/>
    </row>
    <row r="17" ht="15.75" customHeight="1">
      <c r="A17" s="16"/>
      <c r="B17" s="16"/>
      <c r="C17" s="16"/>
      <c r="D17" s="13" t="s">
        <v>6</v>
      </c>
      <c r="E17" s="18">
        <v>0.0</v>
      </c>
      <c r="F17" s="18">
        <v>0.0</v>
      </c>
      <c r="G17" s="18">
        <v>0.0</v>
      </c>
      <c r="H17" s="18">
        <v>0.0</v>
      </c>
      <c r="I17" s="18">
        <v>0.0</v>
      </c>
      <c r="J17" s="18">
        <v>0.0</v>
      </c>
      <c r="K17" s="18">
        <v>0.0</v>
      </c>
      <c r="L17" s="18">
        <v>0.0</v>
      </c>
      <c r="M17" s="18">
        <v>0.0</v>
      </c>
      <c r="N17" s="18">
        <v>0.0</v>
      </c>
      <c r="O17" s="18">
        <v>0.0</v>
      </c>
      <c r="P17" s="18">
        <v>0.0</v>
      </c>
      <c r="Q17" s="18">
        <v>0.0</v>
      </c>
      <c r="R17" s="18">
        <v>0.0</v>
      </c>
      <c r="S17" s="18">
        <v>0.0</v>
      </c>
      <c r="T17" s="18">
        <v>0.0</v>
      </c>
      <c r="U17" s="18">
        <v>0.0</v>
      </c>
      <c r="V17" s="18">
        <v>0.0</v>
      </c>
      <c r="W17" s="18">
        <v>0.0</v>
      </c>
      <c r="X17" s="18">
        <v>0.0</v>
      </c>
      <c r="Y17" s="18">
        <v>0.0</v>
      </c>
      <c r="Z17" s="18">
        <v>0.0</v>
      </c>
      <c r="AA17" s="18">
        <v>0.0</v>
      </c>
      <c r="AB17" s="18">
        <v>0.0</v>
      </c>
      <c r="AC17" s="18">
        <v>0.0</v>
      </c>
      <c r="AD17" s="18">
        <v>0.0</v>
      </c>
      <c r="AE17" s="18">
        <v>0.0</v>
      </c>
      <c r="AF17" s="18">
        <v>0.0</v>
      </c>
      <c r="AG17" s="18">
        <v>0.0</v>
      </c>
      <c r="AH17" s="18">
        <v>0.0</v>
      </c>
      <c r="AI17" s="18">
        <v>0.0</v>
      </c>
      <c r="AJ17" s="13">
        <f t="shared" si="2"/>
        <v>0</v>
      </c>
      <c r="AK17" s="14">
        <f t="shared" ref="AK17:AK18" si="7">550*AJ17</f>
        <v>0</v>
      </c>
      <c r="AL17" s="19"/>
      <c r="AN17" s="1"/>
      <c r="AO17" s="1"/>
      <c r="AP17" s="1"/>
      <c r="AQ17" s="1"/>
      <c r="AR17" s="1"/>
      <c r="AS17" s="1"/>
      <c r="AT17" s="1"/>
      <c r="AU17" s="1"/>
    </row>
    <row r="18" ht="15.75" customHeight="1">
      <c r="A18" s="10"/>
      <c r="B18" s="10"/>
      <c r="C18" s="10"/>
      <c r="D18" s="13" t="s">
        <v>7</v>
      </c>
      <c r="E18" s="18">
        <v>0.0</v>
      </c>
      <c r="F18" s="18">
        <v>0.0</v>
      </c>
      <c r="G18" s="18">
        <v>0.0</v>
      </c>
      <c r="H18" s="18">
        <v>0.0</v>
      </c>
      <c r="I18" s="18">
        <v>0.0</v>
      </c>
      <c r="J18" s="18">
        <v>0.0</v>
      </c>
      <c r="K18" s="18">
        <v>0.0</v>
      </c>
      <c r="L18" s="18">
        <v>0.0</v>
      </c>
      <c r="M18" s="18">
        <v>0.0</v>
      </c>
      <c r="N18" s="18">
        <v>0.0</v>
      </c>
      <c r="O18" s="18">
        <v>0.0</v>
      </c>
      <c r="P18" s="18">
        <v>0.0</v>
      </c>
      <c r="Q18" s="18">
        <v>0.0</v>
      </c>
      <c r="R18" s="18">
        <v>0.0</v>
      </c>
      <c r="S18" s="18">
        <v>0.0</v>
      </c>
      <c r="T18" s="18">
        <v>0.0</v>
      </c>
      <c r="U18" s="18">
        <v>0.0</v>
      </c>
      <c r="V18" s="18">
        <v>0.0</v>
      </c>
      <c r="W18" s="18">
        <v>0.0</v>
      </c>
      <c r="X18" s="18">
        <v>0.0</v>
      </c>
      <c r="Y18" s="18">
        <v>0.0</v>
      </c>
      <c r="Z18" s="18">
        <v>0.0</v>
      </c>
      <c r="AA18" s="18">
        <v>0.0</v>
      </c>
      <c r="AB18" s="18">
        <v>0.0</v>
      </c>
      <c r="AC18" s="18">
        <v>0.0</v>
      </c>
      <c r="AD18" s="18">
        <v>0.0</v>
      </c>
      <c r="AE18" s="18">
        <v>0.0</v>
      </c>
      <c r="AF18" s="18">
        <v>0.0</v>
      </c>
      <c r="AG18" s="18">
        <v>0.0</v>
      </c>
      <c r="AH18" s="18">
        <v>0.0</v>
      </c>
      <c r="AI18" s="18">
        <v>0.0</v>
      </c>
      <c r="AJ18" s="13">
        <f t="shared" si="2"/>
        <v>0</v>
      </c>
      <c r="AK18" s="14">
        <f t="shared" si="7"/>
        <v>0</v>
      </c>
      <c r="AL18" s="20">
        <f>SUM(AK16:AK18)</f>
        <v>0</v>
      </c>
      <c r="AN18" s="1"/>
      <c r="AO18" s="1"/>
      <c r="AP18" s="1"/>
      <c r="AQ18" s="1"/>
      <c r="AR18" s="1"/>
      <c r="AS18" s="1"/>
      <c r="AT18" s="1"/>
      <c r="AU18" s="1"/>
    </row>
    <row r="19" ht="15.75" customHeight="1">
      <c r="A19" s="29" t="s">
        <v>18</v>
      </c>
      <c r="B19" s="29" t="s">
        <v>19</v>
      </c>
      <c r="C19" s="29" t="s">
        <v>20</v>
      </c>
      <c r="D19" s="28" t="s">
        <v>5</v>
      </c>
      <c r="E19" s="22">
        <v>0.0</v>
      </c>
      <c r="F19" s="22">
        <v>0.0</v>
      </c>
      <c r="G19" s="22">
        <v>0.0</v>
      </c>
      <c r="H19" s="22">
        <v>0.0</v>
      </c>
      <c r="I19" s="22">
        <v>0.0</v>
      </c>
      <c r="J19" s="22">
        <v>0.0</v>
      </c>
      <c r="K19" s="22">
        <v>0.0</v>
      </c>
      <c r="L19" s="22">
        <v>0.0</v>
      </c>
      <c r="M19" s="22">
        <v>0.0</v>
      </c>
      <c r="N19" s="22">
        <v>0.0</v>
      </c>
      <c r="O19" s="22">
        <v>0.0</v>
      </c>
      <c r="P19" s="22">
        <v>0.0</v>
      </c>
      <c r="Q19" s="22">
        <v>0.0</v>
      </c>
      <c r="R19" s="22">
        <v>0.0</v>
      </c>
      <c r="S19" s="22">
        <v>0.0</v>
      </c>
      <c r="T19" s="22">
        <v>0.0</v>
      </c>
      <c r="U19" s="22">
        <v>0.0</v>
      </c>
      <c r="V19" s="22">
        <v>0.0</v>
      </c>
      <c r="W19" s="22">
        <v>0.0</v>
      </c>
      <c r="X19" s="22">
        <v>0.0</v>
      </c>
      <c r="Y19" s="22">
        <v>0.0</v>
      </c>
      <c r="Z19" s="22">
        <v>0.0</v>
      </c>
      <c r="AA19" s="22">
        <v>0.0</v>
      </c>
      <c r="AB19" s="22">
        <v>0.0</v>
      </c>
      <c r="AC19" s="22">
        <v>0.0</v>
      </c>
      <c r="AD19" s="22">
        <v>0.0</v>
      </c>
      <c r="AE19" s="22">
        <v>0.0</v>
      </c>
      <c r="AF19" s="22">
        <v>0.0</v>
      </c>
      <c r="AG19" s="22">
        <v>0.0</v>
      </c>
      <c r="AH19" s="22">
        <v>0.0</v>
      </c>
      <c r="AI19" s="22">
        <v>0.0</v>
      </c>
      <c r="AJ19" s="28">
        <f t="shared" si="2"/>
        <v>0</v>
      </c>
      <c r="AK19" s="23">
        <f>330*AJ19</f>
        <v>0</v>
      </c>
      <c r="AL19" s="24"/>
      <c r="AM19" s="25"/>
      <c r="AN19" s="1"/>
      <c r="AO19" s="1"/>
      <c r="AP19" s="1"/>
      <c r="AQ19" s="1"/>
      <c r="AR19" s="1"/>
      <c r="AS19" s="1"/>
      <c r="AT19" s="1"/>
      <c r="AU19" s="1"/>
    </row>
    <row r="20" ht="15.75" customHeight="1">
      <c r="A20" s="16"/>
      <c r="B20" s="16"/>
      <c r="C20" s="16"/>
      <c r="D20" s="28" t="s">
        <v>6</v>
      </c>
      <c r="E20" s="22">
        <v>0.0</v>
      </c>
      <c r="F20" s="22">
        <v>0.0</v>
      </c>
      <c r="G20" s="22">
        <v>0.0</v>
      </c>
      <c r="H20" s="22">
        <v>0.0</v>
      </c>
      <c r="I20" s="22">
        <v>0.0</v>
      </c>
      <c r="J20" s="22">
        <v>0.0</v>
      </c>
      <c r="K20" s="22">
        <v>0.0</v>
      </c>
      <c r="L20" s="22">
        <v>0.0</v>
      </c>
      <c r="M20" s="22">
        <v>0.0</v>
      </c>
      <c r="N20" s="22">
        <v>0.0</v>
      </c>
      <c r="O20" s="22">
        <v>0.0</v>
      </c>
      <c r="P20" s="22">
        <v>0.0</v>
      </c>
      <c r="Q20" s="22">
        <v>0.0</v>
      </c>
      <c r="R20" s="22">
        <v>0.0</v>
      </c>
      <c r="S20" s="22">
        <v>0.0</v>
      </c>
      <c r="T20" s="22">
        <v>0.0</v>
      </c>
      <c r="U20" s="22">
        <v>0.0</v>
      </c>
      <c r="V20" s="22">
        <v>0.0</v>
      </c>
      <c r="W20" s="22">
        <v>0.0</v>
      </c>
      <c r="X20" s="22">
        <v>0.0</v>
      </c>
      <c r="Y20" s="22">
        <v>0.0</v>
      </c>
      <c r="Z20" s="22">
        <v>0.0</v>
      </c>
      <c r="AA20" s="22">
        <v>0.0</v>
      </c>
      <c r="AB20" s="22">
        <v>0.0</v>
      </c>
      <c r="AC20" s="22">
        <v>0.0</v>
      </c>
      <c r="AD20" s="22">
        <v>0.0</v>
      </c>
      <c r="AE20" s="22">
        <v>0.0</v>
      </c>
      <c r="AF20" s="22">
        <v>0.0</v>
      </c>
      <c r="AG20" s="22">
        <v>0.0</v>
      </c>
      <c r="AH20" s="22">
        <v>0.0</v>
      </c>
      <c r="AI20" s="22">
        <v>0.0</v>
      </c>
      <c r="AJ20" s="28">
        <f t="shared" si="2"/>
        <v>0</v>
      </c>
      <c r="AK20" s="23">
        <f t="shared" ref="AK20:AK21" si="8">550*AJ20</f>
        <v>0</v>
      </c>
      <c r="AL20" s="24"/>
      <c r="AN20" s="1"/>
      <c r="AO20" s="1"/>
      <c r="AP20" s="1"/>
      <c r="AQ20" s="1"/>
      <c r="AR20" s="1"/>
      <c r="AS20" s="1"/>
      <c r="AT20" s="1"/>
      <c r="AU20" s="1"/>
    </row>
    <row r="21" ht="15.75" customHeight="1">
      <c r="A21" s="10"/>
      <c r="B21" s="10"/>
      <c r="C21" s="10"/>
      <c r="D21" s="28" t="s">
        <v>7</v>
      </c>
      <c r="E21" s="22">
        <v>1.0</v>
      </c>
      <c r="F21" s="22">
        <v>1.0</v>
      </c>
      <c r="G21" s="22">
        <v>1.0</v>
      </c>
      <c r="H21" s="22">
        <v>1.0</v>
      </c>
      <c r="I21" s="22">
        <v>1.0</v>
      </c>
      <c r="J21" s="22">
        <v>1.0</v>
      </c>
      <c r="K21" s="22">
        <v>1.0</v>
      </c>
      <c r="L21" s="22">
        <v>1.0</v>
      </c>
      <c r="M21" s="22">
        <v>1.0</v>
      </c>
      <c r="N21" s="22">
        <v>1.0</v>
      </c>
      <c r="O21" s="22">
        <v>1.0</v>
      </c>
      <c r="P21" s="22">
        <v>1.0</v>
      </c>
      <c r="Q21" s="22">
        <v>1.0</v>
      </c>
      <c r="R21" s="22">
        <v>1.0</v>
      </c>
      <c r="S21" s="22">
        <v>1.0</v>
      </c>
      <c r="T21" s="22">
        <v>1.0</v>
      </c>
      <c r="U21" s="22">
        <v>1.0</v>
      </c>
      <c r="V21" s="22">
        <v>1.0</v>
      </c>
      <c r="W21" s="22">
        <v>1.0</v>
      </c>
      <c r="X21" s="22">
        <v>1.0</v>
      </c>
      <c r="Y21" s="22">
        <v>1.0</v>
      </c>
      <c r="Z21" s="22">
        <v>1.0</v>
      </c>
      <c r="AA21" s="22">
        <v>1.0</v>
      </c>
      <c r="AB21" s="22">
        <v>1.0</v>
      </c>
      <c r="AC21" s="22">
        <v>1.0</v>
      </c>
      <c r="AD21" s="22">
        <v>1.0</v>
      </c>
      <c r="AE21" s="22">
        <v>1.0</v>
      </c>
      <c r="AF21" s="22">
        <v>1.0</v>
      </c>
      <c r="AG21" s="22">
        <v>1.0</v>
      </c>
      <c r="AH21" s="22">
        <v>1.0</v>
      </c>
      <c r="AI21" s="22">
        <v>1.0</v>
      </c>
      <c r="AJ21" s="28">
        <f t="shared" si="2"/>
        <v>31</v>
      </c>
      <c r="AK21" s="23">
        <f t="shared" si="8"/>
        <v>17050</v>
      </c>
      <c r="AL21" s="26">
        <f>SUM(AK19:AK21)</f>
        <v>17050</v>
      </c>
      <c r="AN21" s="1"/>
      <c r="AO21" s="1"/>
      <c r="AP21" s="1"/>
      <c r="AQ21" s="1"/>
      <c r="AR21" s="1"/>
      <c r="AS21" s="1"/>
      <c r="AT21" s="1"/>
      <c r="AU21" s="1"/>
    </row>
    <row r="22" ht="15.75" customHeight="1">
      <c r="A22" s="12" t="s">
        <v>21</v>
      </c>
      <c r="B22" s="12" t="s">
        <v>22</v>
      </c>
      <c r="C22" s="12" t="s">
        <v>23</v>
      </c>
      <c r="D22" s="14" t="s">
        <v>5</v>
      </c>
      <c r="E22" s="13">
        <v>1.0</v>
      </c>
      <c r="F22" s="13">
        <v>1.0</v>
      </c>
      <c r="G22" s="13">
        <v>1.0</v>
      </c>
      <c r="H22" s="13">
        <v>1.0</v>
      </c>
      <c r="I22" s="13">
        <v>1.0</v>
      </c>
      <c r="J22" s="13">
        <v>1.0</v>
      </c>
      <c r="K22" s="13">
        <v>1.0</v>
      </c>
      <c r="L22" s="13">
        <v>1.0</v>
      </c>
      <c r="M22" s="13">
        <v>1.0</v>
      </c>
      <c r="N22" s="13">
        <v>1.0</v>
      </c>
      <c r="O22" s="13">
        <v>1.0</v>
      </c>
      <c r="P22" s="13">
        <v>1.0</v>
      </c>
      <c r="Q22" s="13">
        <v>1.0</v>
      </c>
      <c r="R22" s="13">
        <v>1.0</v>
      </c>
      <c r="S22" s="13">
        <v>1.0</v>
      </c>
      <c r="T22" s="13">
        <v>1.0</v>
      </c>
      <c r="U22" s="13">
        <v>1.0</v>
      </c>
      <c r="V22" s="13">
        <v>1.0</v>
      </c>
      <c r="W22" s="13">
        <v>1.0</v>
      </c>
      <c r="X22" s="13">
        <v>1.0</v>
      </c>
      <c r="Y22" s="13">
        <v>1.0</v>
      </c>
      <c r="Z22" s="13">
        <v>1.0</v>
      </c>
      <c r="AA22" s="13">
        <v>1.0</v>
      </c>
      <c r="AB22" s="13">
        <v>1.0</v>
      </c>
      <c r="AC22" s="13">
        <v>1.0</v>
      </c>
      <c r="AD22" s="13">
        <v>1.0</v>
      </c>
      <c r="AE22" s="13">
        <v>1.0</v>
      </c>
      <c r="AF22" s="13">
        <v>1.0</v>
      </c>
      <c r="AG22" s="13">
        <v>1.0</v>
      </c>
      <c r="AH22" s="13">
        <v>1.0</v>
      </c>
      <c r="AI22" s="13">
        <v>1.0</v>
      </c>
      <c r="AJ22" s="14">
        <f t="shared" si="2"/>
        <v>31</v>
      </c>
      <c r="AK22" s="14">
        <f>330*AJ22</f>
        <v>10230</v>
      </c>
      <c r="AL22" s="19"/>
      <c r="AM22" s="4"/>
      <c r="AN22" s="1"/>
      <c r="AO22" s="1"/>
      <c r="AP22" s="1"/>
      <c r="AQ22" s="1"/>
      <c r="AR22" s="1"/>
      <c r="AS22" s="1"/>
      <c r="AT22" s="1"/>
      <c r="AU22" s="1"/>
    </row>
    <row r="23" ht="15.75" customHeight="1">
      <c r="A23" s="16"/>
      <c r="B23" s="16"/>
      <c r="C23" s="16"/>
      <c r="D23" s="14" t="s">
        <v>6</v>
      </c>
      <c r="E23" s="13">
        <v>1.0</v>
      </c>
      <c r="F23" s="13">
        <v>0.0</v>
      </c>
      <c r="G23" s="13">
        <v>1.0</v>
      </c>
      <c r="H23" s="13">
        <v>1.0</v>
      </c>
      <c r="I23" s="13">
        <v>1.0</v>
      </c>
      <c r="J23" s="13">
        <v>1.0</v>
      </c>
      <c r="K23" s="13">
        <v>1.0</v>
      </c>
      <c r="L23" s="13">
        <v>1.0</v>
      </c>
      <c r="M23" s="13">
        <v>0.0</v>
      </c>
      <c r="N23" s="13">
        <v>1.0</v>
      </c>
      <c r="O23" s="13">
        <v>1.0</v>
      </c>
      <c r="P23" s="13">
        <v>1.0</v>
      </c>
      <c r="Q23" s="13">
        <v>1.0</v>
      </c>
      <c r="R23" s="13">
        <v>1.0</v>
      </c>
      <c r="S23" s="13">
        <v>1.0</v>
      </c>
      <c r="T23" s="13">
        <v>0.0</v>
      </c>
      <c r="U23" s="13">
        <v>1.0</v>
      </c>
      <c r="V23" s="13">
        <v>1.0</v>
      </c>
      <c r="W23" s="13">
        <v>1.0</v>
      </c>
      <c r="X23" s="13">
        <v>1.0</v>
      </c>
      <c r="Y23" s="13">
        <v>1.0</v>
      </c>
      <c r="Z23" s="13">
        <v>1.0</v>
      </c>
      <c r="AA23" s="13">
        <v>0.0</v>
      </c>
      <c r="AB23" s="13">
        <v>1.0</v>
      </c>
      <c r="AC23" s="13">
        <v>1.0</v>
      </c>
      <c r="AD23" s="13">
        <v>1.0</v>
      </c>
      <c r="AE23" s="13">
        <v>1.0</v>
      </c>
      <c r="AF23" s="13">
        <v>1.0</v>
      </c>
      <c r="AG23" s="13">
        <v>1.0</v>
      </c>
      <c r="AH23" s="13">
        <v>0.0</v>
      </c>
      <c r="AI23" s="13">
        <v>1.0</v>
      </c>
      <c r="AJ23" s="14">
        <f t="shared" si="2"/>
        <v>26</v>
      </c>
      <c r="AK23" s="14">
        <f t="shared" ref="AK23:AK24" si="9">550*AJ23</f>
        <v>14300</v>
      </c>
      <c r="AL23" s="19"/>
      <c r="AM23" s="4"/>
      <c r="AN23" s="1"/>
      <c r="AO23" s="1"/>
      <c r="AP23" s="1"/>
      <c r="AQ23" s="1"/>
      <c r="AR23" s="1"/>
      <c r="AS23" s="1"/>
      <c r="AT23" s="1"/>
      <c r="AU23" s="1"/>
    </row>
    <row r="24" ht="15.75" customHeight="1">
      <c r="A24" s="10"/>
      <c r="B24" s="10"/>
      <c r="C24" s="10"/>
      <c r="D24" s="14" t="s">
        <v>7</v>
      </c>
      <c r="E24" s="13">
        <v>1.0</v>
      </c>
      <c r="F24" s="13">
        <v>1.0</v>
      </c>
      <c r="G24" s="13">
        <v>1.0</v>
      </c>
      <c r="H24" s="13">
        <v>1.0</v>
      </c>
      <c r="I24" s="13">
        <v>1.0</v>
      </c>
      <c r="J24" s="13">
        <v>1.0</v>
      </c>
      <c r="K24" s="13">
        <v>1.0</v>
      </c>
      <c r="L24" s="13">
        <v>1.0</v>
      </c>
      <c r="M24" s="13">
        <v>1.0</v>
      </c>
      <c r="N24" s="13">
        <v>1.0</v>
      </c>
      <c r="O24" s="13">
        <v>1.0</v>
      </c>
      <c r="P24" s="13">
        <v>1.0</v>
      </c>
      <c r="Q24" s="13">
        <v>1.0</v>
      </c>
      <c r="R24" s="13">
        <v>1.0</v>
      </c>
      <c r="S24" s="13">
        <v>1.0</v>
      </c>
      <c r="T24" s="13">
        <v>1.0</v>
      </c>
      <c r="U24" s="13">
        <v>1.0</v>
      </c>
      <c r="V24" s="13">
        <v>1.0</v>
      </c>
      <c r="W24" s="13">
        <v>1.0</v>
      </c>
      <c r="X24" s="13">
        <v>1.0</v>
      </c>
      <c r="Y24" s="13">
        <v>1.0</v>
      </c>
      <c r="Z24" s="13">
        <v>1.0</v>
      </c>
      <c r="AA24" s="13">
        <v>1.0</v>
      </c>
      <c r="AB24" s="13">
        <v>1.0</v>
      </c>
      <c r="AC24" s="13">
        <v>1.0</v>
      </c>
      <c r="AD24" s="13">
        <v>1.0</v>
      </c>
      <c r="AE24" s="13">
        <v>1.0</v>
      </c>
      <c r="AF24" s="13">
        <v>1.0</v>
      </c>
      <c r="AG24" s="13">
        <v>1.0</v>
      </c>
      <c r="AH24" s="13">
        <v>1.0</v>
      </c>
      <c r="AI24" s="13">
        <v>1.0</v>
      </c>
      <c r="AJ24" s="14">
        <f t="shared" si="2"/>
        <v>31</v>
      </c>
      <c r="AK24" s="14">
        <f t="shared" si="9"/>
        <v>17050</v>
      </c>
      <c r="AL24" s="20">
        <f>SUM(AK22:AK24)</f>
        <v>41580</v>
      </c>
      <c r="AM24" s="4"/>
      <c r="AN24" s="1"/>
      <c r="AO24" s="1"/>
      <c r="AP24" s="1"/>
      <c r="AQ24" s="1"/>
      <c r="AR24" s="1"/>
      <c r="AS24" s="1"/>
      <c r="AT24" s="1"/>
      <c r="AU24" s="1"/>
    </row>
    <row r="25" ht="15.75" customHeight="1">
      <c r="A25" s="12" t="s">
        <v>24</v>
      </c>
      <c r="B25" s="12" t="s">
        <v>25</v>
      </c>
      <c r="C25" s="12" t="s">
        <v>38</v>
      </c>
      <c r="D25" s="13" t="s">
        <v>5</v>
      </c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>
        <v>0.0</v>
      </c>
      <c r="AG25" s="13">
        <v>1.0</v>
      </c>
      <c r="AH25" s="13">
        <v>1.0</v>
      </c>
      <c r="AI25" s="13">
        <v>1.0</v>
      </c>
      <c r="AJ25" s="13">
        <f t="shared" si="2"/>
        <v>3</v>
      </c>
      <c r="AK25" s="23">
        <f>330*AJ25</f>
        <v>990</v>
      </c>
      <c r="AL25" s="24"/>
      <c r="AM25" s="4"/>
      <c r="AN25" s="1"/>
      <c r="AO25" s="1"/>
      <c r="AP25" s="1"/>
      <c r="AQ25" s="1"/>
      <c r="AR25" s="1"/>
      <c r="AS25" s="1"/>
      <c r="AT25" s="1"/>
      <c r="AU25" s="1"/>
    </row>
    <row r="26" ht="15.75" customHeight="1">
      <c r="A26" s="16"/>
      <c r="B26" s="16"/>
      <c r="C26" s="16"/>
      <c r="D26" s="13" t="s">
        <v>6</v>
      </c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>
        <v>1.0</v>
      </c>
      <c r="AG26" s="13">
        <v>1.0</v>
      </c>
      <c r="AH26" s="13">
        <v>1.0</v>
      </c>
      <c r="AI26" s="13">
        <v>1.0</v>
      </c>
      <c r="AJ26" s="13">
        <f t="shared" si="2"/>
        <v>4</v>
      </c>
      <c r="AK26" s="23">
        <f t="shared" ref="AK26:AK27" si="10">550*AJ26</f>
        <v>2200</v>
      </c>
      <c r="AL26" s="24"/>
      <c r="AM26" s="4"/>
      <c r="AN26" s="1"/>
      <c r="AO26" s="1"/>
      <c r="AP26" s="1"/>
      <c r="AQ26" s="1"/>
      <c r="AR26" s="1"/>
      <c r="AS26" s="1"/>
      <c r="AT26" s="1"/>
      <c r="AU26" s="1"/>
    </row>
    <row r="27" ht="15.75" customHeight="1">
      <c r="A27" s="10"/>
      <c r="B27" s="10"/>
      <c r="C27" s="10"/>
      <c r="D27" s="13" t="s">
        <v>7</v>
      </c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>
        <v>1.0</v>
      </c>
      <c r="AG27" s="13">
        <v>1.0</v>
      </c>
      <c r="AH27" s="13">
        <v>1.0</v>
      </c>
      <c r="AI27" s="13">
        <v>1.0</v>
      </c>
      <c r="AJ27" s="13">
        <f t="shared" si="2"/>
        <v>4</v>
      </c>
      <c r="AK27" s="23">
        <f t="shared" si="10"/>
        <v>2200</v>
      </c>
      <c r="AL27" s="26">
        <f>SUM(AK25:AK27)</f>
        <v>5390</v>
      </c>
      <c r="AM27" s="4"/>
      <c r="AN27" s="1"/>
      <c r="AO27" s="1"/>
      <c r="AP27" s="1"/>
      <c r="AQ27" s="1"/>
      <c r="AR27" s="1"/>
      <c r="AS27" s="1"/>
      <c r="AT27" s="1"/>
      <c r="AU27" s="1"/>
    </row>
    <row r="28" ht="15.75" customHeight="1">
      <c r="A28" s="12" t="s">
        <v>27</v>
      </c>
      <c r="B28" s="12" t="s">
        <v>28</v>
      </c>
      <c r="C28" s="12" t="s">
        <v>29</v>
      </c>
      <c r="D28" s="13" t="s">
        <v>5</v>
      </c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>
        <v>0.0</v>
      </c>
      <c r="AG28" s="13">
        <v>1.0</v>
      </c>
      <c r="AH28" s="13">
        <v>1.0</v>
      </c>
      <c r="AI28" s="13">
        <v>1.0</v>
      </c>
      <c r="AJ28" s="13">
        <f t="shared" si="2"/>
        <v>3</v>
      </c>
      <c r="AK28" s="14">
        <f>330*AJ28</f>
        <v>990</v>
      </c>
      <c r="AL28" s="19"/>
      <c r="AM28" s="4"/>
      <c r="AN28" s="1"/>
      <c r="AO28" s="1"/>
      <c r="AP28" s="1"/>
      <c r="AQ28" s="1"/>
      <c r="AR28" s="1"/>
      <c r="AS28" s="1"/>
      <c r="AT28" s="1"/>
      <c r="AU28" s="1"/>
    </row>
    <row r="29" ht="15.75" customHeight="1">
      <c r="A29" s="16"/>
      <c r="B29" s="16"/>
      <c r="C29" s="16"/>
      <c r="D29" s="13" t="s">
        <v>6</v>
      </c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32">
        <v>0.0</v>
      </c>
      <c r="AG29" s="13">
        <v>1.0</v>
      </c>
      <c r="AH29" s="13">
        <v>1.0</v>
      </c>
      <c r="AI29" s="13">
        <v>1.0</v>
      </c>
      <c r="AJ29" s="13">
        <f t="shared" si="2"/>
        <v>3</v>
      </c>
      <c r="AK29" s="14">
        <f t="shared" ref="AK29:AK30" si="11">550*AJ29</f>
        <v>1650</v>
      </c>
      <c r="AL29" s="19"/>
      <c r="AM29" s="4"/>
      <c r="AN29" s="1"/>
      <c r="AO29" s="1"/>
      <c r="AP29" s="1"/>
      <c r="AQ29" s="1"/>
      <c r="AR29" s="1"/>
      <c r="AS29" s="1"/>
      <c r="AT29" s="1"/>
      <c r="AU29" s="1"/>
    </row>
    <row r="30" ht="15.75" customHeight="1">
      <c r="A30" s="10"/>
      <c r="B30" s="10"/>
      <c r="C30" s="10"/>
      <c r="D30" s="13" t="s">
        <v>7</v>
      </c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>
        <v>1.0</v>
      </c>
      <c r="AG30" s="13">
        <v>1.0</v>
      </c>
      <c r="AH30" s="13">
        <v>1.0</v>
      </c>
      <c r="AI30" s="13">
        <v>1.0</v>
      </c>
      <c r="AJ30" s="13">
        <f t="shared" si="2"/>
        <v>4</v>
      </c>
      <c r="AK30" s="14">
        <f t="shared" si="11"/>
        <v>2200</v>
      </c>
      <c r="AL30" s="20">
        <f>SUM(AK28:AK30)</f>
        <v>4840</v>
      </c>
      <c r="AM30" s="4"/>
      <c r="AN30" s="1"/>
      <c r="AO30" s="1"/>
      <c r="AP30" s="1"/>
      <c r="AQ30" s="1"/>
      <c r="AR30" s="1"/>
      <c r="AS30" s="1"/>
      <c r="AT30" s="1"/>
      <c r="AU30" s="1"/>
    </row>
    <row r="31" ht="15.75" customHeight="1">
      <c r="A31" s="12"/>
      <c r="B31" s="12"/>
      <c r="C31" s="12"/>
      <c r="D31" s="13" t="s">
        <v>5</v>
      </c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>
        <f t="shared" si="2"/>
        <v>0</v>
      </c>
      <c r="AK31" s="23">
        <f>330*AJ31</f>
        <v>0</v>
      </c>
      <c r="AL31" s="24"/>
      <c r="AM31" s="4"/>
      <c r="AN31" s="1"/>
      <c r="AO31" s="1"/>
      <c r="AP31" s="1"/>
      <c r="AQ31" s="1"/>
      <c r="AR31" s="1"/>
      <c r="AS31" s="1"/>
      <c r="AT31" s="1"/>
      <c r="AU31" s="1"/>
    </row>
    <row r="32" ht="15.75" customHeight="1">
      <c r="A32" s="16"/>
      <c r="B32" s="16"/>
      <c r="C32" s="16"/>
      <c r="D32" s="13" t="s">
        <v>6</v>
      </c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>
        <f t="shared" si="2"/>
        <v>0</v>
      </c>
      <c r="AK32" s="23">
        <f t="shared" ref="AK32:AK33" si="12">550*AJ32</f>
        <v>0</v>
      </c>
      <c r="AL32" s="24"/>
      <c r="AM32" s="4"/>
      <c r="AN32" s="1"/>
      <c r="AO32" s="1"/>
      <c r="AP32" s="1"/>
      <c r="AQ32" s="1"/>
      <c r="AR32" s="1"/>
      <c r="AS32" s="1"/>
      <c r="AT32" s="1"/>
      <c r="AU32" s="1"/>
    </row>
    <row r="33" ht="15.75" customHeight="1">
      <c r="A33" s="10"/>
      <c r="B33" s="10"/>
      <c r="C33" s="10"/>
      <c r="D33" s="13" t="s">
        <v>7</v>
      </c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>
        <f t="shared" si="2"/>
        <v>0</v>
      </c>
      <c r="AK33" s="23">
        <f t="shared" si="12"/>
        <v>0</v>
      </c>
      <c r="AL33" s="26">
        <f>SUM(AK31:AK33)</f>
        <v>0</v>
      </c>
      <c r="AM33" s="4"/>
      <c r="AN33" s="1"/>
      <c r="AO33" s="1"/>
      <c r="AP33" s="1"/>
      <c r="AQ33" s="1"/>
      <c r="AR33" s="1"/>
      <c r="AS33" s="1"/>
      <c r="AT33" s="1"/>
      <c r="AU33" s="1"/>
    </row>
    <row r="34" ht="15.75" customHeight="1">
      <c r="A34" s="12"/>
      <c r="B34" s="12"/>
      <c r="C34" s="12"/>
      <c r="D34" s="13" t="s">
        <v>5</v>
      </c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>
        <f t="shared" si="2"/>
        <v>0</v>
      </c>
      <c r="AK34" s="1"/>
      <c r="AL34" s="1"/>
      <c r="AM34" s="4"/>
      <c r="AN34" s="1"/>
      <c r="AO34" s="1"/>
      <c r="AP34" s="1"/>
      <c r="AQ34" s="1"/>
      <c r="AR34" s="1"/>
      <c r="AS34" s="1"/>
      <c r="AT34" s="1"/>
      <c r="AU34" s="1"/>
    </row>
    <row r="35" ht="15.75" customHeight="1">
      <c r="A35" s="16"/>
      <c r="B35" s="16"/>
      <c r="C35" s="16"/>
      <c r="D35" s="13" t="s">
        <v>6</v>
      </c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>
        <f t="shared" si="2"/>
        <v>0</v>
      </c>
      <c r="AK35" s="1"/>
      <c r="AL35" s="1"/>
      <c r="AM35" s="4"/>
      <c r="AN35" s="1"/>
      <c r="AO35" s="1"/>
      <c r="AP35" s="1"/>
      <c r="AQ35" s="1"/>
      <c r="AR35" s="1"/>
      <c r="AS35" s="1"/>
      <c r="AT35" s="1"/>
      <c r="AU35" s="1"/>
    </row>
    <row r="36" ht="15.75" customHeight="1">
      <c r="A36" s="10"/>
      <c r="B36" s="10"/>
      <c r="C36" s="10"/>
      <c r="D36" s="13" t="s">
        <v>7</v>
      </c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>
        <f t="shared" si="2"/>
        <v>0</v>
      </c>
      <c r="AK36" s="1"/>
      <c r="AL36" s="1"/>
      <c r="AM36" s="4"/>
      <c r="AN36" s="1"/>
      <c r="AO36" s="1"/>
      <c r="AP36" s="1"/>
      <c r="AQ36" s="1"/>
      <c r="AR36" s="1"/>
      <c r="AS36" s="1"/>
      <c r="AT36" s="1"/>
      <c r="AU36" s="1"/>
    </row>
    <row r="37" ht="15.75" customHeight="1">
      <c r="A37" s="12"/>
      <c r="B37" s="12"/>
      <c r="C37" s="12"/>
      <c r="D37" s="13" t="s">
        <v>5</v>
      </c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>
        <f t="shared" si="2"/>
        <v>0</v>
      </c>
      <c r="AK37" s="1"/>
      <c r="AL37" s="1"/>
      <c r="AM37" s="4"/>
      <c r="AN37" s="1"/>
      <c r="AO37" s="1"/>
      <c r="AP37" s="1"/>
      <c r="AQ37" s="1"/>
      <c r="AR37" s="1"/>
      <c r="AS37" s="1"/>
      <c r="AT37" s="1"/>
      <c r="AU37" s="1"/>
    </row>
    <row r="38" ht="15.75" customHeight="1">
      <c r="A38" s="16"/>
      <c r="B38" s="16"/>
      <c r="C38" s="16"/>
      <c r="D38" s="13" t="s">
        <v>6</v>
      </c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>
        <f t="shared" si="2"/>
        <v>0</v>
      </c>
      <c r="AK38" s="1"/>
      <c r="AL38" s="1"/>
      <c r="AM38" s="4"/>
      <c r="AN38" s="1"/>
      <c r="AO38" s="1"/>
      <c r="AP38" s="1"/>
      <c r="AQ38" s="1"/>
      <c r="AR38" s="1"/>
      <c r="AS38" s="1"/>
      <c r="AT38" s="1"/>
      <c r="AU38" s="1"/>
    </row>
    <row r="39" ht="15.75" customHeight="1">
      <c r="A39" s="10"/>
      <c r="B39" s="10"/>
      <c r="C39" s="10"/>
      <c r="D39" s="13" t="s">
        <v>7</v>
      </c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>
        <f t="shared" si="2"/>
        <v>0</v>
      </c>
      <c r="AK39" s="1"/>
      <c r="AL39" s="1"/>
      <c r="AM39" s="4"/>
      <c r="AN39" s="1"/>
      <c r="AO39" s="1"/>
      <c r="AP39" s="1"/>
      <c r="AQ39" s="1"/>
      <c r="AR39" s="1"/>
      <c r="AS39" s="1"/>
      <c r="AT39" s="1"/>
      <c r="AU39" s="1"/>
    </row>
    <row r="40" ht="15.75" customHeight="1">
      <c r="A40" s="12"/>
      <c r="B40" s="12"/>
      <c r="C40" s="12"/>
      <c r="D40" s="13" t="s">
        <v>5</v>
      </c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>
        <f t="shared" si="2"/>
        <v>0</v>
      </c>
      <c r="AK40" s="1"/>
      <c r="AL40" s="1"/>
      <c r="AM40" s="4"/>
      <c r="AN40" s="1"/>
      <c r="AO40" s="1"/>
      <c r="AP40" s="1"/>
      <c r="AQ40" s="1"/>
      <c r="AR40" s="1"/>
      <c r="AS40" s="1"/>
      <c r="AT40" s="1"/>
      <c r="AU40" s="1"/>
    </row>
    <row r="41" ht="15.75" customHeight="1">
      <c r="A41" s="16"/>
      <c r="B41" s="16"/>
      <c r="C41" s="16"/>
      <c r="D41" s="13" t="s">
        <v>6</v>
      </c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>
        <f t="shared" si="2"/>
        <v>0</v>
      </c>
      <c r="AK41" s="1"/>
      <c r="AL41" s="1"/>
      <c r="AM41" s="4"/>
      <c r="AN41" s="1"/>
      <c r="AO41" s="1"/>
      <c r="AP41" s="1"/>
      <c r="AQ41" s="1"/>
      <c r="AR41" s="1"/>
      <c r="AS41" s="1"/>
      <c r="AT41" s="1"/>
      <c r="AU41" s="1"/>
    </row>
    <row r="42" ht="15.75" customHeight="1">
      <c r="A42" s="10"/>
      <c r="B42" s="10"/>
      <c r="C42" s="10"/>
      <c r="D42" s="13" t="s">
        <v>7</v>
      </c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>
        <f t="shared" si="2"/>
        <v>0</v>
      </c>
      <c r="AK42" s="1"/>
      <c r="AL42" s="1"/>
      <c r="AM42" s="4"/>
      <c r="AN42" s="1"/>
      <c r="AO42" s="1"/>
      <c r="AP42" s="1"/>
      <c r="AQ42" s="1"/>
      <c r="AR42" s="1"/>
      <c r="AS42" s="1"/>
      <c r="AT42" s="1"/>
      <c r="AU42" s="1"/>
    </row>
    <row r="43" ht="15.75" customHeight="1">
      <c r="A43" s="12"/>
      <c r="B43" s="12"/>
      <c r="C43" s="12"/>
      <c r="D43" s="13" t="s">
        <v>5</v>
      </c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>
        <f t="shared" si="2"/>
        <v>0</v>
      </c>
      <c r="AK43" s="1"/>
      <c r="AL43" s="1"/>
      <c r="AM43" s="4"/>
      <c r="AN43" s="1"/>
      <c r="AO43" s="1"/>
      <c r="AP43" s="1"/>
      <c r="AQ43" s="1"/>
      <c r="AR43" s="1"/>
      <c r="AS43" s="1"/>
      <c r="AT43" s="1"/>
      <c r="AU43" s="1"/>
    </row>
    <row r="44" ht="15.75" customHeight="1">
      <c r="A44" s="16"/>
      <c r="B44" s="16"/>
      <c r="C44" s="16"/>
      <c r="D44" s="13" t="s">
        <v>6</v>
      </c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>
        <f t="shared" si="2"/>
        <v>0</v>
      </c>
      <c r="AK44" s="1"/>
      <c r="AL44" s="1"/>
      <c r="AM44" s="4"/>
      <c r="AN44" s="1"/>
      <c r="AO44" s="1"/>
      <c r="AP44" s="1"/>
      <c r="AQ44" s="1"/>
      <c r="AR44" s="1"/>
      <c r="AS44" s="1"/>
      <c r="AT44" s="1"/>
      <c r="AU44" s="1"/>
    </row>
    <row r="45" ht="15.75" customHeight="1">
      <c r="A45" s="10"/>
      <c r="B45" s="10"/>
      <c r="C45" s="10"/>
      <c r="D45" s="13" t="s">
        <v>7</v>
      </c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>
        <f t="shared" si="2"/>
        <v>0</v>
      </c>
      <c r="AK45" s="1"/>
      <c r="AL45" s="1"/>
      <c r="AM45" s="4"/>
      <c r="AN45" s="1"/>
      <c r="AO45" s="1"/>
      <c r="AP45" s="1"/>
      <c r="AQ45" s="1"/>
      <c r="AR45" s="1"/>
      <c r="AS45" s="1"/>
      <c r="AT45" s="1"/>
      <c r="AU45" s="1"/>
    </row>
    <row r="46" ht="15.75" customHeight="1">
      <c r="A46" s="12"/>
      <c r="B46" s="12"/>
      <c r="C46" s="12"/>
      <c r="D46" s="13" t="s">
        <v>5</v>
      </c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>
        <f t="shared" si="2"/>
        <v>0</v>
      </c>
      <c r="AK46" s="1"/>
      <c r="AL46" s="1"/>
      <c r="AM46" s="4"/>
      <c r="AN46" s="1"/>
      <c r="AO46" s="1"/>
      <c r="AP46" s="1"/>
      <c r="AQ46" s="1"/>
      <c r="AR46" s="1"/>
      <c r="AS46" s="1"/>
      <c r="AT46" s="1"/>
      <c r="AU46" s="1"/>
    </row>
    <row r="47" ht="15.75" customHeight="1">
      <c r="A47" s="16"/>
      <c r="B47" s="16"/>
      <c r="C47" s="16"/>
      <c r="D47" s="13" t="s">
        <v>6</v>
      </c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>
        <f t="shared" si="2"/>
        <v>0</v>
      </c>
      <c r="AK47" s="1"/>
      <c r="AL47" s="1"/>
      <c r="AM47" s="4"/>
      <c r="AN47" s="1"/>
      <c r="AO47" s="1"/>
      <c r="AP47" s="1"/>
      <c r="AQ47" s="1"/>
      <c r="AR47" s="1"/>
      <c r="AS47" s="1"/>
      <c r="AT47" s="1"/>
      <c r="AU47" s="1"/>
    </row>
    <row r="48" ht="15.75" customHeight="1">
      <c r="A48" s="10"/>
      <c r="B48" s="10"/>
      <c r="C48" s="10"/>
      <c r="D48" s="13" t="s">
        <v>7</v>
      </c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>
        <f t="shared" si="2"/>
        <v>0</v>
      </c>
      <c r="AK48" s="1"/>
      <c r="AL48" s="1"/>
      <c r="AM48" s="4"/>
      <c r="AN48" s="1"/>
      <c r="AO48" s="1"/>
      <c r="AP48" s="1"/>
      <c r="AQ48" s="1"/>
      <c r="AR48" s="1"/>
      <c r="AS48" s="1"/>
      <c r="AT48" s="1"/>
      <c r="AU48" s="1"/>
    </row>
    <row r="49" ht="15.75" customHeight="1">
      <c r="A49" s="12"/>
      <c r="B49" s="12"/>
      <c r="C49" s="12"/>
      <c r="D49" s="13" t="s">
        <v>5</v>
      </c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>
        <f t="shared" si="2"/>
        <v>0</v>
      </c>
      <c r="AK49" s="1"/>
      <c r="AL49" s="1"/>
      <c r="AM49" s="4"/>
      <c r="AN49" s="1"/>
      <c r="AO49" s="1"/>
      <c r="AP49" s="1"/>
      <c r="AQ49" s="1"/>
      <c r="AR49" s="1"/>
      <c r="AS49" s="1"/>
      <c r="AT49" s="1"/>
      <c r="AU49" s="1"/>
    </row>
    <row r="50" ht="15.75" customHeight="1">
      <c r="A50" s="16"/>
      <c r="B50" s="16"/>
      <c r="C50" s="16"/>
      <c r="D50" s="13" t="s">
        <v>6</v>
      </c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>
        <f t="shared" si="2"/>
        <v>0</v>
      </c>
      <c r="AK50" s="1"/>
      <c r="AL50" s="1"/>
      <c r="AM50" s="4"/>
      <c r="AN50" s="1"/>
      <c r="AO50" s="1"/>
      <c r="AP50" s="1"/>
      <c r="AQ50" s="1"/>
      <c r="AR50" s="1"/>
      <c r="AS50" s="1"/>
      <c r="AT50" s="1"/>
      <c r="AU50" s="1"/>
    </row>
    <row r="51" ht="15.75" customHeight="1">
      <c r="A51" s="10"/>
      <c r="B51" s="10"/>
      <c r="C51" s="10"/>
      <c r="D51" s="13" t="s">
        <v>7</v>
      </c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>
        <f t="shared" si="2"/>
        <v>0</v>
      </c>
      <c r="AK51" s="1"/>
      <c r="AL51" s="1"/>
      <c r="AM51" s="4"/>
      <c r="AN51" s="1"/>
      <c r="AO51" s="1"/>
      <c r="AP51" s="1"/>
      <c r="AQ51" s="1"/>
      <c r="AR51" s="1"/>
      <c r="AS51" s="1"/>
      <c r="AT51" s="1"/>
      <c r="AU51" s="1"/>
    </row>
    <row r="52" ht="15.75" customHeight="1">
      <c r="A52" s="12"/>
      <c r="B52" s="12"/>
      <c r="C52" s="12"/>
      <c r="D52" s="13" t="s">
        <v>5</v>
      </c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>
        <f t="shared" si="2"/>
        <v>0</v>
      </c>
      <c r="AK52" s="1"/>
      <c r="AL52" s="1"/>
      <c r="AM52" s="4"/>
      <c r="AN52" s="1"/>
      <c r="AO52" s="1"/>
      <c r="AP52" s="1"/>
      <c r="AQ52" s="1"/>
      <c r="AR52" s="1"/>
      <c r="AS52" s="1"/>
      <c r="AT52" s="1"/>
      <c r="AU52" s="1"/>
    </row>
    <row r="53" ht="15.75" customHeight="1">
      <c r="A53" s="16"/>
      <c r="B53" s="16"/>
      <c r="C53" s="16"/>
      <c r="D53" s="13" t="s">
        <v>6</v>
      </c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>
        <f t="shared" si="2"/>
        <v>0</v>
      </c>
      <c r="AK53" s="1"/>
      <c r="AL53" s="1"/>
      <c r="AM53" s="4"/>
      <c r="AN53" s="1"/>
      <c r="AO53" s="1"/>
      <c r="AP53" s="1"/>
      <c r="AQ53" s="1"/>
      <c r="AR53" s="1"/>
      <c r="AS53" s="1"/>
      <c r="AT53" s="1"/>
      <c r="AU53" s="1"/>
    </row>
    <row r="54" ht="15.75" customHeight="1">
      <c r="A54" s="10"/>
      <c r="B54" s="10"/>
      <c r="C54" s="10"/>
      <c r="D54" s="13" t="s">
        <v>7</v>
      </c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>
        <f t="shared" si="2"/>
        <v>0</v>
      </c>
      <c r="AK54" s="1"/>
      <c r="AL54" s="1"/>
      <c r="AM54" s="4"/>
      <c r="AN54" s="1"/>
      <c r="AO54" s="1"/>
      <c r="AP54" s="1"/>
      <c r="AQ54" s="1"/>
      <c r="AR54" s="1"/>
      <c r="AS54" s="1"/>
      <c r="AT54" s="1"/>
      <c r="AU54" s="1"/>
    </row>
    <row r="55" ht="15.75" customHeight="1">
      <c r="A55" s="12"/>
      <c r="B55" s="12"/>
      <c r="C55" s="12"/>
      <c r="D55" s="13" t="s">
        <v>5</v>
      </c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>
        <f t="shared" si="2"/>
        <v>0</v>
      </c>
      <c r="AK55" s="1"/>
      <c r="AL55" s="1"/>
      <c r="AM55" s="4"/>
      <c r="AN55" s="1"/>
      <c r="AO55" s="1"/>
      <c r="AP55" s="1"/>
      <c r="AQ55" s="1"/>
      <c r="AR55" s="1"/>
      <c r="AS55" s="1"/>
      <c r="AT55" s="1"/>
      <c r="AU55" s="1"/>
    </row>
    <row r="56" ht="15.75" customHeight="1">
      <c r="A56" s="16"/>
      <c r="B56" s="16"/>
      <c r="C56" s="16"/>
      <c r="D56" s="13" t="s">
        <v>6</v>
      </c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>
        <f t="shared" si="2"/>
        <v>0</v>
      </c>
      <c r="AK56" s="1"/>
      <c r="AL56" s="1"/>
      <c r="AM56" s="4"/>
      <c r="AN56" s="1"/>
      <c r="AO56" s="1"/>
      <c r="AP56" s="1"/>
      <c r="AQ56" s="1"/>
      <c r="AR56" s="1"/>
      <c r="AS56" s="1"/>
      <c r="AT56" s="1"/>
      <c r="AU56" s="1"/>
    </row>
    <row r="57" ht="15.75" customHeight="1">
      <c r="A57" s="10"/>
      <c r="B57" s="10"/>
      <c r="C57" s="10"/>
      <c r="D57" s="13" t="s">
        <v>7</v>
      </c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>
        <f t="shared" si="2"/>
        <v>0</v>
      </c>
      <c r="AK57" s="1"/>
      <c r="AL57" s="1"/>
      <c r="AM57" s="4"/>
      <c r="AN57" s="1"/>
      <c r="AO57" s="1"/>
      <c r="AP57" s="1"/>
      <c r="AQ57" s="1"/>
      <c r="AR57" s="1"/>
      <c r="AS57" s="1"/>
      <c r="AT57" s="1"/>
      <c r="AU57" s="1"/>
    </row>
    <row r="58" ht="15.75" customHeight="1">
      <c r="A58" s="12"/>
      <c r="B58" s="12"/>
      <c r="C58" s="12"/>
      <c r="D58" s="13" t="s">
        <v>5</v>
      </c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>
        <f t="shared" si="2"/>
        <v>0</v>
      </c>
      <c r="AK58" s="1"/>
      <c r="AL58" s="1"/>
      <c r="AM58" s="4"/>
      <c r="AN58" s="1"/>
      <c r="AO58" s="1"/>
      <c r="AP58" s="1"/>
      <c r="AQ58" s="1"/>
      <c r="AR58" s="1"/>
      <c r="AS58" s="1"/>
      <c r="AT58" s="1"/>
      <c r="AU58" s="1"/>
    </row>
    <row r="59" ht="15.75" customHeight="1">
      <c r="A59" s="16"/>
      <c r="B59" s="16"/>
      <c r="C59" s="16"/>
      <c r="D59" s="13" t="s">
        <v>6</v>
      </c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>
        <f t="shared" si="2"/>
        <v>0</v>
      </c>
      <c r="AK59" s="1"/>
      <c r="AL59" s="1"/>
      <c r="AM59" s="4"/>
      <c r="AN59" s="1"/>
      <c r="AO59" s="1"/>
      <c r="AP59" s="1"/>
      <c r="AQ59" s="1"/>
      <c r="AR59" s="1"/>
      <c r="AS59" s="1"/>
      <c r="AT59" s="1"/>
      <c r="AU59" s="1"/>
    </row>
    <row r="60" ht="15.75" customHeight="1">
      <c r="A60" s="10"/>
      <c r="B60" s="10"/>
      <c r="C60" s="10"/>
      <c r="D60" s="13" t="s">
        <v>7</v>
      </c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>
        <f t="shared" si="2"/>
        <v>0</v>
      </c>
      <c r="AK60" s="1"/>
      <c r="AL60" s="1"/>
      <c r="AM60" s="4"/>
      <c r="AN60" s="1"/>
      <c r="AO60" s="1"/>
      <c r="AP60" s="1"/>
      <c r="AQ60" s="1"/>
      <c r="AR60" s="1"/>
      <c r="AS60" s="1"/>
      <c r="AT60" s="1"/>
      <c r="AU60" s="1"/>
    </row>
    <row r="61" ht="15.75" customHeight="1">
      <c r="A61" s="12"/>
      <c r="B61" s="12"/>
      <c r="C61" s="12"/>
      <c r="D61" s="13" t="s">
        <v>5</v>
      </c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>
        <f t="shared" si="2"/>
        <v>0</v>
      </c>
      <c r="AK61" s="1"/>
      <c r="AL61" s="1"/>
      <c r="AM61" s="4"/>
      <c r="AN61" s="1"/>
      <c r="AO61" s="1"/>
      <c r="AP61" s="1"/>
      <c r="AQ61" s="1"/>
      <c r="AR61" s="1"/>
      <c r="AS61" s="1"/>
      <c r="AT61" s="1"/>
      <c r="AU61" s="1"/>
    </row>
    <row r="62" ht="15.75" customHeight="1">
      <c r="A62" s="16"/>
      <c r="B62" s="16"/>
      <c r="C62" s="16"/>
      <c r="D62" s="13" t="s">
        <v>6</v>
      </c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>
        <f t="shared" si="2"/>
        <v>0</v>
      </c>
      <c r="AK62" s="1"/>
      <c r="AL62" s="1"/>
      <c r="AM62" s="4"/>
      <c r="AN62" s="1"/>
      <c r="AO62" s="1"/>
      <c r="AP62" s="1"/>
      <c r="AQ62" s="1"/>
      <c r="AR62" s="1"/>
      <c r="AS62" s="1"/>
      <c r="AT62" s="1"/>
      <c r="AU62" s="1"/>
    </row>
    <row r="63" ht="15.75" customHeight="1">
      <c r="A63" s="10"/>
      <c r="B63" s="10"/>
      <c r="C63" s="10"/>
      <c r="D63" s="13" t="s">
        <v>7</v>
      </c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>
        <f t="shared" si="2"/>
        <v>0</v>
      </c>
      <c r="AK63" s="1"/>
      <c r="AL63" s="1"/>
      <c r="AM63" s="4"/>
      <c r="AN63" s="1"/>
      <c r="AO63" s="1"/>
      <c r="AP63" s="1"/>
      <c r="AQ63" s="1"/>
      <c r="AR63" s="1"/>
      <c r="AS63" s="1"/>
      <c r="AT63" s="1"/>
      <c r="AU63" s="1"/>
    </row>
    <row r="64" ht="15.75" customHeight="1">
      <c r="A64" s="12"/>
      <c r="B64" s="12"/>
      <c r="C64" s="12"/>
      <c r="D64" s="13" t="s">
        <v>5</v>
      </c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>
        <f t="shared" si="2"/>
        <v>0</v>
      </c>
      <c r="AK64" s="1"/>
      <c r="AL64" s="1"/>
      <c r="AM64" s="4"/>
      <c r="AN64" s="1"/>
      <c r="AO64" s="1"/>
      <c r="AP64" s="1"/>
      <c r="AQ64" s="1"/>
      <c r="AR64" s="1"/>
      <c r="AS64" s="1"/>
      <c r="AT64" s="1"/>
      <c r="AU64" s="1"/>
    </row>
    <row r="65" ht="15.75" customHeight="1">
      <c r="A65" s="16"/>
      <c r="B65" s="16"/>
      <c r="C65" s="16"/>
      <c r="D65" s="13" t="s">
        <v>6</v>
      </c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>
        <f t="shared" si="2"/>
        <v>0</v>
      </c>
      <c r="AK65" s="1"/>
      <c r="AL65" s="1"/>
      <c r="AM65" s="4"/>
      <c r="AN65" s="1"/>
      <c r="AO65" s="1"/>
      <c r="AP65" s="1"/>
      <c r="AQ65" s="1"/>
      <c r="AR65" s="1"/>
      <c r="AS65" s="1"/>
      <c r="AT65" s="1"/>
      <c r="AU65" s="1"/>
    </row>
    <row r="66" ht="15.75" customHeight="1">
      <c r="A66" s="10"/>
      <c r="B66" s="10"/>
      <c r="C66" s="10"/>
      <c r="D66" s="13" t="s">
        <v>7</v>
      </c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>
        <f t="shared" si="2"/>
        <v>0</v>
      </c>
      <c r="AK66" s="1"/>
      <c r="AL66" s="1"/>
      <c r="AM66" s="4"/>
      <c r="AN66" s="1"/>
      <c r="AO66" s="1"/>
      <c r="AP66" s="1"/>
      <c r="AQ66" s="1"/>
      <c r="AR66" s="1"/>
      <c r="AS66" s="1"/>
      <c r="AT66" s="1"/>
      <c r="AU66" s="1"/>
    </row>
    <row r="67" ht="15.75" customHeight="1">
      <c r="A67" s="12"/>
      <c r="B67" s="12"/>
      <c r="C67" s="12"/>
      <c r="D67" s="13" t="s">
        <v>5</v>
      </c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>
        <f t="shared" si="2"/>
        <v>0</v>
      </c>
      <c r="AK67" s="1"/>
      <c r="AL67" s="1"/>
      <c r="AM67" s="4"/>
      <c r="AN67" s="1"/>
      <c r="AO67" s="1"/>
      <c r="AP67" s="1"/>
      <c r="AQ67" s="1"/>
      <c r="AR67" s="1"/>
      <c r="AS67" s="1"/>
      <c r="AT67" s="1"/>
      <c r="AU67" s="1"/>
    </row>
    <row r="68" ht="15.75" customHeight="1">
      <c r="A68" s="16"/>
      <c r="B68" s="16"/>
      <c r="C68" s="16"/>
      <c r="D68" s="13" t="s">
        <v>6</v>
      </c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>
        <f t="shared" si="2"/>
        <v>0</v>
      </c>
      <c r="AK68" s="1"/>
      <c r="AL68" s="1"/>
      <c r="AM68" s="4"/>
      <c r="AN68" s="1"/>
      <c r="AO68" s="1"/>
      <c r="AP68" s="1"/>
      <c r="AQ68" s="1"/>
      <c r="AR68" s="1"/>
      <c r="AS68" s="1"/>
      <c r="AT68" s="1"/>
      <c r="AU68" s="1"/>
    </row>
    <row r="69" ht="15.75" customHeight="1">
      <c r="A69" s="10"/>
      <c r="B69" s="10"/>
      <c r="C69" s="10"/>
      <c r="D69" s="13" t="s">
        <v>7</v>
      </c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>
        <f t="shared" si="2"/>
        <v>0</v>
      </c>
      <c r="AK69" s="1"/>
      <c r="AL69" s="1"/>
      <c r="AM69" s="4"/>
      <c r="AN69" s="1"/>
      <c r="AO69" s="1"/>
      <c r="AP69" s="1"/>
      <c r="AQ69" s="1"/>
      <c r="AR69" s="1"/>
      <c r="AS69" s="1"/>
      <c r="AT69" s="1"/>
      <c r="AU69" s="1"/>
    </row>
    <row r="70" ht="15.75" customHeight="1">
      <c r="A70" s="12"/>
      <c r="B70" s="12"/>
      <c r="C70" s="12"/>
      <c r="D70" s="13" t="s">
        <v>5</v>
      </c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>
        <f t="shared" si="2"/>
        <v>0</v>
      </c>
      <c r="AK70" s="1"/>
      <c r="AL70" s="1"/>
      <c r="AM70" s="4"/>
      <c r="AN70" s="1"/>
      <c r="AO70" s="1"/>
      <c r="AP70" s="1"/>
      <c r="AQ70" s="1"/>
      <c r="AR70" s="1"/>
      <c r="AS70" s="1"/>
      <c r="AT70" s="1"/>
      <c r="AU70" s="1"/>
    </row>
    <row r="71" ht="15.75" customHeight="1">
      <c r="A71" s="16"/>
      <c r="B71" s="16"/>
      <c r="C71" s="16"/>
      <c r="D71" s="13" t="s">
        <v>6</v>
      </c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>
        <f t="shared" si="2"/>
        <v>0</v>
      </c>
      <c r="AK71" s="1"/>
      <c r="AL71" s="1"/>
      <c r="AM71" s="4"/>
      <c r="AN71" s="1"/>
      <c r="AO71" s="1"/>
      <c r="AP71" s="1"/>
      <c r="AQ71" s="1"/>
      <c r="AR71" s="1"/>
      <c r="AS71" s="1"/>
      <c r="AT71" s="1"/>
      <c r="AU71" s="1"/>
    </row>
    <row r="72" ht="15.75" customHeight="1">
      <c r="A72" s="10"/>
      <c r="B72" s="10"/>
      <c r="C72" s="10"/>
      <c r="D72" s="13" t="s">
        <v>7</v>
      </c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>
        <f t="shared" si="2"/>
        <v>0</v>
      </c>
      <c r="AK72" s="1"/>
      <c r="AL72" s="1"/>
      <c r="AM72" s="4"/>
      <c r="AN72" s="1"/>
      <c r="AO72" s="1"/>
      <c r="AP72" s="1"/>
      <c r="AQ72" s="1"/>
      <c r="AR72" s="1"/>
      <c r="AS72" s="1"/>
      <c r="AT72" s="1"/>
      <c r="AU72" s="1"/>
    </row>
    <row r="73" ht="15.75" customHeight="1">
      <c r="A73" s="31"/>
      <c r="B73" s="31"/>
      <c r="C73" s="3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4"/>
      <c r="AN73" s="1"/>
      <c r="AO73" s="1"/>
      <c r="AP73" s="1"/>
      <c r="AQ73" s="1"/>
      <c r="AR73" s="1"/>
      <c r="AS73" s="1"/>
      <c r="AT73" s="1"/>
      <c r="AU73" s="1"/>
    </row>
    <row r="74" ht="15.75" customHeight="1">
      <c r="A74" s="31"/>
      <c r="B74" s="31"/>
      <c r="C74" s="3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4"/>
      <c r="AN74" s="1"/>
      <c r="AO74" s="1"/>
      <c r="AP74" s="1"/>
      <c r="AQ74" s="1"/>
      <c r="AR74" s="1"/>
      <c r="AS74" s="1"/>
      <c r="AT74" s="1"/>
      <c r="AU74" s="1"/>
    </row>
    <row r="75" ht="15.75" customHeight="1">
      <c r="A75" s="31"/>
      <c r="B75" s="31"/>
      <c r="C75" s="3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4"/>
      <c r="AN75" s="1"/>
      <c r="AO75" s="1"/>
      <c r="AP75" s="1"/>
      <c r="AQ75" s="1"/>
      <c r="AR75" s="1"/>
      <c r="AS75" s="1"/>
      <c r="AT75" s="1"/>
      <c r="AU75" s="1"/>
    </row>
    <row r="76" ht="15.75" customHeight="1">
      <c r="A76" s="31"/>
      <c r="B76" s="31"/>
      <c r="C76" s="3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4"/>
      <c r="AN76" s="1"/>
      <c r="AO76" s="1"/>
      <c r="AP76" s="1"/>
      <c r="AQ76" s="1"/>
      <c r="AR76" s="1"/>
      <c r="AS76" s="1"/>
      <c r="AT76" s="1"/>
      <c r="AU76" s="1"/>
    </row>
    <row r="77" ht="15.75" customHeight="1">
      <c r="A77" s="31"/>
      <c r="B77" s="31"/>
      <c r="C77" s="3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4"/>
      <c r="AN77" s="1"/>
      <c r="AO77" s="1"/>
      <c r="AP77" s="1"/>
      <c r="AQ77" s="1"/>
      <c r="AR77" s="1"/>
      <c r="AS77" s="1"/>
      <c r="AT77" s="1"/>
      <c r="AU77" s="1"/>
    </row>
    <row r="78" ht="15.75" customHeight="1">
      <c r="A78" s="31"/>
      <c r="B78" s="31"/>
      <c r="C78" s="3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4"/>
      <c r="AN78" s="1"/>
      <c r="AO78" s="1"/>
      <c r="AP78" s="1"/>
      <c r="AQ78" s="1"/>
      <c r="AR78" s="1"/>
      <c r="AS78" s="1"/>
      <c r="AT78" s="1"/>
      <c r="AU78" s="1"/>
    </row>
    <row r="79" ht="15.75" customHeight="1">
      <c r="A79" s="31"/>
      <c r="B79" s="31"/>
      <c r="C79" s="3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4"/>
      <c r="AN79" s="1"/>
      <c r="AO79" s="1"/>
      <c r="AP79" s="1"/>
      <c r="AQ79" s="1"/>
      <c r="AR79" s="1"/>
      <c r="AS79" s="1"/>
      <c r="AT79" s="1"/>
      <c r="AU79" s="1"/>
    </row>
    <row r="80" ht="15.75" customHeight="1">
      <c r="A80" s="31"/>
      <c r="B80" s="31"/>
      <c r="C80" s="3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4"/>
      <c r="AN80" s="1"/>
      <c r="AO80" s="1"/>
      <c r="AP80" s="1"/>
      <c r="AQ80" s="1"/>
      <c r="AR80" s="1"/>
      <c r="AS80" s="1"/>
      <c r="AT80" s="1"/>
      <c r="AU80" s="1"/>
    </row>
    <row r="81" ht="15.75" customHeight="1">
      <c r="A81" s="31"/>
      <c r="B81" s="31"/>
      <c r="C81" s="3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4"/>
      <c r="AN81" s="1"/>
      <c r="AO81" s="1"/>
      <c r="AP81" s="1"/>
      <c r="AQ81" s="1"/>
      <c r="AR81" s="1"/>
      <c r="AS81" s="1"/>
      <c r="AT81" s="1"/>
      <c r="AU81" s="1"/>
    </row>
    <row r="82" ht="15.75" customHeight="1">
      <c r="A82" s="31"/>
      <c r="B82" s="31"/>
      <c r="C82" s="3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4"/>
      <c r="AN82" s="1"/>
      <c r="AO82" s="1"/>
      <c r="AP82" s="1"/>
      <c r="AQ82" s="1"/>
      <c r="AR82" s="1"/>
      <c r="AS82" s="1"/>
      <c r="AT82" s="1"/>
      <c r="AU82" s="1"/>
    </row>
    <row r="83" ht="15.75" customHeight="1">
      <c r="A83" s="31"/>
      <c r="B83" s="31"/>
      <c r="C83" s="3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4"/>
      <c r="AN83" s="1"/>
      <c r="AO83" s="1"/>
      <c r="AP83" s="1"/>
      <c r="AQ83" s="1"/>
      <c r="AR83" s="1"/>
      <c r="AS83" s="1"/>
      <c r="AT83" s="1"/>
      <c r="AU83" s="1"/>
    </row>
    <row r="84" ht="15.75" customHeight="1">
      <c r="A84" s="31"/>
      <c r="B84" s="31"/>
      <c r="C84" s="3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4"/>
      <c r="AN84" s="1"/>
      <c r="AO84" s="1"/>
      <c r="AP84" s="1"/>
      <c r="AQ84" s="1"/>
      <c r="AR84" s="1"/>
      <c r="AS84" s="1"/>
      <c r="AT84" s="1"/>
      <c r="AU84" s="1"/>
    </row>
    <row r="85" ht="15.75" customHeight="1">
      <c r="A85" s="31"/>
      <c r="B85" s="31"/>
      <c r="C85" s="3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4"/>
      <c r="AN85" s="1"/>
      <c r="AO85" s="1"/>
      <c r="AP85" s="1"/>
      <c r="AQ85" s="1"/>
      <c r="AR85" s="1"/>
      <c r="AS85" s="1"/>
      <c r="AT85" s="1"/>
      <c r="AU85" s="1"/>
    </row>
    <row r="86" ht="15.75" customHeight="1">
      <c r="A86" s="31"/>
      <c r="B86" s="31"/>
      <c r="C86" s="3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4"/>
      <c r="AN86" s="1"/>
      <c r="AO86" s="1"/>
      <c r="AP86" s="1"/>
      <c r="AQ86" s="1"/>
      <c r="AR86" s="1"/>
      <c r="AS86" s="1"/>
      <c r="AT86" s="1"/>
      <c r="AU86" s="1"/>
    </row>
    <row r="87" ht="15.75" customHeight="1">
      <c r="A87" s="31"/>
      <c r="B87" s="31"/>
      <c r="C87" s="3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4"/>
      <c r="AN87" s="1"/>
      <c r="AO87" s="1"/>
      <c r="AP87" s="1"/>
      <c r="AQ87" s="1"/>
      <c r="AR87" s="1"/>
      <c r="AS87" s="1"/>
      <c r="AT87" s="1"/>
      <c r="AU87" s="1"/>
    </row>
    <row r="88" ht="15.75" customHeight="1">
      <c r="A88" s="31"/>
      <c r="B88" s="31"/>
      <c r="C88" s="3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4"/>
      <c r="AN88" s="1"/>
      <c r="AO88" s="1"/>
      <c r="AP88" s="1"/>
      <c r="AQ88" s="1"/>
      <c r="AR88" s="1"/>
      <c r="AS88" s="1"/>
      <c r="AT88" s="1"/>
      <c r="AU88" s="1"/>
    </row>
    <row r="89" ht="15.75" customHeight="1">
      <c r="A89" s="31"/>
      <c r="B89" s="31"/>
      <c r="C89" s="3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4"/>
      <c r="AN89" s="1"/>
      <c r="AO89" s="1"/>
      <c r="AP89" s="1"/>
      <c r="AQ89" s="1"/>
      <c r="AR89" s="1"/>
      <c r="AS89" s="1"/>
      <c r="AT89" s="1"/>
      <c r="AU89" s="1"/>
    </row>
    <row r="90" ht="15.75" customHeight="1">
      <c r="A90" s="31"/>
      <c r="B90" s="31"/>
      <c r="C90" s="3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4"/>
      <c r="AN90" s="1"/>
      <c r="AO90" s="1"/>
      <c r="AP90" s="1"/>
      <c r="AQ90" s="1"/>
      <c r="AR90" s="1"/>
      <c r="AS90" s="1"/>
      <c r="AT90" s="1"/>
      <c r="AU90" s="1"/>
    </row>
    <row r="91" ht="15.75" customHeight="1">
      <c r="A91" s="31"/>
      <c r="B91" s="31"/>
      <c r="C91" s="3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4"/>
      <c r="AN91" s="1"/>
      <c r="AO91" s="1"/>
      <c r="AP91" s="1"/>
      <c r="AQ91" s="1"/>
      <c r="AR91" s="1"/>
      <c r="AS91" s="1"/>
      <c r="AT91" s="1"/>
      <c r="AU91" s="1"/>
    </row>
    <row r="92" ht="15.75" customHeight="1">
      <c r="A92" s="31"/>
      <c r="B92" s="31"/>
      <c r="C92" s="3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4"/>
      <c r="AN92" s="1"/>
      <c r="AO92" s="1"/>
      <c r="AP92" s="1"/>
      <c r="AQ92" s="1"/>
      <c r="AR92" s="1"/>
      <c r="AS92" s="1"/>
      <c r="AT92" s="1"/>
      <c r="AU92" s="1"/>
    </row>
    <row r="93" ht="15.75" customHeight="1">
      <c r="A93" s="31"/>
      <c r="B93" s="31"/>
      <c r="C93" s="3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4"/>
      <c r="AN93" s="1"/>
      <c r="AO93" s="1"/>
      <c r="AP93" s="1"/>
      <c r="AQ93" s="1"/>
      <c r="AR93" s="1"/>
      <c r="AS93" s="1"/>
      <c r="AT93" s="1"/>
      <c r="AU93" s="1"/>
    </row>
    <row r="94" ht="15.75" customHeight="1">
      <c r="A94" s="31"/>
      <c r="B94" s="31"/>
      <c r="C94" s="3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4"/>
      <c r="AN94" s="1"/>
      <c r="AO94" s="1"/>
      <c r="AP94" s="1"/>
      <c r="AQ94" s="1"/>
      <c r="AR94" s="1"/>
      <c r="AS94" s="1"/>
      <c r="AT94" s="1"/>
      <c r="AU94" s="1"/>
    </row>
    <row r="95" ht="15.75" customHeight="1">
      <c r="A95" s="31"/>
      <c r="B95" s="31"/>
      <c r="C95" s="3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4"/>
      <c r="AN95" s="1"/>
      <c r="AO95" s="1"/>
      <c r="AP95" s="1"/>
      <c r="AQ95" s="1"/>
      <c r="AR95" s="1"/>
      <c r="AS95" s="1"/>
      <c r="AT95" s="1"/>
      <c r="AU95" s="1"/>
    </row>
    <row r="96" ht="15.75" customHeight="1">
      <c r="A96" s="31"/>
      <c r="B96" s="31"/>
      <c r="C96" s="3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4"/>
      <c r="AN96" s="1"/>
      <c r="AO96" s="1"/>
      <c r="AP96" s="1"/>
      <c r="AQ96" s="1"/>
      <c r="AR96" s="1"/>
      <c r="AS96" s="1"/>
      <c r="AT96" s="1"/>
      <c r="AU96" s="1"/>
    </row>
    <row r="97" ht="15.75" customHeight="1">
      <c r="A97" s="31"/>
      <c r="B97" s="31"/>
      <c r="C97" s="3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4"/>
      <c r="AN97" s="1"/>
      <c r="AO97" s="1"/>
      <c r="AP97" s="1"/>
      <c r="AQ97" s="1"/>
      <c r="AR97" s="1"/>
      <c r="AS97" s="1"/>
      <c r="AT97" s="1"/>
      <c r="AU97" s="1"/>
    </row>
    <row r="98" ht="15.75" customHeight="1">
      <c r="A98" s="31"/>
      <c r="B98" s="31"/>
      <c r="C98" s="3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4"/>
      <c r="AN98" s="1"/>
      <c r="AO98" s="1"/>
      <c r="AP98" s="1"/>
      <c r="AQ98" s="1"/>
      <c r="AR98" s="1"/>
      <c r="AS98" s="1"/>
      <c r="AT98" s="1"/>
      <c r="AU98" s="1"/>
    </row>
    <row r="99" ht="15.75" customHeight="1">
      <c r="A99" s="31"/>
      <c r="B99" s="31"/>
      <c r="C99" s="3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4"/>
      <c r="AN99" s="1"/>
      <c r="AO99" s="1"/>
      <c r="AP99" s="1"/>
      <c r="AQ99" s="1"/>
      <c r="AR99" s="1"/>
      <c r="AS99" s="1"/>
      <c r="AT99" s="1"/>
      <c r="AU99" s="1"/>
    </row>
    <row r="100" ht="15.75" customHeight="1">
      <c r="A100" s="31"/>
      <c r="B100" s="31"/>
      <c r="C100" s="3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4"/>
      <c r="AN100" s="1"/>
      <c r="AO100" s="1"/>
      <c r="AP100" s="1"/>
      <c r="AQ100" s="1"/>
      <c r="AR100" s="1"/>
      <c r="AS100" s="1"/>
      <c r="AT100" s="1"/>
      <c r="AU100" s="1"/>
    </row>
    <row r="101" ht="15.75" customHeight="1">
      <c r="A101" s="31"/>
      <c r="B101" s="31"/>
      <c r="C101" s="3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4"/>
      <c r="AN101" s="1"/>
      <c r="AO101" s="1"/>
      <c r="AP101" s="1"/>
      <c r="AQ101" s="1"/>
      <c r="AR101" s="1"/>
      <c r="AS101" s="1"/>
      <c r="AT101" s="1"/>
      <c r="AU101" s="1"/>
    </row>
    <row r="102" ht="15.75" customHeight="1">
      <c r="A102" s="31"/>
      <c r="B102" s="31"/>
      <c r="C102" s="3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4"/>
      <c r="AN102" s="1"/>
      <c r="AO102" s="1"/>
      <c r="AP102" s="1"/>
      <c r="AQ102" s="1"/>
      <c r="AR102" s="1"/>
      <c r="AS102" s="1"/>
      <c r="AT102" s="1"/>
      <c r="AU102" s="1"/>
    </row>
    <row r="103" ht="15.75" customHeight="1">
      <c r="A103" s="31"/>
      <c r="B103" s="31"/>
      <c r="C103" s="3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4"/>
      <c r="AN103" s="1"/>
      <c r="AO103" s="1"/>
      <c r="AP103" s="1"/>
      <c r="AQ103" s="1"/>
      <c r="AR103" s="1"/>
      <c r="AS103" s="1"/>
      <c r="AT103" s="1"/>
      <c r="AU103" s="1"/>
    </row>
    <row r="104" ht="15.75" customHeight="1">
      <c r="A104" s="31"/>
      <c r="B104" s="31"/>
      <c r="C104" s="3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4"/>
      <c r="AN104" s="1"/>
      <c r="AO104" s="1"/>
      <c r="AP104" s="1"/>
      <c r="AQ104" s="1"/>
      <c r="AR104" s="1"/>
      <c r="AS104" s="1"/>
      <c r="AT104" s="1"/>
      <c r="AU104" s="1"/>
    </row>
    <row r="105" ht="15.75" customHeight="1">
      <c r="A105" s="31"/>
      <c r="B105" s="31"/>
      <c r="C105" s="3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4"/>
      <c r="AN105" s="1"/>
      <c r="AO105" s="1"/>
      <c r="AP105" s="1"/>
      <c r="AQ105" s="1"/>
      <c r="AR105" s="1"/>
      <c r="AS105" s="1"/>
      <c r="AT105" s="1"/>
      <c r="AU105" s="1"/>
    </row>
    <row r="106" ht="15.75" customHeight="1">
      <c r="A106" s="31"/>
      <c r="B106" s="31"/>
      <c r="C106" s="3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4"/>
      <c r="AN106" s="1"/>
      <c r="AO106" s="1"/>
      <c r="AP106" s="1"/>
      <c r="AQ106" s="1"/>
      <c r="AR106" s="1"/>
      <c r="AS106" s="1"/>
      <c r="AT106" s="1"/>
      <c r="AU106" s="1"/>
    </row>
    <row r="107" ht="15.75" customHeight="1">
      <c r="A107" s="31"/>
      <c r="B107" s="31"/>
      <c r="C107" s="3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4"/>
      <c r="AN107" s="1"/>
      <c r="AO107" s="1"/>
      <c r="AP107" s="1"/>
      <c r="AQ107" s="1"/>
      <c r="AR107" s="1"/>
      <c r="AS107" s="1"/>
      <c r="AT107" s="1"/>
      <c r="AU107" s="1"/>
    </row>
    <row r="108" ht="15.75" customHeight="1">
      <c r="A108" s="31"/>
      <c r="B108" s="31"/>
      <c r="C108" s="3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4"/>
      <c r="AN108" s="1"/>
      <c r="AO108" s="1"/>
      <c r="AP108" s="1"/>
      <c r="AQ108" s="1"/>
      <c r="AR108" s="1"/>
      <c r="AS108" s="1"/>
      <c r="AT108" s="1"/>
      <c r="AU108" s="1"/>
    </row>
    <row r="109" ht="15.75" customHeight="1">
      <c r="A109" s="31"/>
      <c r="B109" s="31"/>
      <c r="C109" s="3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4"/>
      <c r="AN109" s="1"/>
      <c r="AO109" s="1"/>
      <c r="AP109" s="1"/>
      <c r="AQ109" s="1"/>
      <c r="AR109" s="1"/>
      <c r="AS109" s="1"/>
      <c r="AT109" s="1"/>
      <c r="AU109" s="1"/>
    </row>
    <row r="110" ht="15.75" customHeight="1">
      <c r="A110" s="31"/>
      <c r="B110" s="31"/>
      <c r="C110" s="3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4"/>
      <c r="AN110" s="1"/>
      <c r="AO110" s="1"/>
      <c r="AP110" s="1"/>
      <c r="AQ110" s="1"/>
      <c r="AR110" s="1"/>
      <c r="AS110" s="1"/>
      <c r="AT110" s="1"/>
      <c r="AU110" s="1"/>
    </row>
    <row r="111" ht="15.75" customHeight="1">
      <c r="A111" s="31"/>
      <c r="B111" s="31"/>
      <c r="C111" s="3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4"/>
      <c r="AN111" s="1"/>
      <c r="AO111" s="1"/>
      <c r="AP111" s="1"/>
      <c r="AQ111" s="1"/>
      <c r="AR111" s="1"/>
      <c r="AS111" s="1"/>
      <c r="AT111" s="1"/>
      <c r="AU111" s="1"/>
    </row>
    <row r="112" ht="15.75" customHeight="1">
      <c r="A112" s="31"/>
      <c r="B112" s="31"/>
      <c r="C112" s="3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4"/>
      <c r="AN112" s="1"/>
      <c r="AO112" s="1"/>
      <c r="AP112" s="1"/>
      <c r="AQ112" s="1"/>
      <c r="AR112" s="1"/>
      <c r="AS112" s="1"/>
      <c r="AT112" s="1"/>
      <c r="AU112" s="1"/>
    </row>
    <row r="113" ht="15.75" customHeight="1">
      <c r="A113" s="31"/>
      <c r="B113" s="31"/>
      <c r="C113" s="3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4"/>
      <c r="AN113" s="1"/>
      <c r="AO113" s="1"/>
      <c r="AP113" s="1"/>
      <c r="AQ113" s="1"/>
      <c r="AR113" s="1"/>
      <c r="AS113" s="1"/>
      <c r="AT113" s="1"/>
      <c r="AU113" s="1"/>
    </row>
    <row r="114" ht="15.75" customHeight="1">
      <c r="A114" s="31"/>
      <c r="B114" s="31"/>
      <c r="C114" s="3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4"/>
      <c r="AN114" s="1"/>
      <c r="AO114" s="1"/>
      <c r="AP114" s="1"/>
      <c r="AQ114" s="1"/>
      <c r="AR114" s="1"/>
      <c r="AS114" s="1"/>
      <c r="AT114" s="1"/>
      <c r="AU114" s="1"/>
    </row>
    <row r="115" ht="15.75" customHeight="1">
      <c r="A115" s="31"/>
      <c r="B115" s="31"/>
      <c r="C115" s="3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4"/>
      <c r="AN115" s="1"/>
      <c r="AO115" s="1"/>
      <c r="AP115" s="1"/>
      <c r="AQ115" s="1"/>
      <c r="AR115" s="1"/>
      <c r="AS115" s="1"/>
      <c r="AT115" s="1"/>
      <c r="AU115" s="1"/>
    </row>
    <row r="116" ht="15.75" customHeight="1">
      <c r="A116" s="31"/>
      <c r="B116" s="31"/>
      <c r="C116" s="3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4"/>
      <c r="AN116" s="1"/>
      <c r="AO116" s="1"/>
      <c r="AP116" s="1"/>
      <c r="AQ116" s="1"/>
      <c r="AR116" s="1"/>
      <c r="AS116" s="1"/>
      <c r="AT116" s="1"/>
      <c r="AU116" s="1"/>
    </row>
    <row r="117" ht="15.75" customHeight="1">
      <c r="A117" s="31"/>
      <c r="B117" s="31"/>
      <c r="C117" s="3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4"/>
      <c r="AN117" s="1"/>
      <c r="AO117" s="1"/>
      <c r="AP117" s="1"/>
      <c r="AQ117" s="1"/>
      <c r="AR117" s="1"/>
      <c r="AS117" s="1"/>
      <c r="AT117" s="1"/>
      <c r="AU117" s="1"/>
    </row>
    <row r="118" ht="15.75" customHeight="1">
      <c r="A118" s="31"/>
      <c r="B118" s="31"/>
      <c r="C118" s="3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4"/>
      <c r="AN118" s="1"/>
      <c r="AO118" s="1"/>
      <c r="AP118" s="1"/>
      <c r="AQ118" s="1"/>
      <c r="AR118" s="1"/>
      <c r="AS118" s="1"/>
      <c r="AT118" s="1"/>
      <c r="AU118" s="1"/>
    </row>
    <row r="119" ht="15.75" customHeight="1">
      <c r="A119" s="31"/>
      <c r="B119" s="31"/>
      <c r="C119" s="3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4"/>
      <c r="AN119" s="1"/>
      <c r="AO119" s="1"/>
      <c r="AP119" s="1"/>
      <c r="AQ119" s="1"/>
      <c r="AR119" s="1"/>
      <c r="AS119" s="1"/>
      <c r="AT119" s="1"/>
      <c r="AU119" s="1"/>
    </row>
    <row r="120" ht="15.75" customHeight="1">
      <c r="A120" s="31"/>
      <c r="B120" s="31"/>
      <c r="C120" s="3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4"/>
      <c r="AN120" s="1"/>
      <c r="AO120" s="1"/>
      <c r="AP120" s="1"/>
      <c r="AQ120" s="1"/>
      <c r="AR120" s="1"/>
      <c r="AS120" s="1"/>
      <c r="AT120" s="1"/>
      <c r="AU120" s="1"/>
    </row>
    <row r="121" ht="15.75" customHeight="1">
      <c r="A121" s="31"/>
      <c r="B121" s="31"/>
      <c r="C121" s="3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4"/>
      <c r="AN121" s="1"/>
      <c r="AO121" s="1"/>
      <c r="AP121" s="1"/>
      <c r="AQ121" s="1"/>
      <c r="AR121" s="1"/>
      <c r="AS121" s="1"/>
      <c r="AT121" s="1"/>
      <c r="AU121" s="1"/>
    </row>
    <row r="122" ht="15.75" customHeight="1">
      <c r="A122" s="31"/>
      <c r="B122" s="31"/>
      <c r="C122" s="3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4"/>
      <c r="AN122" s="1"/>
      <c r="AO122" s="1"/>
      <c r="AP122" s="1"/>
      <c r="AQ122" s="1"/>
      <c r="AR122" s="1"/>
      <c r="AS122" s="1"/>
      <c r="AT122" s="1"/>
      <c r="AU122" s="1"/>
    </row>
    <row r="123" ht="15.75" customHeight="1">
      <c r="A123" s="31"/>
      <c r="B123" s="31"/>
      <c r="C123" s="3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4"/>
      <c r="AN123" s="1"/>
      <c r="AO123" s="1"/>
      <c r="AP123" s="1"/>
      <c r="AQ123" s="1"/>
      <c r="AR123" s="1"/>
      <c r="AS123" s="1"/>
      <c r="AT123" s="1"/>
      <c r="AU123" s="1"/>
    </row>
    <row r="124" ht="15.75" customHeight="1">
      <c r="A124" s="31"/>
      <c r="B124" s="31"/>
      <c r="C124" s="3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4"/>
      <c r="AN124" s="1"/>
      <c r="AO124" s="1"/>
      <c r="AP124" s="1"/>
      <c r="AQ124" s="1"/>
      <c r="AR124" s="1"/>
      <c r="AS124" s="1"/>
      <c r="AT124" s="1"/>
      <c r="AU124" s="1"/>
    </row>
    <row r="125" ht="15.75" customHeight="1">
      <c r="A125" s="31"/>
      <c r="B125" s="31"/>
      <c r="C125" s="3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4"/>
      <c r="AN125" s="1"/>
      <c r="AO125" s="1"/>
      <c r="AP125" s="1"/>
      <c r="AQ125" s="1"/>
      <c r="AR125" s="1"/>
      <c r="AS125" s="1"/>
      <c r="AT125" s="1"/>
      <c r="AU125" s="1"/>
    </row>
    <row r="126" ht="15.75" customHeight="1">
      <c r="A126" s="31"/>
      <c r="B126" s="31"/>
      <c r="C126" s="3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4"/>
      <c r="AN126" s="1"/>
      <c r="AO126" s="1"/>
      <c r="AP126" s="1"/>
      <c r="AQ126" s="1"/>
      <c r="AR126" s="1"/>
      <c r="AS126" s="1"/>
      <c r="AT126" s="1"/>
      <c r="AU126" s="1"/>
    </row>
    <row r="127" ht="15.75" customHeight="1">
      <c r="A127" s="31"/>
      <c r="B127" s="31"/>
      <c r="C127" s="3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4"/>
      <c r="AN127" s="1"/>
      <c r="AO127" s="1"/>
      <c r="AP127" s="1"/>
      <c r="AQ127" s="1"/>
      <c r="AR127" s="1"/>
      <c r="AS127" s="1"/>
      <c r="AT127" s="1"/>
      <c r="AU127" s="1"/>
    </row>
    <row r="128" ht="15.75" customHeight="1">
      <c r="A128" s="31"/>
      <c r="B128" s="31"/>
      <c r="C128" s="3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4"/>
      <c r="AN128" s="1"/>
      <c r="AO128" s="1"/>
      <c r="AP128" s="1"/>
      <c r="AQ128" s="1"/>
      <c r="AR128" s="1"/>
      <c r="AS128" s="1"/>
      <c r="AT128" s="1"/>
      <c r="AU128" s="1"/>
    </row>
    <row r="129" ht="15.75" customHeight="1">
      <c r="A129" s="31"/>
      <c r="B129" s="31"/>
      <c r="C129" s="3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4"/>
      <c r="AN129" s="1"/>
      <c r="AO129" s="1"/>
      <c r="AP129" s="1"/>
      <c r="AQ129" s="1"/>
      <c r="AR129" s="1"/>
      <c r="AS129" s="1"/>
      <c r="AT129" s="1"/>
      <c r="AU129" s="1"/>
    </row>
    <row r="130" ht="15.75" customHeight="1">
      <c r="A130" s="31"/>
      <c r="B130" s="31"/>
      <c r="C130" s="3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4"/>
      <c r="AN130" s="1"/>
      <c r="AO130" s="1"/>
      <c r="AP130" s="1"/>
      <c r="AQ130" s="1"/>
      <c r="AR130" s="1"/>
      <c r="AS130" s="1"/>
      <c r="AT130" s="1"/>
      <c r="AU130" s="1"/>
    </row>
    <row r="131" ht="15.75" customHeight="1">
      <c r="A131" s="31"/>
      <c r="B131" s="31"/>
      <c r="C131" s="3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4"/>
      <c r="AN131" s="1"/>
      <c r="AO131" s="1"/>
      <c r="AP131" s="1"/>
      <c r="AQ131" s="1"/>
      <c r="AR131" s="1"/>
      <c r="AS131" s="1"/>
      <c r="AT131" s="1"/>
      <c r="AU131" s="1"/>
    </row>
    <row r="132" ht="15.75" customHeight="1">
      <c r="A132" s="31"/>
      <c r="B132" s="31"/>
      <c r="C132" s="3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4"/>
      <c r="AN132" s="1"/>
      <c r="AO132" s="1"/>
      <c r="AP132" s="1"/>
      <c r="AQ132" s="1"/>
      <c r="AR132" s="1"/>
      <c r="AS132" s="1"/>
      <c r="AT132" s="1"/>
      <c r="AU132" s="1"/>
    </row>
    <row r="133" ht="15.75" customHeight="1">
      <c r="A133" s="31"/>
      <c r="B133" s="31"/>
      <c r="C133" s="3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4"/>
      <c r="AN133" s="1"/>
      <c r="AO133" s="1"/>
      <c r="AP133" s="1"/>
      <c r="AQ133" s="1"/>
      <c r="AR133" s="1"/>
      <c r="AS133" s="1"/>
      <c r="AT133" s="1"/>
      <c r="AU133" s="1"/>
    </row>
    <row r="134" ht="15.75" customHeight="1">
      <c r="A134" s="31"/>
      <c r="B134" s="31"/>
      <c r="C134" s="3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4"/>
      <c r="AN134" s="1"/>
      <c r="AO134" s="1"/>
      <c r="AP134" s="1"/>
      <c r="AQ134" s="1"/>
      <c r="AR134" s="1"/>
      <c r="AS134" s="1"/>
      <c r="AT134" s="1"/>
      <c r="AU134" s="1"/>
    </row>
    <row r="135" ht="15.75" customHeight="1">
      <c r="A135" s="31"/>
      <c r="B135" s="31"/>
      <c r="C135" s="3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4"/>
      <c r="AN135" s="1"/>
      <c r="AO135" s="1"/>
      <c r="AP135" s="1"/>
      <c r="AQ135" s="1"/>
      <c r="AR135" s="1"/>
      <c r="AS135" s="1"/>
      <c r="AT135" s="1"/>
      <c r="AU135" s="1"/>
    </row>
    <row r="136" ht="15.75" customHeight="1">
      <c r="A136" s="31"/>
      <c r="B136" s="31"/>
      <c r="C136" s="3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4"/>
      <c r="AN136" s="1"/>
      <c r="AO136" s="1"/>
      <c r="AP136" s="1"/>
      <c r="AQ136" s="1"/>
      <c r="AR136" s="1"/>
      <c r="AS136" s="1"/>
      <c r="AT136" s="1"/>
      <c r="AU136" s="1"/>
    </row>
    <row r="137" ht="15.75" customHeight="1">
      <c r="A137" s="31"/>
      <c r="B137" s="31"/>
      <c r="C137" s="3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4"/>
      <c r="AN137" s="1"/>
      <c r="AO137" s="1"/>
      <c r="AP137" s="1"/>
      <c r="AQ137" s="1"/>
      <c r="AR137" s="1"/>
      <c r="AS137" s="1"/>
      <c r="AT137" s="1"/>
      <c r="AU137" s="1"/>
    </row>
    <row r="138" ht="15.75" customHeight="1">
      <c r="A138" s="31"/>
      <c r="B138" s="31"/>
      <c r="C138" s="3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4"/>
      <c r="AN138" s="1"/>
      <c r="AO138" s="1"/>
      <c r="AP138" s="1"/>
      <c r="AQ138" s="1"/>
      <c r="AR138" s="1"/>
      <c r="AS138" s="1"/>
      <c r="AT138" s="1"/>
      <c r="AU138" s="1"/>
    </row>
    <row r="139" ht="15.75" customHeight="1">
      <c r="A139" s="31"/>
      <c r="B139" s="31"/>
      <c r="C139" s="3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4"/>
      <c r="AN139" s="1"/>
      <c r="AO139" s="1"/>
      <c r="AP139" s="1"/>
      <c r="AQ139" s="1"/>
      <c r="AR139" s="1"/>
      <c r="AS139" s="1"/>
      <c r="AT139" s="1"/>
      <c r="AU139" s="1"/>
    </row>
    <row r="140" ht="15.75" customHeight="1">
      <c r="A140" s="31"/>
      <c r="B140" s="31"/>
      <c r="C140" s="3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4"/>
      <c r="AN140" s="1"/>
      <c r="AO140" s="1"/>
      <c r="AP140" s="1"/>
      <c r="AQ140" s="1"/>
      <c r="AR140" s="1"/>
      <c r="AS140" s="1"/>
      <c r="AT140" s="1"/>
      <c r="AU140" s="1"/>
    </row>
    <row r="141" ht="15.75" customHeight="1">
      <c r="A141" s="31"/>
      <c r="B141" s="31"/>
      <c r="C141" s="3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4"/>
      <c r="AN141" s="1"/>
      <c r="AO141" s="1"/>
      <c r="AP141" s="1"/>
      <c r="AQ141" s="1"/>
      <c r="AR141" s="1"/>
      <c r="AS141" s="1"/>
      <c r="AT141" s="1"/>
      <c r="AU141" s="1"/>
    </row>
    <row r="142" ht="15.75" customHeight="1">
      <c r="A142" s="31"/>
      <c r="B142" s="31"/>
      <c r="C142" s="3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4"/>
      <c r="AN142" s="1"/>
      <c r="AO142" s="1"/>
      <c r="AP142" s="1"/>
      <c r="AQ142" s="1"/>
      <c r="AR142" s="1"/>
      <c r="AS142" s="1"/>
      <c r="AT142" s="1"/>
      <c r="AU142" s="1"/>
    </row>
    <row r="143" ht="15.75" customHeight="1">
      <c r="A143" s="31"/>
      <c r="B143" s="31"/>
      <c r="C143" s="3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4"/>
      <c r="AN143" s="1"/>
      <c r="AO143" s="1"/>
      <c r="AP143" s="1"/>
      <c r="AQ143" s="1"/>
      <c r="AR143" s="1"/>
      <c r="AS143" s="1"/>
      <c r="AT143" s="1"/>
      <c r="AU143" s="1"/>
    </row>
    <row r="144" ht="15.75" customHeight="1">
      <c r="A144" s="31"/>
      <c r="B144" s="31"/>
      <c r="C144" s="3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4"/>
      <c r="AN144" s="1"/>
      <c r="AO144" s="1"/>
      <c r="AP144" s="1"/>
      <c r="AQ144" s="1"/>
      <c r="AR144" s="1"/>
      <c r="AS144" s="1"/>
      <c r="AT144" s="1"/>
      <c r="AU144" s="1"/>
    </row>
    <row r="145" ht="15.75" customHeight="1">
      <c r="A145" s="31"/>
      <c r="B145" s="31"/>
      <c r="C145" s="3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4"/>
      <c r="AN145" s="1"/>
      <c r="AO145" s="1"/>
      <c r="AP145" s="1"/>
      <c r="AQ145" s="1"/>
      <c r="AR145" s="1"/>
      <c r="AS145" s="1"/>
      <c r="AT145" s="1"/>
      <c r="AU145" s="1"/>
    </row>
    <row r="146" ht="15.75" customHeight="1">
      <c r="A146" s="31"/>
      <c r="B146" s="31"/>
      <c r="C146" s="3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4"/>
      <c r="AN146" s="1"/>
      <c r="AO146" s="1"/>
      <c r="AP146" s="1"/>
      <c r="AQ146" s="1"/>
      <c r="AR146" s="1"/>
      <c r="AS146" s="1"/>
      <c r="AT146" s="1"/>
      <c r="AU146" s="1"/>
    </row>
    <row r="147" ht="15.75" customHeight="1">
      <c r="A147" s="31"/>
      <c r="B147" s="31"/>
      <c r="C147" s="3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4"/>
      <c r="AN147" s="1"/>
      <c r="AO147" s="1"/>
      <c r="AP147" s="1"/>
      <c r="AQ147" s="1"/>
      <c r="AR147" s="1"/>
      <c r="AS147" s="1"/>
      <c r="AT147" s="1"/>
      <c r="AU147" s="1"/>
    </row>
    <row r="148" ht="15.75" customHeight="1">
      <c r="A148" s="31"/>
      <c r="B148" s="31"/>
      <c r="C148" s="3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4"/>
      <c r="AN148" s="1"/>
      <c r="AO148" s="1"/>
      <c r="AP148" s="1"/>
      <c r="AQ148" s="1"/>
      <c r="AR148" s="1"/>
      <c r="AS148" s="1"/>
      <c r="AT148" s="1"/>
      <c r="AU148" s="1"/>
    </row>
    <row r="149" ht="15.75" customHeight="1">
      <c r="A149" s="31"/>
      <c r="B149" s="31"/>
      <c r="C149" s="3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4"/>
      <c r="AN149" s="1"/>
      <c r="AO149" s="1"/>
      <c r="AP149" s="1"/>
      <c r="AQ149" s="1"/>
      <c r="AR149" s="1"/>
      <c r="AS149" s="1"/>
      <c r="AT149" s="1"/>
      <c r="AU149" s="1"/>
    </row>
    <row r="150" ht="15.75" customHeight="1">
      <c r="A150" s="31"/>
      <c r="B150" s="31"/>
      <c r="C150" s="3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4"/>
      <c r="AN150" s="1"/>
      <c r="AO150" s="1"/>
      <c r="AP150" s="1"/>
      <c r="AQ150" s="1"/>
      <c r="AR150" s="1"/>
      <c r="AS150" s="1"/>
      <c r="AT150" s="1"/>
      <c r="AU150" s="1"/>
    </row>
    <row r="151" ht="15.75" customHeight="1">
      <c r="A151" s="31"/>
      <c r="B151" s="31"/>
      <c r="C151" s="3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4"/>
      <c r="AN151" s="1"/>
      <c r="AO151" s="1"/>
      <c r="AP151" s="1"/>
      <c r="AQ151" s="1"/>
      <c r="AR151" s="1"/>
      <c r="AS151" s="1"/>
      <c r="AT151" s="1"/>
      <c r="AU151" s="1"/>
    </row>
    <row r="152" ht="15.75" customHeight="1">
      <c r="A152" s="31"/>
      <c r="B152" s="31"/>
      <c r="C152" s="3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4"/>
      <c r="AN152" s="1"/>
      <c r="AO152" s="1"/>
      <c r="AP152" s="1"/>
      <c r="AQ152" s="1"/>
      <c r="AR152" s="1"/>
      <c r="AS152" s="1"/>
      <c r="AT152" s="1"/>
      <c r="AU152" s="1"/>
    </row>
    <row r="153" ht="15.75" customHeight="1">
      <c r="A153" s="31"/>
      <c r="B153" s="31"/>
      <c r="C153" s="3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4"/>
      <c r="AN153" s="1"/>
      <c r="AO153" s="1"/>
      <c r="AP153" s="1"/>
      <c r="AQ153" s="1"/>
      <c r="AR153" s="1"/>
      <c r="AS153" s="1"/>
      <c r="AT153" s="1"/>
      <c r="AU153" s="1"/>
    </row>
    <row r="154" ht="15.75" customHeight="1">
      <c r="A154" s="31"/>
      <c r="B154" s="31"/>
      <c r="C154" s="3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4"/>
      <c r="AN154" s="1"/>
      <c r="AO154" s="1"/>
      <c r="AP154" s="1"/>
      <c r="AQ154" s="1"/>
      <c r="AR154" s="1"/>
      <c r="AS154" s="1"/>
      <c r="AT154" s="1"/>
      <c r="AU154" s="1"/>
    </row>
    <row r="155" ht="15.75" customHeight="1">
      <c r="A155" s="31"/>
      <c r="B155" s="31"/>
      <c r="C155" s="3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4"/>
      <c r="AN155" s="1"/>
      <c r="AO155" s="1"/>
      <c r="AP155" s="1"/>
      <c r="AQ155" s="1"/>
      <c r="AR155" s="1"/>
      <c r="AS155" s="1"/>
      <c r="AT155" s="1"/>
      <c r="AU155" s="1"/>
    </row>
    <row r="156" ht="15.75" customHeight="1">
      <c r="A156" s="31"/>
      <c r="B156" s="31"/>
      <c r="C156" s="3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4"/>
      <c r="AN156" s="1"/>
      <c r="AO156" s="1"/>
      <c r="AP156" s="1"/>
      <c r="AQ156" s="1"/>
      <c r="AR156" s="1"/>
      <c r="AS156" s="1"/>
      <c r="AT156" s="1"/>
      <c r="AU156" s="1"/>
    </row>
    <row r="157" ht="15.75" customHeight="1">
      <c r="A157" s="31"/>
      <c r="B157" s="31"/>
      <c r="C157" s="3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4"/>
      <c r="AN157" s="1"/>
      <c r="AO157" s="1"/>
      <c r="AP157" s="1"/>
      <c r="AQ157" s="1"/>
      <c r="AR157" s="1"/>
      <c r="AS157" s="1"/>
      <c r="AT157" s="1"/>
      <c r="AU157" s="1"/>
    </row>
    <row r="158" ht="15.75" customHeight="1">
      <c r="A158" s="31"/>
      <c r="B158" s="31"/>
      <c r="C158" s="3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4"/>
      <c r="AN158" s="1"/>
      <c r="AO158" s="1"/>
      <c r="AP158" s="1"/>
      <c r="AQ158" s="1"/>
      <c r="AR158" s="1"/>
      <c r="AS158" s="1"/>
      <c r="AT158" s="1"/>
      <c r="AU158" s="1"/>
    </row>
    <row r="159" ht="15.75" customHeight="1">
      <c r="A159" s="31"/>
      <c r="B159" s="31"/>
      <c r="C159" s="3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4"/>
      <c r="AN159" s="1"/>
      <c r="AO159" s="1"/>
      <c r="AP159" s="1"/>
      <c r="AQ159" s="1"/>
      <c r="AR159" s="1"/>
      <c r="AS159" s="1"/>
      <c r="AT159" s="1"/>
      <c r="AU159" s="1"/>
    </row>
    <row r="160" ht="15.75" customHeight="1">
      <c r="A160" s="31"/>
      <c r="B160" s="31"/>
      <c r="C160" s="3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4"/>
      <c r="AN160" s="1"/>
      <c r="AO160" s="1"/>
      <c r="AP160" s="1"/>
      <c r="AQ160" s="1"/>
      <c r="AR160" s="1"/>
      <c r="AS160" s="1"/>
      <c r="AT160" s="1"/>
      <c r="AU160" s="1"/>
    </row>
    <row r="161" ht="15.75" customHeight="1">
      <c r="A161" s="31"/>
      <c r="B161" s="31"/>
      <c r="C161" s="3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4"/>
      <c r="AN161" s="1"/>
      <c r="AO161" s="1"/>
      <c r="AP161" s="1"/>
      <c r="AQ161" s="1"/>
      <c r="AR161" s="1"/>
      <c r="AS161" s="1"/>
      <c r="AT161" s="1"/>
      <c r="AU161" s="1"/>
    </row>
    <row r="162" ht="15.75" customHeight="1">
      <c r="A162" s="31"/>
      <c r="B162" s="31"/>
      <c r="C162" s="3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4"/>
      <c r="AN162" s="1"/>
      <c r="AO162" s="1"/>
      <c r="AP162" s="1"/>
      <c r="AQ162" s="1"/>
      <c r="AR162" s="1"/>
      <c r="AS162" s="1"/>
      <c r="AT162" s="1"/>
      <c r="AU162" s="1"/>
    </row>
    <row r="163" ht="15.75" customHeight="1">
      <c r="A163" s="31"/>
      <c r="B163" s="31"/>
      <c r="C163" s="3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4"/>
      <c r="AN163" s="1"/>
      <c r="AO163" s="1"/>
      <c r="AP163" s="1"/>
      <c r="AQ163" s="1"/>
      <c r="AR163" s="1"/>
      <c r="AS163" s="1"/>
      <c r="AT163" s="1"/>
      <c r="AU163" s="1"/>
    </row>
    <row r="164" ht="15.75" customHeight="1">
      <c r="A164" s="31"/>
      <c r="B164" s="31"/>
      <c r="C164" s="3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4"/>
      <c r="AN164" s="1"/>
      <c r="AO164" s="1"/>
      <c r="AP164" s="1"/>
      <c r="AQ164" s="1"/>
      <c r="AR164" s="1"/>
      <c r="AS164" s="1"/>
      <c r="AT164" s="1"/>
      <c r="AU164" s="1"/>
    </row>
    <row r="165" ht="15.75" customHeight="1">
      <c r="A165" s="31"/>
      <c r="B165" s="31"/>
      <c r="C165" s="3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4"/>
      <c r="AN165" s="1"/>
      <c r="AO165" s="1"/>
      <c r="AP165" s="1"/>
      <c r="AQ165" s="1"/>
      <c r="AR165" s="1"/>
      <c r="AS165" s="1"/>
      <c r="AT165" s="1"/>
      <c r="AU165" s="1"/>
    </row>
    <row r="166" ht="15.75" customHeight="1">
      <c r="A166" s="31"/>
      <c r="B166" s="31"/>
      <c r="C166" s="3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4"/>
      <c r="AN166" s="1"/>
      <c r="AO166" s="1"/>
      <c r="AP166" s="1"/>
      <c r="AQ166" s="1"/>
      <c r="AR166" s="1"/>
      <c r="AS166" s="1"/>
      <c r="AT166" s="1"/>
      <c r="AU166" s="1"/>
    </row>
    <row r="167" ht="15.75" customHeight="1">
      <c r="A167" s="31"/>
      <c r="B167" s="31"/>
      <c r="C167" s="3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4"/>
      <c r="AN167" s="1"/>
      <c r="AO167" s="1"/>
      <c r="AP167" s="1"/>
      <c r="AQ167" s="1"/>
      <c r="AR167" s="1"/>
      <c r="AS167" s="1"/>
      <c r="AT167" s="1"/>
      <c r="AU167" s="1"/>
    </row>
    <row r="168" ht="15.75" customHeight="1">
      <c r="A168" s="31"/>
      <c r="B168" s="31"/>
      <c r="C168" s="3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4"/>
      <c r="AN168" s="1"/>
      <c r="AO168" s="1"/>
      <c r="AP168" s="1"/>
      <c r="AQ168" s="1"/>
      <c r="AR168" s="1"/>
      <c r="AS168" s="1"/>
      <c r="AT168" s="1"/>
      <c r="AU168" s="1"/>
    </row>
    <row r="169" ht="15.75" customHeight="1">
      <c r="A169" s="31"/>
      <c r="B169" s="31"/>
      <c r="C169" s="3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4"/>
      <c r="AN169" s="1"/>
      <c r="AO169" s="1"/>
      <c r="AP169" s="1"/>
      <c r="AQ169" s="1"/>
      <c r="AR169" s="1"/>
      <c r="AS169" s="1"/>
      <c r="AT169" s="1"/>
      <c r="AU169" s="1"/>
    </row>
    <row r="170" ht="15.75" customHeight="1">
      <c r="A170" s="31"/>
      <c r="B170" s="31"/>
      <c r="C170" s="3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4"/>
      <c r="AN170" s="1"/>
      <c r="AO170" s="1"/>
      <c r="AP170" s="1"/>
      <c r="AQ170" s="1"/>
      <c r="AR170" s="1"/>
      <c r="AS170" s="1"/>
      <c r="AT170" s="1"/>
      <c r="AU170" s="1"/>
    </row>
    <row r="171" ht="15.75" customHeight="1">
      <c r="A171" s="31"/>
      <c r="B171" s="31"/>
      <c r="C171" s="3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4"/>
      <c r="AN171" s="1"/>
      <c r="AO171" s="1"/>
      <c r="AP171" s="1"/>
      <c r="AQ171" s="1"/>
      <c r="AR171" s="1"/>
      <c r="AS171" s="1"/>
      <c r="AT171" s="1"/>
      <c r="AU171" s="1"/>
    </row>
    <row r="172" ht="15.75" customHeight="1">
      <c r="A172" s="31"/>
      <c r="B172" s="31"/>
      <c r="C172" s="3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4"/>
      <c r="AN172" s="1"/>
      <c r="AO172" s="1"/>
      <c r="AP172" s="1"/>
      <c r="AQ172" s="1"/>
      <c r="AR172" s="1"/>
      <c r="AS172" s="1"/>
      <c r="AT172" s="1"/>
      <c r="AU172" s="1"/>
    </row>
    <row r="173" ht="15.75" customHeight="1">
      <c r="A173" s="31"/>
      <c r="B173" s="31"/>
      <c r="C173" s="3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4"/>
      <c r="AN173" s="1"/>
      <c r="AO173" s="1"/>
      <c r="AP173" s="1"/>
      <c r="AQ173" s="1"/>
      <c r="AR173" s="1"/>
      <c r="AS173" s="1"/>
      <c r="AT173" s="1"/>
      <c r="AU173" s="1"/>
    </row>
    <row r="174" ht="15.75" customHeight="1">
      <c r="A174" s="31"/>
      <c r="B174" s="31"/>
      <c r="C174" s="3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4"/>
      <c r="AN174" s="1"/>
      <c r="AO174" s="1"/>
      <c r="AP174" s="1"/>
      <c r="AQ174" s="1"/>
      <c r="AR174" s="1"/>
      <c r="AS174" s="1"/>
      <c r="AT174" s="1"/>
      <c r="AU174" s="1"/>
    </row>
    <row r="175" ht="15.75" customHeight="1">
      <c r="A175" s="31"/>
      <c r="B175" s="31"/>
      <c r="C175" s="3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4"/>
      <c r="AN175" s="1"/>
      <c r="AO175" s="1"/>
      <c r="AP175" s="1"/>
      <c r="AQ175" s="1"/>
      <c r="AR175" s="1"/>
      <c r="AS175" s="1"/>
      <c r="AT175" s="1"/>
      <c r="AU175" s="1"/>
    </row>
    <row r="176" ht="15.75" customHeight="1">
      <c r="A176" s="31"/>
      <c r="B176" s="31"/>
      <c r="C176" s="3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4"/>
      <c r="AN176" s="1"/>
      <c r="AO176" s="1"/>
      <c r="AP176" s="1"/>
      <c r="AQ176" s="1"/>
      <c r="AR176" s="1"/>
      <c r="AS176" s="1"/>
      <c r="AT176" s="1"/>
      <c r="AU176" s="1"/>
    </row>
    <row r="177" ht="15.75" customHeight="1">
      <c r="A177" s="31"/>
      <c r="B177" s="31"/>
      <c r="C177" s="3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4"/>
      <c r="AN177" s="1"/>
      <c r="AO177" s="1"/>
      <c r="AP177" s="1"/>
      <c r="AQ177" s="1"/>
      <c r="AR177" s="1"/>
      <c r="AS177" s="1"/>
      <c r="AT177" s="1"/>
      <c r="AU177" s="1"/>
    </row>
    <row r="178" ht="15.75" customHeight="1">
      <c r="A178" s="31"/>
      <c r="B178" s="31"/>
      <c r="C178" s="3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4"/>
      <c r="AN178" s="1"/>
      <c r="AO178" s="1"/>
      <c r="AP178" s="1"/>
      <c r="AQ178" s="1"/>
      <c r="AR178" s="1"/>
      <c r="AS178" s="1"/>
      <c r="AT178" s="1"/>
      <c r="AU178" s="1"/>
    </row>
    <row r="179" ht="15.75" customHeight="1">
      <c r="A179" s="31"/>
      <c r="B179" s="31"/>
      <c r="C179" s="3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4"/>
      <c r="AN179" s="1"/>
      <c r="AO179" s="1"/>
      <c r="AP179" s="1"/>
      <c r="AQ179" s="1"/>
      <c r="AR179" s="1"/>
      <c r="AS179" s="1"/>
      <c r="AT179" s="1"/>
      <c r="AU179" s="1"/>
    </row>
    <row r="180" ht="15.75" customHeight="1">
      <c r="A180" s="31"/>
      <c r="B180" s="31"/>
      <c r="C180" s="3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4"/>
      <c r="AN180" s="1"/>
      <c r="AO180" s="1"/>
      <c r="AP180" s="1"/>
      <c r="AQ180" s="1"/>
      <c r="AR180" s="1"/>
      <c r="AS180" s="1"/>
      <c r="AT180" s="1"/>
      <c r="AU180" s="1"/>
    </row>
    <row r="181" ht="15.75" customHeight="1">
      <c r="A181" s="31"/>
      <c r="B181" s="31"/>
      <c r="C181" s="3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4"/>
      <c r="AN181" s="1"/>
      <c r="AO181" s="1"/>
      <c r="AP181" s="1"/>
      <c r="AQ181" s="1"/>
      <c r="AR181" s="1"/>
      <c r="AS181" s="1"/>
      <c r="AT181" s="1"/>
      <c r="AU181" s="1"/>
    </row>
    <row r="182" ht="15.75" customHeight="1">
      <c r="A182" s="31"/>
      <c r="B182" s="31"/>
      <c r="C182" s="3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4"/>
      <c r="AN182" s="1"/>
      <c r="AO182" s="1"/>
      <c r="AP182" s="1"/>
      <c r="AQ182" s="1"/>
      <c r="AR182" s="1"/>
      <c r="AS182" s="1"/>
      <c r="AT182" s="1"/>
      <c r="AU182" s="1"/>
    </row>
    <row r="183" ht="15.75" customHeight="1">
      <c r="A183" s="31"/>
      <c r="B183" s="31"/>
      <c r="C183" s="3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4"/>
      <c r="AN183" s="1"/>
      <c r="AO183" s="1"/>
      <c r="AP183" s="1"/>
      <c r="AQ183" s="1"/>
      <c r="AR183" s="1"/>
      <c r="AS183" s="1"/>
      <c r="AT183" s="1"/>
      <c r="AU183" s="1"/>
    </row>
    <row r="184" ht="15.75" customHeight="1">
      <c r="A184" s="31"/>
      <c r="B184" s="31"/>
      <c r="C184" s="3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4"/>
      <c r="AN184" s="1"/>
      <c r="AO184" s="1"/>
      <c r="AP184" s="1"/>
      <c r="AQ184" s="1"/>
      <c r="AR184" s="1"/>
      <c r="AS184" s="1"/>
      <c r="AT184" s="1"/>
      <c r="AU184" s="1"/>
    </row>
    <row r="185" ht="15.75" customHeight="1">
      <c r="A185" s="31"/>
      <c r="B185" s="31"/>
      <c r="C185" s="3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4"/>
      <c r="AN185" s="1"/>
      <c r="AO185" s="1"/>
      <c r="AP185" s="1"/>
      <c r="AQ185" s="1"/>
      <c r="AR185" s="1"/>
      <c r="AS185" s="1"/>
      <c r="AT185" s="1"/>
      <c r="AU185" s="1"/>
    </row>
    <row r="186" ht="15.75" customHeight="1">
      <c r="A186" s="31"/>
      <c r="B186" s="31"/>
      <c r="C186" s="3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4"/>
      <c r="AN186" s="1"/>
      <c r="AO186" s="1"/>
      <c r="AP186" s="1"/>
      <c r="AQ186" s="1"/>
      <c r="AR186" s="1"/>
      <c r="AS186" s="1"/>
      <c r="AT186" s="1"/>
      <c r="AU186" s="1"/>
    </row>
    <row r="187" ht="15.75" customHeight="1">
      <c r="A187" s="31"/>
      <c r="B187" s="31"/>
      <c r="C187" s="3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4"/>
      <c r="AN187" s="1"/>
      <c r="AO187" s="1"/>
      <c r="AP187" s="1"/>
      <c r="AQ187" s="1"/>
      <c r="AR187" s="1"/>
      <c r="AS187" s="1"/>
      <c r="AT187" s="1"/>
      <c r="AU187" s="1"/>
    </row>
    <row r="188" ht="15.75" customHeight="1">
      <c r="A188" s="31"/>
      <c r="B188" s="31"/>
      <c r="C188" s="3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4"/>
      <c r="AN188" s="1"/>
      <c r="AO188" s="1"/>
      <c r="AP188" s="1"/>
      <c r="AQ188" s="1"/>
      <c r="AR188" s="1"/>
      <c r="AS188" s="1"/>
      <c r="AT188" s="1"/>
      <c r="AU188" s="1"/>
    </row>
    <row r="189" ht="15.75" customHeight="1">
      <c r="A189" s="31"/>
      <c r="B189" s="31"/>
      <c r="C189" s="3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4"/>
      <c r="AN189" s="1"/>
      <c r="AO189" s="1"/>
      <c r="AP189" s="1"/>
      <c r="AQ189" s="1"/>
      <c r="AR189" s="1"/>
      <c r="AS189" s="1"/>
      <c r="AT189" s="1"/>
      <c r="AU189" s="1"/>
    </row>
    <row r="190" ht="15.75" customHeight="1">
      <c r="A190" s="31"/>
      <c r="B190" s="31"/>
      <c r="C190" s="3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4"/>
      <c r="AN190" s="1"/>
      <c r="AO190" s="1"/>
      <c r="AP190" s="1"/>
      <c r="AQ190" s="1"/>
      <c r="AR190" s="1"/>
      <c r="AS190" s="1"/>
      <c r="AT190" s="1"/>
      <c r="AU190" s="1"/>
    </row>
    <row r="191" ht="15.75" customHeight="1">
      <c r="A191" s="31"/>
      <c r="B191" s="31"/>
      <c r="C191" s="3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4"/>
      <c r="AN191" s="1"/>
      <c r="AO191" s="1"/>
      <c r="AP191" s="1"/>
      <c r="AQ191" s="1"/>
      <c r="AR191" s="1"/>
      <c r="AS191" s="1"/>
      <c r="AT191" s="1"/>
      <c r="AU191" s="1"/>
    </row>
    <row r="192" ht="15.75" customHeight="1">
      <c r="A192" s="31"/>
      <c r="B192" s="31"/>
      <c r="C192" s="3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4"/>
      <c r="AN192" s="1"/>
      <c r="AO192" s="1"/>
      <c r="AP192" s="1"/>
      <c r="AQ192" s="1"/>
      <c r="AR192" s="1"/>
      <c r="AS192" s="1"/>
      <c r="AT192" s="1"/>
      <c r="AU192" s="1"/>
    </row>
    <row r="193" ht="15.75" customHeight="1">
      <c r="A193" s="31"/>
      <c r="B193" s="31"/>
      <c r="C193" s="3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4"/>
      <c r="AN193" s="1"/>
      <c r="AO193" s="1"/>
      <c r="AP193" s="1"/>
      <c r="AQ193" s="1"/>
      <c r="AR193" s="1"/>
      <c r="AS193" s="1"/>
      <c r="AT193" s="1"/>
      <c r="AU193" s="1"/>
    </row>
    <row r="194" ht="15.75" customHeight="1">
      <c r="A194" s="31"/>
      <c r="B194" s="31"/>
      <c r="C194" s="3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4"/>
      <c r="AN194" s="1"/>
      <c r="AO194" s="1"/>
      <c r="AP194" s="1"/>
      <c r="AQ194" s="1"/>
      <c r="AR194" s="1"/>
      <c r="AS194" s="1"/>
      <c r="AT194" s="1"/>
      <c r="AU194" s="1"/>
    </row>
    <row r="195" ht="15.75" customHeight="1">
      <c r="A195" s="31"/>
      <c r="B195" s="31"/>
      <c r="C195" s="3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4"/>
      <c r="AN195" s="1"/>
      <c r="AO195" s="1"/>
      <c r="AP195" s="1"/>
      <c r="AQ195" s="1"/>
      <c r="AR195" s="1"/>
      <c r="AS195" s="1"/>
      <c r="AT195" s="1"/>
      <c r="AU195" s="1"/>
    </row>
    <row r="196" ht="15.75" customHeight="1">
      <c r="A196" s="31"/>
      <c r="B196" s="31"/>
      <c r="C196" s="3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4"/>
      <c r="AN196" s="1"/>
      <c r="AO196" s="1"/>
      <c r="AP196" s="1"/>
      <c r="AQ196" s="1"/>
      <c r="AR196" s="1"/>
      <c r="AS196" s="1"/>
      <c r="AT196" s="1"/>
      <c r="AU196" s="1"/>
    </row>
    <row r="197" ht="15.75" customHeight="1">
      <c r="A197" s="31"/>
      <c r="B197" s="31"/>
      <c r="C197" s="3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4"/>
      <c r="AN197" s="1"/>
      <c r="AO197" s="1"/>
      <c r="AP197" s="1"/>
      <c r="AQ197" s="1"/>
      <c r="AR197" s="1"/>
      <c r="AS197" s="1"/>
      <c r="AT197" s="1"/>
      <c r="AU197" s="1"/>
    </row>
    <row r="198" ht="15.75" customHeight="1">
      <c r="A198" s="31"/>
      <c r="B198" s="31"/>
      <c r="C198" s="3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4"/>
      <c r="AN198" s="1"/>
      <c r="AO198" s="1"/>
      <c r="AP198" s="1"/>
      <c r="AQ198" s="1"/>
      <c r="AR198" s="1"/>
      <c r="AS198" s="1"/>
      <c r="AT198" s="1"/>
      <c r="AU198" s="1"/>
    </row>
    <row r="199" ht="15.75" customHeight="1">
      <c r="A199" s="31"/>
      <c r="B199" s="31"/>
      <c r="C199" s="3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4"/>
      <c r="AN199" s="1"/>
      <c r="AO199" s="1"/>
      <c r="AP199" s="1"/>
      <c r="AQ199" s="1"/>
      <c r="AR199" s="1"/>
      <c r="AS199" s="1"/>
      <c r="AT199" s="1"/>
      <c r="AU199" s="1"/>
    </row>
    <row r="200" ht="15.75" customHeight="1">
      <c r="A200" s="31"/>
      <c r="B200" s="31"/>
      <c r="C200" s="3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4"/>
      <c r="AN200" s="1"/>
      <c r="AO200" s="1"/>
      <c r="AP200" s="1"/>
      <c r="AQ200" s="1"/>
      <c r="AR200" s="1"/>
      <c r="AS200" s="1"/>
      <c r="AT200" s="1"/>
      <c r="AU200" s="1"/>
    </row>
    <row r="201" ht="15.75" customHeight="1">
      <c r="A201" s="31"/>
      <c r="B201" s="31"/>
      <c r="C201" s="3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4"/>
      <c r="AN201" s="1"/>
      <c r="AO201" s="1"/>
      <c r="AP201" s="1"/>
      <c r="AQ201" s="1"/>
      <c r="AR201" s="1"/>
      <c r="AS201" s="1"/>
      <c r="AT201" s="1"/>
      <c r="AU201" s="1"/>
    </row>
    <row r="202" ht="15.75" customHeight="1">
      <c r="A202" s="31"/>
      <c r="B202" s="31"/>
      <c r="C202" s="3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4"/>
      <c r="AN202" s="1"/>
      <c r="AO202" s="1"/>
      <c r="AP202" s="1"/>
      <c r="AQ202" s="1"/>
      <c r="AR202" s="1"/>
      <c r="AS202" s="1"/>
      <c r="AT202" s="1"/>
      <c r="AU202" s="1"/>
    </row>
    <row r="203" ht="15.75" customHeight="1">
      <c r="A203" s="31"/>
      <c r="B203" s="31"/>
      <c r="C203" s="3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4"/>
      <c r="AN203" s="1"/>
      <c r="AO203" s="1"/>
      <c r="AP203" s="1"/>
      <c r="AQ203" s="1"/>
      <c r="AR203" s="1"/>
      <c r="AS203" s="1"/>
      <c r="AT203" s="1"/>
      <c r="AU203" s="1"/>
    </row>
    <row r="204" ht="15.75" customHeight="1">
      <c r="A204" s="31"/>
      <c r="B204" s="31"/>
      <c r="C204" s="3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4"/>
      <c r="AN204" s="1"/>
      <c r="AO204" s="1"/>
      <c r="AP204" s="1"/>
      <c r="AQ204" s="1"/>
      <c r="AR204" s="1"/>
      <c r="AS204" s="1"/>
      <c r="AT204" s="1"/>
      <c r="AU204" s="1"/>
    </row>
    <row r="205" ht="15.75" customHeight="1">
      <c r="A205" s="31"/>
      <c r="B205" s="31"/>
      <c r="C205" s="3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4"/>
      <c r="AN205" s="1"/>
      <c r="AO205" s="1"/>
      <c r="AP205" s="1"/>
      <c r="AQ205" s="1"/>
      <c r="AR205" s="1"/>
      <c r="AS205" s="1"/>
      <c r="AT205" s="1"/>
      <c r="AU205" s="1"/>
    </row>
    <row r="206" ht="15.75" customHeight="1">
      <c r="A206" s="31"/>
      <c r="B206" s="31"/>
      <c r="C206" s="3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4"/>
      <c r="AN206" s="1"/>
      <c r="AO206" s="1"/>
      <c r="AP206" s="1"/>
      <c r="AQ206" s="1"/>
      <c r="AR206" s="1"/>
      <c r="AS206" s="1"/>
      <c r="AT206" s="1"/>
      <c r="AU206" s="1"/>
    </row>
    <row r="207" ht="15.75" customHeight="1">
      <c r="A207" s="31"/>
      <c r="B207" s="31"/>
      <c r="C207" s="3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4"/>
      <c r="AN207" s="1"/>
      <c r="AO207" s="1"/>
      <c r="AP207" s="1"/>
      <c r="AQ207" s="1"/>
      <c r="AR207" s="1"/>
      <c r="AS207" s="1"/>
      <c r="AT207" s="1"/>
      <c r="AU207" s="1"/>
    </row>
    <row r="208" ht="15.75" customHeight="1">
      <c r="A208" s="31"/>
      <c r="B208" s="31"/>
      <c r="C208" s="3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4"/>
      <c r="AN208" s="1"/>
      <c r="AO208" s="1"/>
      <c r="AP208" s="1"/>
      <c r="AQ208" s="1"/>
      <c r="AR208" s="1"/>
      <c r="AS208" s="1"/>
      <c r="AT208" s="1"/>
      <c r="AU208" s="1"/>
    </row>
    <row r="209" ht="15.75" customHeight="1">
      <c r="A209" s="31"/>
      <c r="B209" s="31"/>
      <c r="C209" s="3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4"/>
      <c r="AN209" s="1"/>
      <c r="AO209" s="1"/>
      <c r="AP209" s="1"/>
      <c r="AQ209" s="1"/>
      <c r="AR209" s="1"/>
      <c r="AS209" s="1"/>
      <c r="AT209" s="1"/>
      <c r="AU209" s="1"/>
    </row>
    <row r="210" ht="15.75" customHeight="1">
      <c r="A210" s="31"/>
      <c r="B210" s="31"/>
      <c r="C210" s="3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4"/>
      <c r="AN210" s="1"/>
      <c r="AO210" s="1"/>
      <c r="AP210" s="1"/>
      <c r="AQ210" s="1"/>
      <c r="AR210" s="1"/>
      <c r="AS210" s="1"/>
      <c r="AT210" s="1"/>
      <c r="AU210" s="1"/>
    </row>
    <row r="211" ht="15.75" customHeight="1">
      <c r="A211" s="31"/>
      <c r="B211" s="31"/>
      <c r="C211" s="3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4"/>
      <c r="AN211" s="1"/>
      <c r="AO211" s="1"/>
      <c r="AP211" s="1"/>
      <c r="AQ211" s="1"/>
      <c r="AR211" s="1"/>
      <c r="AS211" s="1"/>
      <c r="AT211" s="1"/>
      <c r="AU211" s="1"/>
    </row>
    <row r="212" ht="15.75" customHeight="1">
      <c r="A212" s="31"/>
      <c r="B212" s="31"/>
      <c r="C212" s="3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4"/>
      <c r="AN212" s="1"/>
      <c r="AO212" s="1"/>
      <c r="AP212" s="1"/>
      <c r="AQ212" s="1"/>
      <c r="AR212" s="1"/>
      <c r="AS212" s="1"/>
      <c r="AT212" s="1"/>
      <c r="AU212" s="1"/>
    </row>
    <row r="213" ht="15.75" customHeight="1">
      <c r="A213" s="31"/>
      <c r="B213" s="31"/>
      <c r="C213" s="3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4"/>
      <c r="AN213" s="1"/>
      <c r="AO213" s="1"/>
      <c r="AP213" s="1"/>
      <c r="AQ213" s="1"/>
      <c r="AR213" s="1"/>
      <c r="AS213" s="1"/>
      <c r="AT213" s="1"/>
      <c r="AU213" s="1"/>
    </row>
    <row r="214" ht="15.75" customHeight="1">
      <c r="A214" s="31"/>
      <c r="B214" s="31"/>
      <c r="C214" s="3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4"/>
      <c r="AN214" s="1"/>
      <c r="AO214" s="1"/>
      <c r="AP214" s="1"/>
      <c r="AQ214" s="1"/>
      <c r="AR214" s="1"/>
      <c r="AS214" s="1"/>
      <c r="AT214" s="1"/>
      <c r="AU214" s="1"/>
    </row>
    <row r="215" ht="15.75" customHeight="1">
      <c r="A215" s="31"/>
      <c r="B215" s="31"/>
      <c r="C215" s="3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4"/>
      <c r="AN215" s="1"/>
      <c r="AO215" s="1"/>
      <c r="AP215" s="1"/>
      <c r="AQ215" s="1"/>
      <c r="AR215" s="1"/>
      <c r="AS215" s="1"/>
      <c r="AT215" s="1"/>
      <c r="AU215" s="1"/>
    </row>
    <row r="216" ht="15.75" customHeight="1">
      <c r="A216" s="31"/>
      <c r="B216" s="31"/>
      <c r="C216" s="3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4"/>
      <c r="AN216" s="1"/>
      <c r="AO216" s="1"/>
      <c r="AP216" s="1"/>
      <c r="AQ216" s="1"/>
      <c r="AR216" s="1"/>
      <c r="AS216" s="1"/>
      <c r="AT216" s="1"/>
      <c r="AU216" s="1"/>
    </row>
    <row r="217" ht="15.75" customHeight="1">
      <c r="A217" s="31"/>
      <c r="B217" s="31"/>
      <c r="C217" s="3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4"/>
      <c r="AN217" s="1"/>
      <c r="AO217" s="1"/>
      <c r="AP217" s="1"/>
      <c r="AQ217" s="1"/>
      <c r="AR217" s="1"/>
      <c r="AS217" s="1"/>
      <c r="AT217" s="1"/>
      <c r="AU217" s="1"/>
    </row>
    <row r="218" ht="15.75" customHeight="1">
      <c r="A218" s="31"/>
      <c r="B218" s="31"/>
      <c r="C218" s="3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4"/>
      <c r="AN218" s="1"/>
      <c r="AO218" s="1"/>
      <c r="AP218" s="1"/>
      <c r="AQ218" s="1"/>
      <c r="AR218" s="1"/>
      <c r="AS218" s="1"/>
      <c r="AT218" s="1"/>
      <c r="AU218" s="1"/>
    </row>
    <row r="219" ht="15.75" customHeight="1">
      <c r="A219" s="31"/>
      <c r="B219" s="31"/>
      <c r="C219" s="3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4"/>
      <c r="AN219" s="1"/>
      <c r="AO219" s="1"/>
      <c r="AP219" s="1"/>
      <c r="AQ219" s="1"/>
      <c r="AR219" s="1"/>
      <c r="AS219" s="1"/>
      <c r="AT219" s="1"/>
      <c r="AU219" s="1"/>
    </row>
    <row r="220" ht="15.75" customHeight="1">
      <c r="A220" s="31"/>
      <c r="B220" s="31"/>
      <c r="C220" s="3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4"/>
      <c r="AN220" s="1"/>
      <c r="AO220" s="1"/>
      <c r="AP220" s="1"/>
      <c r="AQ220" s="1"/>
      <c r="AR220" s="1"/>
      <c r="AS220" s="1"/>
      <c r="AT220" s="1"/>
      <c r="AU220" s="1"/>
    </row>
    <row r="221" ht="15.75" customHeight="1">
      <c r="A221" s="31"/>
      <c r="B221" s="31"/>
      <c r="C221" s="3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4"/>
      <c r="AN221" s="1"/>
      <c r="AO221" s="1"/>
      <c r="AP221" s="1"/>
      <c r="AQ221" s="1"/>
      <c r="AR221" s="1"/>
      <c r="AS221" s="1"/>
      <c r="AT221" s="1"/>
      <c r="AU221" s="1"/>
    </row>
    <row r="222" ht="15.75" customHeight="1">
      <c r="A222" s="31"/>
      <c r="B222" s="31"/>
      <c r="C222" s="3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4"/>
      <c r="AN222" s="1"/>
      <c r="AO222" s="1"/>
      <c r="AP222" s="1"/>
      <c r="AQ222" s="1"/>
      <c r="AR222" s="1"/>
      <c r="AS222" s="1"/>
      <c r="AT222" s="1"/>
      <c r="AU222" s="1"/>
    </row>
    <row r="223" ht="15.75" customHeight="1">
      <c r="A223" s="31"/>
      <c r="B223" s="31"/>
      <c r="C223" s="3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4"/>
      <c r="AN223" s="1"/>
      <c r="AO223" s="1"/>
      <c r="AP223" s="1"/>
      <c r="AQ223" s="1"/>
      <c r="AR223" s="1"/>
      <c r="AS223" s="1"/>
      <c r="AT223" s="1"/>
      <c r="AU223" s="1"/>
    </row>
    <row r="224" ht="15.75" customHeight="1">
      <c r="A224" s="31"/>
      <c r="B224" s="31"/>
      <c r="C224" s="3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4"/>
      <c r="AN224" s="1"/>
      <c r="AO224" s="1"/>
      <c r="AP224" s="1"/>
      <c r="AQ224" s="1"/>
      <c r="AR224" s="1"/>
      <c r="AS224" s="1"/>
      <c r="AT224" s="1"/>
      <c r="AU224" s="1"/>
    </row>
    <row r="225" ht="15.75" customHeight="1">
      <c r="A225" s="31"/>
      <c r="B225" s="31"/>
      <c r="C225" s="3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4"/>
      <c r="AN225" s="1"/>
      <c r="AO225" s="1"/>
      <c r="AP225" s="1"/>
      <c r="AQ225" s="1"/>
      <c r="AR225" s="1"/>
      <c r="AS225" s="1"/>
      <c r="AT225" s="1"/>
      <c r="AU225" s="1"/>
    </row>
    <row r="226" ht="15.75" customHeight="1">
      <c r="A226" s="31"/>
      <c r="B226" s="31"/>
      <c r="C226" s="3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4"/>
      <c r="AN226" s="1"/>
      <c r="AO226" s="1"/>
      <c r="AP226" s="1"/>
      <c r="AQ226" s="1"/>
      <c r="AR226" s="1"/>
      <c r="AS226" s="1"/>
      <c r="AT226" s="1"/>
      <c r="AU226" s="1"/>
    </row>
    <row r="227" ht="15.75" customHeight="1">
      <c r="A227" s="31"/>
      <c r="B227" s="31"/>
      <c r="C227" s="3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4"/>
      <c r="AN227" s="1"/>
      <c r="AO227" s="1"/>
      <c r="AP227" s="1"/>
      <c r="AQ227" s="1"/>
      <c r="AR227" s="1"/>
      <c r="AS227" s="1"/>
      <c r="AT227" s="1"/>
      <c r="AU227" s="1"/>
    </row>
    <row r="228" ht="15.75" customHeight="1">
      <c r="A228" s="31"/>
      <c r="B228" s="31"/>
      <c r="C228" s="3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4"/>
      <c r="AN228" s="1"/>
      <c r="AO228" s="1"/>
      <c r="AP228" s="1"/>
      <c r="AQ228" s="1"/>
      <c r="AR228" s="1"/>
      <c r="AS228" s="1"/>
      <c r="AT228" s="1"/>
      <c r="AU228" s="1"/>
    </row>
    <row r="229" ht="15.75" customHeight="1">
      <c r="A229" s="31"/>
      <c r="B229" s="31"/>
      <c r="C229" s="3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4"/>
      <c r="AN229" s="1"/>
      <c r="AO229" s="1"/>
      <c r="AP229" s="1"/>
      <c r="AQ229" s="1"/>
      <c r="AR229" s="1"/>
      <c r="AS229" s="1"/>
      <c r="AT229" s="1"/>
      <c r="AU229" s="1"/>
    </row>
    <row r="230" ht="15.75" customHeight="1">
      <c r="A230" s="31"/>
      <c r="B230" s="31"/>
      <c r="C230" s="3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4"/>
      <c r="AN230" s="1"/>
      <c r="AO230" s="1"/>
      <c r="AP230" s="1"/>
      <c r="AQ230" s="1"/>
      <c r="AR230" s="1"/>
      <c r="AS230" s="1"/>
      <c r="AT230" s="1"/>
      <c r="AU230" s="1"/>
    </row>
    <row r="231" ht="15.75" customHeight="1">
      <c r="A231" s="31"/>
      <c r="B231" s="31"/>
      <c r="C231" s="3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4"/>
      <c r="AN231" s="1"/>
      <c r="AO231" s="1"/>
      <c r="AP231" s="1"/>
      <c r="AQ231" s="1"/>
      <c r="AR231" s="1"/>
      <c r="AS231" s="1"/>
      <c r="AT231" s="1"/>
      <c r="AU231" s="1"/>
    </row>
    <row r="232" ht="15.75" customHeight="1">
      <c r="A232" s="31"/>
      <c r="B232" s="31"/>
      <c r="C232" s="3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4"/>
      <c r="AN232" s="1"/>
      <c r="AO232" s="1"/>
      <c r="AP232" s="1"/>
      <c r="AQ232" s="1"/>
      <c r="AR232" s="1"/>
      <c r="AS232" s="1"/>
      <c r="AT232" s="1"/>
      <c r="AU232" s="1"/>
    </row>
    <row r="233" ht="15.75" customHeight="1">
      <c r="A233" s="31"/>
      <c r="B233" s="31"/>
      <c r="C233" s="3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4"/>
      <c r="AN233" s="1"/>
      <c r="AO233" s="1"/>
      <c r="AP233" s="1"/>
      <c r="AQ233" s="1"/>
      <c r="AR233" s="1"/>
      <c r="AS233" s="1"/>
      <c r="AT233" s="1"/>
      <c r="AU233" s="1"/>
    </row>
    <row r="234" ht="15.75" customHeight="1">
      <c r="A234" s="31"/>
      <c r="B234" s="31"/>
      <c r="C234" s="3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4"/>
      <c r="AN234" s="1"/>
      <c r="AO234" s="1"/>
      <c r="AP234" s="1"/>
      <c r="AQ234" s="1"/>
      <c r="AR234" s="1"/>
      <c r="AS234" s="1"/>
      <c r="AT234" s="1"/>
      <c r="AU234" s="1"/>
    </row>
    <row r="235" ht="15.75" customHeight="1">
      <c r="A235" s="31"/>
      <c r="B235" s="31"/>
      <c r="C235" s="3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4"/>
      <c r="AN235" s="1"/>
      <c r="AO235" s="1"/>
      <c r="AP235" s="1"/>
      <c r="AQ235" s="1"/>
      <c r="AR235" s="1"/>
      <c r="AS235" s="1"/>
      <c r="AT235" s="1"/>
      <c r="AU235" s="1"/>
    </row>
    <row r="236" ht="15.75" customHeight="1">
      <c r="A236" s="31"/>
      <c r="B236" s="31"/>
      <c r="C236" s="3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4"/>
      <c r="AN236" s="1"/>
      <c r="AO236" s="1"/>
      <c r="AP236" s="1"/>
      <c r="AQ236" s="1"/>
      <c r="AR236" s="1"/>
      <c r="AS236" s="1"/>
      <c r="AT236" s="1"/>
      <c r="AU236" s="1"/>
    </row>
    <row r="237" ht="15.75" customHeight="1">
      <c r="A237" s="31"/>
      <c r="B237" s="31"/>
      <c r="C237" s="3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4"/>
      <c r="AN237" s="1"/>
      <c r="AO237" s="1"/>
      <c r="AP237" s="1"/>
      <c r="AQ237" s="1"/>
      <c r="AR237" s="1"/>
      <c r="AS237" s="1"/>
      <c r="AT237" s="1"/>
      <c r="AU237" s="1"/>
    </row>
    <row r="238" ht="15.75" customHeight="1">
      <c r="A238" s="31"/>
      <c r="B238" s="31"/>
      <c r="C238" s="3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4"/>
      <c r="AN238" s="1"/>
      <c r="AO238" s="1"/>
      <c r="AP238" s="1"/>
      <c r="AQ238" s="1"/>
      <c r="AR238" s="1"/>
      <c r="AS238" s="1"/>
      <c r="AT238" s="1"/>
      <c r="AU238" s="1"/>
    </row>
    <row r="239" ht="15.75" customHeight="1">
      <c r="A239" s="31"/>
      <c r="B239" s="31"/>
      <c r="C239" s="3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4"/>
      <c r="AN239" s="1"/>
      <c r="AO239" s="1"/>
      <c r="AP239" s="1"/>
      <c r="AQ239" s="1"/>
      <c r="AR239" s="1"/>
      <c r="AS239" s="1"/>
      <c r="AT239" s="1"/>
      <c r="AU239" s="1"/>
    </row>
    <row r="240" ht="15.75" customHeight="1">
      <c r="A240" s="31"/>
      <c r="B240" s="31"/>
      <c r="C240" s="3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4"/>
      <c r="AN240" s="1"/>
      <c r="AO240" s="1"/>
      <c r="AP240" s="1"/>
      <c r="AQ240" s="1"/>
      <c r="AR240" s="1"/>
      <c r="AS240" s="1"/>
      <c r="AT240" s="1"/>
      <c r="AU240" s="1"/>
    </row>
    <row r="241" ht="15.75" customHeight="1">
      <c r="A241" s="31"/>
      <c r="B241" s="31"/>
      <c r="C241" s="3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4"/>
      <c r="AN241" s="1"/>
      <c r="AO241" s="1"/>
      <c r="AP241" s="1"/>
      <c r="AQ241" s="1"/>
      <c r="AR241" s="1"/>
      <c r="AS241" s="1"/>
      <c r="AT241" s="1"/>
      <c r="AU241" s="1"/>
    </row>
    <row r="242" ht="15.75" customHeight="1">
      <c r="A242" s="31"/>
      <c r="B242" s="31"/>
      <c r="C242" s="3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4"/>
      <c r="AN242" s="1"/>
      <c r="AO242" s="1"/>
      <c r="AP242" s="1"/>
      <c r="AQ242" s="1"/>
      <c r="AR242" s="1"/>
      <c r="AS242" s="1"/>
      <c r="AT242" s="1"/>
      <c r="AU242" s="1"/>
    </row>
    <row r="243" ht="15.75" customHeight="1">
      <c r="A243" s="31"/>
      <c r="B243" s="31"/>
      <c r="C243" s="3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4"/>
      <c r="AN243" s="1"/>
      <c r="AO243" s="1"/>
      <c r="AP243" s="1"/>
      <c r="AQ243" s="1"/>
      <c r="AR243" s="1"/>
      <c r="AS243" s="1"/>
      <c r="AT243" s="1"/>
      <c r="AU243" s="1"/>
    </row>
    <row r="244" ht="15.75" customHeight="1">
      <c r="A244" s="31"/>
      <c r="B244" s="31"/>
      <c r="C244" s="3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4"/>
      <c r="AN244" s="1"/>
      <c r="AO244" s="1"/>
      <c r="AP244" s="1"/>
      <c r="AQ244" s="1"/>
      <c r="AR244" s="1"/>
      <c r="AS244" s="1"/>
      <c r="AT244" s="1"/>
      <c r="AU244" s="1"/>
    </row>
    <row r="245" ht="15.75" customHeight="1">
      <c r="A245" s="31"/>
      <c r="B245" s="31"/>
      <c r="C245" s="3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4"/>
      <c r="AN245" s="1"/>
      <c r="AO245" s="1"/>
      <c r="AP245" s="1"/>
      <c r="AQ245" s="1"/>
      <c r="AR245" s="1"/>
      <c r="AS245" s="1"/>
      <c r="AT245" s="1"/>
      <c r="AU245" s="1"/>
    </row>
    <row r="246" ht="15.75" customHeight="1">
      <c r="A246" s="31"/>
      <c r="B246" s="31"/>
      <c r="C246" s="3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4"/>
      <c r="AN246" s="1"/>
      <c r="AO246" s="1"/>
      <c r="AP246" s="1"/>
      <c r="AQ246" s="1"/>
      <c r="AR246" s="1"/>
      <c r="AS246" s="1"/>
      <c r="AT246" s="1"/>
      <c r="AU246" s="1"/>
    </row>
    <row r="247" ht="15.75" customHeight="1">
      <c r="A247" s="31"/>
      <c r="B247" s="31"/>
      <c r="C247" s="3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4"/>
      <c r="AN247" s="1"/>
      <c r="AO247" s="1"/>
      <c r="AP247" s="1"/>
      <c r="AQ247" s="1"/>
      <c r="AR247" s="1"/>
      <c r="AS247" s="1"/>
      <c r="AT247" s="1"/>
      <c r="AU247" s="1"/>
    </row>
    <row r="248" ht="15.75" customHeight="1">
      <c r="A248" s="31"/>
      <c r="B248" s="31"/>
      <c r="C248" s="3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4"/>
      <c r="AN248" s="1"/>
      <c r="AO248" s="1"/>
      <c r="AP248" s="1"/>
      <c r="AQ248" s="1"/>
      <c r="AR248" s="1"/>
      <c r="AS248" s="1"/>
      <c r="AT248" s="1"/>
      <c r="AU248" s="1"/>
    </row>
    <row r="249" ht="15.75" customHeight="1">
      <c r="A249" s="31"/>
      <c r="B249" s="31"/>
      <c r="C249" s="3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4"/>
      <c r="AN249" s="1"/>
      <c r="AO249" s="1"/>
      <c r="AP249" s="1"/>
      <c r="AQ249" s="1"/>
      <c r="AR249" s="1"/>
      <c r="AS249" s="1"/>
      <c r="AT249" s="1"/>
      <c r="AU249" s="1"/>
    </row>
    <row r="250" ht="15.75" customHeight="1">
      <c r="A250" s="31"/>
      <c r="B250" s="31"/>
      <c r="C250" s="3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4"/>
      <c r="AN250" s="1"/>
      <c r="AO250" s="1"/>
      <c r="AP250" s="1"/>
      <c r="AQ250" s="1"/>
      <c r="AR250" s="1"/>
      <c r="AS250" s="1"/>
      <c r="AT250" s="1"/>
      <c r="AU250" s="1"/>
    </row>
    <row r="251" ht="15.75" customHeight="1">
      <c r="A251" s="31"/>
      <c r="B251" s="31"/>
      <c r="C251" s="3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4"/>
      <c r="AN251" s="1"/>
      <c r="AO251" s="1"/>
      <c r="AP251" s="1"/>
      <c r="AQ251" s="1"/>
      <c r="AR251" s="1"/>
      <c r="AS251" s="1"/>
      <c r="AT251" s="1"/>
      <c r="AU251" s="1"/>
    </row>
    <row r="252" ht="15.75" customHeight="1">
      <c r="A252" s="31"/>
      <c r="B252" s="31"/>
      <c r="C252" s="3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4"/>
      <c r="AN252" s="1"/>
      <c r="AO252" s="1"/>
      <c r="AP252" s="1"/>
      <c r="AQ252" s="1"/>
      <c r="AR252" s="1"/>
      <c r="AS252" s="1"/>
      <c r="AT252" s="1"/>
      <c r="AU252" s="1"/>
    </row>
    <row r="253" ht="15.75" customHeight="1">
      <c r="A253" s="31"/>
      <c r="B253" s="31"/>
      <c r="C253" s="3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4"/>
      <c r="AN253" s="1"/>
      <c r="AO253" s="1"/>
      <c r="AP253" s="1"/>
      <c r="AQ253" s="1"/>
      <c r="AR253" s="1"/>
      <c r="AS253" s="1"/>
      <c r="AT253" s="1"/>
      <c r="AU253" s="1"/>
    </row>
    <row r="254" ht="15.75" customHeight="1">
      <c r="A254" s="31"/>
      <c r="B254" s="31"/>
      <c r="C254" s="3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4"/>
      <c r="AN254" s="1"/>
      <c r="AO254" s="1"/>
      <c r="AP254" s="1"/>
      <c r="AQ254" s="1"/>
      <c r="AR254" s="1"/>
      <c r="AS254" s="1"/>
      <c r="AT254" s="1"/>
      <c r="AU254" s="1"/>
    </row>
    <row r="255" ht="15.75" customHeight="1">
      <c r="A255" s="31"/>
      <c r="B255" s="31"/>
      <c r="C255" s="3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4"/>
      <c r="AN255" s="1"/>
      <c r="AO255" s="1"/>
      <c r="AP255" s="1"/>
      <c r="AQ255" s="1"/>
      <c r="AR255" s="1"/>
      <c r="AS255" s="1"/>
      <c r="AT255" s="1"/>
      <c r="AU255" s="1"/>
    </row>
    <row r="256" ht="15.75" customHeight="1">
      <c r="A256" s="31"/>
      <c r="B256" s="31"/>
      <c r="C256" s="3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4"/>
      <c r="AN256" s="1"/>
      <c r="AO256" s="1"/>
      <c r="AP256" s="1"/>
      <c r="AQ256" s="1"/>
      <c r="AR256" s="1"/>
      <c r="AS256" s="1"/>
      <c r="AT256" s="1"/>
      <c r="AU256" s="1"/>
    </row>
    <row r="257" ht="15.75" customHeight="1">
      <c r="A257" s="31"/>
      <c r="B257" s="31"/>
      <c r="C257" s="3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4"/>
      <c r="AN257" s="1"/>
      <c r="AO257" s="1"/>
      <c r="AP257" s="1"/>
      <c r="AQ257" s="1"/>
      <c r="AR257" s="1"/>
      <c r="AS257" s="1"/>
      <c r="AT257" s="1"/>
      <c r="AU257" s="1"/>
    </row>
    <row r="258" ht="15.75" customHeight="1">
      <c r="A258" s="31"/>
      <c r="B258" s="31"/>
      <c r="C258" s="3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4"/>
      <c r="AN258" s="1"/>
      <c r="AO258" s="1"/>
      <c r="AP258" s="1"/>
      <c r="AQ258" s="1"/>
      <c r="AR258" s="1"/>
      <c r="AS258" s="1"/>
      <c r="AT258" s="1"/>
      <c r="AU258" s="1"/>
    </row>
    <row r="259" ht="15.75" customHeight="1">
      <c r="A259" s="31"/>
      <c r="B259" s="31"/>
      <c r="C259" s="3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4"/>
      <c r="AN259" s="1"/>
      <c r="AO259" s="1"/>
      <c r="AP259" s="1"/>
      <c r="AQ259" s="1"/>
      <c r="AR259" s="1"/>
      <c r="AS259" s="1"/>
      <c r="AT259" s="1"/>
      <c r="AU259" s="1"/>
    </row>
    <row r="260" ht="15.75" customHeight="1">
      <c r="A260" s="31"/>
      <c r="B260" s="31"/>
      <c r="C260" s="3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4"/>
      <c r="AN260" s="1"/>
      <c r="AO260" s="1"/>
      <c r="AP260" s="1"/>
      <c r="AQ260" s="1"/>
      <c r="AR260" s="1"/>
      <c r="AS260" s="1"/>
      <c r="AT260" s="1"/>
      <c r="AU260" s="1"/>
    </row>
    <row r="261" ht="15.75" customHeight="1">
      <c r="A261" s="31"/>
      <c r="B261" s="31"/>
      <c r="C261" s="3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4"/>
      <c r="AN261" s="1"/>
      <c r="AO261" s="1"/>
      <c r="AP261" s="1"/>
      <c r="AQ261" s="1"/>
      <c r="AR261" s="1"/>
      <c r="AS261" s="1"/>
      <c r="AT261" s="1"/>
      <c r="AU261" s="1"/>
    </row>
    <row r="262" ht="15.75" customHeight="1">
      <c r="A262" s="31"/>
      <c r="B262" s="31"/>
      <c r="C262" s="3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4"/>
      <c r="AN262" s="1"/>
      <c r="AO262" s="1"/>
      <c r="AP262" s="1"/>
      <c r="AQ262" s="1"/>
      <c r="AR262" s="1"/>
      <c r="AS262" s="1"/>
      <c r="AT262" s="1"/>
      <c r="AU262" s="1"/>
    </row>
    <row r="263" ht="15.75" customHeight="1">
      <c r="A263" s="31"/>
      <c r="B263" s="31"/>
      <c r="C263" s="3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4"/>
      <c r="AN263" s="1"/>
      <c r="AO263" s="1"/>
      <c r="AP263" s="1"/>
      <c r="AQ263" s="1"/>
      <c r="AR263" s="1"/>
      <c r="AS263" s="1"/>
      <c r="AT263" s="1"/>
      <c r="AU263" s="1"/>
    </row>
    <row r="264" ht="15.75" customHeight="1">
      <c r="A264" s="31"/>
      <c r="B264" s="31"/>
      <c r="C264" s="3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4"/>
      <c r="AN264" s="1"/>
      <c r="AO264" s="1"/>
      <c r="AP264" s="1"/>
      <c r="AQ264" s="1"/>
      <c r="AR264" s="1"/>
      <c r="AS264" s="1"/>
      <c r="AT264" s="1"/>
      <c r="AU264" s="1"/>
    </row>
    <row r="265" ht="15.75" customHeight="1">
      <c r="A265" s="31"/>
      <c r="B265" s="31"/>
      <c r="C265" s="3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4"/>
      <c r="AN265" s="1"/>
      <c r="AO265" s="1"/>
      <c r="AP265" s="1"/>
      <c r="AQ265" s="1"/>
      <c r="AR265" s="1"/>
      <c r="AS265" s="1"/>
      <c r="AT265" s="1"/>
      <c r="AU265" s="1"/>
    </row>
    <row r="266" ht="15.75" customHeight="1">
      <c r="A266" s="31"/>
      <c r="B266" s="31"/>
      <c r="C266" s="3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4"/>
      <c r="AN266" s="1"/>
      <c r="AO266" s="1"/>
      <c r="AP266" s="1"/>
      <c r="AQ266" s="1"/>
      <c r="AR266" s="1"/>
      <c r="AS266" s="1"/>
      <c r="AT266" s="1"/>
      <c r="AU266" s="1"/>
    </row>
    <row r="267" ht="15.75" customHeight="1">
      <c r="A267" s="31"/>
      <c r="B267" s="31"/>
      <c r="C267" s="3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4"/>
      <c r="AN267" s="1"/>
      <c r="AO267" s="1"/>
      <c r="AP267" s="1"/>
      <c r="AQ267" s="1"/>
      <c r="AR267" s="1"/>
      <c r="AS267" s="1"/>
      <c r="AT267" s="1"/>
      <c r="AU267" s="1"/>
    </row>
    <row r="268" ht="15.75" customHeight="1">
      <c r="A268" s="31"/>
      <c r="B268" s="31"/>
      <c r="C268" s="3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4"/>
      <c r="AN268" s="1"/>
      <c r="AO268" s="1"/>
      <c r="AP268" s="1"/>
      <c r="AQ268" s="1"/>
      <c r="AR268" s="1"/>
      <c r="AS268" s="1"/>
      <c r="AT268" s="1"/>
      <c r="AU268" s="1"/>
    </row>
    <row r="269" ht="15.75" customHeight="1">
      <c r="A269" s="31"/>
      <c r="B269" s="31"/>
      <c r="C269" s="3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4"/>
      <c r="AN269" s="1"/>
      <c r="AO269" s="1"/>
      <c r="AP269" s="1"/>
      <c r="AQ269" s="1"/>
      <c r="AR269" s="1"/>
      <c r="AS269" s="1"/>
      <c r="AT269" s="1"/>
      <c r="AU269" s="1"/>
    </row>
    <row r="270" ht="15.75" customHeight="1">
      <c r="A270" s="31"/>
      <c r="B270" s="31"/>
      <c r="C270" s="3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4"/>
      <c r="AN270" s="1"/>
      <c r="AO270" s="1"/>
      <c r="AP270" s="1"/>
      <c r="AQ270" s="1"/>
      <c r="AR270" s="1"/>
      <c r="AS270" s="1"/>
      <c r="AT270" s="1"/>
      <c r="AU270" s="1"/>
    </row>
    <row r="271" ht="15.75" customHeight="1">
      <c r="A271" s="31"/>
      <c r="B271" s="31"/>
      <c r="C271" s="3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4"/>
      <c r="AN271" s="1"/>
      <c r="AO271" s="1"/>
      <c r="AP271" s="1"/>
      <c r="AQ271" s="1"/>
      <c r="AR271" s="1"/>
      <c r="AS271" s="1"/>
      <c r="AT271" s="1"/>
      <c r="AU271" s="1"/>
    </row>
    <row r="272" ht="15.75" customHeight="1">
      <c r="A272" s="31"/>
      <c r="B272" s="31"/>
      <c r="C272" s="3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4"/>
      <c r="AN272" s="1"/>
      <c r="AO272" s="1"/>
      <c r="AP272" s="1"/>
      <c r="AQ272" s="1"/>
      <c r="AR272" s="1"/>
      <c r="AS272" s="1"/>
      <c r="AT272" s="1"/>
      <c r="AU272" s="1"/>
    </row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6">
    <mergeCell ref="A7:A9"/>
    <mergeCell ref="B7:B9"/>
    <mergeCell ref="C7:C9"/>
    <mergeCell ref="AM7:AM9"/>
    <mergeCell ref="A2:A3"/>
    <mergeCell ref="B2:B3"/>
    <mergeCell ref="C2:C3"/>
    <mergeCell ref="D2:D3"/>
    <mergeCell ref="A4:A6"/>
    <mergeCell ref="B4:B6"/>
    <mergeCell ref="C4:C6"/>
    <mergeCell ref="B16:B18"/>
    <mergeCell ref="C16:C18"/>
    <mergeCell ref="AM16:AM18"/>
    <mergeCell ref="A19:A21"/>
    <mergeCell ref="B19:B21"/>
    <mergeCell ref="C19:C21"/>
    <mergeCell ref="AM19:AM21"/>
    <mergeCell ref="A10:A12"/>
    <mergeCell ref="B10:B12"/>
    <mergeCell ref="C10:C12"/>
    <mergeCell ref="A13:A15"/>
    <mergeCell ref="B13:B15"/>
    <mergeCell ref="C13:C15"/>
    <mergeCell ref="A16:A18"/>
    <mergeCell ref="B28:B30"/>
    <mergeCell ref="C28:C30"/>
    <mergeCell ref="A22:A24"/>
    <mergeCell ref="B22:B24"/>
    <mergeCell ref="C22:C24"/>
    <mergeCell ref="A25:A27"/>
    <mergeCell ref="B25:B27"/>
    <mergeCell ref="C25:C27"/>
    <mergeCell ref="A28:A30"/>
    <mergeCell ref="B64:B66"/>
    <mergeCell ref="C64:C66"/>
    <mergeCell ref="A58:A60"/>
    <mergeCell ref="B58:B60"/>
    <mergeCell ref="C58:C60"/>
    <mergeCell ref="A61:A63"/>
    <mergeCell ref="B61:B63"/>
    <mergeCell ref="C61:C63"/>
    <mergeCell ref="A64:A66"/>
    <mergeCell ref="B37:B39"/>
    <mergeCell ref="C37:C39"/>
    <mergeCell ref="A31:A33"/>
    <mergeCell ref="B31:B33"/>
    <mergeCell ref="C31:C33"/>
    <mergeCell ref="A34:A36"/>
    <mergeCell ref="B34:B36"/>
    <mergeCell ref="C34:C36"/>
    <mergeCell ref="A37:A39"/>
    <mergeCell ref="B46:B48"/>
    <mergeCell ref="C46:C48"/>
    <mergeCell ref="A40:A42"/>
    <mergeCell ref="B40:B42"/>
    <mergeCell ref="C40:C42"/>
    <mergeCell ref="A43:A45"/>
    <mergeCell ref="B43:B45"/>
    <mergeCell ref="C43:C45"/>
    <mergeCell ref="A46:A48"/>
    <mergeCell ref="B55:B57"/>
    <mergeCell ref="C55:C57"/>
    <mergeCell ref="A49:A51"/>
    <mergeCell ref="B49:B51"/>
    <mergeCell ref="C49:C51"/>
    <mergeCell ref="A52:A54"/>
    <mergeCell ref="B52:B54"/>
    <mergeCell ref="C52:C54"/>
    <mergeCell ref="A55:A57"/>
    <mergeCell ref="A67:A69"/>
    <mergeCell ref="B67:B69"/>
    <mergeCell ref="C67:C69"/>
    <mergeCell ref="A70:A72"/>
    <mergeCell ref="B70:B72"/>
    <mergeCell ref="C70:C72"/>
  </mergeCells>
  <printOptions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4" width="12.63"/>
    <col customWidth="1" min="5" max="35" width="2.63"/>
    <col customWidth="1" min="36" max="36" width="5.25"/>
    <col customWidth="1" min="37" max="37" width="5.63"/>
    <col customWidth="1" min="38" max="38" width="7.63"/>
    <col customWidth="1" min="39" max="39" width="25.75"/>
    <col customWidth="1" min="40" max="47" width="2.63"/>
  </cols>
  <sheetData>
    <row r="1" ht="15.75" customHeight="1">
      <c r="A1" s="1">
        <v>2025.0</v>
      </c>
      <c r="B1" s="1">
        <v>6.0</v>
      </c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4"/>
      <c r="AN1" s="1"/>
      <c r="AO1" s="1"/>
      <c r="AP1" s="1"/>
      <c r="AQ1" s="1"/>
      <c r="AR1" s="1"/>
      <c r="AS1" s="1"/>
      <c r="AT1" s="1"/>
      <c r="AU1" s="1"/>
    </row>
    <row r="2" ht="15.75" customHeight="1">
      <c r="A2" s="5" t="s">
        <v>0</v>
      </c>
      <c r="B2" s="5" t="s">
        <v>1</v>
      </c>
      <c r="C2" s="5"/>
      <c r="D2" s="6"/>
      <c r="E2" s="7">
        <f>DATE($A$1,$B$1,1)</f>
        <v>45809</v>
      </c>
      <c r="F2" s="7">
        <f>DATE($A$1,$B$1,2)</f>
        <v>45810</v>
      </c>
      <c r="G2" s="7">
        <f>DATE($A$1,$B$1,3)</f>
        <v>45811</v>
      </c>
      <c r="H2" s="7">
        <f>DATE($A$1,$B$1,4)</f>
        <v>45812</v>
      </c>
      <c r="I2" s="7">
        <f>DATE($A$1,$B$1,5)</f>
        <v>45813</v>
      </c>
      <c r="J2" s="7">
        <f>DATE($A$1,$B$1,6)</f>
        <v>45814</v>
      </c>
      <c r="K2" s="7">
        <f>DATE($A$1,$B$1,7)</f>
        <v>45815</v>
      </c>
      <c r="L2" s="7">
        <f>DATE($A$1,$B$1,8)</f>
        <v>45816</v>
      </c>
      <c r="M2" s="7">
        <f>DATE($A$1,$B$1,9)</f>
        <v>45817</v>
      </c>
      <c r="N2" s="7">
        <f>DATE($A$1,$B$1,10)</f>
        <v>45818</v>
      </c>
      <c r="O2" s="7">
        <f>DATE($A$1,$B$1,11)</f>
        <v>45819</v>
      </c>
      <c r="P2" s="7">
        <f>DATE($A$1,$B$1,12)</f>
        <v>45820</v>
      </c>
      <c r="Q2" s="7">
        <f>DATE($A$1,$B$1,13)</f>
        <v>45821</v>
      </c>
      <c r="R2" s="7">
        <f>DATE($A$1,$B$1,14)</f>
        <v>45822</v>
      </c>
      <c r="S2" s="7">
        <f>DATE($A$1,$B$1,15)</f>
        <v>45823</v>
      </c>
      <c r="T2" s="7">
        <f>DATE($A$1,$B$1,16)</f>
        <v>45824</v>
      </c>
      <c r="U2" s="7">
        <f>DATE($A$1,$B$1,17)</f>
        <v>45825</v>
      </c>
      <c r="V2" s="7">
        <f>DATE($A$1,$B$1,18)</f>
        <v>45826</v>
      </c>
      <c r="W2" s="7">
        <f>DATE($A$1,$B$1,19)</f>
        <v>45827</v>
      </c>
      <c r="X2" s="7">
        <f>DATE($A$1,$B$1,20)</f>
        <v>45828</v>
      </c>
      <c r="Y2" s="7">
        <f>DATE($A$1,$B$1,21)</f>
        <v>45829</v>
      </c>
      <c r="Z2" s="7">
        <f>DATE($A$1,$B$1,22)</f>
        <v>45830</v>
      </c>
      <c r="AA2" s="7">
        <f>DATE($A$1,$B$1,23)</f>
        <v>45831</v>
      </c>
      <c r="AB2" s="7">
        <f>DATE($A$1,$B$1,24)</f>
        <v>45832</v>
      </c>
      <c r="AC2" s="7">
        <f>DATE($A$1,$B$1,25)</f>
        <v>45833</v>
      </c>
      <c r="AD2" s="7">
        <f>DATE($A$1,$B$1,26)</f>
        <v>45834</v>
      </c>
      <c r="AE2" s="7">
        <f>DATE($A$1,$B$1,27)</f>
        <v>45835</v>
      </c>
      <c r="AF2" s="7">
        <f>DATE($A$1,$B$1,28)</f>
        <v>45836</v>
      </c>
      <c r="AG2" s="7">
        <f>DATE($A$1,$B$1,29)</f>
        <v>45837</v>
      </c>
      <c r="AH2" s="7">
        <f>DATE($A$1,$B$1,30)</f>
        <v>45838</v>
      </c>
      <c r="AI2" s="7">
        <f>DATE($A$1,$B$1,31)</f>
        <v>45839</v>
      </c>
      <c r="AJ2" s="8" t="s">
        <v>3</v>
      </c>
      <c r="AK2" s="9"/>
      <c r="AL2" s="8" t="s">
        <v>4</v>
      </c>
      <c r="AM2" s="4"/>
      <c r="AN2" s="1"/>
      <c r="AO2" s="1"/>
      <c r="AP2" s="1"/>
      <c r="AQ2" s="1"/>
      <c r="AR2" s="1"/>
      <c r="AS2" s="1"/>
      <c r="AT2" s="1"/>
      <c r="AU2" s="1"/>
    </row>
    <row r="3" ht="15.75" customHeight="1">
      <c r="A3" s="10"/>
      <c r="B3" s="10"/>
      <c r="C3" s="10"/>
      <c r="D3" s="10"/>
      <c r="E3" s="11" t="str">
        <f t="shared" ref="E3:AI3" si="1">TEXT(E2,"ddd")</f>
        <v>日</v>
      </c>
      <c r="F3" s="11" t="str">
        <f t="shared" si="1"/>
        <v>月</v>
      </c>
      <c r="G3" s="11" t="str">
        <f t="shared" si="1"/>
        <v>火</v>
      </c>
      <c r="H3" s="11" t="str">
        <f t="shared" si="1"/>
        <v>水</v>
      </c>
      <c r="I3" s="11" t="str">
        <f t="shared" si="1"/>
        <v>木</v>
      </c>
      <c r="J3" s="11" t="str">
        <f t="shared" si="1"/>
        <v>金</v>
      </c>
      <c r="K3" s="11" t="str">
        <f t="shared" si="1"/>
        <v>土</v>
      </c>
      <c r="L3" s="11" t="str">
        <f t="shared" si="1"/>
        <v>日</v>
      </c>
      <c r="M3" s="11" t="str">
        <f t="shared" si="1"/>
        <v>月</v>
      </c>
      <c r="N3" s="11" t="str">
        <f t="shared" si="1"/>
        <v>火</v>
      </c>
      <c r="O3" s="11" t="str">
        <f t="shared" si="1"/>
        <v>水</v>
      </c>
      <c r="P3" s="11" t="str">
        <f t="shared" si="1"/>
        <v>木</v>
      </c>
      <c r="Q3" s="11" t="str">
        <f t="shared" si="1"/>
        <v>金</v>
      </c>
      <c r="R3" s="11" t="str">
        <f t="shared" si="1"/>
        <v>土</v>
      </c>
      <c r="S3" s="11" t="str">
        <f t="shared" si="1"/>
        <v>日</v>
      </c>
      <c r="T3" s="11" t="str">
        <f t="shared" si="1"/>
        <v>月</v>
      </c>
      <c r="U3" s="11" t="str">
        <f t="shared" si="1"/>
        <v>火</v>
      </c>
      <c r="V3" s="11" t="str">
        <f t="shared" si="1"/>
        <v>水</v>
      </c>
      <c r="W3" s="11" t="str">
        <f t="shared" si="1"/>
        <v>木</v>
      </c>
      <c r="X3" s="11" t="str">
        <f t="shared" si="1"/>
        <v>金</v>
      </c>
      <c r="Y3" s="11" t="str">
        <f t="shared" si="1"/>
        <v>土</v>
      </c>
      <c r="Z3" s="11" t="str">
        <f t="shared" si="1"/>
        <v>日</v>
      </c>
      <c r="AA3" s="11" t="str">
        <f t="shared" si="1"/>
        <v>月</v>
      </c>
      <c r="AB3" s="11" t="str">
        <f t="shared" si="1"/>
        <v>火</v>
      </c>
      <c r="AC3" s="11" t="str">
        <f t="shared" si="1"/>
        <v>水</v>
      </c>
      <c r="AD3" s="11" t="str">
        <f t="shared" si="1"/>
        <v>木</v>
      </c>
      <c r="AE3" s="11" t="str">
        <f t="shared" si="1"/>
        <v>金</v>
      </c>
      <c r="AF3" s="11" t="str">
        <f t="shared" si="1"/>
        <v>土</v>
      </c>
      <c r="AG3" s="11" t="str">
        <f t="shared" si="1"/>
        <v>日</v>
      </c>
      <c r="AH3" s="11" t="str">
        <f t="shared" si="1"/>
        <v>月</v>
      </c>
      <c r="AI3" s="11" t="str">
        <f t="shared" si="1"/>
        <v>火</v>
      </c>
      <c r="AJ3" s="9"/>
      <c r="AK3" s="9"/>
      <c r="AL3" s="6"/>
      <c r="AM3" s="4"/>
      <c r="AN3" s="1"/>
      <c r="AO3" s="1"/>
      <c r="AP3" s="1"/>
      <c r="AQ3" s="1"/>
      <c r="AR3" s="1"/>
      <c r="AS3" s="1"/>
      <c r="AT3" s="1"/>
      <c r="AU3" s="1"/>
    </row>
    <row r="4" ht="15.75" customHeight="1">
      <c r="A4" s="12" t="s">
        <v>30</v>
      </c>
      <c r="B4" s="12" t="s">
        <v>31</v>
      </c>
      <c r="C4" s="12"/>
      <c r="D4" s="13" t="s">
        <v>5</v>
      </c>
      <c r="E4" s="13">
        <v>1.0</v>
      </c>
      <c r="F4" s="13">
        <v>1.0</v>
      </c>
      <c r="G4" s="13">
        <v>1.0</v>
      </c>
      <c r="H4" s="13">
        <v>1.0</v>
      </c>
      <c r="I4" s="13">
        <v>1.0</v>
      </c>
      <c r="J4" s="13">
        <v>1.0</v>
      </c>
      <c r="K4" s="13">
        <v>1.0</v>
      </c>
      <c r="L4" s="14">
        <v>1.0</v>
      </c>
      <c r="M4" s="14">
        <v>1.0</v>
      </c>
      <c r="N4" s="14">
        <v>1.0</v>
      </c>
      <c r="O4" s="14">
        <v>1.0</v>
      </c>
      <c r="P4" s="14">
        <v>1.0</v>
      </c>
      <c r="Q4" s="14">
        <v>1.0</v>
      </c>
      <c r="R4" s="14">
        <v>1.0</v>
      </c>
      <c r="S4" s="14">
        <v>1.0</v>
      </c>
      <c r="T4" s="14">
        <v>1.0</v>
      </c>
      <c r="U4" s="14">
        <v>1.0</v>
      </c>
      <c r="V4" s="14">
        <v>1.0</v>
      </c>
      <c r="W4" s="14">
        <v>1.0</v>
      </c>
      <c r="X4" s="14">
        <v>1.0</v>
      </c>
      <c r="Y4" s="14">
        <v>1.0</v>
      </c>
      <c r="Z4" s="14">
        <v>1.0</v>
      </c>
      <c r="AA4" s="14">
        <v>1.0</v>
      </c>
      <c r="AB4" s="14">
        <v>1.0</v>
      </c>
      <c r="AC4" s="14">
        <v>1.0</v>
      </c>
      <c r="AD4" s="14">
        <v>1.0</v>
      </c>
      <c r="AE4" s="14">
        <v>1.0</v>
      </c>
      <c r="AF4" s="14">
        <v>1.0</v>
      </c>
      <c r="AG4" s="13">
        <v>1.0</v>
      </c>
      <c r="AH4" s="13">
        <v>1.0</v>
      </c>
      <c r="AI4" s="13"/>
      <c r="AJ4" s="13">
        <f t="shared" ref="AJ4:AJ75" si="2">SUM(E4:AI4)</f>
        <v>30</v>
      </c>
      <c r="AK4" s="14">
        <f>330*AJ4</f>
        <v>9900</v>
      </c>
      <c r="AL4" s="15"/>
      <c r="AM4" s="4"/>
      <c r="AN4" s="1"/>
      <c r="AO4" s="1"/>
      <c r="AP4" s="1"/>
      <c r="AQ4" s="1"/>
      <c r="AR4" s="1"/>
      <c r="AS4" s="1"/>
      <c r="AT4" s="1"/>
      <c r="AU4" s="1"/>
    </row>
    <row r="5" ht="15.75" customHeight="1">
      <c r="A5" s="16"/>
      <c r="B5" s="16"/>
      <c r="C5" s="16"/>
      <c r="D5" s="13" t="s">
        <v>6</v>
      </c>
      <c r="E5" s="13">
        <v>1.0</v>
      </c>
      <c r="F5" s="13">
        <v>1.0</v>
      </c>
      <c r="G5" s="13">
        <v>1.0</v>
      </c>
      <c r="H5" s="13">
        <v>1.0</v>
      </c>
      <c r="I5" s="13">
        <v>0.0</v>
      </c>
      <c r="J5" s="13">
        <v>1.0</v>
      </c>
      <c r="K5" s="13">
        <v>1.0</v>
      </c>
      <c r="L5" s="13">
        <v>1.0</v>
      </c>
      <c r="M5" s="13">
        <v>1.0</v>
      </c>
      <c r="N5" s="13">
        <v>1.0</v>
      </c>
      <c r="O5" s="13">
        <v>1.0</v>
      </c>
      <c r="P5" s="13">
        <v>1.0</v>
      </c>
      <c r="Q5" s="13">
        <v>0.0</v>
      </c>
      <c r="R5" s="13">
        <v>0.0</v>
      </c>
      <c r="S5" s="13">
        <v>0.0</v>
      </c>
      <c r="T5" s="13">
        <v>0.0</v>
      </c>
      <c r="U5" s="13">
        <v>0.0</v>
      </c>
      <c r="V5" s="13">
        <v>0.0</v>
      </c>
      <c r="W5" s="13">
        <v>0.0</v>
      </c>
      <c r="X5" s="13">
        <v>0.0</v>
      </c>
      <c r="Y5" s="13">
        <v>1.0</v>
      </c>
      <c r="Z5" s="13">
        <v>1.0</v>
      </c>
      <c r="AA5" s="13">
        <v>1.0</v>
      </c>
      <c r="AB5" s="13">
        <v>1.0</v>
      </c>
      <c r="AC5" s="13">
        <v>1.0</v>
      </c>
      <c r="AD5" s="13">
        <v>1.0</v>
      </c>
      <c r="AE5" s="13">
        <v>1.0</v>
      </c>
      <c r="AF5" s="13">
        <v>1.0</v>
      </c>
      <c r="AG5" s="13">
        <v>1.0</v>
      </c>
      <c r="AH5" s="13">
        <v>1.0</v>
      </c>
      <c r="AI5" s="13"/>
      <c r="AJ5" s="13">
        <f t="shared" si="2"/>
        <v>21</v>
      </c>
      <c r="AK5" s="14">
        <f t="shared" ref="AK5:AK6" si="3">550*AJ5</f>
        <v>11550</v>
      </c>
      <c r="AL5" s="19"/>
      <c r="AM5" s="4"/>
      <c r="AN5" s="1"/>
      <c r="AO5" s="1"/>
      <c r="AP5" s="1"/>
      <c r="AQ5" s="1"/>
      <c r="AR5" s="1"/>
      <c r="AS5" s="1"/>
      <c r="AT5" s="1"/>
      <c r="AU5" s="1"/>
    </row>
    <row r="6" ht="15.75" customHeight="1">
      <c r="A6" s="10"/>
      <c r="B6" s="10"/>
      <c r="C6" s="10"/>
      <c r="D6" s="13" t="s">
        <v>7</v>
      </c>
      <c r="E6" s="13">
        <v>1.0</v>
      </c>
      <c r="F6" s="13">
        <v>1.0</v>
      </c>
      <c r="G6" s="13">
        <v>1.0</v>
      </c>
      <c r="H6" s="13">
        <v>1.0</v>
      </c>
      <c r="I6" s="13">
        <v>1.0</v>
      </c>
      <c r="J6" s="13">
        <v>1.0</v>
      </c>
      <c r="K6" s="13">
        <v>1.0</v>
      </c>
      <c r="L6" s="13">
        <v>1.0</v>
      </c>
      <c r="M6" s="13">
        <v>1.0</v>
      </c>
      <c r="N6" s="13">
        <v>1.0</v>
      </c>
      <c r="O6" s="13">
        <v>1.0</v>
      </c>
      <c r="P6" s="13">
        <v>1.0</v>
      </c>
      <c r="Q6" s="13">
        <v>0.0</v>
      </c>
      <c r="R6" s="13">
        <v>0.0</v>
      </c>
      <c r="S6" s="13">
        <v>0.0</v>
      </c>
      <c r="T6" s="13">
        <v>0.0</v>
      </c>
      <c r="U6" s="13">
        <v>0.0</v>
      </c>
      <c r="V6" s="13">
        <v>0.0</v>
      </c>
      <c r="W6" s="13">
        <v>0.0</v>
      </c>
      <c r="X6" s="13">
        <v>0.0</v>
      </c>
      <c r="Y6" s="13">
        <v>1.0</v>
      </c>
      <c r="Z6" s="13">
        <v>1.0</v>
      </c>
      <c r="AA6" s="13">
        <v>1.0</v>
      </c>
      <c r="AB6" s="13">
        <v>1.0</v>
      </c>
      <c r="AC6" s="13">
        <v>1.0</v>
      </c>
      <c r="AD6" s="13">
        <v>1.0</v>
      </c>
      <c r="AE6" s="13">
        <v>1.0</v>
      </c>
      <c r="AF6" s="13">
        <v>1.0</v>
      </c>
      <c r="AG6" s="13">
        <v>1.0</v>
      </c>
      <c r="AH6" s="13">
        <v>1.0</v>
      </c>
      <c r="AI6" s="13"/>
      <c r="AJ6" s="13">
        <f t="shared" si="2"/>
        <v>22</v>
      </c>
      <c r="AK6" s="14">
        <f t="shared" si="3"/>
        <v>12100</v>
      </c>
      <c r="AL6" s="20">
        <f>SUM(AK4:AK6)</f>
        <v>33550</v>
      </c>
      <c r="AM6" s="27" t="s">
        <v>39</v>
      </c>
      <c r="AN6" s="1"/>
      <c r="AO6" s="1"/>
      <c r="AP6" s="1"/>
      <c r="AQ6" s="1"/>
      <c r="AR6" s="1"/>
      <c r="AS6" s="1"/>
      <c r="AT6" s="1"/>
      <c r="AU6" s="1"/>
    </row>
    <row r="7" ht="15.75" customHeight="1">
      <c r="A7" s="34" t="s">
        <v>40</v>
      </c>
      <c r="B7" s="34" t="s">
        <v>19</v>
      </c>
      <c r="C7" s="34" t="s">
        <v>20</v>
      </c>
      <c r="D7" s="23" t="s">
        <v>5</v>
      </c>
      <c r="E7" s="23">
        <v>0.0</v>
      </c>
      <c r="F7" s="23">
        <v>0.0</v>
      </c>
      <c r="G7" s="23">
        <v>0.0</v>
      </c>
      <c r="H7" s="23">
        <v>0.0</v>
      </c>
      <c r="I7" s="23">
        <v>0.0</v>
      </c>
      <c r="J7" s="23">
        <v>0.0</v>
      </c>
      <c r="K7" s="23">
        <v>0.0</v>
      </c>
      <c r="L7" s="23">
        <v>0.0</v>
      </c>
      <c r="M7" s="23">
        <v>0.0</v>
      </c>
      <c r="N7" s="23">
        <v>0.0</v>
      </c>
      <c r="O7" s="23">
        <v>0.0</v>
      </c>
      <c r="P7" s="23">
        <v>0.0</v>
      </c>
      <c r="Q7" s="23">
        <v>0.0</v>
      </c>
      <c r="R7" s="23">
        <v>0.0</v>
      </c>
      <c r="S7" s="23">
        <v>0.0</v>
      </c>
      <c r="T7" s="23">
        <v>0.0</v>
      </c>
      <c r="U7" s="23">
        <v>0.0</v>
      </c>
      <c r="V7" s="23">
        <v>0.0</v>
      </c>
      <c r="W7" s="23">
        <v>0.0</v>
      </c>
      <c r="X7" s="23">
        <v>0.0</v>
      </c>
      <c r="Y7" s="23">
        <v>0.0</v>
      </c>
      <c r="Z7" s="23">
        <v>0.0</v>
      </c>
      <c r="AA7" s="23">
        <v>0.0</v>
      </c>
      <c r="AB7" s="23">
        <v>0.0</v>
      </c>
      <c r="AC7" s="23">
        <v>0.0</v>
      </c>
      <c r="AD7" s="23">
        <v>0.0</v>
      </c>
      <c r="AE7" s="23">
        <v>0.0</v>
      </c>
      <c r="AF7" s="23">
        <v>0.0</v>
      </c>
      <c r="AG7" s="23">
        <v>0.0</v>
      </c>
      <c r="AH7" s="23">
        <v>0.0</v>
      </c>
      <c r="AI7" s="23"/>
      <c r="AJ7" s="23">
        <f t="shared" si="2"/>
        <v>0</v>
      </c>
      <c r="AK7" s="23">
        <f>330*AJ7</f>
        <v>0</v>
      </c>
      <c r="AL7" s="35"/>
      <c r="AM7" s="4"/>
      <c r="AN7" s="1"/>
      <c r="AO7" s="1"/>
      <c r="AP7" s="1"/>
      <c r="AQ7" s="1"/>
      <c r="AR7" s="1"/>
      <c r="AS7" s="1"/>
      <c r="AT7" s="1"/>
      <c r="AU7" s="1"/>
    </row>
    <row r="8" ht="15.75" customHeight="1">
      <c r="A8" s="16"/>
      <c r="B8" s="16"/>
      <c r="C8" s="16"/>
      <c r="D8" s="23" t="s">
        <v>6</v>
      </c>
      <c r="E8" s="23">
        <v>0.0</v>
      </c>
      <c r="F8" s="23">
        <v>0.0</v>
      </c>
      <c r="G8" s="23">
        <v>0.0</v>
      </c>
      <c r="H8" s="23">
        <v>0.0</v>
      </c>
      <c r="I8" s="23">
        <v>0.0</v>
      </c>
      <c r="J8" s="23">
        <v>0.0</v>
      </c>
      <c r="K8" s="23">
        <v>0.0</v>
      </c>
      <c r="L8" s="23">
        <v>0.0</v>
      </c>
      <c r="M8" s="23">
        <v>0.0</v>
      </c>
      <c r="N8" s="23">
        <v>0.0</v>
      </c>
      <c r="O8" s="23">
        <v>0.0</v>
      </c>
      <c r="P8" s="23">
        <v>0.0</v>
      </c>
      <c r="Q8" s="23">
        <v>0.0</v>
      </c>
      <c r="R8" s="23">
        <v>0.0</v>
      </c>
      <c r="S8" s="23">
        <v>0.0</v>
      </c>
      <c r="T8" s="23">
        <v>0.0</v>
      </c>
      <c r="U8" s="23">
        <v>0.0</v>
      </c>
      <c r="V8" s="23">
        <v>0.0</v>
      </c>
      <c r="W8" s="23">
        <v>0.0</v>
      </c>
      <c r="X8" s="23">
        <v>0.0</v>
      </c>
      <c r="Y8" s="23">
        <v>0.0</v>
      </c>
      <c r="Z8" s="23">
        <v>0.0</v>
      </c>
      <c r="AA8" s="23">
        <v>0.0</v>
      </c>
      <c r="AB8" s="23">
        <v>0.0</v>
      </c>
      <c r="AC8" s="23">
        <v>0.0</v>
      </c>
      <c r="AD8" s="23">
        <v>0.0</v>
      </c>
      <c r="AE8" s="23">
        <v>0.0</v>
      </c>
      <c r="AF8" s="23">
        <v>0.0</v>
      </c>
      <c r="AG8" s="23">
        <v>0.0</v>
      </c>
      <c r="AH8" s="23">
        <v>0.0</v>
      </c>
      <c r="AI8" s="23"/>
      <c r="AJ8" s="23">
        <f t="shared" si="2"/>
        <v>0</v>
      </c>
      <c r="AK8" s="23">
        <f t="shared" ref="AK8:AK9" si="4">550*AJ8</f>
        <v>0</v>
      </c>
      <c r="AL8" s="24"/>
      <c r="AM8" s="4"/>
      <c r="AN8" s="1"/>
      <c r="AO8" s="1"/>
      <c r="AP8" s="1"/>
      <c r="AQ8" s="1"/>
      <c r="AR8" s="1"/>
      <c r="AS8" s="1"/>
      <c r="AT8" s="1"/>
      <c r="AU8" s="1"/>
    </row>
    <row r="9" ht="15.75" customHeight="1">
      <c r="A9" s="10"/>
      <c r="B9" s="10"/>
      <c r="C9" s="10"/>
      <c r="D9" s="23" t="s">
        <v>7</v>
      </c>
      <c r="E9" s="36">
        <v>1.0</v>
      </c>
      <c r="F9" s="36">
        <v>1.0</v>
      </c>
      <c r="G9" s="36">
        <v>1.0</v>
      </c>
      <c r="H9" s="36">
        <v>1.0</v>
      </c>
      <c r="I9" s="36">
        <v>1.0</v>
      </c>
      <c r="J9" s="36">
        <v>1.0</v>
      </c>
      <c r="K9" s="36">
        <v>1.0</v>
      </c>
      <c r="L9" s="36">
        <v>1.0</v>
      </c>
      <c r="M9" s="36">
        <v>1.0</v>
      </c>
      <c r="N9" s="36">
        <v>1.0</v>
      </c>
      <c r="O9" s="36">
        <v>1.0</v>
      </c>
      <c r="P9" s="36">
        <v>1.0</v>
      </c>
      <c r="Q9" s="36">
        <v>1.0</v>
      </c>
      <c r="R9" s="36">
        <v>1.0</v>
      </c>
      <c r="S9" s="36">
        <v>1.0</v>
      </c>
      <c r="T9" s="36">
        <v>1.0</v>
      </c>
      <c r="U9" s="36">
        <v>1.0</v>
      </c>
      <c r="V9" s="36">
        <v>1.0</v>
      </c>
      <c r="W9" s="36">
        <v>1.0</v>
      </c>
      <c r="X9" s="36">
        <v>1.0</v>
      </c>
      <c r="Y9" s="36">
        <v>1.0</v>
      </c>
      <c r="Z9" s="36">
        <v>1.0</v>
      </c>
      <c r="AA9" s="36">
        <v>1.0</v>
      </c>
      <c r="AB9" s="36">
        <v>1.0</v>
      </c>
      <c r="AC9" s="36">
        <v>1.0</v>
      </c>
      <c r="AD9" s="36">
        <v>1.0</v>
      </c>
      <c r="AE9" s="36">
        <v>1.0</v>
      </c>
      <c r="AF9" s="36">
        <v>1.0</v>
      </c>
      <c r="AG9" s="36">
        <v>1.0</v>
      </c>
      <c r="AH9" s="36">
        <v>1.0</v>
      </c>
      <c r="AI9" s="23"/>
      <c r="AJ9" s="23">
        <f t="shared" si="2"/>
        <v>30</v>
      </c>
      <c r="AK9" s="23">
        <f t="shared" si="4"/>
        <v>16500</v>
      </c>
      <c r="AL9" s="26">
        <f>SUM(AK7:AK9)</f>
        <v>16500</v>
      </c>
      <c r="AM9" s="4"/>
      <c r="AN9" s="1"/>
      <c r="AO9" s="1"/>
      <c r="AP9" s="1"/>
      <c r="AQ9" s="1"/>
      <c r="AR9" s="1"/>
      <c r="AS9" s="1"/>
      <c r="AT9" s="1"/>
      <c r="AU9" s="1"/>
    </row>
    <row r="10" ht="15.75" customHeight="1">
      <c r="A10" s="37" t="s">
        <v>8</v>
      </c>
      <c r="B10" s="37" t="s">
        <v>9</v>
      </c>
      <c r="C10" s="37" t="s">
        <v>10</v>
      </c>
      <c r="D10" s="18" t="s">
        <v>5</v>
      </c>
      <c r="E10" s="18">
        <v>0.0</v>
      </c>
      <c r="F10" s="18">
        <v>0.0</v>
      </c>
      <c r="G10" s="18">
        <v>0.0</v>
      </c>
      <c r="H10" s="18">
        <v>0.0</v>
      </c>
      <c r="I10" s="18">
        <v>0.0</v>
      </c>
      <c r="J10" s="18">
        <v>0.0</v>
      </c>
      <c r="K10" s="18">
        <v>0.0</v>
      </c>
      <c r="L10" s="18">
        <v>0.0</v>
      </c>
      <c r="M10" s="18">
        <v>0.0</v>
      </c>
      <c r="N10" s="18">
        <v>0.0</v>
      </c>
      <c r="O10" s="18">
        <v>0.0</v>
      </c>
      <c r="P10" s="18">
        <v>0.0</v>
      </c>
      <c r="Q10" s="18">
        <v>0.0</v>
      </c>
      <c r="R10" s="18">
        <v>0.0</v>
      </c>
      <c r="S10" s="18">
        <v>0.0</v>
      </c>
      <c r="T10" s="18">
        <v>0.0</v>
      </c>
      <c r="U10" s="18">
        <v>0.0</v>
      </c>
      <c r="V10" s="18">
        <v>0.0</v>
      </c>
      <c r="W10" s="18">
        <v>0.0</v>
      </c>
      <c r="X10" s="18">
        <v>0.0</v>
      </c>
      <c r="Y10" s="18">
        <v>0.0</v>
      </c>
      <c r="Z10" s="18">
        <v>0.0</v>
      </c>
      <c r="AA10" s="18">
        <v>0.0</v>
      </c>
      <c r="AB10" s="18">
        <v>0.0</v>
      </c>
      <c r="AC10" s="18">
        <v>0.0</v>
      </c>
      <c r="AD10" s="18">
        <v>0.0</v>
      </c>
      <c r="AE10" s="18">
        <v>0.0</v>
      </c>
      <c r="AF10" s="18">
        <v>0.0</v>
      </c>
      <c r="AG10" s="18">
        <v>0.0</v>
      </c>
      <c r="AH10" s="18">
        <v>0.0</v>
      </c>
      <c r="AI10" s="18"/>
      <c r="AJ10" s="18">
        <f t="shared" si="2"/>
        <v>0</v>
      </c>
      <c r="AK10" s="38">
        <f>330*AJ10</f>
        <v>0</v>
      </c>
      <c r="AL10" s="39"/>
      <c r="AM10" s="4"/>
      <c r="AN10" s="1"/>
      <c r="AO10" s="1"/>
      <c r="AP10" s="1"/>
      <c r="AQ10" s="1"/>
      <c r="AR10" s="1"/>
      <c r="AS10" s="1"/>
      <c r="AT10" s="1"/>
      <c r="AU10" s="1"/>
    </row>
    <row r="11" ht="15.75" customHeight="1">
      <c r="A11" s="16"/>
      <c r="B11" s="16"/>
      <c r="C11" s="16"/>
      <c r="D11" s="18" t="s">
        <v>6</v>
      </c>
      <c r="E11" s="18">
        <v>0.0</v>
      </c>
      <c r="F11" s="18">
        <v>0.0</v>
      </c>
      <c r="G11" s="18">
        <v>0.0</v>
      </c>
      <c r="H11" s="18">
        <v>0.0</v>
      </c>
      <c r="I11" s="18">
        <v>0.0</v>
      </c>
      <c r="J11" s="18">
        <v>0.0</v>
      </c>
      <c r="K11" s="18">
        <v>0.0</v>
      </c>
      <c r="L11" s="18">
        <v>0.0</v>
      </c>
      <c r="M11" s="18">
        <v>0.0</v>
      </c>
      <c r="N11" s="18">
        <v>0.0</v>
      </c>
      <c r="O11" s="18">
        <v>0.0</v>
      </c>
      <c r="P11" s="18">
        <v>0.0</v>
      </c>
      <c r="Q11" s="18">
        <v>0.0</v>
      </c>
      <c r="R11" s="18">
        <v>0.0</v>
      </c>
      <c r="S11" s="18">
        <v>0.0</v>
      </c>
      <c r="T11" s="18">
        <v>0.0</v>
      </c>
      <c r="U11" s="18">
        <v>0.0</v>
      </c>
      <c r="V11" s="18">
        <v>0.0</v>
      </c>
      <c r="W11" s="18">
        <v>0.0</v>
      </c>
      <c r="X11" s="18">
        <v>0.0</v>
      </c>
      <c r="Y11" s="18">
        <v>0.0</v>
      </c>
      <c r="Z11" s="18">
        <v>0.0</v>
      </c>
      <c r="AA11" s="18">
        <v>0.0</v>
      </c>
      <c r="AB11" s="18">
        <v>0.0</v>
      </c>
      <c r="AC11" s="18">
        <v>0.0</v>
      </c>
      <c r="AD11" s="18">
        <v>0.0</v>
      </c>
      <c r="AE11" s="18">
        <v>0.0</v>
      </c>
      <c r="AF11" s="18">
        <v>0.0</v>
      </c>
      <c r="AG11" s="18">
        <v>0.0</v>
      </c>
      <c r="AH11" s="18">
        <v>0.0</v>
      </c>
      <c r="AI11" s="18"/>
      <c r="AJ11" s="18">
        <f t="shared" si="2"/>
        <v>0</v>
      </c>
      <c r="AK11" s="38">
        <f t="shared" ref="AK11:AK12" si="5">550*AJ11</f>
        <v>0</v>
      </c>
      <c r="AL11" s="39"/>
      <c r="AM11" s="4"/>
      <c r="AN11" s="1"/>
      <c r="AO11" s="1"/>
      <c r="AP11" s="1"/>
      <c r="AQ11" s="1"/>
      <c r="AR11" s="1"/>
      <c r="AS11" s="1"/>
      <c r="AT11" s="1"/>
      <c r="AU11" s="1"/>
    </row>
    <row r="12" ht="15.75" customHeight="1">
      <c r="A12" s="10"/>
      <c r="B12" s="10"/>
      <c r="C12" s="10"/>
      <c r="D12" s="18" t="s">
        <v>7</v>
      </c>
      <c r="E12" s="18">
        <v>0.0</v>
      </c>
      <c r="F12" s="18">
        <v>0.0</v>
      </c>
      <c r="G12" s="18">
        <v>0.0</v>
      </c>
      <c r="H12" s="18">
        <v>0.0</v>
      </c>
      <c r="I12" s="18">
        <v>0.0</v>
      </c>
      <c r="J12" s="18">
        <v>0.0</v>
      </c>
      <c r="K12" s="18">
        <v>0.0</v>
      </c>
      <c r="L12" s="18">
        <v>0.0</v>
      </c>
      <c r="M12" s="18">
        <v>0.0</v>
      </c>
      <c r="N12" s="18">
        <v>0.0</v>
      </c>
      <c r="O12" s="18">
        <v>0.0</v>
      </c>
      <c r="P12" s="18">
        <v>0.0</v>
      </c>
      <c r="Q12" s="18">
        <v>0.0</v>
      </c>
      <c r="R12" s="18">
        <v>0.0</v>
      </c>
      <c r="S12" s="18">
        <v>0.0</v>
      </c>
      <c r="T12" s="18">
        <v>0.0</v>
      </c>
      <c r="U12" s="18">
        <v>0.0</v>
      </c>
      <c r="V12" s="18">
        <v>0.0</v>
      </c>
      <c r="W12" s="18">
        <v>0.0</v>
      </c>
      <c r="X12" s="18">
        <v>0.0</v>
      </c>
      <c r="Y12" s="18">
        <v>0.0</v>
      </c>
      <c r="Z12" s="18">
        <v>0.0</v>
      </c>
      <c r="AA12" s="18">
        <v>0.0</v>
      </c>
      <c r="AB12" s="18">
        <v>0.0</v>
      </c>
      <c r="AC12" s="18">
        <v>0.0</v>
      </c>
      <c r="AD12" s="18">
        <v>0.0</v>
      </c>
      <c r="AE12" s="18">
        <v>0.0</v>
      </c>
      <c r="AF12" s="18">
        <v>0.0</v>
      </c>
      <c r="AG12" s="18">
        <v>0.0</v>
      </c>
      <c r="AH12" s="18">
        <v>0.0</v>
      </c>
      <c r="AI12" s="18"/>
      <c r="AJ12" s="18">
        <f t="shared" si="2"/>
        <v>0</v>
      </c>
      <c r="AK12" s="38">
        <f t="shared" si="5"/>
        <v>0</v>
      </c>
      <c r="AL12" s="40">
        <f>SUM(AK10:AK12)</f>
        <v>0</v>
      </c>
      <c r="AM12" s="4"/>
      <c r="AN12" s="1"/>
      <c r="AO12" s="1"/>
      <c r="AP12" s="1"/>
      <c r="AQ12" s="1"/>
      <c r="AR12" s="1"/>
      <c r="AS12" s="1"/>
      <c r="AT12" s="1"/>
      <c r="AU12" s="1"/>
    </row>
    <row r="13" ht="15.75" customHeight="1">
      <c r="A13" s="34" t="s">
        <v>11</v>
      </c>
      <c r="B13" s="34" t="s">
        <v>12</v>
      </c>
      <c r="C13" s="34" t="s">
        <v>37</v>
      </c>
      <c r="D13" s="36" t="s">
        <v>5</v>
      </c>
      <c r="E13" s="23">
        <v>0.0</v>
      </c>
      <c r="F13" s="23">
        <v>0.0</v>
      </c>
      <c r="G13" s="23">
        <v>0.0</v>
      </c>
      <c r="H13" s="23">
        <v>0.0</v>
      </c>
      <c r="I13" s="23">
        <v>0.0</v>
      </c>
      <c r="J13" s="23">
        <v>0.0</v>
      </c>
      <c r="K13" s="23">
        <v>0.0</v>
      </c>
      <c r="L13" s="23">
        <v>0.0</v>
      </c>
      <c r="M13" s="23">
        <v>0.0</v>
      </c>
      <c r="N13" s="23">
        <v>0.0</v>
      </c>
      <c r="O13" s="23">
        <v>0.0</v>
      </c>
      <c r="P13" s="23">
        <v>0.0</v>
      </c>
      <c r="Q13" s="23">
        <v>0.0</v>
      </c>
      <c r="R13" s="23">
        <v>0.0</v>
      </c>
      <c r="S13" s="23">
        <v>0.0</v>
      </c>
      <c r="T13" s="23">
        <v>0.0</v>
      </c>
      <c r="U13" s="23">
        <v>0.0</v>
      </c>
      <c r="V13" s="23">
        <v>0.0</v>
      </c>
      <c r="W13" s="23">
        <v>0.0</v>
      </c>
      <c r="X13" s="23">
        <v>0.0</v>
      </c>
      <c r="Y13" s="23">
        <v>0.0</v>
      </c>
      <c r="Z13" s="23">
        <v>0.0</v>
      </c>
      <c r="AA13" s="23">
        <v>0.0</v>
      </c>
      <c r="AB13" s="23">
        <v>0.0</v>
      </c>
      <c r="AC13" s="23">
        <v>0.0</v>
      </c>
      <c r="AD13" s="23">
        <v>0.0</v>
      </c>
      <c r="AE13" s="23">
        <v>0.0</v>
      </c>
      <c r="AF13" s="23">
        <v>0.0</v>
      </c>
      <c r="AG13" s="23">
        <v>0.0</v>
      </c>
      <c r="AH13" s="23">
        <v>0.0</v>
      </c>
      <c r="AI13" s="23"/>
      <c r="AJ13" s="36">
        <f t="shared" si="2"/>
        <v>0</v>
      </c>
      <c r="AK13" s="23">
        <f>330*AJ13</f>
        <v>0</v>
      </c>
      <c r="AL13" s="24"/>
      <c r="AM13" s="4"/>
      <c r="AN13" s="1"/>
      <c r="AO13" s="1"/>
      <c r="AP13" s="1"/>
      <c r="AQ13" s="1"/>
      <c r="AR13" s="1"/>
      <c r="AS13" s="1"/>
      <c r="AT13" s="1"/>
      <c r="AU13" s="1"/>
    </row>
    <row r="14" ht="15.75" customHeight="1">
      <c r="A14" s="16"/>
      <c r="B14" s="16"/>
      <c r="C14" s="16"/>
      <c r="D14" s="36" t="s">
        <v>6</v>
      </c>
      <c r="E14" s="36">
        <v>1.0</v>
      </c>
      <c r="F14" s="36">
        <v>1.0</v>
      </c>
      <c r="G14" s="36">
        <v>1.0</v>
      </c>
      <c r="H14" s="36">
        <v>1.0</v>
      </c>
      <c r="I14" s="36">
        <v>1.0</v>
      </c>
      <c r="J14" s="36">
        <v>1.0</v>
      </c>
      <c r="K14" s="36">
        <v>1.0</v>
      </c>
      <c r="L14" s="36">
        <v>1.0</v>
      </c>
      <c r="M14" s="36">
        <v>1.0</v>
      </c>
      <c r="N14" s="36">
        <v>1.0</v>
      </c>
      <c r="O14" s="36">
        <v>1.0</v>
      </c>
      <c r="P14" s="36">
        <v>1.0</v>
      </c>
      <c r="Q14" s="36">
        <v>1.0</v>
      </c>
      <c r="R14" s="36">
        <v>1.0</v>
      </c>
      <c r="S14" s="36">
        <v>1.0</v>
      </c>
      <c r="T14" s="36">
        <v>1.0</v>
      </c>
      <c r="U14" s="36">
        <v>1.0</v>
      </c>
      <c r="V14" s="36">
        <v>1.0</v>
      </c>
      <c r="W14" s="36">
        <v>1.0</v>
      </c>
      <c r="X14" s="36">
        <v>1.0</v>
      </c>
      <c r="Y14" s="36">
        <v>1.0</v>
      </c>
      <c r="Z14" s="36">
        <v>1.0</v>
      </c>
      <c r="AA14" s="36">
        <v>1.0</v>
      </c>
      <c r="AB14" s="36">
        <v>1.0</v>
      </c>
      <c r="AC14" s="36">
        <v>1.0</v>
      </c>
      <c r="AD14" s="36">
        <v>1.0</v>
      </c>
      <c r="AE14" s="36">
        <v>1.0</v>
      </c>
      <c r="AF14" s="36">
        <v>1.0</v>
      </c>
      <c r="AG14" s="36">
        <v>1.0</v>
      </c>
      <c r="AH14" s="36">
        <v>1.0</v>
      </c>
      <c r="AI14" s="36"/>
      <c r="AJ14" s="36">
        <f t="shared" si="2"/>
        <v>30</v>
      </c>
      <c r="AK14" s="23">
        <f t="shared" ref="AK14:AK15" si="6">550*AJ14</f>
        <v>16500</v>
      </c>
      <c r="AL14" s="24"/>
      <c r="AM14" s="27"/>
      <c r="AN14" s="1"/>
      <c r="AO14" s="1"/>
      <c r="AP14" s="1"/>
      <c r="AQ14" s="1"/>
      <c r="AR14" s="1"/>
      <c r="AS14" s="1"/>
      <c r="AT14" s="1"/>
      <c r="AU14" s="1"/>
    </row>
    <row r="15" ht="15.75" customHeight="1">
      <c r="A15" s="10"/>
      <c r="B15" s="10"/>
      <c r="C15" s="10"/>
      <c r="D15" s="36" t="s">
        <v>7</v>
      </c>
      <c r="E15" s="23">
        <v>0.0</v>
      </c>
      <c r="F15" s="23">
        <v>0.0</v>
      </c>
      <c r="G15" s="23">
        <v>0.0</v>
      </c>
      <c r="H15" s="23">
        <v>0.0</v>
      </c>
      <c r="I15" s="23">
        <v>0.0</v>
      </c>
      <c r="J15" s="23">
        <v>0.0</v>
      </c>
      <c r="K15" s="23">
        <v>0.0</v>
      </c>
      <c r="L15" s="23">
        <v>0.0</v>
      </c>
      <c r="M15" s="23">
        <v>0.0</v>
      </c>
      <c r="N15" s="23">
        <v>0.0</v>
      </c>
      <c r="O15" s="23">
        <v>0.0</v>
      </c>
      <c r="P15" s="23">
        <v>0.0</v>
      </c>
      <c r="Q15" s="23">
        <v>0.0</v>
      </c>
      <c r="R15" s="23">
        <v>0.0</v>
      </c>
      <c r="S15" s="23">
        <v>0.0</v>
      </c>
      <c r="T15" s="23">
        <v>0.0</v>
      </c>
      <c r="U15" s="23">
        <v>0.0</v>
      </c>
      <c r="V15" s="23">
        <v>0.0</v>
      </c>
      <c r="W15" s="23">
        <v>0.0</v>
      </c>
      <c r="X15" s="23">
        <v>0.0</v>
      </c>
      <c r="Y15" s="23">
        <v>0.0</v>
      </c>
      <c r="Z15" s="23">
        <v>0.0</v>
      </c>
      <c r="AA15" s="23">
        <v>0.0</v>
      </c>
      <c r="AB15" s="23">
        <v>0.0</v>
      </c>
      <c r="AC15" s="23">
        <v>0.0</v>
      </c>
      <c r="AD15" s="23">
        <v>0.0</v>
      </c>
      <c r="AE15" s="23">
        <v>0.0</v>
      </c>
      <c r="AF15" s="23">
        <v>0.0</v>
      </c>
      <c r="AG15" s="23">
        <v>0.0</v>
      </c>
      <c r="AH15" s="23">
        <v>0.0</v>
      </c>
      <c r="AI15" s="36"/>
      <c r="AJ15" s="36">
        <f t="shared" si="2"/>
        <v>0</v>
      </c>
      <c r="AK15" s="23">
        <f t="shared" si="6"/>
        <v>0</v>
      </c>
      <c r="AL15" s="26">
        <f>SUM(AK13:AK15)</f>
        <v>16500</v>
      </c>
      <c r="AM15" s="4"/>
      <c r="AN15" s="1"/>
      <c r="AO15" s="1"/>
      <c r="AP15" s="1"/>
      <c r="AQ15" s="1"/>
      <c r="AR15" s="1"/>
      <c r="AS15" s="1"/>
      <c r="AT15" s="1"/>
      <c r="AU15" s="1"/>
    </row>
    <row r="16" ht="15.75" customHeight="1">
      <c r="A16" s="37" t="s">
        <v>14</v>
      </c>
      <c r="B16" s="37" t="s">
        <v>15</v>
      </c>
      <c r="C16" s="37"/>
      <c r="D16" s="18" t="s">
        <v>5</v>
      </c>
      <c r="E16" s="14">
        <v>1.0</v>
      </c>
      <c r="F16" s="14">
        <v>1.0</v>
      </c>
      <c r="G16" s="14">
        <v>1.0</v>
      </c>
      <c r="H16" s="14">
        <v>1.0</v>
      </c>
      <c r="I16" s="14">
        <v>1.0</v>
      </c>
      <c r="J16" s="14">
        <v>1.0</v>
      </c>
      <c r="K16" s="14">
        <v>1.0</v>
      </c>
      <c r="L16" s="14">
        <v>1.0</v>
      </c>
      <c r="M16" s="14">
        <v>1.0</v>
      </c>
      <c r="N16" s="14">
        <v>1.0</v>
      </c>
      <c r="O16" s="14">
        <v>1.0</v>
      </c>
      <c r="P16" s="14">
        <v>1.0</v>
      </c>
      <c r="Q16" s="14">
        <v>1.0</v>
      </c>
      <c r="R16" s="14">
        <v>1.0</v>
      </c>
      <c r="S16" s="14">
        <v>1.0</v>
      </c>
      <c r="T16" s="14">
        <v>1.0</v>
      </c>
      <c r="U16" s="14">
        <v>1.0</v>
      </c>
      <c r="V16" s="14">
        <v>1.0</v>
      </c>
      <c r="W16" s="14">
        <v>1.0</v>
      </c>
      <c r="X16" s="14">
        <v>1.0</v>
      </c>
      <c r="Y16" s="14">
        <v>1.0</v>
      </c>
      <c r="Z16" s="14">
        <v>1.0</v>
      </c>
      <c r="AA16" s="14">
        <v>1.0</v>
      </c>
      <c r="AB16" s="14">
        <v>1.0</v>
      </c>
      <c r="AC16" s="14">
        <v>1.0</v>
      </c>
      <c r="AD16" s="14">
        <v>1.0</v>
      </c>
      <c r="AE16" s="14">
        <v>1.0</v>
      </c>
      <c r="AF16" s="14">
        <v>1.0</v>
      </c>
      <c r="AG16" s="18">
        <v>1.0</v>
      </c>
      <c r="AH16" s="18">
        <v>1.0</v>
      </c>
      <c r="AI16" s="18"/>
      <c r="AJ16" s="18">
        <f t="shared" si="2"/>
        <v>30</v>
      </c>
      <c r="AK16" s="38">
        <f>330*AJ16</f>
        <v>9900</v>
      </c>
      <c r="AL16" s="39"/>
      <c r="AM16" s="4"/>
      <c r="AN16" s="1"/>
      <c r="AO16" s="1"/>
      <c r="AP16" s="1"/>
      <c r="AQ16" s="1"/>
      <c r="AR16" s="1"/>
      <c r="AS16" s="1"/>
      <c r="AT16" s="1"/>
      <c r="AU16" s="1"/>
    </row>
    <row r="17" ht="15.75" customHeight="1">
      <c r="A17" s="16"/>
      <c r="B17" s="16"/>
      <c r="C17" s="16"/>
      <c r="D17" s="18" t="s">
        <v>6</v>
      </c>
      <c r="E17" s="14">
        <v>1.0</v>
      </c>
      <c r="F17" s="14">
        <v>1.0</v>
      </c>
      <c r="G17" s="14">
        <v>1.0</v>
      </c>
      <c r="H17" s="14">
        <v>1.0</v>
      </c>
      <c r="I17" s="14">
        <v>1.0</v>
      </c>
      <c r="J17" s="14">
        <v>1.0</v>
      </c>
      <c r="K17" s="14">
        <v>1.0</v>
      </c>
      <c r="L17" s="14">
        <v>1.0</v>
      </c>
      <c r="M17" s="14">
        <v>1.0</v>
      </c>
      <c r="N17" s="14">
        <v>1.0</v>
      </c>
      <c r="O17" s="14">
        <v>1.0</v>
      </c>
      <c r="P17" s="14">
        <v>1.0</v>
      </c>
      <c r="Q17" s="14">
        <v>1.0</v>
      </c>
      <c r="R17" s="14">
        <v>1.0</v>
      </c>
      <c r="S17" s="14">
        <v>1.0</v>
      </c>
      <c r="T17" s="14">
        <v>1.0</v>
      </c>
      <c r="U17" s="14">
        <v>1.0</v>
      </c>
      <c r="V17" s="14">
        <v>1.0</v>
      </c>
      <c r="W17" s="14">
        <v>1.0</v>
      </c>
      <c r="X17" s="14">
        <v>1.0</v>
      </c>
      <c r="Y17" s="14">
        <v>1.0</v>
      </c>
      <c r="Z17" s="14">
        <v>1.0</v>
      </c>
      <c r="AA17" s="14">
        <v>1.0</v>
      </c>
      <c r="AB17" s="14">
        <v>1.0</v>
      </c>
      <c r="AC17" s="14">
        <v>1.0</v>
      </c>
      <c r="AD17" s="14">
        <v>1.0</v>
      </c>
      <c r="AE17" s="14">
        <v>1.0</v>
      </c>
      <c r="AF17" s="14">
        <v>1.0</v>
      </c>
      <c r="AG17" s="18">
        <v>1.0</v>
      </c>
      <c r="AH17" s="18">
        <v>1.0</v>
      </c>
      <c r="AI17" s="18"/>
      <c r="AJ17" s="18">
        <f t="shared" si="2"/>
        <v>30</v>
      </c>
      <c r="AK17" s="38">
        <f t="shared" ref="AK17:AK18" si="7">550*AJ17</f>
        <v>16500</v>
      </c>
      <c r="AL17" s="39"/>
      <c r="AM17" s="4"/>
      <c r="AN17" s="1"/>
      <c r="AO17" s="1"/>
      <c r="AP17" s="1"/>
      <c r="AQ17" s="1"/>
      <c r="AR17" s="1"/>
      <c r="AS17" s="1"/>
      <c r="AT17" s="1"/>
      <c r="AU17" s="1"/>
    </row>
    <row r="18" ht="15.75" customHeight="1">
      <c r="A18" s="10"/>
      <c r="B18" s="10"/>
      <c r="C18" s="10"/>
      <c r="D18" s="18" t="s">
        <v>7</v>
      </c>
      <c r="E18" s="14">
        <v>1.0</v>
      </c>
      <c r="F18" s="14">
        <v>1.0</v>
      </c>
      <c r="G18" s="14">
        <v>1.0</v>
      </c>
      <c r="H18" s="14">
        <v>1.0</v>
      </c>
      <c r="I18" s="14">
        <v>1.0</v>
      </c>
      <c r="J18" s="14">
        <v>1.0</v>
      </c>
      <c r="K18" s="14">
        <v>1.0</v>
      </c>
      <c r="L18" s="14">
        <v>1.0</v>
      </c>
      <c r="M18" s="14">
        <v>1.0</v>
      </c>
      <c r="N18" s="14">
        <v>1.0</v>
      </c>
      <c r="O18" s="14">
        <v>1.0</v>
      </c>
      <c r="P18" s="14">
        <v>1.0</v>
      </c>
      <c r="Q18" s="14">
        <v>1.0</v>
      </c>
      <c r="R18" s="14">
        <v>1.0</v>
      </c>
      <c r="S18" s="14">
        <v>1.0</v>
      </c>
      <c r="T18" s="14">
        <v>1.0</v>
      </c>
      <c r="U18" s="14">
        <v>1.0</v>
      </c>
      <c r="V18" s="14">
        <v>1.0</v>
      </c>
      <c r="W18" s="14">
        <v>1.0</v>
      </c>
      <c r="X18" s="14">
        <v>1.0</v>
      </c>
      <c r="Y18" s="14">
        <v>1.0</v>
      </c>
      <c r="Z18" s="14">
        <v>1.0</v>
      </c>
      <c r="AA18" s="14">
        <v>1.0</v>
      </c>
      <c r="AB18" s="14">
        <v>1.0</v>
      </c>
      <c r="AC18" s="14">
        <v>1.0</v>
      </c>
      <c r="AD18" s="14">
        <v>1.0</v>
      </c>
      <c r="AE18" s="14">
        <v>1.0</v>
      </c>
      <c r="AF18" s="14">
        <v>1.0</v>
      </c>
      <c r="AG18" s="18">
        <v>1.0</v>
      </c>
      <c r="AH18" s="18">
        <v>1.0</v>
      </c>
      <c r="AI18" s="18"/>
      <c r="AJ18" s="18">
        <f t="shared" si="2"/>
        <v>30</v>
      </c>
      <c r="AK18" s="38">
        <f t="shared" si="7"/>
        <v>16500</v>
      </c>
      <c r="AL18" s="40">
        <f>SUM(AK16:AK18)</f>
        <v>42900</v>
      </c>
      <c r="AM18" s="4"/>
      <c r="AN18" s="1"/>
      <c r="AO18" s="1"/>
      <c r="AP18" s="1"/>
      <c r="AQ18" s="1"/>
      <c r="AR18" s="1"/>
      <c r="AS18" s="1"/>
      <c r="AT18" s="1"/>
      <c r="AU18" s="1"/>
    </row>
    <row r="19" ht="15.75" customHeight="1">
      <c r="A19" s="34" t="s">
        <v>16</v>
      </c>
      <c r="B19" s="34" t="s">
        <v>17</v>
      </c>
      <c r="C19" s="34" t="s">
        <v>10</v>
      </c>
      <c r="D19" s="36" t="s">
        <v>5</v>
      </c>
      <c r="E19" s="23">
        <v>0.0</v>
      </c>
      <c r="F19" s="23">
        <v>0.0</v>
      </c>
      <c r="G19" s="23">
        <v>0.0</v>
      </c>
      <c r="H19" s="23">
        <v>0.0</v>
      </c>
      <c r="I19" s="23">
        <v>0.0</v>
      </c>
      <c r="J19" s="23">
        <v>0.0</v>
      </c>
      <c r="K19" s="23">
        <v>0.0</v>
      </c>
      <c r="L19" s="23">
        <v>0.0</v>
      </c>
      <c r="M19" s="23">
        <v>0.0</v>
      </c>
      <c r="N19" s="23">
        <v>0.0</v>
      </c>
      <c r="O19" s="23">
        <v>0.0</v>
      </c>
      <c r="P19" s="23">
        <v>0.0</v>
      </c>
      <c r="Q19" s="23">
        <v>0.0</v>
      </c>
      <c r="R19" s="23">
        <v>0.0</v>
      </c>
      <c r="S19" s="23">
        <v>0.0</v>
      </c>
      <c r="T19" s="23">
        <v>0.0</v>
      </c>
      <c r="U19" s="23">
        <v>0.0</v>
      </c>
      <c r="V19" s="23">
        <v>0.0</v>
      </c>
      <c r="W19" s="23">
        <v>0.0</v>
      </c>
      <c r="X19" s="23">
        <v>0.0</v>
      </c>
      <c r="Y19" s="23">
        <v>0.0</v>
      </c>
      <c r="Z19" s="23">
        <v>0.0</v>
      </c>
      <c r="AA19" s="23">
        <v>0.0</v>
      </c>
      <c r="AB19" s="23">
        <v>0.0</v>
      </c>
      <c r="AC19" s="23">
        <v>0.0</v>
      </c>
      <c r="AD19" s="23">
        <v>0.0</v>
      </c>
      <c r="AE19" s="23">
        <v>0.0</v>
      </c>
      <c r="AF19" s="23">
        <v>0.0</v>
      </c>
      <c r="AG19" s="23">
        <v>0.0</v>
      </c>
      <c r="AH19" s="23">
        <v>0.0</v>
      </c>
      <c r="AI19" s="23"/>
      <c r="AJ19" s="36">
        <f t="shared" si="2"/>
        <v>0</v>
      </c>
      <c r="AK19" s="23">
        <f>330*AJ19</f>
        <v>0</v>
      </c>
      <c r="AL19" s="24"/>
      <c r="AM19" s="4"/>
      <c r="AN19" s="1"/>
      <c r="AO19" s="1"/>
      <c r="AP19" s="1"/>
      <c r="AQ19" s="1"/>
      <c r="AR19" s="1"/>
      <c r="AS19" s="1"/>
      <c r="AT19" s="1"/>
      <c r="AU19" s="1"/>
    </row>
    <row r="20" ht="15.75" customHeight="1">
      <c r="A20" s="16"/>
      <c r="B20" s="16"/>
      <c r="C20" s="16"/>
      <c r="D20" s="36" t="s">
        <v>6</v>
      </c>
      <c r="E20" s="23">
        <v>0.0</v>
      </c>
      <c r="F20" s="23">
        <v>0.0</v>
      </c>
      <c r="G20" s="23">
        <v>0.0</v>
      </c>
      <c r="H20" s="23">
        <v>0.0</v>
      </c>
      <c r="I20" s="23">
        <v>0.0</v>
      </c>
      <c r="J20" s="23">
        <v>0.0</v>
      </c>
      <c r="K20" s="23">
        <v>0.0</v>
      </c>
      <c r="L20" s="23">
        <v>0.0</v>
      </c>
      <c r="M20" s="23">
        <v>0.0</v>
      </c>
      <c r="N20" s="23">
        <v>0.0</v>
      </c>
      <c r="O20" s="23">
        <v>0.0</v>
      </c>
      <c r="P20" s="23">
        <v>0.0</v>
      </c>
      <c r="Q20" s="23">
        <v>0.0</v>
      </c>
      <c r="R20" s="23">
        <v>0.0</v>
      </c>
      <c r="S20" s="23">
        <v>0.0</v>
      </c>
      <c r="T20" s="23">
        <v>0.0</v>
      </c>
      <c r="U20" s="23">
        <v>0.0</v>
      </c>
      <c r="V20" s="23">
        <v>0.0</v>
      </c>
      <c r="W20" s="23">
        <v>0.0</v>
      </c>
      <c r="X20" s="23">
        <v>0.0</v>
      </c>
      <c r="Y20" s="23">
        <v>0.0</v>
      </c>
      <c r="Z20" s="23">
        <v>0.0</v>
      </c>
      <c r="AA20" s="23">
        <v>0.0</v>
      </c>
      <c r="AB20" s="23">
        <v>0.0</v>
      </c>
      <c r="AC20" s="23">
        <v>0.0</v>
      </c>
      <c r="AD20" s="23">
        <v>0.0</v>
      </c>
      <c r="AE20" s="23">
        <v>0.0</v>
      </c>
      <c r="AF20" s="23">
        <v>0.0</v>
      </c>
      <c r="AG20" s="23">
        <v>0.0</v>
      </c>
      <c r="AH20" s="23">
        <v>0.0</v>
      </c>
      <c r="AI20" s="23"/>
      <c r="AJ20" s="36">
        <f t="shared" si="2"/>
        <v>0</v>
      </c>
      <c r="AK20" s="23">
        <f t="shared" ref="AK20:AK21" si="8">550*AJ20</f>
        <v>0</v>
      </c>
      <c r="AL20" s="24"/>
      <c r="AM20" s="4"/>
      <c r="AN20" s="1"/>
      <c r="AO20" s="1"/>
      <c r="AP20" s="1"/>
      <c r="AQ20" s="1"/>
      <c r="AR20" s="1"/>
      <c r="AS20" s="1"/>
      <c r="AT20" s="1"/>
      <c r="AU20" s="1"/>
    </row>
    <row r="21" ht="15.75" customHeight="1">
      <c r="A21" s="10"/>
      <c r="B21" s="10"/>
      <c r="C21" s="10"/>
      <c r="D21" s="36" t="s">
        <v>7</v>
      </c>
      <c r="E21" s="23">
        <v>0.0</v>
      </c>
      <c r="F21" s="23">
        <v>0.0</v>
      </c>
      <c r="G21" s="23">
        <v>0.0</v>
      </c>
      <c r="H21" s="23">
        <v>0.0</v>
      </c>
      <c r="I21" s="23">
        <v>0.0</v>
      </c>
      <c r="J21" s="23">
        <v>0.0</v>
      </c>
      <c r="K21" s="23">
        <v>0.0</v>
      </c>
      <c r="L21" s="23">
        <v>0.0</v>
      </c>
      <c r="M21" s="23">
        <v>0.0</v>
      </c>
      <c r="N21" s="23">
        <v>0.0</v>
      </c>
      <c r="O21" s="23">
        <v>0.0</v>
      </c>
      <c r="P21" s="23">
        <v>0.0</v>
      </c>
      <c r="Q21" s="23">
        <v>0.0</v>
      </c>
      <c r="R21" s="23">
        <v>0.0</v>
      </c>
      <c r="S21" s="23">
        <v>0.0</v>
      </c>
      <c r="T21" s="23">
        <v>0.0</v>
      </c>
      <c r="U21" s="23">
        <v>0.0</v>
      </c>
      <c r="V21" s="23">
        <v>0.0</v>
      </c>
      <c r="W21" s="23">
        <v>0.0</v>
      </c>
      <c r="X21" s="23">
        <v>0.0</v>
      </c>
      <c r="Y21" s="23">
        <v>0.0</v>
      </c>
      <c r="Z21" s="23">
        <v>0.0</v>
      </c>
      <c r="AA21" s="23">
        <v>0.0</v>
      </c>
      <c r="AB21" s="23">
        <v>0.0</v>
      </c>
      <c r="AC21" s="23">
        <v>0.0</v>
      </c>
      <c r="AD21" s="23">
        <v>0.0</v>
      </c>
      <c r="AE21" s="23">
        <v>0.0</v>
      </c>
      <c r="AF21" s="23">
        <v>0.0</v>
      </c>
      <c r="AG21" s="23">
        <v>0.0</v>
      </c>
      <c r="AH21" s="23">
        <v>0.0</v>
      </c>
      <c r="AI21" s="23"/>
      <c r="AJ21" s="36">
        <f t="shared" si="2"/>
        <v>0</v>
      </c>
      <c r="AK21" s="23">
        <f t="shared" si="8"/>
        <v>0</v>
      </c>
      <c r="AL21" s="26">
        <f>SUM(AK19:AK21)</f>
        <v>0</v>
      </c>
      <c r="AM21" s="4" t="s">
        <v>41</v>
      </c>
      <c r="AN21" s="1"/>
      <c r="AO21" s="1"/>
      <c r="AP21" s="1"/>
      <c r="AQ21" s="1"/>
      <c r="AR21" s="1"/>
      <c r="AS21" s="1"/>
      <c r="AT21" s="1"/>
      <c r="AU21" s="1"/>
    </row>
    <row r="22" ht="15.75" customHeight="1">
      <c r="A22" s="12">
        <v>413.0</v>
      </c>
      <c r="B22" s="12" t="s">
        <v>22</v>
      </c>
      <c r="C22" s="12" t="s">
        <v>23</v>
      </c>
      <c r="D22" s="14" t="s">
        <v>5</v>
      </c>
      <c r="E22" s="14">
        <v>1.0</v>
      </c>
      <c r="F22" s="14">
        <v>1.0</v>
      </c>
      <c r="G22" s="14">
        <v>1.0</v>
      </c>
      <c r="H22" s="14">
        <v>1.0</v>
      </c>
      <c r="I22" s="14">
        <v>1.0</v>
      </c>
      <c r="J22" s="14">
        <v>1.0</v>
      </c>
      <c r="K22" s="14">
        <v>1.0</v>
      </c>
      <c r="L22" s="14">
        <v>1.0</v>
      </c>
      <c r="M22" s="14">
        <v>1.0</v>
      </c>
      <c r="N22" s="14">
        <v>1.0</v>
      </c>
      <c r="O22" s="14">
        <v>1.0</v>
      </c>
      <c r="P22" s="14">
        <v>1.0</v>
      </c>
      <c r="Q22" s="14">
        <v>1.0</v>
      </c>
      <c r="R22" s="14">
        <v>1.0</v>
      </c>
      <c r="S22" s="14">
        <v>1.0</v>
      </c>
      <c r="T22" s="14">
        <v>1.0</v>
      </c>
      <c r="U22" s="14">
        <v>1.0</v>
      </c>
      <c r="V22" s="14">
        <v>1.0</v>
      </c>
      <c r="W22" s="14">
        <v>1.0</v>
      </c>
      <c r="X22" s="14">
        <v>1.0</v>
      </c>
      <c r="Y22" s="14">
        <v>1.0</v>
      </c>
      <c r="Z22" s="14">
        <v>1.0</v>
      </c>
      <c r="AA22" s="14">
        <v>1.0</v>
      </c>
      <c r="AB22" s="14">
        <v>1.0</v>
      </c>
      <c r="AC22" s="14">
        <v>1.0</v>
      </c>
      <c r="AD22" s="14">
        <v>1.0</v>
      </c>
      <c r="AE22" s="14">
        <v>1.0</v>
      </c>
      <c r="AF22" s="14">
        <v>1.0</v>
      </c>
      <c r="AG22" s="14">
        <v>1.0</v>
      </c>
      <c r="AH22" s="14">
        <v>1.0</v>
      </c>
      <c r="AI22" s="14"/>
      <c r="AJ22" s="14">
        <f t="shared" si="2"/>
        <v>30</v>
      </c>
      <c r="AK22" s="14">
        <f>330*AJ22</f>
        <v>9900</v>
      </c>
      <c r="AL22" s="19"/>
      <c r="AM22" s="4"/>
      <c r="AN22" s="1"/>
      <c r="AO22" s="1"/>
      <c r="AP22" s="1"/>
      <c r="AQ22" s="1"/>
      <c r="AR22" s="1"/>
      <c r="AS22" s="1"/>
      <c r="AT22" s="1"/>
      <c r="AU22" s="1"/>
    </row>
    <row r="23" ht="15.75" customHeight="1">
      <c r="A23" s="16"/>
      <c r="B23" s="16"/>
      <c r="C23" s="16"/>
      <c r="D23" s="14" t="s">
        <v>6</v>
      </c>
      <c r="E23" s="14">
        <v>1.0</v>
      </c>
      <c r="F23" s="14">
        <v>1.0</v>
      </c>
      <c r="G23" s="14">
        <v>1.0</v>
      </c>
      <c r="H23" s="14">
        <v>0.0</v>
      </c>
      <c r="I23" s="14">
        <v>1.0</v>
      </c>
      <c r="J23" s="14">
        <v>1.0</v>
      </c>
      <c r="K23" s="14">
        <v>1.0</v>
      </c>
      <c r="L23" s="14">
        <v>1.0</v>
      </c>
      <c r="M23" s="14">
        <v>1.0</v>
      </c>
      <c r="N23" s="14">
        <v>1.0</v>
      </c>
      <c r="O23" s="14">
        <v>0.0</v>
      </c>
      <c r="P23" s="14">
        <v>1.0</v>
      </c>
      <c r="Q23" s="14">
        <v>1.0</v>
      </c>
      <c r="R23" s="14">
        <v>1.0</v>
      </c>
      <c r="S23" s="14">
        <v>1.0</v>
      </c>
      <c r="T23" s="14">
        <v>1.0</v>
      </c>
      <c r="U23" s="14">
        <v>1.0</v>
      </c>
      <c r="V23" s="14">
        <v>0.0</v>
      </c>
      <c r="W23" s="14">
        <v>1.0</v>
      </c>
      <c r="X23" s="14">
        <v>1.0</v>
      </c>
      <c r="Y23" s="14">
        <v>1.0</v>
      </c>
      <c r="Z23" s="14">
        <v>1.0</v>
      </c>
      <c r="AA23" s="14">
        <v>1.0</v>
      </c>
      <c r="AB23" s="14">
        <v>1.0</v>
      </c>
      <c r="AC23" s="14">
        <v>0.0</v>
      </c>
      <c r="AD23" s="14">
        <v>1.0</v>
      </c>
      <c r="AE23" s="14">
        <v>1.0</v>
      </c>
      <c r="AF23" s="14">
        <v>1.0</v>
      </c>
      <c r="AG23" s="14">
        <v>1.0</v>
      </c>
      <c r="AH23" s="14">
        <v>1.0</v>
      </c>
      <c r="AI23" s="14"/>
      <c r="AJ23" s="14">
        <f t="shared" si="2"/>
        <v>26</v>
      </c>
      <c r="AK23" s="14">
        <f t="shared" ref="AK23:AK24" si="9">550*AJ23</f>
        <v>14300</v>
      </c>
      <c r="AL23" s="19"/>
      <c r="AM23" s="4"/>
      <c r="AN23" s="1"/>
      <c r="AO23" s="1"/>
      <c r="AP23" s="1"/>
      <c r="AQ23" s="1"/>
      <c r="AR23" s="1"/>
      <c r="AS23" s="1"/>
      <c r="AT23" s="1"/>
      <c r="AU23" s="1"/>
    </row>
    <row r="24" ht="15.75" customHeight="1">
      <c r="A24" s="10"/>
      <c r="B24" s="10"/>
      <c r="C24" s="10"/>
      <c r="D24" s="14" t="s">
        <v>7</v>
      </c>
      <c r="E24" s="14">
        <v>1.0</v>
      </c>
      <c r="F24" s="14">
        <v>1.0</v>
      </c>
      <c r="G24" s="14">
        <v>1.0</v>
      </c>
      <c r="H24" s="14">
        <v>1.0</v>
      </c>
      <c r="I24" s="14">
        <v>1.0</v>
      </c>
      <c r="J24" s="14">
        <v>1.0</v>
      </c>
      <c r="K24" s="14">
        <v>1.0</v>
      </c>
      <c r="L24" s="14">
        <v>1.0</v>
      </c>
      <c r="M24" s="14">
        <v>1.0</v>
      </c>
      <c r="N24" s="14">
        <v>1.0</v>
      </c>
      <c r="O24" s="14">
        <v>1.0</v>
      </c>
      <c r="P24" s="14">
        <v>1.0</v>
      </c>
      <c r="Q24" s="14">
        <v>1.0</v>
      </c>
      <c r="R24" s="14">
        <v>1.0</v>
      </c>
      <c r="S24" s="14">
        <v>1.0</v>
      </c>
      <c r="T24" s="14">
        <v>1.0</v>
      </c>
      <c r="U24" s="14">
        <v>1.0</v>
      </c>
      <c r="V24" s="14">
        <v>1.0</v>
      </c>
      <c r="W24" s="14">
        <v>1.0</v>
      </c>
      <c r="X24" s="14">
        <v>1.0</v>
      </c>
      <c r="Y24" s="14">
        <v>1.0</v>
      </c>
      <c r="Z24" s="14">
        <v>1.0</v>
      </c>
      <c r="AA24" s="14">
        <v>1.0</v>
      </c>
      <c r="AB24" s="14">
        <v>1.0</v>
      </c>
      <c r="AC24" s="14">
        <v>1.0</v>
      </c>
      <c r="AD24" s="14">
        <v>1.0</v>
      </c>
      <c r="AE24" s="14">
        <v>1.0</v>
      </c>
      <c r="AF24" s="14">
        <v>1.0</v>
      </c>
      <c r="AG24" s="14">
        <v>1.0</v>
      </c>
      <c r="AH24" s="14">
        <v>1.0</v>
      </c>
      <c r="AI24" s="14"/>
      <c r="AJ24" s="14">
        <f t="shared" si="2"/>
        <v>30</v>
      </c>
      <c r="AK24" s="14">
        <f t="shared" si="9"/>
        <v>16500</v>
      </c>
      <c r="AL24" s="20">
        <f>SUM(AK22:AK24)</f>
        <v>40700</v>
      </c>
      <c r="AM24" s="4"/>
      <c r="AN24" s="1"/>
      <c r="AO24" s="1"/>
      <c r="AP24" s="1"/>
      <c r="AQ24" s="1"/>
      <c r="AR24" s="1"/>
      <c r="AS24" s="1"/>
      <c r="AT24" s="1"/>
      <c r="AU24" s="1"/>
    </row>
    <row r="25" ht="15.75" customHeight="1">
      <c r="A25" s="37"/>
      <c r="B25" s="37"/>
      <c r="C25" s="37"/>
      <c r="D25" s="18" t="s">
        <v>5</v>
      </c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>
        <f t="shared" si="2"/>
        <v>0</v>
      </c>
      <c r="AK25" s="38">
        <f>330*AJ25</f>
        <v>0</v>
      </c>
      <c r="AL25" s="39"/>
      <c r="AM25" s="4"/>
      <c r="AN25" s="1"/>
      <c r="AO25" s="1"/>
      <c r="AP25" s="1"/>
      <c r="AQ25" s="1"/>
      <c r="AR25" s="1"/>
      <c r="AS25" s="1"/>
      <c r="AT25" s="1"/>
      <c r="AU25" s="1"/>
    </row>
    <row r="26" ht="15.75" customHeight="1">
      <c r="A26" s="16"/>
      <c r="B26" s="16"/>
      <c r="C26" s="16"/>
      <c r="D26" s="18" t="s">
        <v>6</v>
      </c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>
        <f t="shared" si="2"/>
        <v>0</v>
      </c>
      <c r="AK26" s="38">
        <f t="shared" ref="AK26:AK27" si="10">550*AJ26</f>
        <v>0</v>
      </c>
      <c r="AL26" s="39"/>
      <c r="AM26" s="4"/>
      <c r="AN26" s="1"/>
      <c r="AO26" s="1"/>
      <c r="AP26" s="1"/>
      <c r="AQ26" s="1"/>
      <c r="AR26" s="1"/>
      <c r="AS26" s="1"/>
      <c r="AT26" s="1"/>
      <c r="AU26" s="1"/>
    </row>
    <row r="27" ht="15.75" customHeight="1">
      <c r="A27" s="10"/>
      <c r="B27" s="10"/>
      <c r="C27" s="10"/>
      <c r="D27" s="18" t="s">
        <v>7</v>
      </c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>
        <f t="shared" si="2"/>
        <v>0</v>
      </c>
      <c r="AK27" s="38">
        <f t="shared" si="10"/>
        <v>0</v>
      </c>
      <c r="AL27" s="40">
        <f>SUM(AK25:AK27)</f>
        <v>0</v>
      </c>
      <c r="AM27" s="4"/>
      <c r="AN27" s="1"/>
      <c r="AO27" s="1"/>
      <c r="AP27" s="1"/>
      <c r="AQ27" s="1"/>
      <c r="AR27" s="1"/>
      <c r="AS27" s="1"/>
      <c r="AT27" s="1"/>
      <c r="AU27" s="1"/>
    </row>
    <row r="28" ht="15.75" customHeight="1">
      <c r="A28" s="37"/>
      <c r="B28" s="37"/>
      <c r="C28" s="37"/>
      <c r="D28" s="18" t="s">
        <v>5</v>
      </c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>
        <f t="shared" si="2"/>
        <v>0</v>
      </c>
      <c r="AK28" s="38">
        <f>330*AJ28</f>
        <v>0</v>
      </c>
      <c r="AL28" s="39"/>
      <c r="AM28" s="4"/>
      <c r="AN28" s="1"/>
      <c r="AO28" s="1"/>
      <c r="AP28" s="1"/>
      <c r="AQ28" s="1"/>
      <c r="AR28" s="1"/>
      <c r="AS28" s="1"/>
      <c r="AT28" s="1"/>
      <c r="AU28" s="1"/>
    </row>
    <row r="29" ht="15.75" customHeight="1">
      <c r="A29" s="16"/>
      <c r="B29" s="16"/>
      <c r="C29" s="16"/>
      <c r="D29" s="18" t="s">
        <v>6</v>
      </c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>
        <f t="shared" si="2"/>
        <v>0</v>
      </c>
      <c r="AK29" s="38">
        <f t="shared" ref="AK29:AK30" si="11">550*AJ29</f>
        <v>0</v>
      </c>
      <c r="AL29" s="39"/>
      <c r="AM29" s="4"/>
      <c r="AN29" s="1"/>
      <c r="AO29" s="1"/>
      <c r="AP29" s="1"/>
      <c r="AQ29" s="1"/>
      <c r="AR29" s="1"/>
      <c r="AS29" s="1"/>
      <c r="AT29" s="1"/>
      <c r="AU29" s="1"/>
    </row>
    <row r="30" ht="15.75" customHeight="1">
      <c r="A30" s="10"/>
      <c r="B30" s="10"/>
      <c r="C30" s="10"/>
      <c r="D30" s="18" t="s">
        <v>7</v>
      </c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>
        <f t="shared" si="2"/>
        <v>0</v>
      </c>
      <c r="AK30" s="38">
        <f t="shared" si="11"/>
        <v>0</v>
      </c>
      <c r="AL30" s="40">
        <f>SUM(AK28:AK30)</f>
        <v>0</v>
      </c>
      <c r="AM30" s="4"/>
      <c r="AN30" s="1"/>
      <c r="AO30" s="1"/>
      <c r="AP30" s="1"/>
      <c r="AQ30" s="1"/>
      <c r="AR30" s="1"/>
      <c r="AS30" s="1"/>
      <c r="AT30" s="1"/>
      <c r="AU30" s="1"/>
    </row>
    <row r="31" ht="15.75" customHeight="1">
      <c r="A31" s="37"/>
      <c r="B31" s="37"/>
      <c r="C31" s="37"/>
      <c r="D31" s="18" t="s">
        <v>5</v>
      </c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>
        <f t="shared" si="2"/>
        <v>0</v>
      </c>
      <c r="AK31" s="38">
        <f>330*AJ31</f>
        <v>0</v>
      </c>
      <c r="AL31" s="39"/>
      <c r="AM31" s="4"/>
      <c r="AN31" s="1"/>
      <c r="AO31" s="1"/>
      <c r="AP31" s="1"/>
      <c r="AQ31" s="1"/>
      <c r="AR31" s="1"/>
      <c r="AS31" s="1"/>
      <c r="AT31" s="1"/>
      <c r="AU31" s="1"/>
    </row>
    <row r="32" ht="15.75" customHeight="1">
      <c r="A32" s="16"/>
      <c r="B32" s="16"/>
      <c r="C32" s="16"/>
      <c r="D32" s="18" t="s">
        <v>6</v>
      </c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>
        <f t="shared" si="2"/>
        <v>0</v>
      </c>
      <c r="AK32" s="38">
        <f t="shared" ref="AK32:AK33" si="12">550*AJ32</f>
        <v>0</v>
      </c>
      <c r="AL32" s="39"/>
      <c r="AM32" s="4"/>
      <c r="AN32" s="1"/>
      <c r="AO32" s="1"/>
      <c r="AP32" s="1"/>
      <c r="AQ32" s="1"/>
      <c r="AR32" s="1"/>
      <c r="AS32" s="1"/>
      <c r="AT32" s="1"/>
      <c r="AU32" s="1"/>
    </row>
    <row r="33" ht="15.75" customHeight="1">
      <c r="A33" s="10"/>
      <c r="B33" s="10"/>
      <c r="C33" s="10"/>
      <c r="D33" s="18" t="s">
        <v>7</v>
      </c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>
        <f t="shared" si="2"/>
        <v>0</v>
      </c>
      <c r="AK33" s="38">
        <f t="shared" si="12"/>
        <v>0</v>
      </c>
      <c r="AL33" s="40">
        <f>SUM(AK31:AK33)</f>
        <v>0</v>
      </c>
      <c r="AM33" s="4"/>
      <c r="AN33" s="1"/>
      <c r="AO33" s="1"/>
      <c r="AP33" s="1"/>
      <c r="AQ33" s="1"/>
      <c r="AR33" s="1"/>
      <c r="AS33" s="1"/>
      <c r="AT33" s="1"/>
      <c r="AU33" s="1"/>
    </row>
    <row r="34" ht="15.75" customHeight="1">
      <c r="A34" s="37"/>
      <c r="B34" s="37"/>
      <c r="C34" s="37"/>
      <c r="D34" s="18" t="s">
        <v>5</v>
      </c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>
        <f t="shared" si="2"/>
        <v>0</v>
      </c>
      <c r="AK34" s="38">
        <f>330*AJ34</f>
        <v>0</v>
      </c>
      <c r="AL34" s="39"/>
      <c r="AM34" s="4"/>
      <c r="AN34" s="1"/>
      <c r="AO34" s="1"/>
      <c r="AP34" s="1"/>
      <c r="AQ34" s="1"/>
      <c r="AR34" s="1"/>
      <c r="AS34" s="1"/>
      <c r="AT34" s="1"/>
      <c r="AU34" s="1"/>
    </row>
    <row r="35" ht="15.75" customHeight="1">
      <c r="A35" s="16"/>
      <c r="B35" s="16"/>
      <c r="C35" s="16"/>
      <c r="D35" s="18" t="s">
        <v>6</v>
      </c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18">
        <f t="shared" si="2"/>
        <v>0</v>
      </c>
      <c r="AK35" s="38">
        <f t="shared" ref="AK35:AK36" si="13">550*AJ35</f>
        <v>0</v>
      </c>
      <c r="AL35" s="39"/>
      <c r="AM35" s="4"/>
      <c r="AN35" s="1"/>
      <c r="AO35" s="1"/>
      <c r="AP35" s="1"/>
      <c r="AQ35" s="1"/>
      <c r="AR35" s="1"/>
      <c r="AS35" s="1"/>
      <c r="AT35" s="1"/>
      <c r="AU35" s="1"/>
    </row>
    <row r="36" ht="15.75" customHeight="1">
      <c r="A36" s="10"/>
      <c r="B36" s="10"/>
      <c r="C36" s="10"/>
      <c r="D36" s="18" t="s">
        <v>7</v>
      </c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>
        <f t="shared" si="2"/>
        <v>0</v>
      </c>
      <c r="AK36" s="38">
        <f t="shared" si="13"/>
        <v>0</v>
      </c>
      <c r="AL36" s="40">
        <f>SUM(AK34:AK36)</f>
        <v>0</v>
      </c>
      <c r="AM36" s="4"/>
      <c r="AN36" s="1"/>
      <c r="AO36" s="1"/>
      <c r="AP36" s="1"/>
      <c r="AQ36" s="1"/>
      <c r="AR36" s="1"/>
      <c r="AS36" s="1"/>
      <c r="AT36" s="1"/>
      <c r="AU36" s="1"/>
    </row>
    <row r="37" ht="15.75" customHeight="1">
      <c r="A37" s="12"/>
      <c r="B37" s="12"/>
      <c r="C37" s="12"/>
      <c r="D37" s="13" t="s">
        <v>5</v>
      </c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>
        <f t="shared" si="2"/>
        <v>0</v>
      </c>
      <c r="AK37" s="1"/>
      <c r="AL37" s="1"/>
      <c r="AM37" s="4"/>
      <c r="AN37" s="1"/>
      <c r="AO37" s="1"/>
      <c r="AP37" s="1"/>
      <c r="AQ37" s="1"/>
      <c r="AR37" s="1"/>
      <c r="AS37" s="1"/>
      <c r="AT37" s="1"/>
      <c r="AU37" s="1"/>
    </row>
    <row r="38" ht="15.75" customHeight="1">
      <c r="A38" s="16"/>
      <c r="B38" s="16"/>
      <c r="C38" s="16"/>
      <c r="D38" s="13" t="s">
        <v>6</v>
      </c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>
        <f t="shared" si="2"/>
        <v>0</v>
      </c>
      <c r="AK38" s="1"/>
      <c r="AL38" s="1"/>
      <c r="AM38" s="4"/>
      <c r="AN38" s="1"/>
      <c r="AO38" s="1"/>
      <c r="AP38" s="1"/>
      <c r="AQ38" s="1"/>
      <c r="AR38" s="1"/>
      <c r="AS38" s="1"/>
      <c r="AT38" s="1"/>
      <c r="AU38" s="1"/>
    </row>
    <row r="39" ht="15.75" customHeight="1">
      <c r="A39" s="10"/>
      <c r="B39" s="10"/>
      <c r="C39" s="10"/>
      <c r="D39" s="13" t="s">
        <v>7</v>
      </c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>
        <f t="shared" si="2"/>
        <v>0</v>
      </c>
      <c r="AK39" s="1"/>
      <c r="AL39" s="1"/>
      <c r="AM39" s="4"/>
      <c r="AN39" s="1"/>
      <c r="AO39" s="1"/>
      <c r="AP39" s="1"/>
      <c r="AQ39" s="1"/>
      <c r="AR39" s="1"/>
      <c r="AS39" s="1"/>
      <c r="AT39" s="1"/>
      <c r="AU39" s="1"/>
    </row>
    <row r="40" ht="15.75" customHeight="1">
      <c r="A40" s="12"/>
      <c r="B40" s="12"/>
      <c r="C40" s="12"/>
      <c r="D40" s="13" t="s">
        <v>5</v>
      </c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>
        <f t="shared" si="2"/>
        <v>0</v>
      </c>
      <c r="AK40" s="1"/>
      <c r="AL40" s="1"/>
      <c r="AM40" s="4"/>
      <c r="AN40" s="1"/>
      <c r="AO40" s="1"/>
      <c r="AP40" s="1"/>
      <c r="AQ40" s="1"/>
      <c r="AR40" s="1"/>
      <c r="AS40" s="1"/>
      <c r="AT40" s="1"/>
      <c r="AU40" s="1"/>
    </row>
    <row r="41" ht="15.75" customHeight="1">
      <c r="A41" s="16"/>
      <c r="B41" s="16"/>
      <c r="C41" s="16"/>
      <c r="D41" s="13" t="s">
        <v>6</v>
      </c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>
        <f t="shared" si="2"/>
        <v>0</v>
      </c>
      <c r="AK41" s="1"/>
      <c r="AL41" s="1"/>
      <c r="AM41" s="4"/>
      <c r="AN41" s="1"/>
      <c r="AO41" s="1"/>
      <c r="AP41" s="1"/>
      <c r="AQ41" s="1"/>
      <c r="AR41" s="1"/>
      <c r="AS41" s="1"/>
      <c r="AT41" s="1"/>
      <c r="AU41" s="1"/>
    </row>
    <row r="42" ht="15.75" customHeight="1">
      <c r="A42" s="10"/>
      <c r="B42" s="10"/>
      <c r="C42" s="10"/>
      <c r="D42" s="13" t="s">
        <v>7</v>
      </c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>
        <f t="shared" si="2"/>
        <v>0</v>
      </c>
      <c r="AK42" s="1"/>
      <c r="AL42" s="1"/>
      <c r="AM42" s="4"/>
      <c r="AN42" s="1"/>
      <c r="AO42" s="1"/>
      <c r="AP42" s="1"/>
      <c r="AQ42" s="1"/>
      <c r="AR42" s="1"/>
      <c r="AS42" s="1"/>
      <c r="AT42" s="1"/>
      <c r="AU42" s="1"/>
    </row>
    <row r="43" ht="15.75" customHeight="1">
      <c r="A43" s="12"/>
      <c r="B43" s="12"/>
      <c r="C43" s="12"/>
      <c r="D43" s="13" t="s">
        <v>5</v>
      </c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>
        <f t="shared" si="2"/>
        <v>0</v>
      </c>
      <c r="AK43" s="1"/>
      <c r="AL43" s="1"/>
      <c r="AM43" s="4"/>
      <c r="AN43" s="1"/>
      <c r="AO43" s="1"/>
      <c r="AP43" s="1"/>
      <c r="AQ43" s="1"/>
      <c r="AR43" s="1"/>
      <c r="AS43" s="1"/>
      <c r="AT43" s="1"/>
      <c r="AU43" s="1"/>
    </row>
    <row r="44" ht="15.75" customHeight="1">
      <c r="A44" s="16"/>
      <c r="B44" s="16"/>
      <c r="C44" s="16"/>
      <c r="D44" s="13" t="s">
        <v>6</v>
      </c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>
        <f t="shared" si="2"/>
        <v>0</v>
      </c>
      <c r="AK44" s="1"/>
      <c r="AL44" s="1"/>
      <c r="AM44" s="4"/>
      <c r="AN44" s="1"/>
      <c r="AO44" s="1"/>
      <c r="AP44" s="1"/>
      <c r="AQ44" s="1"/>
      <c r="AR44" s="1"/>
      <c r="AS44" s="1"/>
      <c r="AT44" s="1"/>
      <c r="AU44" s="1"/>
    </row>
    <row r="45" ht="15.75" customHeight="1">
      <c r="A45" s="10"/>
      <c r="B45" s="10"/>
      <c r="C45" s="10"/>
      <c r="D45" s="13" t="s">
        <v>7</v>
      </c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>
        <f t="shared" si="2"/>
        <v>0</v>
      </c>
      <c r="AK45" s="1"/>
      <c r="AL45" s="1"/>
      <c r="AM45" s="4"/>
      <c r="AN45" s="1"/>
      <c r="AO45" s="1"/>
      <c r="AP45" s="1"/>
      <c r="AQ45" s="1"/>
      <c r="AR45" s="1"/>
      <c r="AS45" s="1"/>
      <c r="AT45" s="1"/>
      <c r="AU45" s="1"/>
    </row>
    <row r="46" ht="15.75" customHeight="1">
      <c r="A46" s="12"/>
      <c r="B46" s="12"/>
      <c r="C46" s="12"/>
      <c r="D46" s="13" t="s">
        <v>5</v>
      </c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>
        <f t="shared" si="2"/>
        <v>0</v>
      </c>
      <c r="AK46" s="1"/>
      <c r="AL46" s="1"/>
      <c r="AM46" s="4"/>
      <c r="AN46" s="1"/>
      <c r="AO46" s="1"/>
      <c r="AP46" s="1"/>
      <c r="AQ46" s="1"/>
      <c r="AR46" s="1"/>
      <c r="AS46" s="1"/>
      <c r="AT46" s="1"/>
      <c r="AU46" s="1"/>
    </row>
    <row r="47" ht="15.75" customHeight="1">
      <c r="A47" s="16"/>
      <c r="B47" s="16"/>
      <c r="C47" s="16"/>
      <c r="D47" s="13" t="s">
        <v>6</v>
      </c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>
        <f t="shared" si="2"/>
        <v>0</v>
      </c>
      <c r="AK47" s="1"/>
      <c r="AL47" s="1"/>
      <c r="AM47" s="4"/>
      <c r="AN47" s="1"/>
      <c r="AO47" s="1"/>
      <c r="AP47" s="1"/>
      <c r="AQ47" s="1"/>
      <c r="AR47" s="1"/>
      <c r="AS47" s="1"/>
      <c r="AT47" s="1"/>
      <c r="AU47" s="1"/>
    </row>
    <row r="48" ht="15.75" customHeight="1">
      <c r="A48" s="10"/>
      <c r="B48" s="10"/>
      <c r="C48" s="10"/>
      <c r="D48" s="13" t="s">
        <v>7</v>
      </c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>
        <f t="shared" si="2"/>
        <v>0</v>
      </c>
      <c r="AK48" s="1"/>
      <c r="AL48" s="1"/>
      <c r="AM48" s="4"/>
      <c r="AN48" s="1"/>
      <c r="AO48" s="1"/>
      <c r="AP48" s="1"/>
      <c r="AQ48" s="1"/>
      <c r="AR48" s="1"/>
      <c r="AS48" s="1"/>
      <c r="AT48" s="1"/>
      <c r="AU48" s="1"/>
    </row>
    <row r="49" ht="15.75" customHeight="1">
      <c r="A49" s="12"/>
      <c r="B49" s="12"/>
      <c r="C49" s="12"/>
      <c r="D49" s="13" t="s">
        <v>5</v>
      </c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>
        <f t="shared" si="2"/>
        <v>0</v>
      </c>
      <c r="AK49" s="1"/>
      <c r="AL49" s="1"/>
      <c r="AM49" s="4"/>
      <c r="AN49" s="1"/>
      <c r="AO49" s="1"/>
      <c r="AP49" s="1"/>
      <c r="AQ49" s="1"/>
      <c r="AR49" s="1"/>
      <c r="AS49" s="1"/>
      <c r="AT49" s="1"/>
      <c r="AU49" s="1"/>
    </row>
    <row r="50" ht="15.75" customHeight="1">
      <c r="A50" s="16"/>
      <c r="B50" s="16"/>
      <c r="C50" s="16"/>
      <c r="D50" s="13" t="s">
        <v>6</v>
      </c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>
        <f t="shared" si="2"/>
        <v>0</v>
      </c>
      <c r="AK50" s="1"/>
      <c r="AL50" s="1"/>
      <c r="AM50" s="4"/>
      <c r="AN50" s="1"/>
      <c r="AO50" s="1"/>
      <c r="AP50" s="1"/>
      <c r="AQ50" s="1"/>
      <c r="AR50" s="1"/>
      <c r="AS50" s="1"/>
      <c r="AT50" s="1"/>
      <c r="AU50" s="1"/>
    </row>
    <row r="51" ht="15.75" customHeight="1">
      <c r="A51" s="10"/>
      <c r="B51" s="10"/>
      <c r="C51" s="10"/>
      <c r="D51" s="13" t="s">
        <v>7</v>
      </c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>
        <f t="shared" si="2"/>
        <v>0</v>
      </c>
      <c r="AK51" s="1"/>
      <c r="AL51" s="1"/>
      <c r="AM51" s="4"/>
      <c r="AN51" s="1"/>
      <c r="AO51" s="1"/>
      <c r="AP51" s="1"/>
      <c r="AQ51" s="1"/>
      <c r="AR51" s="1"/>
      <c r="AS51" s="1"/>
      <c r="AT51" s="1"/>
      <c r="AU51" s="1"/>
    </row>
    <row r="52" ht="15.75" customHeight="1">
      <c r="A52" s="12"/>
      <c r="B52" s="12"/>
      <c r="C52" s="12"/>
      <c r="D52" s="13" t="s">
        <v>5</v>
      </c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>
        <f t="shared" si="2"/>
        <v>0</v>
      </c>
      <c r="AK52" s="1"/>
      <c r="AL52" s="1"/>
      <c r="AM52" s="4"/>
      <c r="AN52" s="1"/>
      <c r="AO52" s="1"/>
      <c r="AP52" s="1"/>
      <c r="AQ52" s="1"/>
      <c r="AR52" s="1"/>
      <c r="AS52" s="1"/>
      <c r="AT52" s="1"/>
      <c r="AU52" s="1"/>
    </row>
    <row r="53" ht="15.75" customHeight="1">
      <c r="A53" s="16"/>
      <c r="B53" s="16"/>
      <c r="C53" s="16"/>
      <c r="D53" s="13" t="s">
        <v>6</v>
      </c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>
        <f t="shared" si="2"/>
        <v>0</v>
      </c>
      <c r="AK53" s="1"/>
      <c r="AL53" s="1"/>
      <c r="AM53" s="4"/>
      <c r="AN53" s="1"/>
      <c r="AO53" s="1"/>
      <c r="AP53" s="1"/>
      <c r="AQ53" s="1"/>
      <c r="AR53" s="1"/>
      <c r="AS53" s="1"/>
      <c r="AT53" s="1"/>
      <c r="AU53" s="1"/>
    </row>
    <row r="54" ht="15.75" customHeight="1">
      <c r="A54" s="10"/>
      <c r="B54" s="10"/>
      <c r="C54" s="10"/>
      <c r="D54" s="13" t="s">
        <v>7</v>
      </c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>
        <f t="shared" si="2"/>
        <v>0</v>
      </c>
      <c r="AK54" s="1"/>
      <c r="AL54" s="1"/>
      <c r="AM54" s="4"/>
      <c r="AN54" s="1"/>
      <c r="AO54" s="1"/>
      <c r="AP54" s="1"/>
      <c r="AQ54" s="1"/>
      <c r="AR54" s="1"/>
      <c r="AS54" s="1"/>
      <c r="AT54" s="1"/>
      <c r="AU54" s="1"/>
    </row>
    <row r="55" ht="15.75" customHeight="1">
      <c r="A55" s="12"/>
      <c r="B55" s="12"/>
      <c r="C55" s="12"/>
      <c r="D55" s="13" t="s">
        <v>5</v>
      </c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>
        <f t="shared" si="2"/>
        <v>0</v>
      </c>
      <c r="AK55" s="1"/>
      <c r="AL55" s="1"/>
      <c r="AM55" s="4"/>
      <c r="AN55" s="1"/>
      <c r="AO55" s="1"/>
      <c r="AP55" s="1"/>
      <c r="AQ55" s="1"/>
      <c r="AR55" s="1"/>
      <c r="AS55" s="1"/>
      <c r="AT55" s="1"/>
      <c r="AU55" s="1"/>
    </row>
    <row r="56" ht="15.75" customHeight="1">
      <c r="A56" s="16"/>
      <c r="B56" s="16"/>
      <c r="C56" s="16"/>
      <c r="D56" s="13" t="s">
        <v>6</v>
      </c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>
        <f t="shared" si="2"/>
        <v>0</v>
      </c>
      <c r="AK56" s="1"/>
      <c r="AL56" s="1"/>
      <c r="AM56" s="4"/>
      <c r="AN56" s="1"/>
      <c r="AO56" s="1"/>
      <c r="AP56" s="1"/>
      <c r="AQ56" s="1"/>
      <c r="AR56" s="1"/>
      <c r="AS56" s="1"/>
      <c r="AT56" s="1"/>
      <c r="AU56" s="1"/>
    </row>
    <row r="57" ht="15.75" customHeight="1">
      <c r="A57" s="10"/>
      <c r="B57" s="10"/>
      <c r="C57" s="10"/>
      <c r="D57" s="13" t="s">
        <v>7</v>
      </c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>
        <f t="shared" si="2"/>
        <v>0</v>
      </c>
      <c r="AK57" s="1"/>
      <c r="AL57" s="1"/>
      <c r="AM57" s="4"/>
      <c r="AN57" s="1"/>
      <c r="AO57" s="1"/>
      <c r="AP57" s="1"/>
      <c r="AQ57" s="1"/>
      <c r="AR57" s="1"/>
      <c r="AS57" s="1"/>
      <c r="AT57" s="1"/>
      <c r="AU57" s="1"/>
    </row>
    <row r="58" ht="15.75" customHeight="1">
      <c r="A58" s="12"/>
      <c r="B58" s="12"/>
      <c r="C58" s="12"/>
      <c r="D58" s="13" t="s">
        <v>5</v>
      </c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>
        <f t="shared" si="2"/>
        <v>0</v>
      </c>
      <c r="AK58" s="1"/>
      <c r="AL58" s="1"/>
      <c r="AM58" s="4"/>
      <c r="AN58" s="1"/>
      <c r="AO58" s="1"/>
      <c r="AP58" s="1"/>
      <c r="AQ58" s="1"/>
      <c r="AR58" s="1"/>
      <c r="AS58" s="1"/>
      <c r="AT58" s="1"/>
      <c r="AU58" s="1"/>
    </row>
    <row r="59" ht="15.75" customHeight="1">
      <c r="A59" s="16"/>
      <c r="B59" s="16"/>
      <c r="C59" s="16"/>
      <c r="D59" s="13" t="s">
        <v>6</v>
      </c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>
        <f t="shared" si="2"/>
        <v>0</v>
      </c>
      <c r="AK59" s="1"/>
      <c r="AL59" s="1"/>
      <c r="AM59" s="4"/>
      <c r="AN59" s="1"/>
      <c r="AO59" s="1"/>
      <c r="AP59" s="1"/>
      <c r="AQ59" s="1"/>
      <c r="AR59" s="1"/>
      <c r="AS59" s="1"/>
      <c r="AT59" s="1"/>
      <c r="AU59" s="1"/>
    </row>
    <row r="60" ht="15.75" customHeight="1">
      <c r="A60" s="10"/>
      <c r="B60" s="10"/>
      <c r="C60" s="10"/>
      <c r="D60" s="13" t="s">
        <v>7</v>
      </c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>
        <f t="shared" si="2"/>
        <v>0</v>
      </c>
      <c r="AK60" s="1"/>
      <c r="AL60" s="1"/>
      <c r="AM60" s="4"/>
      <c r="AN60" s="1"/>
      <c r="AO60" s="1"/>
      <c r="AP60" s="1"/>
      <c r="AQ60" s="1"/>
      <c r="AR60" s="1"/>
      <c r="AS60" s="1"/>
      <c r="AT60" s="1"/>
      <c r="AU60" s="1"/>
    </row>
    <row r="61" ht="15.75" customHeight="1">
      <c r="A61" s="12"/>
      <c r="B61" s="12"/>
      <c r="C61" s="12"/>
      <c r="D61" s="13" t="s">
        <v>5</v>
      </c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>
        <f t="shared" si="2"/>
        <v>0</v>
      </c>
      <c r="AK61" s="1"/>
      <c r="AL61" s="1"/>
      <c r="AM61" s="4"/>
      <c r="AN61" s="1"/>
      <c r="AO61" s="1"/>
      <c r="AP61" s="1"/>
      <c r="AQ61" s="1"/>
      <c r="AR61" s="1"/>
      <c r="AS61" s="1"/>
      <c r="AT61" s="1"/>
      <c r="AU61" s="1"/>
    </row>
    <row r="62" ht="15.75" customHeight="1">
      <c r="A62" s="16"/>
      <c r="B62" s="16"/>
      <c r="C62" s="16"/>
      <c r="D62" s="13" t="s">
        <v>6</v>
      </c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>
        <f t="shared" si="2"/>
        <v>0</v>
      </c>
      <c r="AK62" s="1"/>
      <c r="AL62" s="1"/>
      <c r="AM62" s="4"/>
      <c r="AN62" s="1"/>
      <c r="AO62" s="1"/>
      <c r="AP62" s="1"/>
      <c r="AQ62" s="1"/>
      <c r="AR62" s="1"/>
      <c r="AS62" s="1"/>
      <c r="AT62" s="1"/>
      <c r="AU62" s="1"/>
    </row>
    <row r="63" ht="15.75" customHeight="1">
      <c r="A63" s="10"/>
      <c r="B63" s="10"/>
      <c r="C63" s="10"/>
      <c r="D63" s="13" t="s">
        <v>7</v>
      </c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>
        <f t="shared" si="2"/>
        <v>0</v>
      </c>
      <c r="AK63" s="1"/>
      <c r="AL63" s="1"/>
      <c r="AM63" s="4"/>
      <c r="AN63" s="1"/>
      <c r="AO63" s="1"/>
      <c r="AP63" s="1"/>
      <c r="AQ63" s="1"/>
      <c r="AR63" s="1"/>
      <c r="AS63" s="1"/>
      <c r="AT63" s="1"/>
      <c r="AU63" s="1"/>
    </row>
    <row r="64" ht="15.75" customHeight="1">
      <c r="A64" s="12"/>
      <c r="B64" s="12"/>
      <c r="C64" s="12"/>
      <c r="D64" s="13" t="s">
        <v>5</v>
      </c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>
        <f t="shared" si="2"/>
        <v>0</v>
      </c>
      <c r="AK64" s="1"/>
      <c r="AL64" s="1"/>
      <c r="AM64" s="4"/>
      <c r="AN64" s="1"/>
      <c r="AO64" s="1"/>
      <c r="AP64" s="1"/>
      <c r="AQ64" s="1"/>
      <c r="AR64" s="1"/>
      <c r="AS64" s="1"/>
      <c r="AT64" s="1"/>
      <c r="AU64" s="1"/>
    </row>
    <row r="65" ht="15.75" customHeight="1">
      <c r="A65" s="16"/>
      <c r="B65" s="16"/>
      <c r="C65" s="16"/>
      <c r="D65" s="13" t="s">
        <v>6</v>
      </c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>
        <f t="shared" si="2"/>
        <v>0</v>
      </c>
      <c r="AK65" s="1"/>
      <c r="AL65" s="1"/>
      <c r="AM65" s="4"/>
      <c r="AN65" s="1"/>
      <c r="AO65" s="1"/>
      <c r="AP65" s="1"/>
      <c r="AQ65" s="1"/>
      <c r="AR65" s="1"/>
      <c r="AS65" s="1"/>
      <c r="AT65" s="1"/>
      <c r="AU65" s="1"/>
    </row>
    <row r="66" ht="15.75" customHeight="1">
      <c r="A66" s="10"/>
      <c r="B66" s="10"/>
      <c r="C66" s="10"/>
      <c r="D66" s="13" t="s">
        <v>7</v>
      </c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>
        <f t="shared" si="2"/>
        <v>0</v>
      </c>
      <c r="AK66" s="1"/>
      <c r="AL66" s="1"/>
      <c r="AM66" s="4"/>
      <c r="AN66" s="1"/>
      <c r="AO66" s="1"/>
      <c r="AP66" s="1"/>
      <c r="AQ66" s="1"/>
      <c r="AR66" s="1"/>
      <c r="AS66" s="1"/>
      <c r="AT66" s="1"/>
      <c r="AU66" s="1"/>
    </row>
    <row r="67" ht="15.75" customHeight="1">
      <c r="A67" s="12"/>
      <c r="B67" s="12"/>
      <c r="C67" s="12"/>
      <c r="D67" s="13" t="s">
        <v>5</v>
      </c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>
        <f t="shared" si="2"/>
        <v>0</v>
      </c>
      <c r="AK67" s="1"/>
      <c r="AL67" s="1"/>
      <c r="AM67" s="4"/>
      <c r="AN67" s="1"/>
      <c r="AO67" s="1"/>
      <c r="AP67" s="1"/>
      <c r="AQ67" s="1"/>
      <c r="AR67" s="1"/>
      <c r="AS67" s="1"/>
      <c r="AT67" s="1"/>
      <c r="AU67" s="1"/>
    </row>
    <row r="68" ht="15.75" customHeight="1">
      <c r="A68" s="16"/>
      <c r="B68" s="16"/>
      <c r="C68" s="16"/>
      <c r="D68" s="13" t="s">
        <v>6</v>
      </c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>
        <f t="shared" si="2"/>
        <v>0</v>
      </c>
      <c r="AK68" s="1"/>
      <c r="AL68" s="1"/>
      <c r="AM68" s="4"/>
      <c r="AN68" s="1"/>
      <c r="AO68" s="1"/>
      <c r="AP68" s="1"/>
      <c r="AQ68" s="1"/>
      <c r="AR68" s="1"/>
      <c r="AS68" s="1"/>
      <c r="AT68" s="1"/>
      <c r="AU68" s="1"/>
    </row>
    <row r="69" ht="15.75" customHeight="1">
      <c r="A69" s="10"/>
      <c r="B69" s="10"/>
      <c r="C69" s="10"/>
      <c r="D69" s="13" t="s">
        <v>7</v>
      </c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>
        <f t="shared" si="2"/>
        <v>0</v>
      </c>
      <c r="AK69" s="1"/>
      <c r="AL69" s="1"/>
      <c r="AM69" s="4"/>
      <c r="AN69" s="1"/>
      <c r="AO69" s="1"/>
      <c r="AP69" s="1"/>
      <c r="AQ69" s="1"/>
      <c r="AR69" s="1"/>
      <c r="AS69" s="1"/>
      <c r="AT69" s="1"/>
      <c r="AU69" s="1"/>
    </row>
    <row r="70" ht="15.75" customHeight="1">
      <c r="A70" s="12"/>
      <c r="B70" s="12"/>
      <c r="C70" s="12"/>
      <c r="D70" s="13" t="s">
        <v>5</v>
      </c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>
        <f t="shared" si="2"/>
        <v>0</v>
      </c>
      <c r="AK70" s="1"/>
      <c r="AL70" s="1"/>
      <c r="AM70" s="4"/>
      <c r="AN70" s="1"/>
      <c r="AO70" s="1"/>
      <c r="AP70" s="1"/>
      <c r="AQ70" s="1"/>
      <c r="AR70" s="1"/>
      <c r="AS70" s="1"/>
      <c r="AT70" s="1"/>
      <c r="AU70" s="1"/>
    </row>
    <row r="71" ht="15.75" customHeight="1">
      <c r="A71" s="16"/>
      <c r="B71" s="16"/>
      <c r="C71" s="16"/>
      <c r="D71" s="13" t="s">
        <v>6</v>
      </c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>
        <f t="shared" si="2"/>
        <v>0</v>
      </c>
      <c r="AK71" s="1"/>
      <c r="AL71" s="1"/>
      <c r="AM71" s="4"/>
      <c r="AN71" s="1"/>
      <c r="AO71" s="1"/>
      <c r="AP71" s="1"/>
      <c r="AQ71" s="1"/>
      <c r="AR71" s="1"/>
      <c r="AS71" s="1"/>
      <c r="AT71" s="1"/>
      <c r="AU71" s="1"/>
    </row>
    <row r="72" ht="15.75" customHeight="1">
      <c r="A72" s="10"/>
      <c r="B72" s="10"/>
      <c r="C72" s="10"/>
      <c r="D72" s="13" t="s">
        <v>7</v>
      </c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>
        <f t="shared" si="2"/>
        <v>0</v>
      </c>
      <c r="AK72" s="1"/>
      <c r="AL72" s="1"/>
      <c r="AM72" s="4"/>
      <c r="AN72" s="1"/>
      <c r="AO72" s="1"/>
      <c r="AP72" s="1"/>
      <c r="AQ72" s="1"/>
      <c r="AR72" s="1"/>
      <c r="AS72" s="1"/>
      <c r="AT72" s="1"/>
      <c r="AU72" s="1"/>
    </row>
    <row r="73" ht="15.75" customHeight="1">
      <c r="A73" s="12"/>
      <c r="B73" s="12"/>
      <c r="C73" s="12"/>
      <c r="D73" s="13" t="s">
        <v>5</v>
      </c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>
        <f t="shared" si="2"/>
        <v>0</v>
      </c>
      <c r="AK73" s="1"/>
      <c r="AL73" s="1"/>
      <c r="AM73" s="4"/>
      <c r="AN73" s="1"/>
      <c r="AO73" s="1"/>
      <c r="AP73" s="1"/>
      <c r="AQ73" s="1"/>
      <c r="AR73" s="1"/>
      <c r="AS73" s="1"/>
      <c r="AT73" s="1"/>
      <c r="AU73" s="1"/>
    </row>
    <row r="74" ht="15.75" customHeight="1">
      <c r="A74" s="16"/>
      <c r="B74" s="16"/>
      <c r="C74" s="16"/>
      <c r="D74" s="13" t="s">
        <v>6</v>
      </c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>
        <f t="shared" si="2"/>
        <v>0</v>
      </c>
      <c r="AK74" s="1"/>
      <c r="AL74" s="1"/>
      <c r="AM74" s="4"/>
      <c r="AN74" s="1"/>
      <c r="AO74" s="1"/>
      <c r="AP74" s="1"/>
      <c r="AQ74" s="1"/>
      <c r="AR74" s="1"/>
      <c r="AS74" s="1"/>
      <c r="AT74" s="1"/>
      <c r="AU74" s="1"/>
    </row>
    <row r="75" ht="15.75" customHeight="1">
      <c r="A75" s="10"/>
      <c r="B75" s="10"/>
      <c r="C75" s="10"/>
      <c r="D75" s="13" t="s">
        <v>7</v>
      </c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>
        <f t="shared" si="2"/>
        <v>0</v>
      </c>
      <c r="AK75" s="1"/>
      <c r="AL75" s="1"/>
      <c r="AM75" s="4"/>
      <c r="AN75" s="1"/>
      <c r="AO75" s="1"/>
      <c r="AP75" s="1"/>
      <c r="AQ75" s="1"/>
      <c r="AR75" s="1"/>
      <c r="AS75" s="1"/>
      <c r="AT75" s="1"/>
      <c r="AU75" s="1"/>
    </row>
    <row r="76" ht="15.75" customHeight="1">
      <c r="A76" s="31"/>
      <c r="B76" s="31"/>
      <c r="C76" s="3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4"/>
      <c r="AN76" s="1"/>
      <c r="AO76" s="1"/>
      <c r="AP76" s="1"/>
      <c r="AQ76" s="1"/>
      <c r="AR76" s="1"/>
      <c r="AS76" s="1"/>
      <c r="AT76" s="1"/>
      <c r="AU76" s="1"/>
    </row>
    <row r="77" ht="15.75" customHeight="1">
      <c r="A77" s="31"/>
      <c r="B77" s="31"/>
      <c r="C77" s="3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4"/>
      <c r="AN77" s="1"/>
      <c r="AO77" s="1"/>
      <c r="AP77" s="1"/>
      <c r="AQ77" s="1"/>
      <c r="AR77" s="1"/>
      <c r="AS77" s="1"/>
      <c r="AT77" s="1"/>
      <c r="AU77" s="1"/>
    </row>
    <row r="78" ht="15.75" customHeight="1">
      <c r="A78" s="31"/>
      <c r="B78" s="31"/>
      <c r="C78" s="3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4"/>
      <c r="AN78" s="1"/>
      <c r="AO78" s="1"/>
      <c r="AP78" s="1"/>
      <c r="AQ78" s="1"/>
      <c r="AR78" s="1"/>
      <c r="AS78" s="1"/>
      <c r="AT78" s="1"/>
      <c r="AU78" s="1"/>
    </row>
    <row r="79" ht="15.75" customHeight="1">
      <c r="A79" s="31"/>
      <c r="B79" s="31"/>
      <c r="C79" s="3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4"/>
      <c r="AN79" s="1"/>
      <c r="AO79" s="1"/>
      <c r="AP79" s="1"/>
      <c r="AQ79" s="1"/>
      <c r="AR79" s="1"/>
      <c r="AS79" s="1"/>
      <c r="AT79" s="1"/>
      <c r="AU79" s="1"/>
    </row>
    <row r="80" ht="15.75" customHeight="1">
      <c r="A80" s="31"/>
      <c r="B80" s="31"/>
      <c r="C80" s="3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4"/>
      <c r="AN80" s="1"/>
      <c r="AO80" s="1"/>
      <c r="AP80" s="1"/>
      <c r="AQ80" s="1"/>
      <c r="AR80" s="1"/>
      <c r="AS80" s="1"/>
      <c r="AT80" s="1"/>
      <c r="AU80" s="1"/>
    </row>
    <row r="81" ht="15.75" customHeight="1">
      <c r="A81" s="31"/>
      <c r="B81" s="31"/>
      <c r="C81" s="3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4"/>
      <c r="AN81" s="1"/>
      <c r="AO81" s="1"/>
      <c r="AP81" s="1"/>
      <c r="AQ81" s="1"/>
      <c r="AR81" s="1"/>
      <c r="AS81" s="1"/>
      <c r="AT81" s="1"/>
      <c r="AU81" s="1"/>
    </row>
    <row r="82" ht="15.75" customHeight="1">
      <c r="A82" s="31"/>
      <c r="B82" s="31"/>
      <c r="C82" s="3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4"/>
      <c r="AN82" s="1"/>
      <c r="AO82" s="1"/>
      <c r="AP82" s="1"/>
      <c r="AQ82" s="1"/>
      <c r="AR82" s="1"/>
      <c r="AS82" s="1"/>
      <c r="AT82" s="1"/>
      <c r="AU82" s="1"/>
    </row>
    <row r="83" ht="15.75" customHeight="1">
      <c r="A83" s="31"/>
      <c r="B83" s="31"/>
      <c r="C83" s="3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4"/>
      <c r="AN83" s="1"/>
      <c r="AO83" s="1"/>
      <c r="AP83" s="1"/>
      <c r="AQ83" s="1"/>
      <c r="AR83" s="1"/>
      <c r="AS83" s="1"/>
      <c r="AT83" s="1"/>
      <c r="AU83" s="1"/>
    </row>
    <row r="84" ht="15.75" customHeight="1">
      <c r="A84" s="31"/>
      <c r="B84" s="31"/>
      <c r="C84" s="3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4"/>
      <c r="AN84" s="1"/>
      <c r="AO84" s="1"/>
      <c r="AP84" s="1"/>
      <c r="AQ84" s="1"/>
      <c r="AR84" s="1"/>
      <c r="AS84" s="1"/>
      <c r="AT84" s="1"/>
      <c r="AU84" s="1"/>
    </row>
    <row r="85" ht="15.75" customHeight="1">
      <c r="A85" s="31"/>
      <c r="B85" s="31"/>
      <c r="C85" s="3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4"/>
      <c r="AN85" s="1"/>
      <c r="AO85" s="1"/>
      <c r="AP85" s="1"/>
      <c r="AQ85" s="1"/>
      <c r="AR85" s="1"/>
      <c r="AS85" s="1"/>
      <c r="AT85" s="1"/>
      <c r="AU85" s="1"/>
    </row>
    <row r="86" ht="15.75" customHeight="1">
      <c r="A86" s="31"/>
      <c r="B86" s="31"/>
      <c r="C86" s="3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4"/>
      <c r="AN86" s="1"/>
      <c r="AO86" s="1"/>
      <c r="AP86" s="1"/>
      <c r="AQ86" s="1"/>
      <c r="AR86" s="1"/>
      <c r="AS86" s="1"/>
      <c r="AT86" s="1"/>
      <c r="AU86" s="1"/>
    </row>
    <row r="87" ht="15.75" customHeight="1">
      <c r="A87" s="31"/>
      <c r="B87" s="31"/>
      <c r="C87" s="3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4"/>
      <c r="AN87" s="1"/>
      <c r="AO87" s="1"/>
      <c r="AP87" s="1"/>
      <c r="AQ87" s="1"/>
      <c r="AR87" s="1"/>
      <c r="AS87" s="1"/>
      <c r="AT87" s="1"/>
      <c r="AU87" s="1"/>
    </row>
    <row r="88" ht="15.75" customHeight="1">
      <c r="A88" s="31"/>
      <c r="B88" s="31"/>
      <c r="C88" s="3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4"/>
      <c r="AN88" s="1"/>
      <c r="AO88" s="1"/>
      <c r="AP88" s="1"/>
      <c r="AQ88" s="1"/>
      <c r="AR88" s="1"/>
      <c r="AS88" s="1"/>
      <c r="AT88" s="1"/>
      <c r="AU88" s="1"/>
    </row>
    <row r="89" ht="15.75" customHeight="1">
      <c r="A89" s="31"/>
      <c r="B89" s="31"/>
      <c r="C89" s="3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4"/>
      <c r="AN89" s="1"/>
      <c r="AO89" s="1"/>
      <c r="AP89" s="1"/>
      <c r="AQ89" s="1"/>
      <c r="AR89" s="1"/>
      <c r="AS89" s="1"/>
      <c r="AT89" s="1"/>
      <c r="AU89" s="1"/>
    </row>
    <row r="90" ht="15.75" customHeight="1">
      <c r="A90" s="31"/>
      <c r="B90" s="31"/>
      <c r="C90" s="3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4"/>
      <c r="AN90" s="1"/>
      <c r="AO90" s="1"/>
      <c r="AP90" s="1"/>
      <c r="AQ90" s="1"/>
      <c r="AR90" s="1"/>
      <c r="AS90" s="1"/>
      <c r="AT90" s="1"/>
      <c r="AU90" s="1"/>
    </row>
    <row r="91" ht="15.75" customHeight="1">
      <c r="A91" s="31"/>
      <c r="B91" s="31"/>
      <c r="C91" s="3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4"/>
      <c r="AN91" s="1"/>
      <c r="AO91" s="1"/>
      <c r="AP91" s="1"/>
      <c r="AQ91" s="1"/>
      <c r="AR91" s="1"/>
      <c r="AS91" s="1"/>
      <c r="AT91" s="1"/>
      <c r="AU91" s="1"/>
    </row>
    <row r="92" ht="15.75" customHeight="1">
      <c r="A92" s="31"/>
      <c r="B92" s="31"/>
      <c r="C92" s="3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4"/>
      <c r="AN92" s="1"/>
      <c r="AO92" s="1"/>
      <c r="AP92" s="1"/>
      <c r="AQ92" s="1"/>
      <c r="AR92" s="1"/>
      <c r="AS92" s="1"/>
      <c r="AT92" s="1"/>
      <c r="AU92" s="1"/>
    </row>
    <row r="93" ht="15.75" customHeight="1">
      <c r="A93" s="31"/>
      <c r="B93" s="31"/>
      <c r="C93" s="3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4"/>
      <c r="AN93" s="1"/>
      <c r="AO93" s="1"/>
      <c r="AP93" s="1"/>
      <c r="AQ93" s="1"/>
      <c r="AR93" s="1"/>
      <c r="AS93" s="1"/>
      <c r="AT93" s="1"/>
      <c r="AU93" s="1"/>
    </row>
    <row r="94" ht="15.75" customHeight="1">
      <c r="A94" s="31"/>
      <c r="B94" s="31"/>
      <c r="C94" s="3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4"/>
      <c r="AN94" s="1"/>
      <c r="AO94" s="1"/>
      <c r="AP94" s="1"/>
      <c r="AQ94" s="1"/>
      <c r="AR94" s="1"/>
      <c r="AS94" s="1"/>
      <c r="AT94" s="1"/>
      <c r="AU94" s="1"/>
    </row>
    <row r="95" ht="15.75" customHeight="1">
      <c r="A95" s="31"/>
      <c r="B95" s="31"/>
      <c r="C95" s="3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4"/>
      <c r="AN95" s="1"/>
      <c r="AO95" s="1"/>
      <c r="AP95" s="1"/>
      <c r="AQ95" s="1"/>
      <c r="AR95" s="1"/>
      <c r="AS95" s="1"/>
      <c r="AT95" s="1"/>
      <c r="AU95" s="1"/>
    </row>
    <row r="96" ht="15.75" customHeight="1">
      <c r="A96" s="31"/>
      <c r="B96" s="31"/>
      <c r="C96" s="3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4"/>
      <c r="AN96" s="1"/>
      <c r="AO96" s="1"/>
      <c r="AP96" s="1"/>
      <c r="AQ96" s="1"/>
      <c r="AR96" s="1"/>
      <c r="AS96" s="1"/>
      <c r="AT96" s="1"/>
      <c r="AU96" s="1"/>
    </row>
    <row r="97" ht="15.75" customHeight="1">
      <c r="A97" s="31"/>
      <c r="B97" s="31"/>
      <c r="C97" s="3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4"/>
      <c r="AN97" s="1"/>
      <c r="AO97" s="1"/>
      <c r="AP97" s="1"/>
      <c r="AQ97" s="1"/>
      <c r="AR97" s="1"/>
      <c r="AS97" s="1"/>
      <c r="AT97" s="1"/>
      <c r="AU97" s="1"/>
    </row>
    <row r="98" ht="15.75" customHeight="1">
      <c r="A98" s="31"/>
      <c r="B98" s="31"/>
      <c r="C98" s="3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4"/>
      <c r="AN98" s="1"/>
      <c r="AO98" s="1"/>
      <c r="AP98" s="1"/>
      <c r="AQ98" s="1"/>
      <c r="AR98" s="1"/>
      <c r="AS98" s="1"/>
      <c r="AT98" s="1"/>
      <c r="AU98" s="1"/>
    </row>
    <row r="99" ht="15.75" customHeight="1">
      <c r="A99" s="31"/>
      <c r="B99" s="31"/>
      <c r="C99" s="3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4"/>
      <c r="AN99" s="1"/>
      <c r="AO99" s="1"/>
      <c r="AP99" s="1"/>
      <c r="AQ99" s="1"/>
      <c r="AR99" s="1"/>
      <c r="AS99" s="1"/>
      <c r="AT99" s="1"/>
      <c r="AU99" s="1"/>
    </row>
    <row r="100" ht="15.75" customHeight="1">
      <c r="A100" s="31"/>
      <c r="B100" s="31"/>
      <c r="C100" s="3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4"/>
      <c r="AN100" s="1"/>
      <c r="AO100" s="1"/>
      <c r="AP100" s="1"/>
      <c r="AQ100" s="1"/>
      <c r="AR100" s="1"/>
      <c r="AS100" s="1"/>
      <c r="AT100" s="1"/>
      <c r="AU100" s="1"/>
    </row>
    <row r="101" ht="15.75" customHeight="1">
      <c r="A101" s="31"/>
      <c r="B101" s="31"/>
      <c r="C101" s="3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4"/>
      <c r="AN101" s="1"/>
      <c r="AO101" s="1"/>
      <c r="AP101" s="1"/>
      <c r="AQ101" s="1"/>
      <c r="AR101" s="1"/>
      <c r="AS101" s="1"/>
      <c r="AT101" s="1"/>
      <c r="AU101" s="1"/>
    </row>
    <row r="102" ht="15.75" customHeight="1">
      <c r="A102" s="31"/>
      <c r="B102" s="31"/>
      <c r="C102" s="3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4"/>
      <c r="AN102" s="1"/>
      <c r="AO102" s="1"/>
      <c r="AP102" s="1"/>
      <c r="AQ102" s="1"/>
      <c r="AR102" s="1"/>
      <c r="AS102" s="1"/>
      <c r="AT102" s="1"/>
      <c r="AU102" s="1"/>
    </row>
    <row r="103" ht="15.75" customHeight="1">
      <c r="A103" s="31"/>
      <c r="B103" s="31"/>
      <c r="C103" s="3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4"/>
      <c r="AN103" s="1"/>
      <c r="AO103" s="1"/>
      <c r="AP103" s="1"/>
      <c r="AQ103" s="1"/>
      <c r="AR103" s="1"/>
      <c r="AS103" s="1"/>
      <c r="AT103" s="1"/>
      <c r="AU103" s="1"/>
    </row>
    <row r="104" ht="15.75" customHeight="1">
      <c r="A104" s="31"/>
      <c r="B104" s="31"/>
      <c r="C104" s="3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4"/>
      <c r="AN104" s="1"/>
      <c r="AO104" s="1"/>
      <c r="AP104" s="1"/>
      <c r="AQ104" s="1"/>
      <c r="AR104" s="1"/>
      <c r="AS104" s="1"/>
      <c r="AT104" s="1"/>
      <c r="AU104" s="1"/>
    </row>
    <row r="105" ht="15.75" customHeight="1">
      <c r="A105" s="31"/>
      <c r="B105" s="31"/>
      <c r="C105" s="3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4"/>
      <c r="AN105" s="1"/>
      <c r="AO105" s="1"/>
      <c r="AP105" s="1"/>
      <c r="AQ105" s="1"/>
      <c r="AR105" s="1"/>
      <c r="AS105" s="1"/>
      <c r="AT105" s="1"/>
      <c r="AU105" s="1"/>
    </row>
    <row r="106" ht="15.75" customHeight="1">
      <c r="A106" s="31"/>
      <c r="B106" s="31"/>
      <c r="C106" s="3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4"/>
      <c r="AN106" s="1"/>
      <c r="AO106" s="1"/>
      <c r="AP106" s="1"/>
      <c r="AQ106" s="1"/>
      <c r="AR106" s="1"/>
      <c r="AS106" s="1"/>
      <c r="AT106" s="1"/>
      <c r="AU106" s="1"/>
    </row>
    <row r="107" ht="15.75" customHeight="1">
      <c r="A107" s="31"/>
      <c r="B107" s="31"/>
      <c r="C107" s="3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4"/>
      <c r="AN107" s="1"/>
      <c r="AO107" s="1"/>
      <c r="AP107" s="1"/>
      <c r="AQ107" s="1"/>
      <c r="AR107" s="1"/>
      <c r="AS107" s="1"/>
      <c r="AT107" s="1"/>
      <c r="AU107" s="1"/>
    </row>
    <row r="108" ht="15.75" customHeight="1">
      <c r="A108" s="31"/>
      <c r="B108" s="31"/>
      <c r="C108" s="3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4"/>
      <c r="AN108" s="1"/>
      <c r="AO108" s="1"/>
      <c r="AP108" s="1"/>
      <c r="AQ108" s="1"/>
      <c r="AR108" s="1"/>
      <c r="AS108" s="1"/>
      <c r="AT108" s="1"/>
      <c r="AU108" s="1"/>
    </row>
    <row r="109" ht="15.75" customHeight="1">
      <c r="A109" s="31"/>
      <c r="B109" s="31"/>
      <c r="C109" s="3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4"/>
      <c r="AN109" s="1"/>
      <c r="AO109" s="1"/>
      <c r="AP109" s="1"/>
      <c r="AQ109" s="1"/>
      <c r="AR109" s="1"/>
      <c r="AS109" s="1"/>
      <c r="AT109" s="1"/>
      <c r="AU109" s="1"/>
    </row>
    <row r="110" ht="15.75" customHeight="1">
      <c r="A110" s="31"/>
      <c r="B110" s="31"/>
      <c r="C110" s="3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4"/>
      <c r="AN110" s="1"/>
      <c r="AO110" s="1"/>
      <c r="AP110" s="1"/>
      <c r="AQ110" s="1"/>
      <c r="AR110" s="1"/>
      <c r="AS110" s="1"/>
      <c r="AT110" s="1"/>
      <c r="AU110" s="1"/>
    </row>
    <row r="111" ht="15.75" customHeight="1">
      <c r="A111" s="31"/>
      <c r="B111" s="31"/>
      <c r="C111" s="3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4"/>
      <c r="AN111" s="1"/>
      <c r="AO111" s="1"/>
      <c r="AP111" s="1"/>
      <c r="AQ111" s="1"/>
      <c r="AR111" s="1"/>
      <c r="AS111" s="1"/>
      <c r="AT111" s="1"/>
      <c r="AU111" s="1"/>
    </row>
    <row r="112" ht="15.75" customHeight="1">
      <c r="A112" s="31"/>
      <c r="B112" s="31"/>
      <c r="C112" s="3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4"/>
      <c r="AN112" s="1"/>
      <c r="AO112" s="1"/>
      <c r="AP112" s="1"/>
      <c r="AQ112" s="1"/>
      <c r="AR112" s="1"/>
      <c r="AS112" s="1"/>
      <c r="AT112" s="1"/>
      <c r="AU112" s="1"/>
    </row>
    <row r="113" ht="15.75" customHeight="1">
      <c r="A113" s="31"/>
      <c r="B113" s="31"/>
      <c r="C113" s="3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4"/>
      <c r="AN113" s="1"/>
      <c r="AO113" s="1"/>
      <c r="AP113" s="1"/>
      <c r="AQ113" s="1"/>
      <c r="AR113" s="1"/>
      <c r="AS113" s="1"/>
      <c r="AT113" s="1"/>
      <c r="AU113" s="1"/>
    </row>
    <row r="114" ht="15.75" customHeight="1">
      <c r="A114" s="31"/>
      <c r="B114" s="31"/>
      <c r="C114" s="3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4"/>
      <c r="AN114" s="1"/>
      <c r="AO114" s="1"/>
      <c r="AP114" s="1"/>
      <c r="AQ114" s="1"/>
      <c r="AR114" s="1"/>
      <c r="AS114" s="1"/>
      <c r="AT114" s="1"/>
      <c r="AU114" s="1"/>
    </row>
    <row r="115" ht="15.75" customHeight="1">
      <c r="A115" s="31"/>
      <c r="B115" s="31"/>
      <c r="C115" s="3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4"/>
      <c r="AN115" s="1"/>
      <c r="AO115" s="1"/>
      <c r="AP115" s="1"/>
      <c r="AQ115" s="1"/>
      <c r="AR115" s="1"/>
      <c r="AS115" s="1"/>
      <c r="AT115" s="1"/>
      <c r="AU115" s="1"/>
    </row>
    <row r="116" ht="15.75" customHeight="1">
      <c r="A116" s="31"/>
      <c r="B116" s="31"/>
      <c r="C116" s="3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4"/>
      <c r="AN116" s="1"/>
      <c r="AO116" s="1"/>
      <c r="AP116" s="1"/>
      <c r="AQ116" s="1"/>
      <c r="AR116" s="1"/>
      <c r="AS116" s="1"/>
      <c r="AT116" s="1"/>
      <c r="AU116" s="1"/>
    </row>
    <row r="117" ht="15.75" customHeight="1">
      <c r="A117" s="31"/>
      <c r="B117" s="31"/>
      <c r="C117" s="3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4"/>
      <c r="AN117" s="1"/>
      <c r="AO117" s="1"/>
      <c r="AP117" s="1"/>
      <c r="AQ117" s="1"/>
      <c r="AR117" s="1"/>
      <c r="AS117" s="1"/>
      <c r="AT117" s="1"/>
      <c r="AU117" s="1"/>
    </row>
    <row r="118" ht="15.75" customHeight="1">
      <c r="A118" s="31"/>
      <c r="B118" s="31"/>
      <c r="C118" s="3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4"/>
      <c r="AN118" s="1"/>
      <c r="AO118" s="1"/>
      <c r="AP118" s="1"/>
      <c r="AQ118" s="1"/>
      <c r="AR118" s="1"/>
      <c r="AS118" s="1"/>
      <c r="AT118" s="1"/>
      <c r="AU118" s="1"/>
    </row>
    <row r="119" ht="15.75" customHeight="1">
      <c r="A119" s="31"/>
      <c r="B119" s="31"/>
      <c r="C119" s="3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4"/>
      <c r="AN119" s="1"/>
      <c r="AO119" s="1"/>
      <c r="AP119" s="1"/>
      <c r="AQ119" s="1"/>
      <c r="AR119" s="1"/>
      <c r="AS119" s="1"/>
      <c r="AT119" s="1"/>
      <c r="AU119" s="1"/>
    </row>
    <row r="120" ht="15.75" customHeight="1">
      <c r="A120" s="31"/>
      <c r="B120" s="31"/>
      <c r="C120" s="3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4"/>
      <c r="AN120" s="1"/>
      <c r="AO120" s="1"/>
      <c r="AP120" s="1"/>
      <c r="AQ120" s="1"/>
      <c r="AR120" s="1"/>
      <c r="AS120" s="1"/>
      <c r="AT120" s="1"/>
      <c r="AU120" s="1"/>
    </row>
    <row r="121" ht="15.75" customHeight="1">
      <c r="A121" s="31"/>
      <c r="B121" s="31"/>
      <c r="C121" s="3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4"/>
      <c r="AN121" s="1"/>
      <c r="AO121" s="1"/>
      <c r="AP121" s="1"/>
      <c r="AQ121" s="1"/>
      <c r="AR121" s="1"/>
      <c r="AS121" s="1"/>
      <c r="AT121" s="1"/>
      <c r="AU121" s="1"/>
    </row>
    <row r="122" ht="15.75" customHeight="1">
      <c r="A122" s="31"/>
      <c r="B122" s="31"/>
      <c r="C122" s="3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4"/>
      <c r="AN122" s="1"/>
      <c r="AO122" s="1"/>
      <c r="AP122" s="1"/>
      <c r="AQ122" s="1"/>
      <c r="AR122" s="1"/>
      <c r="AS122" s="1"/>
      <c r="AT122" s="1"/>
      <c r="AU122" s="1"/>
    </row>
    <row r="123" ht="15.75" customHeight="1">
      <c r="A123" s="31"/>
      <c r="B123" s="31"/>
      <c r="C123" s="3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4"/>
      <c r="AN123" s="1"/>
      <c r="AO123" s="1"/>
      <c r="AP123" s="1"/>
      <c r="AQ123" s="1"/>
      <c r="AR123" s="1"/>
      <c r="AS123" s="1"/>
      <c r="AT123" s="1"/>
      <c r="AU123" s="1"/>
    </row>
    <row r="124" ht="15.75" customHeight="1">
      <c r="A124" s="31"/>
      <c r="B124" s="31"/>
      <c r="C124" s="3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4"/>
      <c r="AN124" s="1"/>
      <c r="AO124" s="1"/>
      <c r="AP124" s="1"/>
      <c r="AQ124" s="1"/>
      <c r="AR124" s="1"/>
      <c r="AS124" s="1"/>
      <c r="AT124" s="1"/>
      <c r="AU124" s="1"/>
    </row>
    <row r="125" ht="15.75" customHeight="1">
      <c r="A125" s="31"/>
      <c r="B125" s="31"/>
      <c r="C125" s="3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4"/>
      <c r="AN125" s="1"/>
      <c r="AO125" s="1"/>
      <c r="AP125" s="1"/>
      <c r="AQ125" s="1"/>
      <c r="AR125" s="1"/>
      <c r="AS125" s="1"/>
      <c r="AT125" s="1"/>
      <c r="AU125" s="1"/>
    </row>
    <row r="126" ht="15.75" customHeight="1">
      <c r="A126" s="31"/>
      <c r="B126" s="31"/>
      <c r="C126" s="3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4"/>
      <c r="AN126" s="1"/>
      <c r="AO126" s="1"/>
      <c r="AP126" s="1"/>
      <c r="AQ126" s="1"/>
      <c r="AR126" s="1"/>
      <c r="AS126" s="1"/>
      <c r="AT126" s="1"/>
      <c r="AU126" s="1"/>
    </row>
    <row r="127" ht="15.75" customHeight="1">
      <c r="A127" s="31"/>
      <c r="B127" s="31"/>
      <c r="C127" s="3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4"/>
      <c r="AN127" s="1"/>
      <c r="AO127" s="1"/>
      <c r="AP127" s="1"/>
      <c r="AQ127" s="1"/>
      <c r="AR127" s="1"/>
      <c r="AS127" s="1"/>
      <c r="AT127" s="1"/>
      <c r="AU127" s="1"/>
    </row>
    <row r="128" ht="15.75" customHeight="1">
      <c r="A128" s="31"/>
      <c r="B128" s="31"/>
      <c r="C128" s="3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4"/>
      <c r="AN128" s="1"/>
      <c r="AO128" s="1"/>
      <c r="AP128" s="1"/>
      <c r="AQ128" s="1"/>
      <c r="AR128" s="1"/>
      <c r="AS128" s="1"/>
      <c r="AT128" s="1"/>
      <c r="AU128" s="1"/>
    </row>
    <row r="129" ht="15.75" customHeight="1">
      <c r="A129" s="31"/>
      <c r="B129" s="31"/>
      <c r="C129" s="3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4"/>
      <c r="AN129" s="1"/>
      <c r="AO129" s="1"/>
      <c r="AP129" s="1"/>
      <c r="AQ129" s="1"/>
      <c r="AR129" s="1"/>
      <c r="AS129" s="1"/>
      <c r="AT129" s="1"/>
      <c r="AU129" s="1"/>
    </row>
    <row r="130" ht="15.75" customHeight="1">
      <c r="A130" s="31"/>
      <c r="B130" s="31"/>
      <c r="C130" s="3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4"/>
      <c r="AN130" s="1"/>
      <c r="AO130" s="1"/>
      <c r="AP130" s="1"/>
      <c r="AQ130" s="1"/>
      <c r="AR130" s="1"/>
      <c r="AS130" s="1"/>
      <c r="AT130" s="1"/>
      <c r="AU130" s="1"/>
    </row>
    <row r="131" ht="15.75" customHeight="1">
      <c r="A131" s="31"/>
      <c r="B131" s="31"/>
      <c r="C131" s="3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4"/>
      <c r="AN131" s="1"/>
      <c r="AO131" s="1"/>
      <c r="AP131" s="1"/>
      <c r="AQ131" s="1"/>
      <c r="AR131" s="1"/>
      <c r="AS131" s="1"/>
      <c r="AT131" s="1"/>
      <c r="AU131" s="1"/>
    </row>
    <row r="132" ht="15.75" customHeight="1">
      <c r="A132" s="31"/>
      <c r="B132" s="31"/>
      <c r="C132" s="3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4"/>
      <c r="AN132" s="1"/>
      <c r="AO132" s="1"/>
      <c r="AP132" s="1"/>
      <c r="AQ132" s="1"/>
      <c r="AR132" s="1"/>
      <c r="AS132" s="1"/>
      <c r="AT132" s="1"/>
      <c r="AU132" s="1"/>
    </row>
    <row r="133" ht="15.75" customHeight="1">
      <c r="A133" s="31"/>
      <c r="B133" s="31"/>
      <c r="C133" s="3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4"/>
      <c r="AN133" s="1"/>
      <c r="AO133" s="1"/>
      <c r="AP133" s="1"/>
      <c r="AQ133" s="1"/>
      <c r="AR133" s="1"/>
      <c r="AS133" s="1"/>
      <c r="AT133" s="1"/>
      <c r="AU133" s="1"/>
    </row>
    <row r="134" ht="15.75" customHeight="1">
      <c r="A134" s="31"/>
      <c r="B134" s="31"/>
      <c r="C134" s="3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4"/>
      <c r="AN134" s="1"/>
      <c r="AO134" s="1"/>
      <c r="AP134" s="1"/>
      <c r="AQ134" s="1"/>
      <c r="AR134" s="1"/>
      <c r="AS134" s="1"/>
      <c r="AT134" s="1"/>
      <c r="AU134" s="1"/>
    </row>
    <row r="135" ht="15.75" customHeight="1">
      <c r="A135" s="31"/>
      <c r="B135" s="31"/>
      <c r="C135" s="3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4"/>
      <c r="AN135" s="1"/>
      <c r="AO135" s="1"/>
      <c r="AP135" s="1"/>
      <c r="AQ135" s="1"/>
      <c r="AR135" s="1"/>
      <c r="AS135" s="1"/>
      <c r="AT135" s="1"/>
      <c r="AU135" s="1"/>
    </row>
    <row r="136" ht="15.75" customHeight="1">
      <c r="A136" s="31"/>
      <c r="B136" s="31"/>
      <c r="C136" s="3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4"/>
      <c r="AN136" s="1"/>
      <c r="AO136" s="1"/>
      <c r="AP136" s="1"/>
      <c r="AQ136" s="1"/>
      <c r="AR136" s="1"/>
      <c r="AS136" s="1"/>
      <c r="AT136" s="1"/>
      <c r="AU136" s="1"/>
    </row>
    <row r="137" ht="15.75" customHeight="1">
      <c r="A137" s="31"/>
      <c r="B137" s="31"/>
      <c r="C137" s="3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4"/>
      <c r="AN137" s="1"/>
      <c r="AO137" s="1"/>
      <c r="AP137" s="1"/>
      <c r="AQ137" s="1"/>
      <c r="AR137" s="1"/>
      <c r="AS137" s="1"/>
      <c r="AT137" s="1"/>
      <c r="AU137" s="1"/>
    </row>
    <row r="138" ht="15.75" customHeight="1">
      <c r="A138" s="31"/>
      <c r="B138" s="31"/>
      <c r="C138" s="3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4"/>
      <c r="AN138" s="1"/>
      <c r="AO138" s="1"/>
      <c r="AP138" s="1"/>
      <c r="AQ138" s="1"/>
      <c r="AR138" s="1"/>
      <c r="AS138" s="1"/>
      <c r="AT138" s="1"/>
      <c r="AU138" s="1"/>
    </row>
    <row r="139" ht="15.75" customHeight="1">
      <c r="A139" s="31"/>
      <c r="B139" s="31"/>
      <c r="C139" s="3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4"/>
      <c r="AN139" s="1"/>
      <c r="AO139" s="1"/>
      <c r="AP139" s="1"/>
      <c r="AQ139" s="1"/>
      <c r="AR139" s="1"/>
      <c r="AS139" s="1"/>
      <c r="AT139" s="1"/>
      <c r="AU139" s="1"/>
    </row>
    <row r="140" ht="15.75" customHeight="1">
      <c r="A140" s="31"/>
      <c r="B140" s="31"/>
      <c r="C140" s="3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4"/>
      <c r="AN140" s="1"/>
      <c r="AO140" s="1"/>
      <c r="AP140" s="1"/>
      <c r="AQ140" s="1"/>
      <c r="AR140" s="1"/>
      <c r="AS140" s="1"/>
      <c r="AT140" s="1"/>
      <c r="AU140" s="1"/>
    </row>
    <row r="141" ht="15.75" customHeight="1">
      <c r="A141" s="31"/>
      <c r="B141" s="31"/>
      <c r="C141" s="3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4"/>
      <c r="AN141" s="1"/>
      <c r="AO141" s="1"/>
      <c r="AP141" s="1"/>
      <c r="AQ141" s="1"/>
      <c r="AR141" s="1"/>
      <c r="AS141" s="1"/>
      <c r="AT141" s="1"/>
      <c r="AU141" s="1"/>
    </row>
    <row r="142" ht="15.75" customHeight="1">
      <c r="A142" s="31"/>
      <c r="B142" s="31"/>
      <c r="C142" s="3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4"/>
      <c r="AN142" s="1"/>
      <c r="AO142" s="1"/>
      <c r="AP142" s="1"/>
      <c r="AQ142" s="1"/>
      <c r="AR142" s="1"/>
      <c r="AS142" s="1"/>
      <c r="AT142" s="1"/>
      <c r="AU142" s="1"/>
    </row>
    <row r="143" ht="15.75" customHeight="1">
      <c r="A143" s="31"/>
      <c r="B143" s="31"/>
      <c r="C143" s="3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4"/>
      <c r="AN143" s="1"/>
      <c r="AO143" s="1"/>
      <c r="AP143" s="1"/>
      <c r="AQ143" s="1"/>
      <c r="AR143" s="1"/>
      <c r="AS143" s="1"/>
      <c r="AT143" s="1"/>
      <c r="AU143" s="1"/>
    </row>
    <row r="144" ht="15.75" customHeight="1">
      <c r="A144" s="31"/>
      <c r="B144" s="31"/>
      <c r="C144" s="3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4"/>
      <c r="AN144" s="1"/>
      <c r="AO144" s="1"/>
      <c r="AP144" s="1"/>
      <c r="AQ144" s="1"/>
      <c r="AR144" s="1"/>
      <c r="AS144" s="1"/>
      <c r="AT144" s="1"/>
      <c r="AU144" s="1"/>
    </row>
    <row r="145" ht="15.75" customHeight="1">
      <c r="A145" s="31"/>
      <c r="B145" s="31"/>
      <c r="C145" s="3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4"/>
      <c r="AN145" s="1"/>
      <c r="AO145" s="1"/>
      <c r="AP145" s="1"/>
      <c r="AQ145" s="1"/>
      <c r="AR145" s="1"/>
      <c r="AS145" s="1"/>
      <c r="AT145" s="1"/>
      <c r="AU145" s="1"/>
    </row>
    <row r="146" ht="15.75" customHeight="1">
      <c r="A146" s="31"/>
      <c r="B146" s="31"/>
      <c r="C146" s="3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4"/>
      <c r="AN146" s="1"/>
      <c r="AO146" s="1"/>
      <c r="AP146" s="1"/>
      <c r="AQ146" s="1"/>
      <c r="AR146" s="1"/>
      <c r="AS146" s="1"/>
      <c r="AT146" s="1"/>
      <c r="AU146" s="1"/>
    </row>
    <row r="147" ht="15.75" customHeight="1">
      <c r="A147" s="31"/>
      <c r="B147" s="31"/>
      <c r="C147" s="3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4"/>
      <c r="AN147" s="1"/>
      <c r="AO147" s="1"/>
      <c r="AP147" s="1"/>
      <c r="AQ147" s="1"/>
      <c r="AR147" s="1"/>
      <c r="AS147" s="1"/>
      <c r="AT147" s="1"/>
      <c r="AU147" s="1"/>
    </row>
    <row r="148" ht="15.75" customHeight="1">
      <c r="A148" s="31"/>
      <c r="B148" s="31"/>
      <c r="C148" s="3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4"/>
      <c r="AN148" s="1"/>
      <c r="AO148" s="1"/>
      <c r="AP148" s="1"/>
      <c r="AQ148" s="1"/>
      <c r="AR148" s="1"/>
      <c r="AS148" s="1"/>
      <c r="AT148" s="1"/>
      <c r="AU148" s="1"/>
    </row>
    <row r="149" ht="15.75" customHeight="1">
      <c r="A149" s="31"/>
      <c r="B149" s="31"/>
      <c r="C149" s="3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4"/>
      <c r="AN149" s="1"/>
      <c r="AO149" s="1"/>
      <c r="AP149" s="1"/>
      <c r="AQ149" s="1"/>
      <c r="AR149" s="1"/>
      <c r="AS149" s="1"/>
      <c r="AT149" s="1"/>
      <c r="AU149" s="1"/>
    </row>
    <row r="150" ht="15.75" customHeight="1">
      <c r="A150" s="31"/>
      <c r="B150" s="31"/>
      <c r="C150" s="3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4"/>
      <c r="AN150" s="1"/>
      <c r="AO150" s="1"/>
      <c r="AP150" s="1"/>
      <c r="AQ150" s="1"/>
      <c r="AR150" s="1"/>
      <c r="AS150" s="1"/>
      <c r="AT150" s="1"/>
      <c r="AU150" s="1"/>
    </row>
    <row r="151" ht="15.75" customHeight="1">
      <c r="A151" s="31"/>
      <c r="B151" s="31"/>
      <c r="C151" s="3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4"/>
      <c r="AN151" s="1"/>
      <c r="AO151" s="1"/>
      <c r="AP151" s="1"/>
      <c r="AQ151" s="1"/>
      <c r="AR151" s="1"/>
      <c r="AS151" s="1"/>
      <c r="AT151" s="1"/>
      <c r="AU151" s="1"/>
    </row>
    <row r="152" ht="15.75" customHeight="1">
      <c r="A152" s="31"/>
      <c r="B152" s="31"/>
      <c r="C152" s="3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4"/>
      <c r="AN152" s="1"/>
      <c r="AO152" s="1"/>
      <c r="AP152" s="1"/>
      <c r="AQ152" s="1"/>
      <c r="AR152" s="1"/>
      <c r="AS152" s="1"/>
      <c r="AT152" s="1"/>
      <c r="AU152" s="1"/>
    </row>
    <row r="153" ht="15.75" customHeight="1">
      <c r="A153" s="31"/>
      <c r="B153" s="31"/>
      <c r="C153" s="3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4"/>
      <c r="AN153" s="1"/>
      <c r="AO153" s="1"/>
      <c r="AP153" s="1"/>
      <c r="AQ153" s="1"/>
      <c r="AR153" s="1"/>
      <c r="AS153" s="1"/>
      <c r="AT153" s="1"/>
      <c r="AU153" s="1"/>
    </row>
    <row r="154" ht="15.75" customHeight="1">
      <c r="A154" s="31"/>
      <c r="B154" s="31"/>
      <c r="C154" s="3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4"/>
      <c r="AN154" s="1"/>
      <c r="AO154" s="1"/>
      <c r="AP154" s="1"/>
      <c r="AQ154" s="1"/>
      <c r="AR154" s="1"/>
      <c r="AS154" s="1"/>
      <c r="AT154" s="1"/>
      <c r="AU154" s="1"/>
    </row>
    <row r="155" ht="15.75" customHeight="1">
      <c r="A155" s="31"/>
      <c r="B155" s="31"/>
      <c r="C155" s="3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4"/>
      <c r="AN155" s="1"/>
      <c r="AO155" s="1"/>
      <c r="AP155" s="1"/>
      <c r="AQ155" s="1"/>
      <c r="AR155" s="1"/>
      <c r="AS155" s="1"/>
      <c r="AT155" s="1"/>
      <c r="AU155" s="1"/>
    </row>
    <row r="156" ht="15.75" customHeight="1">
      <c r="A156" s="31"/>
      <c r="B156" s="31"/>
      <c r="C156" s="3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4"/>
      <c r="AN156" s="1"/>
      <c r="AO156" s="1"/>
      <c r="AP156" s="1"/>
      <c r="AQ156" s="1"/>
      <c r="AR156" s="1"/>
      <c r="AS156" s="1"/>
      <c r="AT156" s="1"/>
      <c r="AU156" s="1"/>
    </row>
    <row r="157" ht="15.75" customHeight="1">
      <c r="A157" s="31"/>
      <c r="B157" s="31"/>
      <c r="C157" s="3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4"/>
      <c r="AN157" s="1"/>
      <c r="AO157" s="1"/>
      <c r="AP157" s="1"/>
      <c r="AQ157" s="1"/>
      <c r="AR157" s="1"/>
      <c r="AS157" s="1"/>
      <c r="AT157" s="1"/>
      <c r="AU157" s="1"/>
    </row>
    <row r="158" ht="15.75" customHeight="1">
      <c r="A158" s="31"/>
      <c r="B158" s="31"/>
      <c r="C158" s="3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4"/>
      <c r="AN158" s="1"/>
      <c r="AO158" s="1"/>
      <c r="AP158" s="1"/>
      <c r="AQ158" s="1"/>
      <c r="AR158" s="1"/>
      <c r="AS158" s="1"/>
      <c r="AT158" s="1"/>
      <c r="AU158" s="1"/>
    </row>
    <row r="159" ht="15.75" customHeight="1">
      <c r="A159" s="31"/>
      <c r="B159" s="31"/>
      <c r="C159" s="3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4"/>
      <c r="AN159" s="1"/>
      <c r="AO159" s="1"/>
      <c r="AP159" s="1"/>
      <c r="AQ159" s="1"/>
      <c r="AR159" s="1"/>
      <c r="AS159" s="1"/>
      <c r="AT159" s="1"/>
      <c r="AU159" s="1"/>
    </row>
    <row r="160" ht="15.75" customHeight="1">
      <c r="A160" s="31"/>
      <c r="B160" s="31"/>
      <c r="C160" s="3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4"/>
      <c r="AN160" s="1"/>
      <c r="AO160" s="1"/>
      <c r="AP160" s="1"/>
      <c r="AQ160" s="1"/>
      <c r="AR160" s="1"/>
      <c r="AS160" s="1"/>
      <c r="AT160" s="1"/>
      <c r="AU160" s="1"/>
    </row>
    <row r="161" ht="15.75" customHeight="1">
      <c r="A161" s="31"/>
      <c r="B161" s="31"/>
      <c r="C161" s="3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4"/>
      <c r="AN161" s="1"/>
      <c r="AO161" s="1"/>
      <c r="AP161" s="1"/>
      <c r="AQ161" s="1"/>
      <c r="AR161" s="1"/>
      <c r="AS161" s="1"/>
      <c r="AT161" s="1"/>
      <c r="AU161" s="1"/>
    </row>
    <row r="162" ht="15.75" customHeight="1">
      <c r="A162" s="31"/>
      <c r="B162" s="31"/>
      <c r="C162" s="3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4"/>
      <c r="AN162" s="1"/>
      <c r="AO162" s="1"/>
      <c r="AP162" s="1"/>
      <c r="AQ162" s="1"/>
      <c r="AR162" s="1"/>
      <c r="AS162" s="1"/>
      <c r="AT162" s="1"/>
      <c r="AU162" s="1"/>
    </row>
    <row r="163" ht="15.75" customHeight="1">
      <c r="A163" s="31"/>
      <c r="B163" s="31"/>
      <c r="C163" s="3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4"/>
      <c r="AN163" s="1"/>
      <c r="AO163" s="1"/>
      <c r="AP163" s="1"/>
      <c r="AQ163" s="1"/>
      <c r="AR163" s="1"/>
      <c r="AS163" s="1"/>
      <c r="AT163" s="1"/>
      <c r="AU163" s="1"/>
    </row>
    <row r="164" ht="15.75" customHeight="1">
      <c r="A164" s="31"/>
      <c r="B164" s="31"/>
      <c r="C164" s="3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4"/>
      <c r="AN164" s="1"/>
      <c r="AO164" s="1"/>
      <c r="AP164" s="1"/>
      <c r="AQ164" s="1"/>
      <c r="AR164" s="1"/>
      <c r="AS164" s="1"/>
      <c r="AT164" s="1"/>
      <c r="AU164" s="1"/>
    </row>
    <row r="165" ht="15.75" customHeight="1">
      <c r="A165" s="31"/>
      <c r="B165" s="31"/>
      <c r="C165" s="3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4"/>
      <c r="AN165" s="1"/>
      <c r="AO165" s="1"/>
      <c r="AP165" s="1"/>
      <c r="AQ165" s="1"/>
      <c r="AR165" s="1"/>
      <c r="AS165" s="1"/>
      <c r="AT165" s="1"/>
      <c r="AU165" s="1"/>
    </row>
    <row r="166" ht="15.75" customHeight="1">
      <c r="A166" s="31"/>
      <c r="B166" s="31"/>
      <c r="C166" s="3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4"/>
      <c r="AN166" s="1"/>
      <c r="AO166" s="1"/>
      <c r="AP166" s="1"/>
      <c r="AQ166" s="1"/>
      <c r="AR166" s="1"/>
      <c r="AS166" s="1"/>
      <c r="AT166" s="1"/>
      <c r="AU166" s="1"/>
    </row>
    <row r="167" ht="15.75" customHeight="1">
      <c r="A167" s="31"/>
      <c r="B167" s="31"/>
      <c r="C167" s="3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4"/>
      <c r="AN167" s="1"/>
      <c r="AO167" s="1"/>
      <c r="AP167" s="1"/>
      <c r="AQ167" s="1"/>
      <c r="AR167" s="1"/>
      <c r="AS167" s="1"/>
      <c r="AT167" s="1"/>
      <c r="AU167" s="1"/>
    </row>
    <row r="168" ht="15.75" customHeight="1">
      <c r="A168" s="31"/>
      <c r="B168" s="31"/>
      <c r="C168" s="3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4"/>
      <c r="AN168" s="1"/>
      <c r="AO168" s="1"/>
      <c r="AP168" s="1"/>
      <c r="AQ168" s="1"/>
      <c r="AR168" s="1"/>
      <c r="AS168" s="1"/>
      <c r="AT168" s="1"/>
      <c r="AU168" s="1"/>
    </row>
    <row r="169" ht="15.75" customHeight="1">
      <c r="A169" s="31"/>
      <c r="B169" s="31"/>
      <c r="C169" s="3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4"/>
      <c r="AN169" s="1"/>
      <c r="AO169" s="1"/>
      <c r="AP169" s="1"/>
      <c r="AQ169" s="1"/>
      <c r="AR169" s="1"/>
      <c r="AS169" s="1"/>
      <c r="AT169" s="1"/>
      <c r="AU169" s="1"/>
    </row>
    <row r="170" ht="15.75" customHeight="1">
      <c r="A170" s="31"/>
      <c r="B170" s="31"/>
      <c r="C170" s="3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4"/>
      <c r="AN170" s="1"/>
      <c r="AO170" s="1"/>
      <c r="AP170" s="1"/>
      <c r="AQ170" s="1"/>
      <c r="AR170" s="1"/>
      <c r="AS170" s="1"/>
      <c r="AT170" s="1"/>
      <c r="AU170" s="1"/>
    </row>
    <row r="171" ht="15.75" customHeight="1">
      <c r="A171" s="31"/>
      <c r="B171" s="31"/>
      <c r="C171" s="3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4"/>
      <c r="AN171" s="1"/>
      <c r="AO171" s="1"/>
      <c r="AP171" s="1"/>
      <c r="AQ171" s="1"/>
      <c r="AR171" s="1"/>
      <c r="AS171" s="1"/>
      <c r="AT171" s="1"/>
      <c r="AU171" s="1"/>
    </row>
    <row r="172" ht="15.75" customHeight="1">
      <c r="A172" s="31"/>
      <c r="B172" s="31"/>
      <c r="C172" s="3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4"/>
      <c r="AN172" s="1"/>
      <c r="AO172" s="1"/>
      <c r="AP172" s="1"/>
      <c r="AQ172" s="1"/>
      <c r="AR172" s="1"/>
      <c r="AS172" s="1"/>
      <c r="AT172" s="1"/>
      <c r="AU172" s="1"/>
    </row>
    <row r="173" ht="15.75" customHeight="1">
      <c r="A173" s="31"/>
      <c r="B173" s="31"/>
      <c r="C173" s="3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4"/>
      <c r="AN173" s="1"/>
      <c r="AO173" s="1"/>
      <c r="AP173" s="1"/>
      <c r="AQ173" s="1"/>
      <c r="AR173" s="1"/>
      <c r="AS173" s="1"/>
      <c r="AT173" s="1"/>
      <c r="AU173" s="1"/>
    </row>
    <row r="174" ht="15.75" customHeight="1">
      <c r="A174" s="31"/>
      <c r="B174" s="31"/>
      <c r="C174" s="3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4"/>
      <c r="AN174" s="1"/>
      <c r="AO174" s="1"/>
      <c r="AP174" s="1"/>
      <c r="AQ174" s="1"/>
      <c r="AR174" s="1"/>
      <c r="AS174" s="1"/>
      <c r="AT174" s="1"/>
      <c r="AU174" s="1"/>
    </row>
    <row r="175" ht="15.75" customHeight="1">
      <c r="A175" s="31"/>
      <c r="B175" s="31"/>
      <c r="C175" s="3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4"/>
      <c r="AN175" s="1"/>
      <c r="AO175" s="1"/>
      <c r="AP175" s="1"/>
      <c r="AQ175" s="1"/>
      <c r="AR175" s="1"/>
      <c r="AS175" s="1"/>
      <c r="AT175" s="1"/>
      <c r="AU175" s="1"/>
    </row>
    <row r="176" ht="15.75" customHeight="1">
      <c r="A176" s="31"/>
      <c r="B176" s="31"/>
      <c r="C176" s="3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4"/>
      <c r="AN176" s="1"/>
      <c r="AO176" s="1"/>
      <c r="AP176" s="1"/>
      <c r="AQ176" s="1"/>
      <c r="AR176" s="1"/>
      <c r="AS176" s="1"/>
      <c r="AT176" s="1"/>
      <c r="AU176" s="1"/>
    </row>
    <row r="177" ht="15.75" customHeight="1">
      <c r="A177" s="31"/>
      <c r="B177" s="31"/>
      <c r="C177" s="3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4"/>
      <c r="AN177" s="1"/>
      <c r="AO177" s="1"/>
      <c r="AP177" s="1"/>
      <c r="AQ177" s="1"/>
      <c r="AR177" s="1"/>
      <c r="AS177" s="1"/>
      <c r="AT177" s="1"/>
      <c r="AU177" s="1"/>
    </row>
    <row r="178" ht="15.75" customHeight="1">
      <c r="A178" s="31"/>
      <c r="B178" s="31"/>
      <c r="C178" s="3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4"/>
      <c r="AN178" s="1"/>
      <c r="AO178" s="1"/>
      <c r="AP178" s="1"/>
      <c r="AQ178" s="1"/>
      <c r="AR178" s="1"/>
      <c r="AS178" s="1"/>
      <c r="AT178" s="1"/>
      <c r="AU178" s="1"/>
    </row>
    <row r="179" ht="15.75" customHeight="1">
      <c r="A179" s="31"/>
      <c r="B179" s="31"/>
      <c r="C179" s="3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4"/>
      <c r="AN179" s="1"/>
      <c r="AO179" s="1"/>
      <c r="AP179" s="1"/>
      <c r="AQ179" s="1"/>
      <c r="AR179" s="1"/>
      <c r="AS179" s="1"/>
      <c r="AT179" s="1"/>
      <c r="AU179" s="1"/>
    </row>
    <row r="180" ht="15.75" customHeight="1">
      <c r="A180" s="31"/>
      <c r="B180" s="31"/>
      <c r="C180" s="3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4"/>
      <c r="AN180" s="1"/>
      <c r="AO180" s="1"/>
      <c r="AP180" s="1"/>
      <c r="AQ180" s="1"/>
      <c r="AR180" s="1"/>
      <c r="AS180" s="1"/>
      <c r="AT180" s="1"/>
      <c r="AU180" s="1"/>
    </row>
    <row r="181" ht="15.75" customHeight="1">
      <c r="A181" s="31"/>
      <c r="B181" s="31"/>
      <c r="C181" s="3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4"/>
      <c r="AN181" s="1"/>
      <c r="AO181" s="1"/>
      <c r="AP181" s="1"/>
      <c r="AQ181" s="1"/>
      <c r="AR181" s="1"/>
      <c r="AS181" s="1"/>
      <c r="AT181" s="1"/>
      <c r="AU181" s="1"/>
    </row>
    <row r="182" ht="15.75" customHeight="1">
      <c r="A182" s="31"/>
      <c r="B182" s="31"/>
      <c r="C182" s="3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4"/>
      <c r="AN182" s="1"/>
      <c r="AO182" s="1"/>
      <c r="AP182" s="1"/>
      <c r="AQ182" s="1"/>
      <c r="AR182" s="1"/>
      <c r="AS182" s="1"/>
      <c r="AT182" s="1"/>
      <c r="AU182" s="1"/>
    </row>
    <row r="183" ht="15.75" customHeight="1">
      <c r="A183" s="31"/>
      <c r="B183" s="31"/>
      <c r="C183" s="3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4"/>
      <c r="AN183" s="1"/>
      <c r="AO183" s="1"/>
      <c r="AP183" s="1"/>
      <c r="AQ183" s="1"/>
      <c r="AR183" s="1"/>
      <c r="AS183" s="1"/>
      <c r="AT183" s="1"/>
      <c r="AU183" s="1"/>
    </row>
    <row r="184" ht="15.75" customHeight="1">
      <c r="A184" s="31"/>
      <c r="B184" s="31"/>
      <c r="C184" s="3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4"/>
      <c r="AN184" s="1"/>
      <c r="AO184" s="1"/>
      <c r="AP184" s="1"/>
      <c r="AQ184" s="1"/>
      <c r="AR184" s="1"/>
      <c r="AS184" s="1"/>
      <c r="AT184" s="1"/>
      <c r="AU184" s="1"/>
    </row>
    <row r="185" ht="15.75" customHeight="1">
      <c r="A185" s="31"/>
      <c r="B185" s="31"/>
      <c r="C185" s="3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4"/>
      <c r="AN185" s="1"/>
      <c r="AO185" s="1"/>
      <c r="AP185" s="1"/>
      <c r="AQ185" s="1"/>
      <c r="AR185" s="1"/>
      <c r="AS185" s="1"/>
      <c r="AT185" s="1"/>
      <c r="AU185" s="1"/>
    </row>
    <row r="186" ht="15.75" customHeight="1">
      <c r="A186" s="31"/>
      <c r="B186" s="31"/>
      <c r="C186" s="3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4"/>
      <c r="AN186" s="1"/>
      <c r="AO186" s="1"/>
      <c r="AP186" s="1"/>
      <c r="AQ186" s="1"/>
      <c r="AR186" s="1"/>
      <c r="AS186" s="1"/>
      <c r="AT186" s="1"/>
      <c r="AU186" s="1"/>
    </row>
    <row r="187" ht="15.75" customHeight="1">
      <c r="A187" s="31"/>
      <c r="B187" s="31"/>
      <c r="C187" s="3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4"/>
      <c r="AN187" s="1"/>
      <c r="AO187" s="1"/>
      <c r="AP187" s="1"/>
      <c r="AQ187" s="1"/>
      <c r="AR187" s="1"/>
      <c r="AS187" s="1"/>
      <c r="AT187" s="1"/>
      <c r="AU187" s="1"/>
    </row>
    <row r="188" ht="15.75" customHeight="1">
      <c r="A188" s="31"/>
      <c r="B188" s="31"/>
      <c r="C188" s="3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4"/>
      <c r="AN188" s="1"/>
      <c r="AO188" s="1"/>
      <c r="AP188" s="1"/>
      <c r="AQ188" s="1"/>
      <c r="AR188" s="1"/>
      <c r="AS188" s="1"/>
      <c r="AT188" s="1"/>
      <c r="AU188" s="1"/>
    </row>
    <row r="189" ht="15.75" customHeight="1">
      <c r="A189" s="31"/>
      <c r="B189" s="31"/>
      <c r="C189" s="3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4"/>
      <c r="AN189" s="1"/>
      <c r="AO189" s="1"/>
      <c r="AP189" s="1"/>
      <c r="AQ189" s="1"/>
      <c r="AR189" s="1"/>
      <c r="AS189" s="1"/>
      <c r="AT189" s="1"/>
      <c r="AU189" s="1"/>
    </row>
    <row r="190" ht="15.75" customHeight="1">
      <c r="A190" s="31"/>
      <c r="B190" s="31"/>
      <c r="C190" s="3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4"/>
      <c r="AN190" s="1"/>
      <c r="AO190" s="1"/>
      <c r="AP190" s="1"/>
      <c r="AQ190" s="1"/>
      <c r="AR190" s="1"/>
      <c r="AS190" s="1"/>
      <c r="AT190" s="1"/>
      <c r="AU190" s="1"/>
    </row>
    <row r="191" ht="15.75" customHeight="1">
      <c r="A191" s="31"/>
      <c r="B191" s="31"/>
      <c r="C191" s="3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4"/>
      <c r="AN191" s="1"/>
      <c r="AO191" s="1"/>
      <c r="AP191" s="1"/>
      <c r="AQ191" s="1"/>
      <c r="AR191" s="1"/>
      <c r="AS191" s="1"/>
      <c r="AT191" s="1"/>
      <c r="AU191" s="1"/>
    </row>
    <row r="192" ht="15.75" customHeight="1">
      <c r="A192" s="31"/>
      <c r="B192" s="31"/>
      <c r="C192" s="3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4"/>
      <c r="AN192" s="1"/>
      <c r="AO192" s="1"/>
      <c r="AP192" s="1"/>
      <c r="AQ192" s="1"/>
      <c r="AR192" s="1"/>
      <c r="AS192" s="1"/>
      <c r="AT192" s="1"/>
      <c r="AU192" s="1"/>
    </row>
    <row r="193" ht="15.75" customHeight="1">
      <c r="A193" s="31"/>
      <c r="B193" s="31"/>
      <c r="C193" s="3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4"/>
      <c r="AN193" s="1"/>
      <c r="AO193" s="1"/>
      <c r="AP193" s="1"/>
      <c r="AQ193" s="1"/>
      <c r="AR193" s="1"/>
      <c r="AS193" s="1"/>
      <c r="AT193" s="1"/>
      <c r="AU193" s="1"/>
    </row>
    <row r="194" ht="15.75" customHeight="1">
      <c r="A194" s="31"/>
      <c r="B194" s="31"/>
      <c r="C194" s="3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4"/>
      <c r="AN194" s="1"/>
      <c r="AO194" s="1"/>
      <c r="AP194" s="1"/>
      <c r="AQ194" s="1"/>
      <c r="AR194" s="1"/>
      <c r="AS194" s="1"/>
      <c r="AT194" s="1"/>
      <c r="AU194" s="1"/>
    </row>
    <row r="195" ht="15.75" customHeight="1">
      <c r="A195" s="31"/>
      <c r="B195" s="31"/>
      <c r="C195" s="3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4"/>
      <c r="AN195" s="1"/>
      <c r="AO195" s="1"/>
      <c r="AP195" s="1"/>
      <c r="AQ195" s="1"/>
      <c r="AR195" s="1"/>
      <c r="AS195" s="1"/>
      <c r="AT195" s="1"/>
      <c r="AU195" s="1"/>
    </row>
    <row r="196" ht="15.75" customHeight="1">
      <c r="A196" s="31"/>
      <c r="B196" s="31"/>
      <c r="C196" s="3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4"/>
      <c r="AN196" s="1"/>
      <c r="AO196" s="1"/>
      <c r="AP196" s="1"/>
      <c r="AQ196" s="1"/>
      <c r="AR196" s="1"/>
      <c r="AS196" s="1"/>
      <c r="AT196" s="1"/>
      <c r="AU196" s="1"/>
    </row>
    <row r="197" ht="15.75" customHeight="1">
      <c r="A197" s="31"/>
      <c r="B197" s="31"/>
      <c r="C197" s="3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4"/>
      <c r="AN197" s="1"/>
      <c r="AO197" s="1"/>
      <c r="AP197" s="1"/>
      <c r="AQ197" s="1"/>
      <c r="AR197" s="1"/>
      <c r="AS197" s="1"/>
      <c r="AT197" s="1"/>
      <c r="AU197" s="1"/>
    </row>
    <row r="198" ht="15.75" customHeight="1">
      <c r="A198" s="31"/>
      <c r="B198" s="31"/>
      <c r="C198" s="3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4"/>
      <c r="AN198" s="1"/>
      <c r="AO198" s="1"/>
      <c r="AP198" s="1"/>
      <c r="AQ198" s="1"/>
      <c r="AR198" s="1"/>
      <c r="AS198" s="1"/>
      <c r="AT198" s="1"/>
      <c r="AU198" s="1"/>
    </row>
    <row r="199" ht="15.75" customHeight="1">
      <c r="A199" s="31"/>
      <c r="B199" s="31"/>
      <c r="C199" s="3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4"/>
      <c r="AN199" s="1"/>
      <c r="AO199" s="1"/>
      <c r="AP199" s="1"/>
      <c r="AQ199" s="1"/>
      <c r="AR199" s="1"/>
      <c r="AS199" s="1"/>
      <c r="AT199" s="1"/>
      <c r="AU199" s="1"/>
    </row>
    <row r="200" ht="15.75" customHeight="1">
      <c r="A200" s="31"/>
      <c r="B200" s="31"/>
      <c r="C200" s="3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4"/>
      <c r="AN200" s="1"/>
      <c r="AO200" s="1"/>
      <c r="AP200" s="1"/>
      <c r="AQ200" s="1"/>
      <c r="AR200" s="1"/>
      <c r="AS200" s="1"/>
      <c r="AT200" s="1"/>
      <c r="AU200" s="1"/>
    </row>
    <row r="201" ht="15.75" customHeight="1">
      <c r="A201" s="31"/>
      <c r="B201" s="31"/>
      <c r="C201" s="3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4"/>
      <c r="AN201" s="1"/>
      <c r="AO201" s="1"/>
      <c r="AP201" s="1"/>
      <c r="AQ201" s="1"/>
      <c r="AR201" s="1"/>
      <c r="AS201" s="1"/>
      <c r="AT201" s="1"/>
      <c r="AU201" s="1"/>
    </row>
    <row r="202" ht="15.75" customHeight="1">
      <c r="A202" s="31"/>
      <c r="B202" s="31"/>
      <c r="C202" s="3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4"/>
      <c r="AN202" s="1"/>
      <c r="AO202" s="1"/>
      <c r="AP202" s="1"/>
      <c r="AQ202" s="1"/>
      <c r="AR202" s="1"/>
      <c r="AS202" s="1"/>
      <c r="AT202" s="1"/>
      <c r="AU202" s="1"/>
    </row>
    <row r="203" ht="15.75" customHeight="1">
      <c r="A203" s="31"/>
      <c r="B203" s="31"/>
      <c r="C203" s="3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4"/>
      <c r="AN203" s="1"/>
      <c r="AO203" s="1"/>
      <c r="AP203" s="1"/>
      <c r="AQ203" s="1"/>
      <c r="AR203" s="1"/>
      <c r="AS203" s="1"/>
      <c r="AT203" s="1"/>
      <c r="AU203" s="1"/>
    </row>
    <row r="204" ht="15.75" customHeight="1">
      <c r="A204" s="31"/>
      <c r="B204" s="31"/>
      <c r="C204" s="3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4"/>
      <c r="AN204" s="1"/>
      <c r="AO204" s="1"/>
      <c r="AP204" s="1"/>
      <c r="AQ204" s="1"/>
      <c r="AR204" s="1"/>
      <c r="AS204" s="1"/>
      <c r="AT204" s="1"/>
      <c r="AU204" s="1"/>
    </row>
    <row r="205" ht="15.75" customHeight="1">
      <c r="A205" s="31"/>
      <c r="B205" s="31"/>
      <c r="C205" s="3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4"/>
      <c r="AN205" s="1"/>
      <c r="AO205" s="1"/>
      <c r="AP205" s="1"/>
      <c r="AQ205" s="1"/>
      <c r="AR205" s="1"/>
      <c r="AS205" s="1"/>
      <c r="AT205" s="1"/>
      <c r="AU205" s="1"/>
    </row>
    <row r="206" ht="15.75" customHeight="1">
      <c r="A206" s="31"/>
      <c r="B206" s="31"/>
      <c r="C206" s="3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4"/>
      <c r="AN206" s="1"/>
      <c r="AO206" s="1"/>
      <c r="AP206" s="1"/>
      <c r="AQ206" s="1"/>
      <c r="AR206" s="1"/>
      <c r="AS206" s="1"/>
      <c r="AT206" s="1"/>
      <c r="AU206" s="1"/>
    </row>
    <row r="207" ht="15.75" customHeight="1">
      <c r="A207" s="31"/>
      <c r="B207" s="31"/>
      <c r="C207" s="3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4"/>
      <c r="AN207" s="1"/>
      <c r="AO207" s="1"/>
      <c r="AP207" s="1"/>
      <c r="AQ207" s="1"/>
      <c r="AR207" s="1"/>
      <c r="AS207" s="1"/>
      <c r="AT207" s="1"/>
      <c r="AU207" s="1"/>
    </row>
    <row r="208" ht="15.75" customHeight="1">
      <c r="A208" s="31"/>
      <c r="B208" s="31"/>
      <c r="C208" s="3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4"/>
      <c r="AN208" s="1"/>
      <c r="AO208" s="1"/>
      <c r="AP208" s="1"/>
      <c r="AQ208" s="1"/>
      <c r="AR208" s="1"/>
      <c r="AS208" s="1"/>
      <c r="AT208" s="1"/>
      <c r="AU208" s="1"/>
    </row>
    <row r="209" ht="15.75" customHeight="1">
      <c r="A209" s="31"/>
      <c r="B209" s="31"/>
      <c r="C209" s="3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4"/>
      <c r="AN209" s="1"/>
      <c r="AO209" s="1"/>
      <c r="AP209" s="1"/>
      <c r="AQ209" s="1"/>
      <c r="AR209" s="1"/>
      <c r="AS209" s="1"/>
      <c r="AT209" s="1"/>
      <c r="AU209" s="1"/>
    </row>
    <row r="210" ht="15.75" customHeight="1">
      <c r="A210" s="31"/>
      <c r="B210" s="31"/>
      <c r="C210" s="3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4"/>
      <c r="AN210" s="1"/>
      <c r="AO210" s="1"/>
      <c r="AP210" s="1"/>
      <c r="AQ210" s="1"/>
      <c r="AR210" s="1"/>
      <c r="AS210" s="1"/>
      <c r="AT210" s="1"/>
      <c r="AU210" s="1"/>
    </row>
    <row r="211" ht="15.75" customHeight="1">
      <c r="A211" s="31"/>
      <c r="B211" s="31"/>
      <c r="C211" s="3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4"/>
      <c r="AN211" s="1"/>
      <c r="AO211" s="1"/>
      <c r="AP211" s="1"/>
      <c r="AQ211" s="1"/>
      <c r="AR211" s="1"/>
      <c r="AS211" s="1"/>
      <c r="AT211" s="1"/>
      <c r="AU211" s="1"/>
    </row>
    <row r="212" ht="15.75" customHeight="1">
      <c r="A212" s="31"/>
      <c r="B212" s="31"/>
      <c r="C212" s="3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4"/>
      <c r="AN212" s="1"/>
      <c r="AO212" s="1"/>
      <c r="AP212" s="1"/>
      <c r="AQ212" s="1"/>
      <c r="AR212" s="1"/>
      <c r="AS212" s="1"/>
      <c r="AT212" s="1"/>
      <c r="AU212" s="1"/>
    </row>
    <row r="213" ht="15.75" customHeight="1">
      <c r="A213" s="31"/>
      <c r="B213" s="31"/>
      <c r="C213" s="3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4"/>
      <c r="AN213" s="1"/>
      <c r="AO213" s="1"/>
      <c r="AP213" s="1"/>
      <c r="AQ213" s="1"/>
      <c r="AR213" s="1"/>
      <c r="AS213" s="1"/>
      <c r="AT213" s="1"/>
      <c r="AU213" s="1"/>
    </row>
    <row r="214" ht="15.75" customHeight="1">
      <c r="A214" s="31"/>
      <c r="B214" s="31"/>
      <c r="C214" s="3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4"/>
      <c r="AN214" s="1"/>
      <c r="AO214" s="1"/>
      <c r="AP214" s="1"/>
      <c r="AQ214" s="1"/>
      <c r="AR214" s="1"/>
      <c r="AS214" s="1"/>
      <c r="AT214" s="1"/>
      <c r="AU214" s="1"/>
    </row>
    <row r="215" ht="15.75" customHeight="1">
      <c r="A215" s="31"/>
      <c r="B215" s="31"/>
      <c r="C215" s="3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4"/>
      <c r="AN215" s="1"/>
      <c r="AO215" s="1"/>
      <c r="AP215" s="1"/>
      <c r="AQ215" s="1"/>
      <c r="AR215" s="1"/>
      <c r="AS215" s="1"/>
      <c r="AT215" s="1"/>
      <c r="AU215" s="1"/>
    </row>
    <row r="216" ht="15.75" customHeight="1">
      <c r="A216" s="31"/>
      <c r="B216" s="31"/>
      <c r="C216" s="3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4"/>
      <c r="AN216" s="1"/>
      <c r="AO216" s="1"/>
      <c r="AP216" s="1"/>
      <c r="AQ216" s="1"/>
      <c r="AR216" s="1"/>
      <c r="AS216" s="1"/>
      <c r="AT216" s="1"/>
      <c r="AU216" s="1"/>
    </row>
    <row r="217" ht="15.75" customHeight="1">
      <c r="A217" s="31"/>
      <c r="B217" s="31"/>
      <c r="C217" s="3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4"/>
      <c r="AN217" s="1"/>
      <c r="AO217" s="1"/>
      <c r="AP217" s="1"/>
      <c r="AQ217" s="1"/>
      <c r="AR217" s="1"/>
      <c r="AS217" s="1"/>
      <c r="AT217" s="1"/>
      <c r="AU217" s="1"/>
    </row>
    <row r="218" ht="15.75" customHeight="1">
      <c r="A218" s="31"/>
      <c r="B218" s="31"/>
      <c r="C218" s="3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4"/>
      <c r="AN218" s="1"/>
      <c r="AO218" s="1"/>
      <c r="AP218" s="1"/>
      <c r="AQ218" s="1"/>
      <c r="AR218" s="1"/>
      <c r="AS218" s="1"/>
      <c r="AT218" s="1"/>
      <c r="AU218" s="1"/>
    </row>
    <row r="219" ht="15.75" customHeight="1">
      <c r="A219" s="31"/>
      <c r="B219" s="31"/>
      <c r="C219" s="3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4"/>
      <c r="AN219" s="1"/>
      <c r="AO219" s="1"/>
      <c r="AP219" s="1"/>
      <c r="AQ219" s="1"/>
      <c r="AR219" s="1"/>
      <c r="AS219" s="1"/>
      <c r="AT219" s="1"/>
      <c r="AU219" s="1"/>
    </row>
    <row r="220" ht="15.75" customHeight="1">
      <c r="A220" s="31"/>
      <c r="B220" s="31"/>
      <c r="C220" s="3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4"/>
      <c r="AN220" s="1"/>
      <c r="AO220" s="1"/>
      <c r="AP220" s="1"/>
      <c r="AQ220" s="1"/>
      <c r="AR220" s="1"/>
      <c r="AS220" s="1"/>
      <c r="AT220" s="1"/>
      <c r="AU220" s="1"/>
    </row>
    <row r="221" ht="15.75" customHeight="1">
      <c r="A221" s="31"/>
      <c r="B221" s="31"/>
      <c r="C221" s="3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4"/>
      <c r="AN221" s="1"/>
      <c r="AO221" s="1"/>
      <c r="AP221" s="1"/>
      <c r="AQ221" s="1"/>
      <c r="AR221" s="1"/>
      <c r="AS221" s="1"/>
      <c r="AT221" s="1"/>
      <c r="AU221" s="1"/>
    </row>
    <row r="222" ht="15.75" customHeight="1">
      <c r="A222" s="31"/>
      <c r="B222" s="31"/>
      <c r="C222" s="3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4"/>
      <c r="AN222" s="1"/>
      <c r="AO222" s="1"/>
      <c r="AP222" s="1"/>
      <c r="AQ222" s="1"/>
      <c r="AR222" s="1"/>
      <c r="AS222" s="1"/>
      <c r="AT222" s="1"/>
      <c r="AU222" s="1"/>
    </row>
    <row r="223" ht="15.75" customHeight="1">
      <c r="A223" s="31"/>
      <c r="B223" s="31"/>
      <c r="C223" s="3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4"/>
      <c r="AN223" s="1"/>
      <c r="AO223" s="1"/>
      <c r="AP223" s="1"/>
      <c r="AQ223" s="1"/>
      <c r="AR223" s="1"/>
      <c r="AS223" s="1"/>
      <c r="AT223" s="1"/>
      <c r="AU223" s="1"/>
    </row>
    <row r="224" ht="15.75" customHeight="1">
      <c r="A224" s="31"/>
      <c r="B224" s="31"/>
      <c r="C224" s="3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4"/>
      <c r="AN224" s="1"/>
      <c r="AO224" s="1"/>
      <c r="AP224" s="1"/>
      <c r="AQ224" s="1"/>
      <c r="AR224" s="1"/>
      <c r="AS224" s="1"/>
      <c r="AT224" s="1"/>
      <c r="AU224" s="1"/>
    </row>
    <row r="225" ht="15.75" customHeight="1">
      <c r="A225" s="31"/>
      <c r="B225" s="31"/>
      <c r="C225" s="3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4"/>
      <c r="AN225" s="1"/>
      <c r="AO225" s="1"/>
      <c r="AP225" s="1"/>
      <c r="AQ225" s="1"/>
      <c r="AR225" s="1"/>
      <c r="AS225" s="1"/>
      <c r="AT225" s="1"/>
      <c r="AU225" s="1"/>
    </row>
    <row r="226" ht="15.75" customHeight="1">
      <c r="A226" s="31"/>
      <c r="B226" s="31"/>
      <c r="C226" s="3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4"/>
      <c r="AN226" s="1"/>
      <c r="AO226" s="1"/>
      <c r="AP226" s="1"/>
      <c r="AQ226" s="1"/>
      <c r="AR226" s="1"/>
      <c r="AS226" s="1"/>
      <c r="AT226" s="1"/>
      <c r="AU226" s="1"/>
    </row>
    <row r="227" ht="15.75" customHeight="1">
      <c r="A227" s="31"/>
      <c r="B227" s="31"/>
      <c r="C227" s="3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4"/>
      <c r="AN227" s="1"/>
      <c r="AO227" s="1"/>
      <c r="AP227" s="1"/>
      <c r="AQ227" s="1"/>
      <c r="AR227" s="1"/>
      <c r="AS227" s="1"/>
      <c r="AT227" s="1"/>
      <c r="AU227" s="1"/>
    </row>
    <row r="228" ht="15.75" customHeight="1">
      <c r="A228" s="31"/>
      <c r="B228" s="31"/>
      <c r="C228" s="3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4"/>
      <c r="AN228" s="1"/>
      <c r="AO228" s="1"/>
      <c r="AP228" s="1"/>
      <c r="AQ228" s="1"/>
      <c r="AR228" s="1"/>
      <c r="AS228" s="1"/>
      <c r="AT228" s="1"/>
      <c r="AU228" s="1"/>
    </row>
    <row r="229" ht="15.75" customHeight="1">
      <c r="A229" s="31"/>
      <c r="B229" s="31"/>
      <c r="C229" s="3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4"/>
      <c r="AN229" s="1"/>
      <c r="AO229" s="1"/>
      <c r="AP229" s="1"/>
      <c r="AQ229" s="1"/>
      <c r="AR229" s="1"/>
      <c r="AS229" s="1"/>
      <c r="AT229" s="1"/>
      <c r="AU229" s="1"/>
    </row>
    <row r="230" ht="15.75" customHeight="1">
      <c r="A230" s="31"/>
      <c r="B230" s="31"/>
      <c r="C230" s="3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4"/>
      <c r="AN230" s="1"/>
      <c r="AO230" s="1"/>
      <c r="AP230" s="1"/>
      <c r="AQ230" s="1"/>
      <c r="AR230" s="1"/>
      <c r="AS230" s="1"/>
      <c r="AT230" s="1"/>
      <c r="AU230" s="1"/>
    </row>
    <row r="231" ht="15.75" customHeight="1">
      <c r="A231" s="31"/>
      <c r="B231" s="31"/>
      <c r="C231" s="3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4"/>
      <c r="AN231" s="1"/>
      <c r="AO231" s="1"/>
      <c r="AP231" s="1"/>
      <c r="AQ231" s="1"/>
      <c r="AR231" s="1"/>
      <c r="AS231" s="1"/>
      <c r="AT231" s="1"/>
      <c r="AU231" s="1"/>
    </row>
    <row r="232" ht="15.75" customHeight="1">
      <c r="A232" s="31"/>
      <c r="B232" s="31"/>
      <c r="C232" s="3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4"/>
      <c r="AN232" s="1"/>
      <c r="AO232" s="1"/>
      <c r="AP232" s="1"/>
      <c r="AQ232" s="1"/>
      <c r="AR232" s="1"/>
      <c r="AS232" s="1"/>
      <c r="AT232" s="1"/>
      <c r="AU232" s="1"/>
    </row>
    <row r="233" ht="15.75" customHeight="1">
      <c r="A233" s="31"/>
      <c r="B233" s="31"/>
      <c r="C233" s="3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4"/>
      <c r="AN233" s="1"/>
      <c r="AO233" s="1"/>
      <c r="AP233" s="1"/>
      <c r="AQ233" s="1"/>
      <c r="AR233" s="1"/>
      <c r="AS233" s="1"/>
      <c r="AT233" s="1"/>
      <c r="AU233" s="1"/>
    </row>
    <row r="234" ht="15.75" customHeight="1">
      <c r="A234" s="31"/>
      <c r="B234" s="31"/>
      <c r="C234" s="3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4"/>
      <c r="AN234" s="1"/>
      <c r="AO234" s="1"/>
      <c r="AP234" s="1"/>
      <c r="AQ234" s="1"/>
      <c r="AR234" s="1"/>
      <c r="AS234" s="1"/>
      <c r="AT234" s="1"/>
      <c r="AU234" s="1"/>
    </row>
    <row r="235" ht="15.75" customHeight="1">
      <c r="A235" s="31"/>
      <c r="B235" s="31"/>
      <c r="C235" s="3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4"/>
      <c r="AN235" s="1"/>
      <c r="AO235" s="1"/>
      <c r="AP235" s="1"/>
      <c r="AQ235" s="1"/>
      <c r="AR235" s="1"/>
      <c r="AS235" s="1"/>
      <c r="AT235" s="1"/>
      <c r="AU235" s="1"/>
    </row>
    <row r="236" ht="15.75" customHeight="1">
      <c r="A236" s="31"/>
      <c r="B236" s="31"/>
      <c r="C236" s="3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4"/>
      <c r="AN236" s="1"/>
      <c r="AO236" s="1"/>
      <c r="AP236" s="1"/>
      <c r="AQ236" s="1"/>
      <c r="AR236" s="1"/>
      <c r="AS236" s="1"/>
      <c r="AT236" s="1"/>
      <c r="AU236" s="1"/>
    </row>
    <row r="237" ht="15.75" customHeight="1">
      <c r="A237" s="31"/>
      <c r="B237" s="31"/>
      <c r="C237" s="3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4"/>
      <c r="AN237" s="1"/>
      <c r="AO237" s="1"/>
      <c r="AP237" s="1"/>
      <c r="AQ237" s="1"/>
      <c r="AR237" s="1"/>
      <c r="AS237" s="1"/>
      <c r="AT237" s="1"/>
      <c r="AU237" s="1"/>
    </row>
    <row r="238" ht="15.75" customHeight="1">
      <c r="A238" s="31"/>
      <c r="B238" s="31"/>
      <c r="C238" s="3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4"/>
      <c r="AN238" s="1"/>
      <c r="AO238" s="1"/>
      <c r="AP238" s="1"/>
      <c r="AQ238" s="1"/>
      <c r="AR238" s="1"/>
      <c r="AS238" s="1"/>
      <c r="AT238" s="1"/>
      <c r="AU238" s="1"/>
    </row>
    <row r="239" ht="15.75" customHeight="1">
      <c r="A239" s="31"/>
      <c r="B239" s="31"/>
      <c r="C239" s="3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4"/>
      <c r="AN239" s="1"/>
      <c r="AO239" s="1"/>
      <c r="AP239" s="1"/>
      <c r="AQ239" s="1"/>
      <c r="AR239" s="1"/>
      <c r="AS239" s="1"/>
      <c r="AT239" s="1"/>
      <c r="AU239" s="1"/>
    </row>
    <row r="240" ht="15.75" customHeight="1">
      <c r="A240" s="31"/>
      <c r="B240" s="31"/>
      <c r="C240" s="3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4"/>
      <c r="AN240" s="1"/>
      <c r="AO240" s="1"/>
      <c r="AP240" s="1"/>
      <c r="AQ240" s="1"/>
      <c r="AR240" s="1"/>
      <c r="AS240" s="1"/>
      <c r="AT240" s="1"/>
      <c r="AU240" s="1"/>
    </row>
    <row r="241" ht="15.75" customHeight="1">
      <c r="A241" s="31"/>
      <c r="B241" s="31"/>
      <c r="C241" s="3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4"/>
      <c r="AN241" s="1"/>
      <c r="AO241" s="1"/>
      <c r="AP241" s="1"/>
      <c r="AQ241" s="1"/>
      <c r="AR241" s="1"/>
      <c r="AS241" s="1"/>
      <c r="AT241" s="1"/>
      <c r="AU241" s="1"/>
    </row>
    <row r="242" ht="15.75" customHeight="1">
      <c r="A242" s="31"/>
      <c r="B242" s="31"/>
      <c r="C242" s="3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4"/>
      <c r="AN242" s="1"/>
      <c r="AO242" s="1"/>
      <c r="AP242" s="1"/>
      <c r="AQ242" s="1"/>
      <c r="AR242" s="1"/>
      <c r="AS242" s="1"/>
      <c r="AT242" s="1"/>
      <c r="AU242" s="1"/>
    </row>
    <row r="243" ht="15.75" customHeight="1">
      <c r="A243" s="31"/>
      <c r="B243" s="31"/>
      <c r="C243" s="3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4"/>
      <c r="AN243" s="1"/>
      <c r="AO243" s="1"/>
      <c r="AP243" s="1"/>
      <c r="AQ243" s="1"/>
      <c r="AR243" s="1"/>
      <c r="AS243" s="1"/>
      <c r="AT243" s="1"/>
      <c r="AU243" s="1"/>
    </row>
    <row r="244" ht="15.75" customHeight="1">
      <c r="A244" s="31"/>
      <c r="B244" s="31"/>
      <c r="C244" s="3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4"/>
      <c r="AN244" s="1"/>
      <c r="AO244" s="1"/>
      <c r="AP244" s="1"/>
      <c r="AQ244" s="1"/>
      <c r="AR244" s="1"/>
      <c r="AS244" s="1"/>
      <c r="AT244" s="1"/>
      <c r="AU244" s="1"/>
    </row>
    <row r="245" ht="15.75" customHeight="1">
      <c r="A245" s="31"/>
      <c r="B245" s="31"/>
      <c r="C245" s="3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4"/>
      <c r="AN245" s="1"/>
      <c r="AO245" s="1"/>
      <c r="AP245" s="1"/>
      <c r="AQ245" s="1"/>
      <c r="AR245" s="1"/>
      <c r="AS245" s="1"/>
      <c r="AT245" s="1"/>
      <c r="AU245" s="1"/>
    </row>
    <row r="246" ht="15.75" customHeight="1">
      <c r="A246" s="31"/>
      <c r="B246" s="31"/>
      <c r="C246" s="3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4"/>
      <c r="AN246" s="1"/>
      <c r="AO246" s="1"/>
      <c r="AP246" s="1"/>
      <c r="AQ246" s="1"/>
      <c r="AR246" s="1"/>
      <c r="AS246" s="1"/>
      <c r="AT246" s="1"/>
      <c r="AU246" s="1"/>
    </row>
    <row r="247" ht="15.75" customHeight="1">
      <c r="A247" s="31"/>
      <c r="B247" s="31"/>
      <c r="C247" s="3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4"/>
      <c r="AN247" s="1"/>
      <c r="AO247" s="1"/>
      <c r="AP247" s="1"/>
      <c r="AQ247" s="1"/>
      <c r="AR247" s="1"/>
      <c r="AS247" s="1"/>
      <c r="AT247" s="1"/>
      <c r="AU247" s="1"/>
    </row>
    <row r="248" ht="15.75" customHeight="1">
      <c r="A248" s="31"/>
      <c r="B248" s="31"/>
      <c r="C248" s="3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4"/>
      <c r="AN248" s="1"/>
      <c r="AO248" s="1"/>
      <c r="AP248" s="1"/>
      <c r="AQ248" s="1"/>
      <c r="AR248" s="1"/>
      <c r="AS248" s="1"/>
      <c r="AT248" s="1"/>
      <c r="AU248" s="1"/>
    </row>
    <row r="249" ht="15.75" customHeight="1">
      <c r="A249" s="31"/>
      <c r="B249" s="31"/>
      <c r="C249" s="3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4"/>
      <c r="AN249" s="1"/>
      <c r="AO249" s="1"/>
      <c r="AP249" s="1"/>
      <c r="AQ249" s="1"/>
      <c r="AR249" s="1"/>
      <c r="AS249" s="1"/>
      <c r="AT249" s="1"/>
      <c r="AU249" s="1"/>
    </row>
    <row r="250" ht="15.75" customHeight="1">
      <c r="A250" s="31"/>
      <c r="B250" s="31"/>
      <c r="C250" s="3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4"/>
      <c r="AN250" s="1"/>
      <c r="AO250" s="1"/>
      <c r="AP250" s="1"/>
      <c r="AQ250" s="1"/>
      <c r="AR250" s="1"/>
      <c r="AS250" s="1"/>
      <c r="AT250" s="1"/>
      <c r="AU250" s="1"/>
    </row>
    <row r="251" ht="15.75" customHeight="1">
      <c r="A251" s="31"/>
      <c r="B251" s="31"/>
      <c r="C251" s="3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4"/>
      <c r="AN251" s="1"/>
      <c r="AO251" s="1"/>
      <c r="AP251" s="1"/>
      <c r="AQ251" s="1"/>
      <c r="AR251" s="1"/>
      <c r="AS251" s="1"/>
      <c r="AT251" s="1"/>
      <c r="AU251" s="1"/>
    </row>
    <row r="252" ht="15.75" customHeight="1">
      <c r="A252" s="31"/>
      <c r="B252" s="31"/>
      <c r="C252" s="3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4"/>
      <c r="AN252" s="1"/>
      <c r="AO252" s="1"/>
      <c r="AP252" s="1"/>
      <c r="AQ252" s="1"/>
      <c r="AR252" s="1"/>
      <c r="AS252" s="1"/>
      <c r="AT252" s="1"/>
      <c r="AU252" s="1"/>
    </row>
    <row r="253" ht="15.75" customHeight="1">
      <c r="A253" s="31"/>
      <c r="B253" s="31"/>
      <c r="C253" s="3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4"/>
      <c r="AN253" s="1"/>
      <c r="AO253" s="1"/>
      <c r="AP253" s="1"/>
      <c r="AQ253" s="1"/>
      <c r="AR253" s="1"/>
      <c r="AS253" s="1"/>
      <c r="AT253" s="1"/>
      <c r="AU253" s="1"/>
    </row>
    <row r="254" ht="15.75" customHeight="1">
      <c r="A254" s="31"/>
      <c r="B254" s="31"/>
      <c r="C254" s="3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4"/>
      <c r="AN254" s="1"/>
      <c r="AO254" s="1"/>
      <c r="AP254" s="1"/>
      <c r="AQ254" s="1"/>
      <c r="AR254" s="1"/>
      <c r="AS254" s="1"/>
      <c r="AT254" s="1"/>
      <c r="AU254" s="1"/>
    </row>
    <row r="255" ht="15.75" customHeight="1">
      <c r="A255" s="31"/>
      <c r="B255" s="31"/>
      <c r="C255" s="3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4"/>
      <c r="AN255" s="1"/>
      <c r="AO255" s="1"/>
      <c r="AP255" s="1"/>
      <c r="AQ255" s="1"/>
      <c r="AR255" s="1"/>
      <c r="AS255" s="1"/>
      <c r="AT255" s="1"/>
      <c r="AU255" s="1"/>
    </row>
    <row r="256" ht="15.75" customHeight="1">
      <c r="A256" s="31"/>
      <c r="B256" s="31"/>
      <c r="C256" s="3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4"/>
      <c r="AN256" s="1"/>
      <c r="AO256" s="1"/>
      <c r="AP256" s="1"/>
      <c r="AQ256" s="1"/>
      <c r="AR256" s="1"/>
      <c r="AS256" s="1"/>
      <c r="AT256" s="1"/>
      <c r="AU256" s="1"/>
    </row>
    <row r="257" ht="15.75" customHeight="1">
      <c r="A257" s="31"/>
      <c r="B257" s="31"/>
      <c r="C257" s="3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4"/>
      <c r="AN257" s="1"/>
      <c r="AO257" s="1"/>
      <c r="AP257" s="1"/>
      <c r="AQ257" s="1"/>
      <c r="AR257" s="1"/>
      <c r="AS257" s="1"/>
      <c r="AT257" s="1"/>
      <c r="AU257" s="1"/>
    </row>
    <row r="258" ht="15.75" customHeight="1">
      <c r="A258" s="31"/>
      <c r="B258" s="31"/>
      <c r="C258" s="3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4"/>
      <c r="AN258" s="1"/>
      <c r="AO258" s="1"/>
      <c r="AP258" s="1"/>
      <c r="AQ258" s="1"/>
      <c r="AR258" s="1"/>
      <c r="AS258" s="1"/>
      <c r="AT258" s="1"/>
      <c r="AU258" s="1"/>
    </row>
    <row r="259" ht="15.75" customHeight="1">
      <c r="A259" s="31"/>
      <c r="B259" s="31"/>
      <c r="C259" s="3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4"/>
      <c r="AN259" s="1"/>
      <c r="AO259" s="1"/>
      <c r="AP259" s="1"/>
      <c r="AQ259" s="1"/>
      <c r="AR259" s="1"/>
      <c r="AS259" s="1"/>
      <c r="AT259" s="1"/>
      <c r="AU259" s="1"/>
    </row>
    <row r="260" ht="15.75" customHeight="1">
      <c r="A260" s="31"/>
      <c r="B260" s="31"/>
      <c r="C260" s="3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4"/>
      <c r="AN260" s="1"/>
      <c r="AO260" s="1"/>
      <c r="AP260" s="1"/>
      <c r="AQ260" s="1"/>
      <c r="AR260" s="1"/>
      <c r="AS260" s="1"/>
      <c r="AT260" s="1"/>
      <c r="AU260" s="1"/>
    </row>
    <row r="261" ht="15.75" customHeight="1">
      <c r="A261" s="31"/>
      <c r="B261" s="31"/>
      <c r="C261" s="3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4"/>
      <c r="AN261" s="1"/>
      <c r="AO261" s="1"/>
      <c r="AP261" s="1"/>
      <c r="AQ261" s="1"/>
      <c r="AR261" s="1"/>
      <c r="AS261" s="1"/>
      <c r="AT261" s="1"/>
      <c r="AU261" s="1"/>
    </row>
    <row r="262" ht="15.75" customHeight="1">
      <c r="A262" s="31"/>
      <c r="B262" s="31"/>
      <c r="C262" s="3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4"/>
      <c r="AN262" s="1"/>
      <c r="AO262" s="1"/>
      <c r="AP262" s="1"/>
      <c r="AQ262" s="1"/>
      <c r="AR262" s="1"/>
      <c r="AS262" s="1"/>
      <c r="AT262" s="1"/>
      <c r="AU262" s="1"/>
    </row>
    <row r="263" ht="15.75" customHeight="1">
      <c r="A263" s="31"/>
      <c r="B263" s="31"/>
      <c r="C263" s="3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4"/>
      <c r="AN263" s="1"/>
      <c r="AO263" s="1"/>
      <c r="AP263" s="1"/>
      <c r="AQ263" s="1"/>
      <c r="AR263" s="1"/>
      <c r="AS263" s="1"/>
      <c r="AT263" s="1"/>
      <c r="AU263" s="1"/>
    </row>
    <row r="264" ht="15.75" customHeight="1">
      <c r="A264" s="31"/>
      <c r="B264" s="31"/>
      <c r="C264" s="3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4"/>
      <c r="AN264" s="1"/>
      <c r="AO264" s="1"/>
      <c r="AP264" s="1"/>
      <c r="AQ264" s="1"/>
      <c r="AR264" s="1"/>
      <c r="AS264" s="1"/>
      <c r="AT264" s="1"/>
      <c r="AU264" s="1"/>
    </row>
    <row r="265" ht="15.75" customHeight="1">
      <c r="A265" s="31"/>
      <c r="B265" s="31"/>
      <c r="C265" s="3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4"/>
      <c r="AN265" s="1"/>
      <c r="AO265" s="1"/>
      <c r="AP265" s="1"/>
      <c r="AQ265" s="1"/>
      <c r="AR265" s="1"/>
      <c r="AS265" s="1"/>
      <c r="AT265" s="1"/>
      <c r="AU265" s="1"/>
    </row>
    <row r="266" ht="15.75" customHeight="1">
      <c r="A266" s="31"/>
      <c r="B266" s="31"/>
      <c r="C266" s="3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4"/>
      <c r="AN266" s="1"/>
      <c r="AO266" s="1"/>
      <c r="AP266" s="1"/>
      <c r="AQ266" s="1"/>
      <c r="AR266" s="1"/>
      <c r="AS266" s="1"/>
      <c r="AT266" s="1"/>
      <c r="AU266" s="1"/>
    </row>
    <row r="267" ht="15.75" customHeight="1">
      <c r="A267" s="31"/>
      <c r="B267" s="31"/>
      <c r="C267" s="3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4"/>
      <c r="AN267" s="1"/>
      <c r="AO267" s="1"/>
      <c r="AP267" s="1"/>
      <c r="AQ267" s="1"/>
      <c r="AR267" s="1"/>
      <c r="AS267" s="1"/>
      <c r="AT267" s="1"/>
      <c r="AU267" s="1"/>
    </row>
    <row r="268" ht="15.75" customHeight="1">
      <c r="A268" s="31"/>
      <c r="B268" s="31"/>
      <c r="C268" s="3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4"/>
      <c r="AN268" s="1"/>
      <c r="AO268" s="1"/>
      <c r="AP268" s="1"/>
      <c r="AQ268" s="1"/>
      <c r="AR268" s="1"/>
      <c r="AS268" s="1"/>
      <c r="AT268" s="1"/>
      <c r="AU268" s="1"/>
    </row>
    <row r="269" ht="15.75" customHeight="1">
      <c r="A269" s="31"/>
      <c r="B269" s="31"/>
      <c r="C269" s="3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4"/>
      <c r="AN269" s="1"/>
      <c r="AO269" s="1"/>
      <c r="AP269" s="1"/>
      <c r="AQ269" s="1"/>
      <c r="AR269" s="1"/>
      <c r="AS269" s="1"/>
      <c r="AT269" s="1"/>
      <c r="AU269" s="1"/>
    </row>
    <row r="270" ht="15.75" customHeight="1">
      <c r="A270" s="31"/>
      <c r="B270" s="31"/>
      <c r="C270" s="3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4"/>
      <c r="AN270" s="1"/>
      <c r="AO270" s="1"/>
      <c r="AP270" s="1"/>
      <c r="AQ270" s="1"/>
      <c r="AR270" s="1"/>
      <c r="AS270" s="1"/>
      <c r="AT270" s="1"/>
      <c r="AU270" s="1"/>
    </row>
    <row r="271" ht="15.75" customHeight="1">
      <c r="A271" s="31"/>
      <c r="B271" s="31"/>
      <c r="C271" s="3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4"/>
      <c r="AN271" s="1"/>
      <c r="AO271" s="1"/>
      <c r="AP271" s="1"/>
      <c r="AQ271" s="1"/>
      <c r="AR271" s="1"/>
      <c r="AS271" s="1"/>
      <c r="AT271" s="1"/>
      <c r="AU271" s="1"/>
    </row>
    <row r="272" ht="15.75" customHeight="1">
      <c r="A272" s="31"/>
      <c r="B272" s="31"/>
      <c r="C272" s="3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4"/>
      <c r="AN272" s="1"/>
      <c r="AO272" s="1"/>
      <c r="AP272" s="1"/>
      <c r="AQ272" s="1"/>
      <c r="AR272" s="1"/>
      <c r="AS272" s="1"/>
      <c r="AT272" s="1"/>
      <c r="AU272" s="1"/>
    </row>
    <row r="273" ht="15.75" customHeight="1">
      <c r="A273" s="31"/>
      <c r="B273" s="31"/>
      <c r="C273" s="3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4"/>
      <c r="AN273" s="1"/>
      <c r="AO273" s="1"/>
      <c r="AP273" s="1"/>
      <c r="AQ273" s="1"/>
      <c r="AR273" s="1"/>
      <c r="AS273" s="1"/>
      <c r="AT273" s="1"/>
      <c r="AU273" s="1"/>
    </row>
    <row r="274" ht="15.75" customHeight="1">
      <c r="A274" s="31"/>
      <c r="B274" s="31"/>
      <c r="C274" s="3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4"/>
      <c r="AN274" s="1"/>
      <c r="AO274" s="1"/>
      <c r="AP274" s="1"/>
      <c r="AQ274" s="1"/>
      <c r="AR274" s="1"/>
      <c r="AS274" s="1"/>
      <c r="AT274" s="1"/>
      <c r="AU274" s="1"/>
    </row>
    <row r="275" ht="15.75" customHeight="1">
      <c r="A275" s="31"/>
      <c r="B275" s="31"/>
      <c r="C275" s="3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4"/>
      <c r="AN275" s="1"/>
      <c r="AO275" s="1"/>
      <c r="AP275" s="1"/>
      <c r="AQ275" s="1"/>
      <c r="AR275" s="1"/>
      <c r="AS275" s="1"/>
      <c r="AT275" s="1"/>
      <c r="AU275" s="1"/>
    </row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6">
    <mergeCell ref="A2:A3"/>
    <mergeCell ref="B2:B3"/>
    <mergeCell ref="C2:C3"/>
    <mergeCell ref="D2:D3"/>
    <mergeCell ref="A4:A6"/>
    <mergeCell ref="B4:B6"/>
    <mergeCell ref="C4:C6"/>
    <mergeCell ref="B13:B15"/>
    <mergeCell ref="C13:C15"/>
    <mergeCell ref="A7:A9"/>
    <mergeCell ref="B7:B9"/>
    <mergeCell ref="C7:C9"/>
    <mergeCell ref="A10:A12"/>
    <mergeCell ref="B10:B12"/>
    <mergeCell ref="C10:C12"/>
    <mergeCell ref="A13:A15"/>
    <mergeCell ref="B22:B24"/>
    <mergeCell ref="C22:C24"/>
    <mergeCell ref="A16:A18"/>
    <mergeCell ref="B16:B18"/>
    <mergeCell ref="C16:C18"/>
    <mergeCell ref="A19:A21"/>
    <mergeCell ref="B19:B21"/>
    <mergeCell ref="C19:C21"/>
    <mergeCell ref="A22:A24"/>
    <mergeCell ref="B31:B33"/>
    <mergeCell ref="C31:C33"/>
    <mergeCell ref="A25:A27"/>
    <mergeCell ref="B25:B27"/>
    <mergeCell ref="C25:C27"/>
    <mergeCell ref="A28:A30"/>
    <mergeCell ref="B28:B30"/>
    <mergeCell ref="C28:C30"/>
    <mergeCell ref="A31:A33"/>
    <mergeCell ref="B67:B69"/>
    <mergeCell ref="C67:C69"/>
    <mergeCell ref="A61:A63"/>
    <mergeCell ref="B61:B63"/>
    <mergeCell ref="C61:C63"/>
    <mergeCell ref="A64:A66"/>
    <mergeCell ref="B64:B66"/>
    <mergeCell ref="C64:C66"/>
    <mergeCell ref="A67:A69"/>
    <mergeCell ref="B40:B42"/>
    <mergeCell ref="C40:C42"/>
    <mergeCell ref="A34:A36"/>
    <mergeCell ref="B34:B36"/>
    <mergeCell ref="C34:C36"/>
    <mergeCell ref="A37:A39"/>
    <mergeCell ref="B37:B39"/>
    <mergeCell ref="C37:C39"/>
    <mergeCell ref="A40:A42"/>
    <mergeCell ref="B49:B51"/>
    <mergeCell ref="C49:C51"/>
    <mergeCell ref="A43:A45"/>
    <mergeCell ref="B43:B45"/>
    <mergeCell ref="C43:C45"/>
    <mergeCell ref="A46:A48"/>
    <mergeCell ref="B46:B48"/>
    <mergeCell ref="C46:C48"/>
    <mergeCell ref="A49:A51"/>
    <mergeCell ref="B58:B60"/>
    <mergeCell ref="C58:C60"/>
    <mergeCell ref="A52:A54"/>
    <mergeCell ref="B52:B54"/>
    <mergeCell ref="C52:C54"/>
    <mergeCell ref="A55:A57"/>
    <mergeCell ref="B55:B57"/>
    <mergeCell ref="C55:C57"/>
    <mergeCell ref="A58:A60"/>
    <mergeCell ref="A70:A72"/>
    <mergeCell ref="B70:B72"/>
    <mergeCell ref="C70:C72"/>
    <mergeCell ref="A73:A75"/>
    <mergeCell ref="B73:B75"/>
    <mergeCell ref="C73:C75"/>
  </mergeCells>
  <printOptions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4" width="12.63"/>
    <col customWidth="1" min="5" max="35" width="2.63"/>
    <col customWidth="1" min="36" max="36" width="5.25"/>
    <col customWidth="1" min="37" max="37" width="5.63"/>
    <col customWidth="1" min="38" max="38" width="7.63"/>
    <col customWidth="1" min="39" max="39" width="25.75"/>
    <col customWidth="1" min="40" max="47" width="2.63"/>
  </cols>
  <sheetData>
    <row r="1" ht="15.75" customHeight="1">
      <c r="A1" s="1">
        <v>2025.0</v>
      </c>
      <c r="B1" s="1">
        <v>5.0</v>
      </c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4"/>
      <c r="AN1" s="1"/>
      <c r="AO1" s="1"/>
      <c r="AP1" s="1"/>
      <c r="AQ1" s="1"/>
      <c r="AR1" s="1"/>
      <c r="AS1" s="1"/>
      <c r="AT1" s="1"/>
      <c r="AU1" s="1"/>
    </row>
    <row r="2" ht="15.75" customHeight="1">
      <c r="A2" s="5" t="s">
        <v>0</v>
      </c>
      <c r="B2" s="5" t="s">
        <v>1</v>
      </c>
      <c r="C2" s="5" t="s">
        <v>2</v>
      </c>
      <c r="D2" s="6"/>
      <c r="E2" s="7">
        <f>DATE($A$1,$B$1,1)</f>
        <v>45778</v>
      </c>
      <c r="F2" s="7">
        <f>DATE($A$1,$B$1,2)</f>
        <v>45779</v>
      </c>
      <c r="G2" s="7">
        <f>DATE($A$1,$B$1,3)</f>
        <v>45780</v>
      </c>
      <c r="H2" s="7">
        <f>DATE($A$1,$B$1,4)</f>
        <v>45781</v>
      </c>
      <c r="I2" s="7">
        <f>DATE($A$1,$B$1,5)</f>
        <v>45782</v>
      </c>
      <c r="J2" s="7">
        <f>DATE($A$1,$B$1,6)</f>
        <v>45783</v>
      </c>
      <c r="K2" s="7">
        <f>DATE($A$1,$B$1,7)</f>
        <v>45784</v>
      </c>
      <c r="L2" s="7">
        <f>DATE($A$1,$B$1,8)</f>
        <v>45785</v>
      </c>
      <c r="M2" s="7">
        <f>DATE($A$1,$B$1,9)</f>
        <v>45786</v>
      </c>
      <c r="N2" s="7">
        <f>DATE($A$1,$B$1,10)</f>
        <v>45787</v>
      </c>
      <c r="O2" s="7">
        <f>DATE($A$1,$B$1,11)</f>
        <v>45788</v>
      </c>
      <c r="P2" s="7">
        <f>DATE($A$1,$B$1,12)</f>
        <v>45789</v>
      </c>
      <c r="Q2" s="7">
        <f>DATE($A$1,$B$1,13)</f>
        <v>45790</v>
      </c>
      <c r="R2" s="7">
        <f>DATE($A$1,$B$1,14)</f>
        <v>45791</v>
      </c>
      <c r="S2" s="7">
        <f>DATE($A$1,$B$1,15)</f>
        <v>45792</v>
      </c>
      <c r="T2" s="7">
        <f>DATE($A$1,$B$1,16)</f>
        <v>45793</v>
      </c>
      <c r="U2" s="7">
        <f>DATE($A$1,$B$1,17)</f>
        <v>45794</v>
      </c>
      <c r="V2" s="7">
        <f>DATE($A$1,$B$1,18)</f>
        <v>45795</v>
      </c>
      <c r="W2" s="7">
        <f>DATE($A$1,$B$1,19)</f>
        <v>45796</v>
      </c>
      <c r="X2" s="7">
        <f>DATE($A$1,$B$1,20)</f>
        <v>45797</v>
      </c>
      <c r="Y2" s="7">
        <f>DATE($A$1,$B$1,21)</f>
        <v>45798</v>
      </c>
      <c r="Z2" s="7">
        <f>DATE($A$1,$B$1,22)</f>
        <v>45799</v>
      </c>
      <c r="AA2" s="7">
        <f>DATE($A$1,$B$1,23)</f>
        <v>45800</v>
      </c>
      <c r="AB2" s="7">
        <f>DATE($A$1,$B$1,24)</f>
        <v>45801</v>
      </c>
      <c r="AC2" s="7">
        <f>DATE($A$1,$B$1,25)</f>
        <v>45802</v>
      </c>
      <c r="AD2" s="7">
        <f>DATE($A$1,$B$1,26)</f>
        <v>45803</v>
      </c>
      <c r="AE2" s="7">
        <f>DATE($A$1,$B$1,27)</f>
        <v>45804</v>
      </c>
      <c r="AF2" s="7">
        <f>DATE($A$1,$B$1,28)</f>
        <v>45805</v>
      </c>
      <c r="AG2" s="7">
        <f>DATE($A$1,$B$1,29)</f>
        <v>45806</v>
      </c>
      <c r="AH2" s="7">
        <f>DATE($A$1,$B$1,30)</f>
        <v>45807</v>
      </c>
      <c r="AI2" s="7">
        <f>DATE($A$1,$B$1,31)</f>
        <v>45808</v>
      </c>
      <c r="AJ2" s="8" t="s">
        <v>3</v>
      </c>
      <c r="AK2" s="9"/>
      <c r="AL2" s="8" t="s">
        <v>4</v>
      </c>
      <c r="AM2" s="4"/>
      <c r="AN2" s="1"/>
      <c r="AO2" s="1"/>
      <c r="AP2" s="1"/>
      <c r="AQ2" s="1"/>
      <c r="AR2" s="1"/>
      <c r="AS2" s="1"/>
      <c r="AT2" s="1"/>
      <c r="AU2" s="1"/>
    </row>
    <row r="3" ht="15.75" customHeight="1">
      <c r="A3" s="10"/>
      <c r="B3" s="10"/>
      <c r="C3" s="10"/>
      <c r="D3" s="10"/>
      <c r="E3" s="11" t="str">
        <f t="shared" ref="E3:AI3" si="1">TEXT(E2,"ddd")</f>
        <v>木</v>
      </c>
      <c r="F3" s="11" t="str">
        <f t="shared" si="1"/>
        <v>金</v>
      </c>
      <c r="G3" s="11" t="str">
        <f t="shared" si="1"/>
        <v>土</v>
      </c>
      <c r="H3" s="11" t="str">
        <f t="shared" si="1"/>
        <v>日</v>
      </c>
      <c r="I3" s="11" t="str">
        <f t="shared" si="1"/>
        <v>月</v>
      </c>
      <c r="J3" s="11" t="str">
        <f t="shared" si="1"/>
        <v>火</v>
      </c>
      <c r="K3" s="11" t="str">
        <f t="shared" si="1"/>
        <v>水</v>
      </c>
      <c r="L3" s="11" t="str">
        <f t="shared" si="1"/>
        <v>木</v>
      </c>
      <c r="M3" s="11" t="str">
        <f t="shared" si="1"/>
        <v>金</v>
      </c>
      <c r="N3" s="11" t="str">
        <f t="shared" si="1"/>
        <v>土</v>
      </c>
      <c r="O3" s="11" t="str">
        <f t="shared" si="1"/>
        <v>日</v>
      </c>
      <c r="P3" s="11" t="str">
        <f t="shared" si="1"/>
        <v>月</v>
      </c>
      <c r="Q3" s="11" t="str">
        <f t="shared" si="1"/>
        <v>火</v>
      </c>
      <c r="R3" s="11" t="str">
        <f t="shared" si="1"/>
        <v>水</v>
      </c>
      <c r="S3" s="11" t="str">
        <f t="shared" si="1"/>
        <v>木</v>
      </c>
      <c r="T3" s="11" t="str">
        <f t="shared" si="1"/>
        <v>金</v>
      </c>
      <c r="U3" s="11" t="str">
        <f t="shared" si="1"/>
        <v>土</v>
      </c>
      <c r="V3" s="11" t="str">
        <f t="shared" si="1"/>
        <v>日</v>
      </c>
      <c r="W3" s="11" t="str">
        <f t="shared" si="1"/>
        <v>月</v>
      </c>
      <c r="X3" s="11" t="str">
        <f t="shared" si="1"/>
        <v>火</v>
      </c>
      <c r="Y3" s="11" t="str">
        <f t="shared" si="1"/>
        <v>水</v>
      </c>
      <c r="Z3" s="11" t="str">
        <f t="shared" si="1"/>
        <v>木</v>
      </c>
      <c r="AA3" s="11" t="str">
        <f t="shared" si="1"/>
        <v>金</v>
      </c>
      <c r="AB3" s="11" t="str">
        <f t="shared" si="1"/>
        <v>土</v>
      </c>
      <c r="AC3" s="11" t="str">
        <f t="shared" si="1"/>
        <v>日</v>
      </c>
      <c r="AD3" s="11" t="str">
        <f t="shared" si="1"/>
        <v>月</v>
      </c>
      <c r="AE3" s="11" t="str">
        <f t="shared" si="1"/>
        <v>火</v>
      </c>
      <c r="AF3" s="11" t="str">
        <f t="shared" si="1"/>
        <v>水</v>
      </c>
      <c r="AG3" s="11" t="str">
        <f t="shared" si="1"/>
        <v>木</v>
      </c>
      <c r="AH3" s="11" t="str">
        <f t="shared" si="1"/>
        <v>金</v>
      </c>
      <c r="AI3" s="11" t="str">
        <f t="shared" si="1"/>
        <v>土</v>
      </c>
      <c r="AJ3" s="9"/>
      <c r="AK3" s="9"/>
      <c r="AL3" s="6"/>
      <c r="AM3" s="4"/>
      <c r="AN3" s="1"/>
      <c r="AO3" s="1"/>
      <c r="AP3" s="1"/>
      <c r="AQ3" s="1"/>
      <c r="AR3" s="1"/>
      <c r="AS3" s="1"/>
      <c r="AT3" s="1"/>
      <c r="AU3" s="1"/>
    </row>
    <row r="4" ht="15.75" customHeight="1">
      <c r="A4" s="12" t="s">
        <v>30</v>
      </c>
      <c r="B4" s="12" t="s">
        <v>31</v>
      </c>
      <c r="C4" s="12"/>
      <c r="D4" s="13" t="s">
        <v>5</v>
      </c>
      <c r="E4" s="13">
        <v>1.0</v>
      </c>
      <c r="F4" s="13">
        <v>1.0</v>
      </c>
      <c r="G4" s="13">
        <v>1.0</v>
      </c>
      <c r="H4" s="13">
        <v>1.0</v>
      </c>
      <c r="I4" s="13">
        <v>1.0</v>
      </c>
      <c r="J4" s="13">
        <v>1.0</v>
      </c>
      <c r="K4" s="13">
        <v>1.0</v>
      </c>
      <c r="L4" s="13">
        <v>1.0</v>
      </c>
      <c r="M4" s="13">
        <v>1.0</v>
      </c>
      <c r="N4" s="13">
        <v>1.0</v>
      </c>
      <c r="O4" s="13">
        <v>1.0</v>
      </c>
      <c r="P4" s="13">
        <v>1.0</v>
      </c>
      <c r="Q4" s="13">
        <v>1.0</v>
      </c>
      <c r="R4" s="13">
        <v>1.0</v>
      </c>
      <c r="S4" s="13">
        <v>1.0</v>
      </c>
      <c r="T4" s="13">
        <v>1.0</v>
      </c>
      <c r="U4" s="13">
        <v>1.0</v>
      </c>
      <c r="V4" s="13">
        <v>1.0</v>
      </c>
      <c r="W4" s="13">
        <v>1.0</v>
      </c>
      <c r="X4" s="13">
        <v>1.0</v>
      </c>
      <c r="Y4" s="13">
        <v>1.0</v>
      </c>
      <c r="Z4" s="13">
        <v>1.0</v>
      </c>
      <c r="AA4" s="13">
        <v>1.0</v>
      </c>
      <c r="AB4" s="13">
        <v>1.0</v>
      </c>
      <c r="AC4" s="13">
        <v>1.0</v>
      </c>
      <c r="AD4" s="13">
        <v>1.0</v>
      </c>
      <c r="AE4" s="13">
        <v>1.0</v>
      </c>
      <c r="AF4" s="13">
        <v>1.0</v>
      </c>
      <c r="AG4" s="13">
        <v>1.0</v>
      </c>
      <c r="AH4" s="13">
        <v>1.0</v>
      </c>
      <c r="AI4" s="13">
        <v>1.0</v>
      </c>
      <c r="AJ4" s="13">
        <f t="shared" ref="AJ4:AJ72" si="2">SUM(E4:AI4)</f>
        <v>31</v>
      </c>
      <c r="AK4" s="14">
        <f>330*AJ4</f>
        <v>10230</v>
      </c>
      <c r="AL4" s="15"/>
      <c r="AM4" s="4"/>
      <c r="AN4" s="1"/>
      <c r="AO4" s="1"/>
      <c r="AP4" s="1"/>
      <c r="AQ4" s="1"/>
      <c r="AR4" s="1"/>
      <c r="AS4" s="1"/>
      <c r="AT4" s="1"/>
      <c r="AU4" s="1"/>
    </row>
    <row r="5" ht="15.75" customHeight="1">
      <c r="A5" s="16"/>
      <c r="B5" s="16"/>
      <c r="C5" s="16"/>
      <c r="D5" s="13" t="s">
        <v>6</v>
      </c>
      <c r="E5" s="13">
        <v>1.0</v>
      </c>
      <c r="F5" s="13">
        <v>1.0</v>
      </c>
      <c r="G5" s="13">
        <v>1.0</v>
      </c>
      <c r="H5" s="13">
        <v>1.0</v>
      </c>
      <c r="I5" s="13">
        <v>1.0</v>
      </c>
      <c r="J5" s="13">
        <v>1.0</v>
      </c>
      <c r="K5" s="13">
        <v>1.0</v>
      </c>
      <c r="L5" s="13">
        <v>1.0</v>
      </c>
      <c r="M5" s="13">
        <v>1.0</v>
      </c>
      <c r="N5" s="13">
        <v>1.0</v>
      </c>
      <c r="O5" s="13">
        <v>1.0</v>
      </c>
      <c r="P5" s="13">
        <v>1.0</v>
      </c>
      <c r="Q5" s="13">
        <v>1.0</v>
      </c>
      <c r="R5" s="13">
        <v>1.0</v>
      </c>
      <c r="S5" s="13">
        <v>1.0</v>
      </c>
      <c r="T5" s="13">
        <v>1.0</v>
      </c>
      <c r="U5" s="13">
        <v>1.0</v>
      </c>
      <c r="V5" s="13">
        <v>1.0</v>
      </c>
      <c r="W5" s="13">
        <v>1.0</v>
      </c>
      <c r="X5" s="13">
        <v>1.0</v>
      </c>
      <c r="Y5" s="13">
        <v>1.0</v>
      </c>
      <c r="Z5" s="13">
        <v>1.0</v>
      </c>
      <c r="AA5" s="13">
        <v>1.0</v>
      </c>
      <c r="AB5" s="13">
        <v>1.0</v>
      </c>
      <c r="AC5" s="13">
        <v>1.0</v>
      </c>
      <c r="AD5" s="13">
        <v>1.0</v>
      </c>
      <c r="AE5" s="13">
        <v>1.0</v>
      </c>
      <c r="AF5" s="13">
        <v>1.0</v>
      </c>
      <c r="AG5" s="13">
        <v>1.0</v>
      </c>
      <c r="AH5" s="13">
        <v>1.0</v>
      </c>
      <c r="AI5" s="13">
        <v>1.0</v>
      </c>
      <c r="AJ5" s="13">
        <f t="shared" si="2"/>
        <v>31</v>
      </c>
      <c r="AK5" s="14">
        <f t="shared" ref="AK5:AK6" si="3">550*AJ5</f>
        <v>17050</v>
      </c>
      <c r="AL5" s="19"/>
      <c r="AM5" s="4"/>
      <c r="AN5" s="1"/>
      <c r="AO5" s="1"/>
      <c r="AP5" s="1"/>
      <c r="AQ5" s="1"/>
      <c r="AR5" s="1"/>
      <c r="AS5" s="1"/>
      <c r="AT5" s="1"/>
      <c r="AU5" s="1"/>
    </row>
    <row r="6" ht="15.75" customHeight="1">
      <c r="A6" s="10"/>
      <c r="B6" s="10"/>
      <c r="C6" s="10"/>
      <c r="D6" s="13" t="s">
        <v>7</v>
      </c>
      <c r="E6" s="13">
        <v>1.0</v>
      </c>
      <c r="F6" s="13">
        <v>1.0</v>
      </c>
      <c r="G6" s="13">
        <v>1.0</v>
      </c>
      <c r="H6" s="13">
        <v>1.0</v>
      </c>
      <c r="I6" s="13">
        <v>1.0</v>
      </c>
      <c r="J6" s="13">
        <v>1.0</v>
      </c>
      <c r="K6" s="13">
        <v>1.0</v>
      </c>
      <c r="L6" s="13">
        <v>1.0</v>
      </c>
      <c r="M6" s="13">
        <v>1.0</v>
      </c>
      <c r="N6" s="13">
        <v>1.0</v>
      </c>
      <c r="O6" s="13">
        <v>1.0</v>
      </c>
      <c r="P6" s="13">
        <v>1.0</v>
      </c>
      <c r="Q6" s="13">
        <v>1.0</v>
      </c>
      <c r="R6" s="13">
        <v>1.0</v>
      </c>
      <c r="S6" s="13">
        <v>1.0</v>
      </c>
      <c r="T6" s="13">
        <v>1.0</v>
      </c>
      <c r="U6" s="13">
        <v>1.0</v>
      </c>
      <c r="V6" s="13">
        <v>1.0</v>
      </c>
      <c r="W6" s="13">
        <v>1.0</v>
      </c>
      <c r="X6" s="13">
        <v>1.0</v>
      </c>
      <c r="Y6" s="13">
        <v>1.0</v>
      </c>
      <c r="Z6" s="13">
        <v>1.0</v>
      </c>
      <c r="AA6" s="13">
        <v>1.0</v>
      </c>
      <c r="AB6" s="13">
        <v>1.0</v>
      </c>
      <c r="AC6" s="13">
        <v>1.0</v>
      </c>
      <c r="AD6" s="13">
        <v>1.0</v>
      </c>
      <c r="AE6" s="13">
        <v>1.0</v>
      </c>
      <c r="AF6" s="13">
        <v>1.0</v>
      </c>
      <c r="AG6" s="13">
        <v>1.0</v>
      </c>
      <c r="AH6" s="13">
        <v>1.0</v>
      </c>
      <c r="AI6" s="13">
        <v>1.0</v>
      </c>
      <c r="AJ6" s="13">
        <f t="shared" si="2"/>
        <v>31</v>
      </c>
      <c r="AK6" s="14">
        <f t="shared" si="3"/>
        <v>17050</v>
      </c>
      <c r="AL6" s="20">
        <f>SUM(AK4:AK6)</f>
        <v>44330</v>
      </c>
      <c r="AM6" s="4"/>
      <c r="AN6" s="1"/>
      <c r="AO6" s="1"/>
      <c r="AP6" s="1"/>
      <c r="AQ6" s="1"/>
      <c r="AR6" s="1"/>
      <c r="AS6" s="1"/>
      <c r="AT6" s="1"/>
      <c r="AU6" s="1"/>
    </row>
    <row r="7" ht="15.75" customHeight="1">
      <c r="A7" s="21" t="s">
        <v>8</v>
      </c>
      <c r="B7" s="21" t="s">
        <v>9</v>
      </c>
      <c r="C7" s="21" t="s">
        <v>42</v>
      </c>
      <c r="D7" s="22" t="s">
        <v>5</v>
      </c>
      <c r="E7" s="22">
        <v>0.0</v>
      </c>
      <c r="F7" s="22">
        <v>0.0</v>
      </c>
      <c r="G7" s="22">
        <v>0.0</v>
      </c>
      <c r="H7" s="22">
        <v>0.0</v>
      </c>
      <c r="I7" s="22">
        <v>0.0</v>
      </c>
      <c r="J7" s="22">
        <v>0.0</v>
      </c>
      <c r="K7" s="22">
        <v>0.0</v>
      </c>
      <c r="L7" s="22">
        <v>0.0</v>
      </c>
      <c r="M7" s="22">
        <v>0.0</v>
      </c>
      <c r="N7" s="22">
        <v>0.0</v>
      </c>
      <c r="O7" s="22">
        <v>0.0</v>
      </c>
      <c r="P7" s="22">
        <v>0.0</v>
      </c>
      <c r="Q7" s="22">
        <v>0.0</v>
      </c>
      <c r="R7" s="22">
        <v>0.0</v>
      </c>
      <c r="S7" s="22">
        <v>0.0</v>
      </c>
      <c r="T7" s="22">
        <v>0.0</v>
      </c>
      <c r="U7" s="22">
        <v>0.0</v>
      </c>
      <c r="V7" s="22">
        <v>0.0</v>
      </c>
      <c r="W7" s="22">
        <v>0.0</v>
      </c>
      <c r="X7" s="22">
        <v>0.0</v>
      </c>
      <c r="Y7" s="22">
        <v>0.0</v>
      </c>
      <c r="Z7" s="22">
        <v>0.0</v>
      </c>
      <c r="AA7" s="22">
        <v>0.0</v>
      </c>
      <c r="AB7" s="22">
        <v>0.0</v>
      </c>
      <c r="AC7" s="22">
        <v>0.0</v>
      </c>
      <c r="AD7" s="22">
        <v>0.0</v>
      </c>
      <c r="AE7" s="22">
        <v>0.0</v>
      </c>
      <c r="AF7" s="22">
        <v>0.0</v>
      </c>
      <c r="AG7" s="22">
        <v>0.0</v>
      </c>
      <c r="AH7" s="22">
        <v>0.0</v>
      </c>
      <c r="AI7" s="22">
        <v>0.0</v>
      </c>
      <c r="AJ7" s="22">
        <f t="shared" si="2"/>
        <v>0</v>
      </c>
      <c r="AK7" s="23">
        <f>330*AJ7</f>
        <v>0</v>
      </c>
      <c r="AL7" s="24"/>
      <c r="AM7" s="25" t="s">
        <v>43</v>
      </c>
      <c r="AN7" s="1"/>
      <c r="AO7" s="1"/>
      <c r="AP7" s="1"/>
      <c r="AQ7" s="1"/>
      <c r="AR7" s="1"/>
      <c r="AS7" s="1"/>
      <c r="AT7" s="1"/>
      <c r="AU7" s="1"/>
    </row>
    <row r="8" ht="15.75" customHeight="1">
      <c r="A8" s="16"/>
      <c r="B8" s="16"/>
      <c r="C8" s="16"/>
      <c r="D8" s="22" t="s">
        <v>6</v>
      </c>
      <c r="E8" s="22">
        <v>0.0</v>
      </c>
      <c r="F8" s="22">
        <v>0.0</v>
      </c>
      <c r="G8" s="22">
        <v>0.0</v>
      </c>
      <c r="H8" s="22">
        <v>0.0</v>
      </c>
      <c r="I8" s="22">
        <v>0.0</v>
      </c>
      <c r="J8" s="22">
        <v>0.0</v>
      </c>
      <c r="K8" s="22">
        <v>0.0</v>
      </c>
      <c r="L8" s="22">
        <v>0.0</v>
      </c>
      <c r="M8" s="22">
        <v>0.0</v>
      </c>
      <c r="N8" s="22">
        <v>0.0</v>
      </c>
      <c r="O8" s="22">
        <v>0.0</v>
      </c>
      <c r="P8" s="22">
        <v>0.0</v>
      </c>
      <c r="Q8" s="22">
        <v>0.0</v>
      </c>
      <c r="R8" s="22">
        <v>0.0</v>
      </c>
      <c r="S8" s="22">
        <v>0.0</v>
      </c>
      <c r="T8" s="22">
        <v>0.0</v>
      </c>
      <c r="U8" s="22">
        <v>0.0</v>
      </c>
      <c r="V8" s="22">
        <v>0.0</v>
      </c>
      <c r="W8" s="22">
        <v>0.0</v>
      </c>
      <c r="X8" s="22">
        <v>0.0</v>
      </c>
      <c r="Y8" s="22">
        <v>0.0</v>
      </c>
      <c r="Z8" s="22">
        <v>0.0</v>
      </c>
      <c r="AA8" s="22">
        <v>0.0</v>
      </c>
      <c r="AB8" s="22">
        <v>0.0</v>
      </c>
      <c r="AC8" s="22">
        <v>0.0</v>
      </c>
      <c r="AD8" s="22">
        <v>0.0</v>
      </c>
      <c r="AE8" s="22">
        <v>0.0</v>
      </c>
      <c r="AF8" s="22">
        <v>0.0</v>
      </c>
      <c r="AG8" s="22">
        <v>0.0</v>
      </c>
      <c r="AH8" s="22">
        <v>0.0</v>
      </c>
      <c r="AI8" s="22">
        <v>0.0</v>
      </c>
      <c r="AJ8" s="22">
        <f t="shared" si="2"/>
        <v>0</v>
      </c>
      <c r="AK8" s="23">
        <f t="shared" ref="AK8:AK9" si="4">550*AJ8</f>
        <v>0</v>
      </c>
      <c r="AL8" s="24"/>
      <c r="AN8" s="1"/>
      <c r="AO8" s="1"/>
      <c r="AP8" s="1"/>
      <c r="AQ8" s="1"/>
      <c r="AR8" s="1"/>
      <c r="AS8" s="1"/>
      <c r="AT8" s="1"/>
      <c r="AU8" s="1"/>
    </row>
    <row r="9" ht="15.75" customHeight="1">
      <c r="A9" s="10"/>
      <c r="B9" s="10"/>
      <c r="C9" s="10"/>
      <c r="D9" s="22" t="s">
        <v>7</v>
      </c>
      <c r="E9" s="22">
        <v>0.0</v>
      </c>
      <c r="F9" s="22">
        <v>0.0</v>
      </c>
      <c r="G9" s="22">
        <v>0.0</v>
      </c>
      <c r="H9" s="22">
        <v>0.0</v>
      </c>
      <c r="I9" s="22">
        <v>0.0</v>
      </c>
      <c r="J9" s="22">
        <v>0.0</v>
      </c>
      <c r="K9" s="22">
        <v>0.0</v>
      </c>
      <c r="L9" s="22">
        <v>0.0</v>
      </c>
      <c r="M9" s="22">
        <v>0.0</v>
      </c>
      <c r="N9" s="22">
        <v>0.0</v>
      </c>
      <c r="O9" s="22">
        <v>0.0</v>
      </c>
      <c r="P9" s="22">
        <v>0.0</v>
      </c>
      <c r="Q9" s="22">
        <v>0.0</v>
      </c>
      <c r="R9" s="22">
        <v>0.0</v>
      </c>
      <c r="S9" s="22">
        <v>0.0</v>
      </c>
      <c r="T9" s="22">
        <v>0.0</v>
      </c>
      <c r="U9" s="22">
        <v>0.0</v>
      </c>
      <c r="V9" s="22">
        <v>0.0</v>
      </c>
      <c r="W9" s="22">
        <v>0.0</v>
      </c>
      <c r="X9" s="22">
        <v>0.0</v>
      </c>
      <c r="Y9" s="22">
        <v>0.0</v>
      </c>
      <c r="Z9" s="22">
        <v>0.0</v>
      </c>
      <c r="AA9" s="22">
        <v>0.0</v>
      </c>
      <c r="AB9" s="22">
        <v>0.0</v>
      </c>
      <c r="AC9" s="22">
        <v>0.0</v>
      </c>
      <c r="AD9" s="22">
        <v>0.0</v>
      </c>
      <c r="AE9" s="22">
        <v>0.0</v>
      </c>
      <c r="AF9" s="22">
        <v>0.0</v>
      </c>
      <c r="AG9" s="22">
        <v>0.0</v>
      </c>
      <c r="AH9" s="22">
        <v>0.0</v>
      </c>
      <c r="AI9" s="22">
        <v>0.0</v>
      </c>
      <c r="AJ9" s="22">
        <f t="shared" si="2"/>
        <v>0</v>
      </c>
      <c r="AK9" s="23">
        <f t="shared" si="4"/>
        <v>0</v>
      </c>
      <c r="AL9" s="26">
        <f>SUM(AK7:AK9)</f>
        <v>0</v>
      </c>
      <c r="AN9" s="1"/>
      <c r="AO9" s="1"/>
      <c r="AP9" s="1"/>
      <c r="AQ9" s="1"/>
      <c r="AR9" s="1"/>
      <c r="AS9" s="1"/>
      <c r="AT9" s="1"/>
      <c r="AU9" s="1"/>
    </row>
    <row r="10" ht="15.75" customHeight="1">
      <c r="A10" s="12" t="s">
        <v>11</v>
      </c>
      <c r="B10" s="12" t="s">
        <v>12</v>
      </c>
      <c r="C10" s="12"/>
      <c r="D10" s="13" t="s">
        <v>5</v>
      </c>
      <c r="E10" s="18">
        <v>0.0</v>
      </c>
      <c r="F10" s="18">
        <v>0.0</v>
      </c>
      <c r="G10" s="18">
        <v>0.0</v>
      </c>
      <c r="H10" s="18">
        <v>0.0</v>
      </c>
      <c r="I10" s="18">
        <v>0.0</v>
      </c>
      <c r="J10" s="18">
        <v>0.0</v>
      </c>
      <c r="K10" s="18">
        <v>0.0</v>
      </c>
      <c r="L10" s="18">
        <v>0.0</v>
      </c>
      <c r="M10" s="18">
        <v>0.0</v>
      </c>
      <c r="N10" s="18">
        <v>0.0</v>
      </c>
      <c r="O10" s="18">
        <v>0.0</v>
      </c>
      <c r="P10" s="18">
        <v>0.0</v>
      </c>
      <c r="Q10" s="18">
        <v>0.0</v>
      </c>
      <c r="R10" s="18">
        <v>0.0</v>
      </c>
      <c r="S10" s="18">
        <v>0.0</v>
      </c>
      <c r="T10" s="18">
        <v>0.0</v>
      </c>
      <c r="U10" s="18">
        <v>0.0</v>
      </c>
      <c r="V10" s="18">
        <v>0.0</v>
      </c>
      <c r="W10" s="18">
        <v>0.0</v>
      </c>
      <c r="X10" s="18">
        <v>0.0</v>
      </c>
      <c r="Y10" s="18">
        <v>0.0</v>
      </c>
      <c r="Z10" s="18">
        <v>0.0</v>
      </c>
      <c r="AA10" s="18">
        <v>0.0</v>
      </c>
      <c r="AB10" s="18">
        <v>0.0</v>
      </c>
      <c r="AC10" s="18">
        <v>0.0</v>
      </c>
      <c r="AD10" s="18">
        <v>0.0</v>
      </c>
      <c r="AE10" s="18">
        <v>0.0</v>
      </c>
      <c r="AF10" s="18">
        <v>0.0</v>
      </c>
      <c r="AG10" s="18">
        <v>0.0</v>
      </c>
      <c r="AH10" s="18">
        <v>0.0</v>
      </c>
      <c r="AI10" s="18">
        <v>0.0</v>
      </c>
      <c r="AJ10" s="13">
        <f t="shared" si="2"/>
        <v>0</v>
      </c>
      <c r="AK10" s="14">
        <f>330*AJ10</f>
        <v>0</v>
      </c>
      <c r="AL10" s="19"/>
      <c r="AM10" s="4"/>
      <c r="AN10" s="1"/>
      <c r="AO10" s="1"/>
      <c r="AP10" s="1"/>
      <c r="AQ10" s="1"/>
      <c r="AR10" s="1"/>
      <c r="AS10" s="1"/>
      <c r="AT10" s="1"/>
      <c r="AU10" s="1"/>
    </row>
    <row r="11" ht="15.75" customHeight="1">
      <c r="A11" s="16"/>
      <c r="B11" s="16"/>
      <c r="C11" s="16"/>
      <c r="D11" s="13" t="s">
        <v>6</v>
      </c>
      <c r="E11" s="13">
        <v>1.0</v>
      </c>
      <c r="F11" s="13">
        <v>1.0</v>
      </c>
      <c r="G11" s="13">
        <v>1.0</v>
      </c>
      <c r="H11" s="13">
        <v>1.0</v>
      </c>
      <c r="I11" s="13">
        <v>1.0</v>
      </c>
      <c r="J11" s="13">
        <v>1.0</v>
      </c>
      <c r="K11" s="13">
        <v>1.0</v>
      </c>
      <c r="L11" s="13">
        <v>1.0</v>
      </c>
      <c r="M11" s="13">
        <v>1.0</v>
      </c>
      <c r="N11" s="13">
        <v>1.0</v>
      </c>
      <c r="O11" s="13">
        <v>1.0</v>
      </c>
      <c r="P11" s="13">
        <v>1.0</v>
      </c>
      <c r="Q11" s="13">
        <v>1.0</v>
      </c>
      <c r="R11" s="13">
        <v>1.0</v>
      </c>
      <c r="S11" s="13">
        <v>1.0</v>
      </c>
      <c r="T11" s="13">
        <v>1.0</v>
      </c>
      <c r="U11" s="13">
        <v>1.0</v>
      </c>
      <c r="V11" s="13">
        <v>1.0</v>
      </c>
      <c r="W11" s="13">
        <v>1.0</v>
      </c>
      <c r="X11" s="13">
        <v>1.0</v>
      </c>
      <c r="Y11" s="13">
        <v>1.0</v>
      </c>
      <c r="Z11" s="13">
        <v>1.0</v>
      </c>
      <c r="AA11" s="13">
        <v>1.0</v>
      </c>
      <c r="AB11" s="13">
        <v>1.0</v>
      </c>
      <c r="AC11" s="13">
        <v>1.0</v>
      </c>
      <c r="AD11" s="13">
        <v>1.0</v>
      </c>
      <c r="AE11" s="13">
        <v>1.0</v>
      </c>
      <c r="AF11" s="13">
        <v>1.0</v>
      </c>
      <c r="AG11" s="13">
        <v>1.0</v>
      </c>
      <c r="AH11" s="13">
        <v>1.0</v>
      </c>
      <c r="AI11" s="13">
        <v>1.0</v>
      </c>
      <c r="AJ11" s="13">
        <f t="shared" si="2"/>
        <v>31</v>
      </c>
      <c r="AK11" s="14">
        <f t="shared" ref="AK11:AK12" si="5">550*AJ11</f>
        <v>17050</v>
      </c>
      <c r="AL11" s="19"/>
      <c r="AM11" s="27"/>
      <c r="AN11" s="1"/>
      <c r="AO11" s="1"/>
      <c r="AP11" s="1"/>
      <c r="AQ11" s="1"/>
      <c r="AR11" s="1"/>
      <c r="AS11" s="1"/>
      <c r="AT11" s="1"/>
      <c r="AU11" s="1"/>
    </row>
    <row r="12" ht="15.75" customHeight="1">
      <c r="A12" s="10"/>
      <c r="B12" s="10"/>
      <c r="C12" s="10"/>
      <c r="D12" s="13" t="s">
        <v>7</v>
      </c>
      <c r="E12" s="13">
        <v>1.0</v>
      </c>
      <c r="F12" s="13">
        <v>1.0</v>
      </c>
      <c r="G12" s="13">
        <v>1.0</v>
      </c>
      <c r="H12" s="13">
        <v>1.0</v>
      </c>
      <c r="I12" s="13">
        <v>1.0</v>
      </c>
      <c r="J12" s="13">
        <v>1.0</v>
      </c>
      <c r="K12" s="13">
        <v>1.0</v>
      </c>
      <c r="L12" s="13">
        <v>1.0</v>
      </c>
      <c r="M12" s="13">
        <v>1.0</v>
      </c>
      <c r="N12" s="13">
        <v>1.0</v>
      </c>
      <c r="O12" s="13">
        <v>1.0</v>
      </c>
      <c r="P12" s="13">
        <v>1.0</v>
      </c>
      <c r="Q12" s="13">
        <v>1.0</v>
      </c>
      <c r="R12" s="13">
        <v>1.0</v>
      </c>
      <c r="S12" s="13">
        <v>1.0</v>
      </c>
      <c r="T12" s="13">
        <v>1.0</v>
      </c>
      <c r="U12" s="13">
        <v>1.0</v>
      </c>
      <c r="V12" s="13">
        <v>1.0</v>
      </c>
      <c r="W12" s="13">
        <v>1.0</v>
      </c>
      <c r="X12" s="13">
        <v>1.0</v>
      </c>
      <c r="Y12" s="13">
        <v>1.0</v>
      </c>
      <c r="Z12" s="13">
        <v>1.0</v>
      </c>
      <c r="AA12" s="13">
        <v>1.0</v>
      </c>
      <c r="AB12" s="13">
        <v>1.0</v>
      </c>
      <c r="AC12" s="13">
        <v>1.0</v>
      </c>
      <c r="AD12" s="13">
        <v>1.0</v>
      </c>
      <c r="AE12" s="13">
        <v>1.0</v>
      </c>
      <c r="AF12" s="13">
        <v>1.0</v>
      </c>
      <c r="AG12" s="13">
        <v>1.0</v>
      </c>
      <c r="AH12" s="13">
        <v>1.0</v>
      </c>
      <c r="AI12" s="13">
        <v>1.0</v>
      </c>
      <c r="AJ12" s="13">
        <f t="shared" si="2"/>
        <v>31</v>
      </c>
      <c r="AK12" s="14">
        <f t="shared" si="5"/>
        <v>17050</v>
      </c>
      <c r="AL12" s="20">
        <f>SUM(AK10:AK12)</f>
        <v>34100</v>
      </c>
      <c r="AM12" s="4" t="s">
        <v>44</v>
      </c>
      <c r="AN12" s="1"/>
      <c r="AO12" s="1"/>
      <c r="AP12" s="1"/>
      <c r="AQ12" s="1"/>
      <c r="AR12" s="1"/>
      <c r="AS12" s="1"/>
      <c r="AT12" s="1"/>
      <c r="AU12" s="1"/>
    </row>
    <row r="13" ht="15.75" customHeight="1">
      <c r="A13" s="21" t="s">
        <v>14</v>
      </c>
      <c r="B13" s="21" t="s">
        <v>15</v>
      </c>
      <c r="C13" s="21"/>
      <c r="D13" s="22" t="s">
        <v>5</v>
      </c>
      <c r="E13" s="28">
        <v>1.0</v>
      </c>
      <c r="F13" s="28">
        <v>1.0</v>
      </c>
      <c r="G13" s="28">
        <v>1.0</v>
      </c>
      <c r="H13" s="28">
        <v>1.0</v>
      </c>
      <c r="I13" s="28">
        <v>1.0</v>
      </c>
      <c r="J13" s="28">
        <v>1.0</v>
      </c>
      <c r="K13" s="28">
        <v>1.0</v>
      </c>
      <c r="L13" s="28">
        <v>1.0</v>
      </c>
      <c r="M13" s="28">
        <v>1.0</v>
      </c>
      <c r="N13" s="28">
        <v>1.0</v>
      </c>
      <c r="O13" s="28">
        <v>1.0</v>
      </c>
      <c r="P13" s="28">
        <v>1.0</v>
      </c>
      <c r="Q13" s="28">
        <v>1.0</v>
      </c>
      <c r="R13" s="28">
        <v>1.0</v>
      </c>
      <c r="S13" s="28">
        <v>1.0</v>
      </c>
      <c r="T13" s="28">
        <v>1.0</v>
      </c>
      <c r="U13" s="28">
        <v>1.0</v>
      </c>
      <c r="V13" s="28">
        <v>1.0</v>
      </c>
      <c r="W13" s="28">
        <v>1.0</v>
      </c>
      <c r="X13" s="28">
        <v>1.0</v>
      </c>
      <c r="Y13" s="28">
        <v>1.0</v>
      </c>
      <c r="Z13" s="28">
        <v>1.0</v>
      </c>
      <c r="AA13" s="28">
        <v>1.0</v>
      </c>
      <c r="AB13" s="28">
        <v>1.0</v>
      </c>
      <c r="AC13" s="28">
        <v>1.0</v>
      </c>
      <c r="AD13" s="28">
        <v>1.0</v>
      </c>
      <c r="AE13" s="28">
        <v>1.0</v>
      </c>
      <c r="AF13" s="28">
        <v>1.0</v>
      </c>
      <c r="AG13" s="22">
        <v>1.0</v>
      </c>
      <c r="AH13" s="22">
        <v>1.0</v>
      </c>
      <c r="AI13" s="22">
        <v>1.0</v>
      </c>
      <c r="AJ13" s="22">
        <f t="shared" si="2"/>
        <v>31</v>
      </c>
      <c r="AK13" s="23">
        <f>330*AJ13</f>
        <v>10230</v>
      </c>
      <c r="AL13" s="24"/>
      <c r="AM13" s="25"/>
      <c r="AN13" s="1"/>
      <c r="AO13" s="1"/>
      <c r="AP13" s="1"/>
      <c r="AQ13" s="1"/>
      <c r="AR13" s="1"/>
      <c r="AS13" s="1"/>
      <c r="AT13" s="1"/>
      <c r="AU13" s="1"/>
    </row>
    <row r="14" ht="15.75" customHeight="1">
      <c r="A14" s="16"/>
      <c r="B14" s="16"/>
      <c r="C14" s="16"/>
      <c r="D14" s="22" t="s">
        <v>6</v>
      </c>
      <c r="E14" s="28">
        <v>1.0</v>
      </c>
      <c r="F14" s="28">
        <v>1.0</v>
      </c>
      <c r="G14" s="28">
        <v>1.0</v>
      </c>
      <c r="H14" s="28">
        <v>1.0</v>
      </c>
      <c r="I14" s="28">
        <v>1.0</v>
      </c>
      <c r="J14" s="28">
        <v>1.0</v>
      </c>
      <c r="K14" s="28">
        <v>1.0</v>
      </c>
      <c r="L14" s="28">
        <v>1.0</v>
      </c>
      <c r="M14" s="28">
        <v>1.0</v>
      </c>
      <c r="N14" s="28">
        <v>1.0</v>
      </c>
      <c r="O14" s="28">
        <v>1.0</v>
      </c>
      <c r="P14" s="28">
        <v>1.0</v>
      </c>
      <c r="Q14" s="28">
        <v>1.0</v>
      </c>
      <c r="R14" s="28">
        <v>1.0</v>
      </c>
      <c r="S14" s="28">
        <v>1.0</v>
      </c>
      <c r="T14" s="28">
        <v>1.0</v>
      </c>
      <c r="U14" s="28">
        <v>1.0</v>
      </c>
      <c r="V14" s="28">
        <v>1.0</v>
      </c>
      <c r="W14" s="28">
        <v>1.0</v>
      </c>
      <c r="X14" s="28">
        <v>1.0</v>
      </c>
      <c r="Y14" s="28">
        <v>1.0</v>
      </c>
      <c r="Z14" s="28">
        <v>1.0</v>
      </c>
      <c r="AA14" s="28">
        <v>1.0</v>
      </c>
      <c r="AB14" s="28">
        <v>1.0</v>
      </c>
      <c r="AC14" s="28">
        <v>1.0</v>
      </c>
      <c r="AD14" s="28">
        <v>1.0</v>
      </c>
      <c r="AE14" s="28">
        <v>1.0</v>
      </c>
      <c r="AF14" s="28">
        <v>1.0</v>
      </c>
      <c r="AG14" s="22">
        <v>1.0</v>
      </c>
      <c r="AH14" s="22">
        <v>1.0</v>
      </c>
      <c r="AI14" s="22">
        <v>1.0</v>
      </c>
      <c r="AJ14" s="22">
        <f t="shared" si="2"/>
        <v>31</v>
      </c>
      <c r="AK14" s="23">
        <f t="shared" ref="AK14:AK15" si="6">550*AJ14</f>
        <v>17050</v>
      </c>
      <c r="AL14" s="24"/>
      <c r="AM14" s="4"/>
      <c r="AN14" s="1"/>
      <c r="AO14" s="1"/>
      <c r="AP14" s="1"/>
      <c r="AQ14" s="1"/>
      <c r="AR14" s="1"/>
      <c r="AS14" s="1"/>
      <c r="AT14" s="1"/>
      <c r="AU14" s="1"/>
    </row>
    <row r="15" ht="15.75" customHeight="1">
      <c r="A15" s="10"/>
      <c r="B15" s="10"/>
      <c r="C15" s="10"/>
      <c r="D15" s="22" t="s">
        <v>7</v>
      </c>
      <c r="E15" s="28">
        <v>1.0</v>
      </c>
      <c r="F15" s="28">
        <v>1.0</v>
      </c>
      <c r="G15" s="28">
        <v>1.0</v>
      </c>
      <c r="H15" s="28">
        <v>1.0</v>
      </c>
      <c r="I15" s="28">
        <v>1.0</v>
      </c>
      <c r="J15" s="28">
        <v>1.0</v>
      </c>
      <c r="K15" s="28">
        <v>1.0</v>
      </c>
      <c r="L15" s="28">
        <v>1.0</v>
      </c>
      <c r="M15" s="28">
        <v>1.0</v>
      </c>
      <c r="N15" s="28">
        <v>1.0</v>
      </c>
      <c r="O15" s="28">
        <v>1.0</v>
      </c>
      <c r="P15" s="28">
        <v>1.0</v>
      </c>
      <c r="Q15" s="28">
        <v>1.0</v>
      </c>
      <c r="R15" s="28">
        <v>1.0</v>
      </c>
      <c r="S15" s="28">
        <v>1.0</v>
      </c>
      <c r="T15" s="28">
        <v>1.0</v>
      </c>
      <c r="U15" s="28">
        <v>1.0</v>
      </c>
      <c r="V15" s="28">
        <v>1.0</v>
      </c>
      <c r="W15" s="28">
        <v>1.0</v>
      </c>
      <c r="X15" s="28">
        <v>1.0</v>
      </c>
      <c r="Y15" s="28">
        <v>1.0</v>
      </c>
      <c r="Z15" s="28">
        <v>1.0</v>
      </c>
      <c r="AA15" s="28">
        <v>1.0</v>
      </c>
      <c r="AB15" s="28">
        <v>1.0</v>
      </c>
      <c r="AC15" s="28">
        <v>1.0</v>
      </c>
      <c r="AD15" s="28">
        <v>1.0</v>
      </c>
      <c r="AE15" s="28">
        <v>1.0</v>
      </c>
      <c r="AF15" s="28">
        <v>1.0</v>
      </c>
      <c r="AG15" s="22">
        <v>1.0</v>
      </c>
      <c r="AH15" s="22">
        <v>1.0</v>
      </c>
      <c r="AI15" s="22">
        <v>1.0</v>
      </c>
      <c r="AJ15" s="22">
        <f t="shared" si="2"/>
        <v>31</v>
      </c>
      <c r="AK15" s="23">
        <f t="shared" si="6"/>
        <v>17050</v>
      </c>
      <c r="AL15" s="26">
        <f>SUM(AK13:AK15)</f>
        <v>44330</v>
      </c>
      <c r="AM15" s="4"/>
      <c r="AN15" s="1"/>
      <c r="AO15" s="1"/>
      <c r="AP15" s="1"/>
      <c r="AQ15" s="1"/>
      <c r="AR15" s="1"/>
      <c r="AS15" s="1"/>
      <c r="AT15" s="1"/>
      <c r="AU15" s="1"/>
    </row>
    <row r="16" ht="15.75" customHeight="1">
      <c r="A16" s="12" t="s">
        <v>16</v>
      </c>
      <c r="B16" s="12" t="s">
        <v>17</v>
      </c>
      <c r="C16" s="12" t="s">
        <v>42</v>
      </c>
      <c r="D16" s="13" t="s">
        <v>5</v>
      </c>
      <c r="E16" s="18">
        <v>0.0</v>
      </c>
      <c r="F16" s="18">
        <v>0.0</v>
      </c>
      <c r="G16" s="18">
        <v>0.0</v>
      </c>
      <c r="H16" s="18">
        <v>0.0</v>
      </c>
      <c r="I16" s="18">
        <v>0.0</v>
      </c>
      <c r="J16" s="18">
        <v>0.0</v>
      </c>
      <c r="K16" s="18">
        <v>0.0</v>
      </c>
      <c r="L16" s="18">
        <v>0.0</v>
      </c>
      <c r="M16" s="18">
        <v>0.0</v>
      </c>
      <c r="N16" s="18">
        <v>0.0</v>
      </c>
      <c r="O16" s="18">
        <v>0.0</v>
      </c>
      <c r="P16" s="18">
        <v>0.0</v>
      </c>
      <c r="Q16" s="18">
        <v>0.0</v>
      </c>
      <c r="R16" s="18">
        <v>0.0</v>
      </c>
      <c r="S16" s="18">
        <v>0.0</v>
      </c>
      <c r="T16" s="18">
        <v>0.0</v>
      </c>
      <c r="U16" s="18">
        <v>0.0</v>
      </c>
      <c r="V16" s="18">
        <v>0.0</v>
      </c>
      <c r="W16" s="18">
        <v>0.0</v>
      </c>
      <c r="X16" s="18">
        <v>0.0</v>
      </c>
      <c r="Y16" s="18">
        <v>0.0</v>
      </c>
      <c r="Z16" s="18">
        <v>0.0</v>
      </c>
      <c r="AA16" s="18">
        <v>0.0</v>
      </c>
      <c r="AB16" s="18">
        <v>0.0</v>
      </c>
      <c r="AC16" s="18">
        <v>0.0</v>
      </c>
      <c r="AD16" s="18">
        <v>0.0</v>
      </c>
      <c r="AE16" s="18">
        <v>0.0</v>
      </c>
      <c r="AF16" s="18">
        <v>0.0</v>
      </c>
      <c r="AG16" s="18">
        <v>0.0</v>
      </c>
      <c r="AH16" s="18">
        <v>0.0</v>
      </c>
      <c r="AI16" s="18">
        <v>0.0</v>
      </c>
      <c r="AJ16" s="13">
        <f t="shared" si="2"/>
        <v>0</v>
      </c>
      <c r="AK16" s="14">
        <f>330*AJ16</f>
        <v>0</v>
      </c>
      <c r="AL16" s="19"/>
      <c r="AM16" s="25" t="s">
        <v>45</v>
      </c>
      <c r="AN16" s="1"/>
      <c r="AO16" s="1"/>
      <c r="AP16" s="1"/>
      <c r="AQ16" s="1"/>
      <c r="AR16" s="1"/>
      <c r="AS16" s="1"/>
      <c r="AT16" s="1"/>
      <c r="AU16" s="1"/>
    </row>
    <row r="17" ht="15.75" customHeight="1">
      <c r="A17" s="16"/>
      <c r="B17" s="16"/>
      <c r="C17" s="16"/>
      <c r="D17" s="13" t="s">
        <v>6</v>
      </c>
      <c r="E17" s="18">
        <v>0.0</v>
      </c>
      <c r="F17" s="18">
        <v>0.0</v>
      </c>
      <c r="G17" s="18">
        <v>0.0</v>
      </c>
      <c r="H17" s="18">
        <v>0.0</v>
      </c>
      <c r="I17" s="18">
        <v>0.0</v>
      </c>
      <c r="J17" s="18">
        <v>0.0</v>
      </c>
      <c r="K17" s="18">
        <v>0.0</v>
      </c>
      <c r="L17" s="18">
        <v>0.0</v>
      </c>
      <c r="M17" s="18">
        <v>0.0</v>
      </c>
      <c r="N17" s="18">
        <v>0.0</v>
      </c>
      <c r="O17" s="18">
        <v>0.0</v>
      </c>
      <c r="P17" s="18">
        <v>0.0</v>
      </c>
      <c r="Q17" s="18">
        <v>0.0</v>
      </c>
      <c r="R17" s="18">
        <v>0.0</v>
      </c>
      <c r="S17" s="18">
        <v>0.0</v>
      </c>
      <c r="T17" s="18">
        <v>0.0</v>
      </c>
      <c r="U17" s="18">
        <v>0.0</v>
      </c>
      <c r="V17" s="18">
        <v>0.0</v>
      </c>
      <c r="W17" s="18">
        <v>0.0</v>
      </c>
      <c r="X17" s="18">
        <v>0.0</v>
      </c>
      <c r="Y17" s="18">
        <v>0.0</v>
      </c>
      <c r="Z17" s="18">
        <v>0.0</v>
      </c>
      <c r="AA17" s="18">
        <v>0.0</v>
      </c>
      <c r="AB17" s="18">
        <v>0.0</v>
      </c>
      <c r="AC17" s="18">
        <v>0.0</v>
      </c>
      <c r="AD17" s="18">
        <v>0.0</v>
      </c>
      <c r="AE17" s="18">
        <v>0.0</v>
      </c>
      <c r="AF17" s="18">
        <v>0.0</v>
      </c>
      <c r="AG17" s="18">
        <v>0.0</v>
      </c>
      <c r="AH17" s="18">
        <v>0.0</v>
      </c>
      <c r="AI17" s="18">
        <v>0.0</v>
      </c>
      <c r="AJ17" s="13">
        <f t="shared" si="2"/>
        <v>0</v>
      </c>
      <c r="AK17" s="14">
        <f t="shared" ref="AK17:AK18" si="7">550*AJ17</f>
        <v>0</v>
      </c>
      <c r="AL17" s="19"/>
      <c r="AN17" s="1"/>
      <c r="AO17" s="1"/>
      <c r="AP17" s="1"/>
      <c r="AQ17" s="1"/>
      <c r="AR17" s="1"/>
      <c r="AS17" s="1"/>
      <c r="AT17" s="1"/>
      <c r="AU17" s="1"/>
    </row>
    <row r="18" ht="15.75" customHeight="1">
      <c r="A18" s="10"/>
      <c r="B18" s="10"/>
      <c r="C18" s="10"/>
      <c r="D18" s="13" t="s">
        <v>7</v>
      </c>
      <c r="E18" s="18">
        <v>0.0</v>
      </c>
      <c r="F18" s="18">
        <v>0.0</v>
      </c>
      <c r="G18" s="18">
        <v>0.0</v>
      </c>
      <c r="H18" s="18">
        <v>0.0</v>
      </c>
      <c r="I18" s="18">
        <v>0.0</v>
      </c>
      <c r="J18" s="18">
        <v>0.0</v>
      </c>
      <c r="K18" s="18">
        <v>0.0</v>
      </c>
      <c r="L18" s="18">
        <v>0.0</v>
      </c>
      <c r="M18" s="18">
        <v>0.0</v>
      </c>
      <c r="N18" s="18">
        <v>0.0</v>
      </c>
      <c r="O18" s="18">
        <v>0.0</v>
      </c>
      <c r="P18" s="18">
        <v>0.0</v>
      </c>
      <c r="Q18" s="18">
        <v>0.0</v>
      </c>
      <c r="R18" s="18">
        <v>0.0</v>
      </c>
      <c r="S18" s="18">
        <v>0.0</v>
      </c>
      <c r="T18" s="18">
        <v>0.0</v>
      </c>
      <c r="U18" s="18">
        <v>0.0</v>
      </c>
      <c r="V18" s="18">
        <v>0.0</v>
      </c>
      <c r="W18" s="18">
        <v>0.0</v>
      </c>
      <c r="X18" s="18">
        <v>0.0</v>
      </c>
      <c r="Y18" s="18">
        <v>0.0</v>
      </c>
      <c r="Z18" s="18">
        <v>0.0</v>
      </c>
      <c r="AA18" s="18">
        <v>0.0</v>
      </c>
      <c r="AB18" s="18">
        <v>0.0</v>
      </c>
      <c r="AC18" s="18">
        <v>0.0</v>
      </c>
      <c r="AD18" s="18">
        <v>0.0</v>
      </c>
      <c r="AE18" s="18">
        <v>0.0</v>
      </c>
      <c r="AF18" s="18">
        <v>0.0</v>
      </c>
      <c r="AG18" s="18">
        <v>0.0</v>
      </c>
      <c r="AH18" s="18">
        <v>0.0</v>
      </c>
      <c r="AI18" s="18">
        <v>0.0</v>
      </c>
      <c r="AJ18" s="13">
        <f t="shared" si="2"/>
        <v>0</v>
      </c>
      <c r="AK18" s="14">
        <f t="shared" si="7"/>
        <v>0</v>
      </c>
      <c r="AL18" s="20">
        <f>SUM(AK16:AK18)</f>
        <v>0</v>
      </c>
      <c r="AN18" s="1"/>
      <c r="AO18" s="1"/>
      <c r="AP18" s="1"/>
      <c r="AQ18" s="1"/>
      <c r="AR18" s="1"/>
      <c r="AS18" s="1"/>
      <c r="AT18" s="1"/>
      <c r="AU18" s="1"/>
    </row>
    <row r="19" ht="15.75" customHeight="1">
      <c r="A19" s="29" t="s">
        <v>18</v>
      </c>
      <c r="B19" s="29" t="s">
        <v>19</v>
      </c>
      <c r="C19" s="29" t="s">
        <v>46</v>
      </c>
      <c r="D19" s="28" t="s">
        <v>5</v>
      </c>
      <c r="E19" s="22">
        <v>0.0</v>
      </c>
      <c r="F19" s="22">
        <v>0.0</v>
      </c>
      <c r="G19" s="22">
        <v>0.0</v>
      </c>
      <c r="H19" s="22">
        <v>0.0</v>
      </c>
      <c r="I19" s="22">
        <v>0.0</v>
      </c>
      <c r="J19" s="22">
        <v>0.0</v>
      </c>
      <c r="K19" s="22">
        <v>0.0</v>
      </c>
      <c r="L19" s="22">
        <v>0.0</v>
      </c>
      <c r="M19" s="22">
        <v>0.0</v>
      </c>
      <c r="N19" s="22">
        <v>0.0</v>
      </c>
      <c r="O19" s="22">
        <v>0.0</v>
      </c>
      <c r="P19" s="22">
        <v>0.0</v>
      </c>
      <c r="Q19" s="22">
        <v>0.0</v>
      </c>
      <c r="R19" s="22">
        <v>0.0</v>
      </c>
      <c r="S19" s="22">
        <v>0.0</v>
      </c>
      <c r="T19" s="22">
        <v>0.0</v>
      </c>
      <c r="U19" s="22">
        <v>0.0</v>
      </c>
      <c r="V19" s="22">
        <v>0.0</v>
      </c>
      <c r="W19" s="22">
        <v>0.0</v>
      </c>
      <c r="X19" s="22">
        <v>0.0</v>
      </c>
      <c r="Y19" s="22">
        <v>0.0</v>
      </c>
      <c r="Z19" s="22">
        <v>0.0</v>
      </c>
      <c r="AA19" s="22">
        <v>0.0</v>
      </c>
      <c r="AB19" s="22">
        <v>0.0</v>
      </c>
      <c r="AC19" s="22">
        <v>0.0</v>
      </c>
      <c r="AD19" s="22">
        <v>0.0</v>
      </c>
      <c r="AE19" s="22">
        <v>0.0</v>
      </c>
      <c r="AF19" s="22">
        <v>0.0</v>
      </c>
      <c r="AG19" s="22">
        <v>0.0</v>
      </c>
      <c r="AH19" s="22">
        <v>0.0</v>
      </c>
      <c r="AI19" s="22">
        <v>0.0</v>
      </c>
      <c r="AJ19" s="28">
        <f t="shared" si="2"/>
        <v>0</v>
      </c>
      <c r="AK19" s="23">
        <f>330*AJ19</f>
        <v>0</v>
      </c>
      <c r="AL19" s="24"/>
      <c r="AM19" s="25" t="s">
        <v>47</v>
      </c>
      <c r="AN19" s="1"/>
      <c r="AO19" s="1"/>
      <c r="AP19" s="1"/>
      <c r="AQ19" s="1"/>
      <c r="AR19" s="1"/>
      <c r="AS19" s="1"/>
      <c r="AT19" s="1"/>
      <c r="AU19" s="1"/>
    </row>
    <row r="20" ht="15.75" customHeight="1">
      <c r="A20" s="16"/>
      <c r="B20" s="16"/>
      <c r="C20" s="16"/>
      <c r="D20" s="28" t="s">
        <v>6</v>
      </c>
      <c r="E20" s="22">
        <v>0.0</v>
      </c>
      <c r="F20" s="22">
        <v>0.0</v>
      </c>
      <c r="G20" s="22">
        <v>0.0</v>
      </c>
      <c r="H20" s="22">
        <v>0.0</v>
      </c>
      <c r="I20" s="22">
        <v>0.0</v>
      </c>
      <c r="J20" s="22">
        <v>0.0</v>
      </c>
      <c r="K20" s="22">
        <v>0.0</v>
      </c>
      <c r="L20" s="22">
        <v>0.0</v>
      </c>
      <c r="M20" s="22">
        <v>0.0</v>
      </c>
      <c r="N20" s="22">
        <v>0.0</v>
      </c>
      <c r="O20" s="22">
        <v>0.0</v>
      </c>
      <c r="P20" s="22">
        <v>0.0</v>
      </c>
      <c r="Q20" s="22">
        <v>0.0</v>
      </c>
      <c r="R20" s="22">
        <v>0.0</v>
      </c>
      <c r="S20" s="22">
        <v>0.0</v>
      </c>
      <c r="T20" s="22">
        <v>0.0</v>
      </c>
      <c r="U20" s="22">
        <v>0.0</v>
      </c>
      <c r="V20" s="22">
        <v>0.0</v>
      </c>
      <c r="W20" s="22">
        <v>0.0</v>
      </c>
      <c r="X20" s="22">
        <v>0.0</v>
      </c>
      <c r="Y20" s="22">
        <v>0.0</v>
      </c>
      <c r="Z20" s="22">
        <v>0.0</v>
      </c>
      <c r="AA20" s="22">
        <v>0.0</v>
      </c>
      <c r="AB20" s="22">
        <v>0.0</v>
      </c>
      <c r="AC20" s="22">
        <v>0.0</v>
      </c>
      <c r="AD20" s="22">
        <v>0.0</v>
      </c>
      <c r="AE20" s="22">
        <v>0.0</v>
      </c>
      <c r="AF20" s="22">
        <v>0.0</v>
      </c>
      <c r="AG20" s="22">
        <v>0.0</v>
      </c>
      <c r="AH20" s="22">
        <v>0.0</v>
      </c>
      <c r="AI20" s="22">
        <v>0.0</v>
      </c>
      <c r="AJ20" s="28">
        <f t="shared" si="2"/>
        <v>0</v>
      </c>
      <c r="AK20" s="23">
        <f t="shared" ref="AK20:AK21" si="8">550*AJ20</f>
        <v>0</v>
      </c>
      <c r="AL20" s="24"/>
      <c r="AN20" s="1"/>
      <c r="AO20" s="1"/>
      <c r="AP20" s="1"/>
      <c r="AQ20" s="1"/>
      <c r="AR20" s="1"/>
      <c r="AS20" s="1"/>
      <c r="AT20" s="1"/>
      <c r="AU20" s="1"/>
    </row>
    <row r="21" ht="15.75" customHeight="1">
      <c r="A21" s="10"/>
      <c r="B21" s="10"/>
      <c r="C21" s="10"/>
      <c r="D21" s="28" t="s">
        <v>7</v>
      </c>
      <c r="E21" s="22">
        <v>1.0</v>
      </c>
      <c r="F21" s="22">
        <v>1.0</v>
      </c>
      <c r="G21" s="22">
        <v>1.0</v>
      </c>
      <c r="H21" s="22">
        <v>1.0</v>
      </c>
      <c r="I21" s="22">
        <v>1.0</v>
      </c>
      <c r="J21" s="22">
        <v>1.0</v>
      </c>
      <c r="K21" s="22">
        <v>1.0</v>
      </c>
      <c r="L21" s="22">
        <v>1.0</v>
      </c>
      <c r="M21" s="22">
        <v>1.0</v>
      </c>
      <c r="N21" s="22">
        <v>1.0</v>
      </c>
      <c r="O21" s="22">
        <v>1.0</v>
      </c>
      <c r="P21" s="22">
        <v>1.0</v>
      </c>
      <c r="Q21" s="22">
        <v>1.0</v>
      </c>
      <c r="R21" s="22">
        <v>1.0</v>
      </c>
      <c r="S21" s="22">
        <v>1.0</v>
      </c>
      <c r="T21" s="22">
        <v>1.0</v>
      </c>
      <c r="U21" s="22">
        <v>1.0</v>
      </c>
      <c r="V21" s="22">
        <v>1.0</v>
      </c>
      <c r="W21" s="22">
        <v>1.0</v>
      </c>
      <c r="X21" s="22">
        <v>1.0</v>
      </c>
      <c r="Y21" s="22">
        <v>1.0</v>
      </c>
      <c r="Z21" s="22">
        <v>1.0</v>
      </c>
      <c r="AA21" s="22">
        <v>1.0</v>
      </c>
      <c r="AB21" s="22">
        <v>1.0</v>
      </c>
      <c r="AC21" s="22">
        <v>1.0</v>
      </c>
      <c r="AD21" s="22">
        <v>1.0</v>
      </c>
      <c r="AE21" s="22">
        <v>1.0</v>
      </c>
      <c r="AF21" s="22">
        <v>1.0</v>
      </c>
      <c r="AG21" s="22">
        <v>1.0</v>
      </c>
      <c r="AH21" s="22">
        <v>1.0</v>
      </c>
      <c r="AI21" s="22">
        <v>1.0</v>
      </c>
      <c r="AJ21" s="28">
        <f t="shared" si="2"/>
        <v>31</v>
      </c>
      <c r="AK21" s="23">
        <f t="shared" si="8"/>
        <v>17050</v>
      </c>
      <c r="AL21" s="26">
        <f>SUM(AK19:AK21)</f>
        <v>17050</v>
      </c>
      <c r="AN21" s="1"/>
      <c r="AO21" s="1"/>
      <c r="AP21" s="1"/>
      <c r="AQ21" s="1"/>
      <c r="AR21" s="1"/>
      <c r="AS21" s="1"/>
      <c r="AT21" s="1"/>
      <c r="AU21" s="1"/>
    </row>
    <row r="22" ht="15.75" customHeight="1">
      <c r="A22" s="12" t="s">
        <v>21</v>
      </c>
      <c r="B22" s="12" t="s">
        <v>22</v>
      </c>
      <c r="C22" s="41"/>
      <c r="D22" s="14" t="s">
        <v>5</v>
      </c>
      <c r="E22" s="13">
        <v>1.0</v>
      </c>
      <c r="F22" s="13">
        <v>1.0</v>
      </c>
      <c r="G22" s="13">
        <v>1.0</v>
      </c>
      <c r="H22" s="13">
        <v>1.0</v>
      </c>
      <c r="I22" s="13">
        <v>1.0</v>
      </c>
      <c r="J22" s="13">
        <v>1.0</v>
      </c>
      <c r="K22" s="13">
        <v>1.0</v>
      </c>
      <c r="L22" s="13">
        <v>1.0</v>
      </c>
      <c r="M22" s="13">
        <v>1.0</v>
      </c>
      <c r="N22" s="13">
        <v>1.0</v>
      </c>
      <c r="O22" s="13">
        <v>1.0</v>
      </c>
      <c r="P22" s="13">
        <v>1.0</v>
      </c>
      <c r="Q22" s="13">
        <v>1.0</v>
      </c>
      <c r="R22" s="13">
        <v>1.0</v>
      </c>
      <c r="S22" s="13">
        <v>1.0</v>
      </c>
      <c r="T22" s="13">
        <v>1.0</v>
      </c>
      <c r="U22" s="13">
        <v>1.0</v>
      </c>
      <c r="V22" s="13">
        <v>1.0</v>
      </c>
      <c r="W22" s="13">
        <v>1.0</v>
      </c>
      <c r="X22" s="13">
        <v>1.0</v>
      </c>
      <c r="Y22" s="13">
        <v>1.0</v>
      </c>
      <c r="Z22" s="13">
        <v>1.0</v>
      </c>
      <c r="AA22" s="13">
        <v>1.0</v>
      </c>
      <c r="AB22" s="13">
        <v>1.0</v>
      </c>
      <c r="AC22" s="13">
        <v>1.0</v>
      </c>
      <c r="AD22" s="13">
        <v>1.0</v>
      </c>
      <c r="AE22" s="13">
        <v>1.0</v>
      </c>
      <c r="AF22" s="13">
        <v>1.0</v>
      </c>
      <c r="AG22" s="13">
        <v>1.0</v>
      </c>
      <c r="AH22" s="13">
        <v>1.0</v>
      </c>
      <c r="AI22" s="13">
        <v>1.0</v>
      </c>
      <c r="AJ22" s="14">
        <f t="shared" si="2"/>
        <v>31</v>
      </c>
      <c r="AK22" s="14">
        <f>330*AJ22</f>
        <v>10230</v>
      </c>
      <c r="AL22" s="19"/>
      <c r="AM22" s="4"/>
      <c r="AN22" s="1"/>
      <c r="AO22" s="1"/>
      <c r="AP22" s="1"/>
      <c r="AQ22" s="1"/>
      <c r="AR22" s="1"/>
      <c r="AS22" s="1"/>
      <c r="AT22" s="1"/>
      <c r="AU22" s="1"/>
    </row>
    <row r="23" ht="15.75" customHeight="1">
      <c r="A23" s="16"/>
      <c r="B23" s="16"/>
      <c r="C23" s="16"/>
      <c r="D23" s="14" t="s">
        <v>6</v>
      </c>
      <c r="E23" s="13">
        <v>1.0</v>
      </c>
      <c r="F23" s="13">
        <v>1.0</v>
      </c>
      <c r="G23" s="13">
        <v>1.0</v>
      </c>
      <c r="H23" s="13">
        <v>1.0</v>
      </c>
      <c r="I23" s="13">
        <v>1.0</v>
      </c>
      <c r="J23" s="13">
        <v>1.0</v>
      </c>
      <c r="K23" s="13">
        <v>0.0</v>
      </c>
      <c r="L23" s="13">
        <v>1.0</v>
      </c>
      <c r="M23" s="13">
        <v>1.0</v>
      </c>
      <c r="N23" s="13">
        <v>1.0</v>
      </c>
      <c r="O23" s="13">
        <v>1.0</v>
      </c>
      <c r="P23" s="13">
        <v>1.0</v>
      </c>
      <c r="Q23" s="13">
        <v>1.0</v>
      </c>
      <c r="R23" s="13">
        <v>0.0</v>
      </c>
      <c r="S23" s="13">
        <v>1.0</v>
      </c>
      <c r="T23" s="13">
        <v>1.0</v>
      </c>
      <c r="U23" s="13">
        <v>1.0</v>
      </c>
      <c r="V23" s="13">
        <v>1.0</v>
      </c>
      <c r="W23" s="13">
        <v>1.0</v>
      </c>
      <c r="X23" s="13">
        <v>1.0</v>
      </c>
      <c r="Y23" s="13">
        <v>0.0</v>
      </c>
      <c r="Z23" s="13">
        <v>1.0</v>
      </c>
      <c r="AA23" s="13">
        <v>1.0</v>
      </c>
      <c r="AB23" s="13">
        <v>1.0</v>
      </c>
      <c r="AC23" s="13">
        <v>1.0</v>
      </c>
      <c r="AD23" s="13">
        <v>1.0</v>
      </c>
      <c r="AE23" s="13">
        <v>1.0</v>
      </c>
      <c r="AF23" s="13">
        <v>0.0</v>
      </c>
      <c r="AG23" s="13">
        <v>1.0</v>
      </c>
      <c r="AH23" s="13">
        <v>1.0</v>
      </c>
      <c r="AI23" s="13">
        <v>1.0</v>
      </c>
      <c r="AJ23" s="14">
        <f t="shared" si="2"/>
        <v>27</v>
      </c>
      <c r="AK23" s="14">
        <f t="shared" ref="AK23:AK24" si="9">550*AJ23</f>
        <v>14850</v>
      </c>
      <c r="AL23" s="19"/>
      <c r="AM23" s="4"/>
      <c r="AN23" s="1"/>
      <c r="AO23" s="1"/>
      <c r="AP23" s="1"/>
      <c r="AQ23" s="1"/>
      <c r="AR23" s="1"/>
      <c r="AS23" s="1"/>
      <c r="AT23" s="1"/>
      <c r="AU23" s="1"/>
    </row>
    <row r="24" ht="15.75" customHeight="1">
      <c r="A24" s="10"/>
      <c r="B24" s="10"/>
      <c r="C24" s="10"/>
      <c r="D24" s="14" t="s">
        <v>7</v>
      </c>
      <c r="E24" s="13">
        <v>1.0</v>
      </c>
      <c r="F24" s="13">
        <v>1.0</v>
      </c>
      <c r="G24" s="13">
        <v>1.0</v>
      </c>
      <c r="H24" s="13">
        <v>1.0</v>
      </c>
      <c r="I24" s="13">
        <v>1.0</v>
      </c>
      <c r="J24" s="13">
        <v>1.0</v>
      </c>
      <c r="K24" s="13">
        <v>1.0</v>
      </c>
      <c r="L24" s="13">
        <v>1.0</v>
      </c>
      <c r="M24" s="13">
        <v>1.0</v>
      </c>
      <c r="N24" s="13">
        <v>1.0</v>
      </c>
      <c r="O24" s="13">
        <v>1.0</v>
      </c>
      <c r="P24" s="13">
        <v>1.0</v>
      </c>
      <c r="Q24" s="13">
        <v>1.0</v>
      </c>
      <c r="R24" s="13">
        <v>1.0</v>
      </c>
      <c r="S24" s="13">
        <v>1.0</v>
      </c>
      <c r="T24" s="13">
        <v>1.0</v>
      </c>
      <c r="U24" s="13">
        <v>1.0</v>
      </c>
      <c r="V24" s="13">
        <v>1.0</v>
      </c>
      <c r="W24" s="13">
        <v>1.0</v>
      </c>
      <c r="X24" s="13">
        <v>1.0</v>
      </c>
      <c r="Y24" s="13">
        <v>1.0</v>
      </c>
      <c r="Z24" s="13">
        <v>1.0</v>
      </c>
      <c r="AA24" s="13">
        <v>1.0</v>
      </c>
      <c r="AB24" s="13">
        <v>1.0</v>
      </c>
      <c r="AC24" s="13">
        <v>1.0</v>
      </c>
      <c r="AD24" s="13">
        <v>1.0</v>
      </c>
      <c r="AE24" s="13">
        <v>1.0</v>
      </c>
      <c r="AF24" s="13">
        <v>1.0</v>
      </c>
      <c r="AG24" s="13">
        <v>1.0</v>
      </c>
      <c r="AH24" s="13">
        <v>1.0</v>
      </c>
      <c r="AI24" s="13">
        <v>1.0</v>
      </c>
      <c r="AJ24" s="14">
        <f t="shared" si="2"/>
        <v>31</v>
      </c>
      <c r="AK24" s="14">
        <f t="shared" si="9"/>
        <v>17050</v>
      </c>
      <c r="AL24" s="20">
        <f>SUM(AK22:AK24)</f>
        <v>42130</v>
      </c>
      <c r="AM24" s="4" t="s">
        <v>48</v>
      </c>
      <c r="AN24" s="1"/>
      <c r="AO24" s="1"/>
      <c r="AP24" s="1"/>
      <c r="AQ24" s="1"/>
      <c r="AR24" s="1"/>
      <c r="AS24" s="1"/>
      <c r="AT24" s="1"/>
      <c r="AU24" s="1"/>
    </row>
    <row r="25" ht="15.75" customHeight="1">
      <c r="A25" s="12"/>
      <c r="B25" s="12"/>
      <c r="C25" s="12"/>
      <c r="D25" s="13" t="s">
        <v>5</v>
      </c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>
        <f t="shared" si="2"/>
        <v>0</v>
      </c>
      <c r="AK25" s="23">
        <f>330*AJ25</f>
        <v>0</v>
      </c>
      <c r="AL25" s="24"/>
      <c r="AM25" s="4"/>
      <c r="AN25" s="1"/>
      <c r="AO25" s="1"/>
      <c r="AP25" s="1"/>
      <c r="AQ25" s="1"/>
      <c r="AR25" s="1"/>
      <c r="AS25" s="1"/>
      <c r="AT25" s="1"/>
      <c r="AU25" s="1"/>
    </row>
    <row r="26" ht="15.75" customHeight="1">
      <c r="A26" s="16"/>
      <c r="B26" s="16"/>
      <c r="C26" s="16"/>
      <c r="D26" s="13" t="s">
        <v>6</v>
      </c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>
        <f t="shared" si="2"/>
        <v>0</v>
      </c>
      <c r="AK26" s="23">
        <f t="shared" ref="AK26:AK27" si="10">550*AJ26</f>
        <v>0</v>
      </c>
      <c r="AL26" s="24"/>
      <c r="AM26" s="4"/>
      <c r="AN26" s="1"/>
      <c r="AO26" s="1"/>
      <c r="AP26" s="1"/>
      <c r="AQ26" s="1"/>
      <c r="AR26" s="1"/>
      <c r="AS26" s="1"/>
      <c r="AT26" s="1"/>
      <c r="AU26" s="1"/>
    </row>
    <row r="27" ht="15.75" customHeight="1">
      <c r="A27" s="10"/>
      <c r="B27" s="10"/>
      <c r="C27" s="10"/>
      <c r="D27" s="13" t="s">
        <v>7</v>
      </c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>
        <f t="shared" si="2"/>
        <v>0</v>
      </c>
      <c r="AK27" s="23">
        <f t="shared" si="10"/>
        <v>0</v>
      </c>
      <c r="AL27" s="26">
        <f>SUM(AK25:AK27)</f>
        <v>0</v>
      </c>
      <c r="AM27" s="4"/>
      <c r="AN27" s="1"/>
      <c r="AO27" s="1"/>
      <c r="AP27" s="1"/>
      <c r="AQ27" s="1"/>
      <c r="AR27" s="1"/>
      <c r="AS27" s="1"/>
      <c r="AT27" s="1"/>
      <c r="AU27" s="1"/>
    </row>
    <row r="28" ht="15.75" customHeight="1">
      <c r="A28" s="12"/>
      <c r="B28" s="12"/>
      <c r="C28" s="12"/>
      <c r="D28" s="13" t="s">
        <v>5</v>
      </c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>
        <f t="shared" si="2"/>
        <v>0</v>
      </c>
      <c r="AK28" s="14">
        <f>330*AJ28</f>
        <v>0</v>
      </c>
      <c r="AL28" s="19"/>
      <c r="AM28" s="4"/>
      <c r="AN28" s="1"/>
      <c r="AO28" s="1"/>
      <c r="AP28" s="1"/>
      <c r="AQ28" s="1"/>
      <c r="AR28" s="1"/>
      <c r="AS28" s="1"/>
      <c r="AT28" s="1"/>
      <c r="AU28" s="1"/>
    </row>
    <row r="29" ht="15.75" customHeight="1">
      <c r="A29" s="16"/>
      <c r="B29" s="16"/>
      <c r="C29" s="16"/>
      <c r="D29" s="13" t="s">
        <v>6</v>
      </c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>
        <f t="shared" si="2"/>
        <v>0</v>
      </c>
      <c r="AK29" s="14">
        <f t="shared" ref="AK29:AK30" si="11">550*AJ29</f>
        <v>0</v>
      </c>
      <c r="AL29" s="19"/>
      <c r="AM29" s="4"/>
      <c r="AN29" s="1"/>
      <c r="AO29" s="1"/>
      <c r="AP29" s="1"/>
      <c r="AQ29" s="1"/>
      <c r="AR29" s="1"/>
      <c r="AS29" s="1"/>
      <c r="AT29" s="1"/>
      <c r="AU29" s="1"/>
    </row>
    <row r="30" ht="15.75" customHeight="1">
      <c r="A30" s="10"/>
      <c r="B30" s="10"/>
      <c r="C30" s="10"/>
      <c r="D30" s="13" t="s">
        <v>7</v>
      </c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>
        <f t="shared" si="2"/>
        <v>0</v>
      </c>
      <c r="AK30" s="14">
        <f t="shared" si="11"/>
        <v>0</v>
      </c>
      <c r="AL30" s="20">
        <f>SUM(AK28:AK30)</f>
        <v>0</v>
      </c>
      <c r="AM30" s="4"/>
      <c r="AN30" s="1"/>
      <c r="AO30" s="1"/>
      <c r="AP30" s="1"/>
      <c r="AQ30" s="1"/>
      <c r="AR30" s="1"/>
      <c r="AS30" s="1"/>
      <c r="AT30" s="1"/>
      <c r="AU30" s="1"/>
    </row>
    <row r="31" ht="15.75" customHeight="1">
      <c r="A31" s="12"/>
      <c r="B31" s="12"/>
      <c r="C31" s="12"/>
      <c r="D31" s="13" t="s">
        <v>5</v>
      </c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>
        <f t="shared" si="2"/>
        <v>0</v>
      </c>
      <c r="AK31" s="23">
        <f>330*AJ31</f>
        <v>0</v>
      </c>
      <c r="AL31" s="24"/>
      <c r="AM31" s="4"/>
      <c r="AN31" s="1"/>
      <c r="AO31" s="1"/>
      <c r="AP31" s="1"/>
      <c r="AQ31" s="1"/>
      <c r="AR31" s="1"/>
      <c r="AS31" s="1"/>
      <c r="AT31" s="1"/>
      <c r="AU31" s="1"/>
    </row>
    <row r="32" ht="15.75" customHeight="1">
      <c r="A32" s="16"/>
      <c r="B32" s="16"/>
      <c r="C32" s="16"/>
      <c r="D32" s="13" t="s">
        <v>6</v>
      </c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>
        <f t="shared" si="2"/>
        <v>0</v>
      </c>
      <c r="AK32" s="23">
        <f t="shared" ref="AK32:AK33" si="12">550*AJ32</f>
        <v>0</v>
      </c>
      <c r="AL32" s="24"/>
      <c r="AM32" s="4"/>
      <c r="AN32" s="1"/>
      <c r="AO32" s="1"/>
      <c r="AP32" s="1"/>
      <c r="AQ32" s="1"/>
      <c r="AR32" s="1"/>
      <c r="AS32" s="1"/>
      <c r="AT32" s="1"/>
      <c r="AU32" s="1"/>
    </row>
    <row r="33" ht="15.75" customHeight="1">
      <c r="A33" s="10"/>
      <c r="B33" s="10"/>
      <c r="C33" s="10"/>
      <c r="D33" s="13" t="s">
        <v>7</v>
      </c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>
        <f t="shared" si="2"/>
        <v>0</v>
      </c>
      <c r="AK33" s="23">
        <f t="shared" si="12"/>
        <v>0</v>
      </c>
      <c r="AL33" s="26">
        <f>SUM(AK31:AK33)</f>
        <v>0</v>
      </c>
      <c r="AM33" s="4"/>
      <c r="AN33" s="1"/>
      <c r="AO33" s="1"/>
      <c r="AP33" s="1"/>
      <c r="AQ33" s="1"/>
      <c r="AR33" s="1"/>
      <c r="AS33" s="1"/>
      <c r="AT33" s="1"/>
      <c r="AU33" s="1"/>
    </row>
    <row r="34" ht="15.75" customHeight="1">
      <c r="A34" s="12"/>
      <c r="B34" s="12"/>
      <c r="C34" s="12"/>
      <c r="D34" s="13" t="s">
        <v>5</v>
      </c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>
        <f t="shared" si="2"/>
        <v>0</v>
      </c>
      <c r="AK34" s="1"/>
      <c r="AL34" s="1"/>
      <c r="AM34" s="4"/>
      <c r="AN34" s="1"/>
      <c r="AO34" s="1"/>
      <c r="AP34" s="1"/>
      <c r="AQ34" s="1"/>
      <c r="AR34" s="1"/>
      <c r="AS34" s="1"/>
      <c r="AT34" s="1"/>
      <c r="AU34" s="1"/>
    </row>
    <row r="35" ht="15.75" customHeight="1">
      <c r="A35" s="16"/>
      <c r="B35" s="16"/>
      <c r="C35" s="16"/>
      <c r="D35" s="13" t="s">
        <v>6</v>
      </c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>
        <f t="shared" si="2"/>
        <v>0</v>
      </c>
      <c r="AK35" s="1"/>
      <c r="AL35" s="1"/>
      <c r="AM35" s="4"/>
      <c r="AN35" s="1"/>
      <c r="AO35" s="1"/>
      <c r="AP35" s="1"/>
      <c r="AQ35" s="1"/>
      <c r="AR35" s="1"/>
      <c r="AS35" s="1"/>
      <c r="AT35" s="1"/>
      <c r="AU35" s="1"/>
    </row>
    <row r="36" ht="15.75" customHeight="1">
      <c r="A36" s="10"/>
      <c r="B36" s="10"/>
      <c r="C36" s="10"/>
      <c r="D36" s="13" t="s">
        <v>7</v>
      </c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>
        <f t="shared" si="2"/>
        <v>0</v>
      </c>
      <c r="AK36" s="1"/>
      <c r="AL36" s="1"/>
      <c r="AM36" s="4"/>
      <c r="AN36" s="1"/>
      <c r="AO36" s="1"/>
      <c r="AP36" s="1"/>
      <c r="AQ36" s="1"/>
      <c r="AR36" s="1"/>
      <c r="AS36" s="1"/>
      <c r="AT36" s="1"/>
      <c r="AU36" s="1"/>
    </row>
    <row r="37" ht="15.75" customHeight="1">
      <c r="A37" s="12"/>
      <c r="B37" s="12"/>
      <c r="C37" s="12"/>
      <c r="D37" s="13" t="s">
        <v>5</v>
      </c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>
        <f t="shared" si="2"/>
        <v>0</v>
      </c>
      <c r="AK37" s="1"/>
      <c r="AL37" s="1"/>
      <c r="AM37" s="4"/>
      <c r="AN37" s="1"/>
      <c r="AO37" s="1"/>
      <c r="AP37" s="1"/>
      <c r="AQ37" s="1"/>
      <c r="AR37" s="1"/>
      <c r="AS37" s="1"/>
      <c r="AT37" s="1"/>
      <c r="AU37" s="1"/>
    </row>
    <row r="38" ht="15.75" customHeight="1">
      <c r="A38" s="16"/>
      <c r="B38" s="16"/>
      <c r="C38" s="16"/>
      <c r="D38" s="13" t="s">
        <v>6</v>
      </c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>
        <f t="shared" si="2"/>
        <v>0</v>
      </c>
      <c r="AK38" s="1"/>
      <c r="AL38" s="1"/>
      <c r="AM38" s="4"/>
      <c r="AN38" s="1"/>
      <c r="AO38" s="1"/>
      <c r="AP38" s="1"/>
      <c r="AQ38" s="1"/>
      <c r="AR38" s="1"/>
      <c r="AS38" s="1"/>
      <c r="AT38" s="1"/>
      <c r="AU38" s="1"/>
    </row>
    <row r="39" ht="15.75" customHeight="1">
      <c r="A39" s="10"/>
      <c r="B39" s="10"/>
      <c r="C39" s="10"/>
      <c r="D39" s="13" t="s">
        <v>7</v>
      </c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>
        <f t="shared" si="2"/>
        <v>0</v>
      </c>
      <c r="AK39" s="1"/>
      <c r="AL39" s="1"/>
      <c r="AM39" s="4"/>
      <c r="AN39" s="1"/>
      <c r="AO39" s="1"/>
      <c r="AP39" s="1"/>
      <c r="AQ39" s="1"/>
      <c r="AR39" s="1"/>
      <c r="AS39" s="1"/>
      <c r="AT39" s="1"/>
      <c r="AU39" s="1"/>
    </row>
    <row r="40" ht="15.75" customHeight="1">
      <c r="A40" s="12"/>
      <c r="B40" s="12"/>
      <c r="C40" s="12"/>
      <c r="D40" s="13" t="s">
        <v>5</v>
      </c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>
        <f t="shared" si="2"/>
        <v>0</v>
      </c>
      <c r="AK40" s="1"/>
      <c r="AL40" s="1"/>
      <c r="AM40" s="4"/>
      <c r="AN40" s="1"/>
      <c r="AO40" s="1"/>
      <c r="AP40" s="1"/>
      <c r="AQ40" s="1"/>
      <c r="AR40" s="1"/>
      <c r="AS40" s="1"/>
      <c r="AT40" s="1"/>
      <c r="AU40" s="1"/>
    </row>
    <row r="41" ht="15.75" customHeight="1">
      <c r="A41" s="16"/>
      <c r="B41" s="16"/>
      <c r="C41" s="16"/>
      <c r="D41" s="13" t="s">
        <v>6</v>
      </c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>
        <f t="shared" si="2"/>
        <v>0</v>
      </c>
      <c r="AK41" s="1"/>
      <c r="AL41" s="1"/>
      <c r="AM41" s="4"/>
      <c r="AN41" s="1"/>
      <c r="AO41" s="1"/>
      <c r="AP41" s="1"/>
      <c r="AQ41" s="1"/>
      <c r="AR41" s="1"/>
      <c r="AS41" s="1"/>
      <c r="AT41" s="1"/>
      <c r="AU41" s="1"/>
    </row>
    <row r="42" ht="15.75" customHeight="1">
      <c r="A42" s="10"/>
      <c r="B42" s="10"/>
      <c r="C42" s="10"/>
      <c r="D42" s="13" t="s">
        <v>7</v>
      </c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>
        <f t="shared" si="2"/>
        <v>0</v>
      </c>
      <c r="AK42" s="1"/>
      <c r="AL42" s="1"/>
      <c r="AM42" s="4"/>
      <c r="AN42" s="1"/>
      <c r="AO42" s="1"/>
      <c r="AP42" s="1"/>
      <c r="AQ42" s="1"/>
      <c r="AR42" s="1"/>
      <c r="AS42" s="1"/>
      <c r="AT42" s="1"/>
      <c r="AU42" s="1"/>
    </row>
    <row r="43" ht="15.75" customHeight="1">
      <c r="A43" s="12"/>
      <c r="B43" s="12"/>
      <c r="C43" s="12"/>
      <c r="D43" s="13" t="s">
        <v>5</v>
      </c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>
        <f t="shared" si="2"/>
        <v>0</v>
      </c>
      <c r="AK43" s="1"/>
      <c r="AL43" s="1"/>
      <c r="AM43" s="4"/>
      <c r="AN43" s="1"/>
      <c r="AO43" s="1"/>
      <c r="AP43" s="1"/>
      <c r="AQ43" s="1"/>
      <c r="AR43" s="1"/>
      <c r="AS43" s="1"/>
      <c r="AT43" s="1"/>
      <c r="AU43" s="1"/>
    </row>
    <row r="44" ht="15.75" customHeight="1">
      <c r="A44" s="16"/>
      <c r="B44" s="16"/>
      <c r="C44" s="16"/>
      <c r="D44" s="13" t="s">
        <v>6</v>
      </c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>
        <f t="shared" si="2"/>
        <v>0</v>
      </c>
      <c r="AK44" s="1"/>
      <c r="AL44" s="1"/>
      <c r="AM44" s="4"/>
      <c r="AN44" s="1"/>
      <c r="AO44" s="1"/>
      <c r="AP44" s="1"/>
      <c r="AQ44" s="1"/>
      <c r="AR44" s="1"/>
      <c r="AS44" s="1"/>
      <c r="AT44" s="1"/>
      <c r="AU44" s="1"/>
    </row>
    <row r="45" ht="15.75" customHeight="1">
      <c r="A45" s="10"/>
      <c r="B45" s="10"/>
      <c r="C45" s="10"/>
      <c r="D45" s="13" t="s">
        <v>7</v>
      </c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>
        <f t="shared" si="2"/>
        <v>0</v>
      </c>
      <c r="AK45" s="1"/>
      <c r="AL45" s="1"/>
      <c r="AM45" s="4"/>
      <c r="AN45" s="1"/>
      <c r="AO45" s="1"/>
      <c r="AP45" s="1"/>
      <c r="AQ45" s="1"/>
      <c r="AR45" s="1"/>
      <c r="AS45" s="1"/>
      <c r="AT45" s="1"/>
      <c r="AU45" s="1"/>
    </row>
    <row r="46" ht="15.75" customHeight="1">
      <c r="A46" s="12"/>
      <c r="B46" s="12"/>
      <c r="C46" s="12"/>
      <c r="D46" s="13" t="s">
        <v>5</v>
      </c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>
        <f t="shared" si="2"/>
        <v>0</v>
      </c>
      <c r="AK46" s="1"/>
      <c r="AL46" s="1"/>
      <c r="AM46" s="4"/>
      <c r="AN46" s="1"/>
      <c r="AO46" s="1"/>
      <c r="AP46" s="1"/>
      <c r="AQ46" s="1"/>
      <c r="AR46" s="1"/>
      <c r="AS46" s="1"/>
      <c r="AT46" s="1"/>
      <c r="AU46" s="1"/>
    </row>
    <row r="47" ht="15.75" customHeight="1">
      <c r="A47" s="16"/>
      <c r="B47" s="16"/>
      <c r="C47" s="16"/>
      <c r="D47" s="13" t="s">
        <v>6</v>
      </c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>
        <f t="shared" si="2"/>
        <v>0</v>
      </c>
      <c r="AK47" s="1"/>
      <c r="AL47" s="1"/>
      <c r="AM47" s="4"/>
      <c r="AN47" s="1"/>
      <c r="AO47" s="1"/>
      <c r="AP47" s="1"/>
      <c r="AQ47" s="1"/>
      <c r="AR47" s="1"/>
      <c r="AS47" s="1"/>
      <c r="AT47" s="1"/>
      <c r="AU47" s="1"/>
    </row>
    <row r="48" ht="15.75" customHeight="1">
      <c r="A48" s="10"/>
      <c r="B48" s="10"/>
      <c r="C48" s="10"/>
      <c r="D48" s="13" t="s">
        <v>7</v>
      </c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>
        <f t="shared" si="2"/>
        <v>0</v>
      </c>
      <c r="AK48" s="1"/>
      <c r="AL48" s="1"/>
      <c r="AM48" s="4"/>
      <c r="AN48" s="1"/>
      <c r="AO48" s="1"/>
      <c r="AP48" s="1"/>
      <c r="AQ48" s="1"/>
      <c r="AR48" s="1"/>
      <c r="AS48" s="1"/>
      <c r="AT48" s="1"/>
      <c r="AU48" s="1"/>
    </row>
    <row r="49" ht="15.75" customHeight="1">
      <c r="A49" s="12"/>
      <c r="B49" s="12"/>
      <c r="C49" s="12"/>
      <c r="D49" s="13" t="s">
        <v>5</v>
      </c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>
        <f t="shared" si="2"/>
        <v>0</v>
      </c>
      <c r="AK49" s="1"/>
      <c r="AL49" s="1"/>
      <c r="AM49" s="4"/>
      <c r="AN49" s="1"/>
      <c r="AO49" s="1"/>
      <c r="AP49" s="1"/>
      <c r="AQ49" s="1"/>
      <c r="AR49" s="1"/>
      <c r="AS49" s="1"/>
      <c r="AT49" s="1"/>
      <c r="AU49" s="1"/>
    </row>
    <row r="50" ht="15.75" customHeight="1">
      <c r="A50" s="16"/>
      <c r="B50" s="16"/>
      <c r="C50" s="16"/>
      <c r="D50" s="13" t="s">
        <v>6</v>
      </c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>
        <f t="shared" si="2"/>
        <v>0</v>
      </c>
      <c r="AK50" s="1"/>
      <c r="AL50" s="1"/>
      <c r="AM50" s="4"/>
      <c r="AN50" s="1"/>
      <c r="AO50" s="1"/>
      <c r="AP50" s="1"/>
      <c r="AQ50" s="1"/>
      <c r="AR50" s="1"/>
      <c r="AS50" s="1"/>
      <c r="AT50" s="1"/>
      <c r="AU50" s="1"/>
    </row>
    <row r="51" ht="15.75" customHeight="1">
      <c r="A51" s="10"/>
      <c r="B51" s="10"/>
      <c r="C51" s="10"/>
      <c r="D51" s="13" t="s">
        <v>7</v>
      </c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>
        <f t="shared" si="2"/>
        <v>0</v>
      </c>
      <c r="AK51" s="1"/>
      <c r="AL51" s="1"/>
      <c r="AM51" s="4"/>
      <c r="AN51" s="1"/>
      <c r="AO51" s="1"/>
      <c r="AP51" s="1"/>
      <c r="AQ51" s="1"/>
      <c r="AR51" s="1"/>
      <c r="AS51" s="1"/>
      <c r="AT51" s="1"/>
      <c r="AU51" s="1"/>
    </row>
    <row r="52" ht="15.75" customHeight="1">
      <c r="A52" s="12"/>
      <c r="B52" s="12"/>
      <c r="C52" s="12"/>
      <c r="D52" s="13" t="s">
        <v>5</v>
      </c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>
        <f t="shared" si="2"/>
        <v>0</v>
      </c>
      <c r="AK52" s="1"/>
      <c r="AL52" s="1"/>
      <c r="AM52" s="4"/>
      <c r="AN52" s="1"/>
      <c r="AO52" s="1"/>
      <c r="AP52" s="1"/>
      <c r="AQ52" s="1"/>
      <c r="AR52" s="1"/>
      <c r="AS52" s="1"/>
      <c r="AT52" s="1"/>
      <c r="AU52" s="1"/>
    </row>
    <row r="53" ht="15.75" customHeight="1">
      <c r="A53" s="16"/>
      <c r="B53" s="16"/>
      <c r="C53" s="16"/>
      <c r="D53" s="13" t="s">
        <v>6</v>
      </c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>
        <f t="shared" si="2"/>
        <v>0</v>
      </c>
      <c r="AK53" s="1"/>
      <c r="AL53" s="1"/>
      <c r="AM53" s="4"/>
      <c r="AN53" s="1"/>
      <c r="AO53" s="1"/>
      <c r="AP53" s="1"/>
      <c r="AQ53" s="1"/>
      <c r="AR53" s="1"/>
      <c r="AS53" s="1"/>
      <c r="AT53" s="1"/>
      <c r="AU53" s="1"/>
    </row>
    <row r="54" ht="15.75" customHeight="1">
      <c r="A54" s="10"/>
      <c r="B54" s="10"/>
      <c r="C54" s="10"/>
      <c r="D54" s="13" t="s">
        <v>7</v>
      </c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>
        <f t="shared" si="2"/>
        <v>0</v>
      </c>
      <c r="AK54" s="1"/>
      <c r="AL54" s="1"/>
      <c r="AM54" s="4"/>
      <c r="AN54" s="1"/>
      <c r="AO54" s="1"/>
      <c r="AP54" s="1"/>
      <c r="AQ54" s="1"/>
      <c r="AR54" s="1"/>
      <c r="AS54" s="1"/>
      <c r="AT54" s="1"/>
      <c r="AU54" s="1"/>
    </row>
    <row r="55" ht="15.75" customHeight="1">
      <c r="A55" s="12"/>
      <c r="B55" s="12"/>
      <c r="C55" s="12"/>
      <c r="D55" s="13" t="s">
        <v>5</v>
      </c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>
        <f t="shared" si="2"/>
        <v>0</v>
      </c>
      <c r="AK55" s="1"/>
      <c r="AL55" s="1"/>
      <c r="AM55" s="4"/>
      <c r="AN55" s="1"/>
      <c r="AO55" s="1"/>
      <c r="AP55" s="1"/>
      <c r="AQ55" s="1"/>
      <c r="AR55" s="1"/>
      <c r="AS55" s="1"/>
      <c r="AT55" s="1"/>
      <c r="AU55" s="1"/>
    </row>
    <row r="56" ht="15.75" customHeight="1">
      <c r="A56" s="16"/>
      <c r="B56" s="16"/>
      <c r="C56" s="16"/>
      <c r="D56" s="13" t="s">
        <v>6</v>
      </c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>
        <f t="shared" si="2"/>
        <v>0</v>
      </c>
      <c r="AK56" s="1"/>
      <c r="AL56" s="1"/>
      <c r="AM56" s="4"/>
      <c r="AN56" s="1"/>
      <c r="AO56" s="1"/>
      <c r="AP56" s="1"/>
      <c r="AQ56" s="1"/>
      <c r="AR56" s="1"/>
      <c r="AS56" s="1"/>
      <c r="AT56" s="1"/>
      <c r="AU56" s="1"/>
    </row>
    <row r="57" ht="15.75" customHeight="1">
      <c r="A57" s="10"/>
      <c r="B57" s="10"/>
      <c r="C57" s="10"/>
      <c r="D57" s="13" t="s">
        <v>7</v>
      </c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>
        <f t="shared" si="2"/>
        <v>0</v>
      </c>
      <c r="AK57" s="1"/>
      <c r="AL57" s="1"/>
      <c r="AM57" s="4"/>
      <c r="AN57" s="1"/>
      <c r="AO57" s="1"/>
      <c r="AP57" s="1"/>
      <c r="AQ57" s="1"/>
      <c r="AR57" s="1"/>
      <c r="AS57" s="1"/>
      <c r="AT57" s="1"/>
      <c r="AU57" s="1"/>
    </row>
    <row r="58" ht="15.75" customHeight="1">
      <c r="A58" s="12"/>
      <c r="B58" s="12"/>
      <c r="C58" s="12"/>
      <c r="D58" s="13" t="s">
        <v>5</v>
      </c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>
        <f t="shared" si="2"/>
        <v>0</v>
      </c>
      <c r="AK58" s="1"/>
      <c r="AL58" s="1"/>
      <c r="AM58" s="4"/>
      <c r="AN58" s="1"/>
      <c r="AO58" s="1"/>
      <c r="AP58" s="1"/>
      <c r="AQ58" s="1"/>
      <c r="AR58" s="1"/>
      <c r="AS58" s="1"/>
      <c r="AT58" s="1"/>
      <c r="AU58" s="1"/>
    </row>
    <row r="59" ht="15.75" customHeight="1">
      <c r="A59" s="16"/>
      <c r="B59" s="16"/>
      <c r="C59" s="16"/>
      <c r="D59" s="13" t="s">
        <v>6</v>
      </c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>
        <f t="shared" si="2"/>
        <v>0</v>
      </c>
      <c r="AK59" s="1"/>
      <c r="AL59" s="1"/>
      <c r="AM59" s="4"/>
      <c r="AN59" s="1"/>
      <c r="AO59" s="1"/>
      <c r="AP59" s="1"/>
      <c r="AQ59" s="1"/>
      <c r="AR59" s="1"/>
      <c r="AS59" s="1"/>
      <c r="AT59" s="1"/>
      <c r="AU59" s="1"/>
    </row>
    <row r="60" ht="15.75" customHeight="1">
      <c r="A60" s="10"/>
      <c r="B60" s="10"/>
      <c r="C60" s="10"/>
      <c r="D60" s="13" t="s">
        <v>7</v>
      </c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>
        <f t="shared" si="2"/>
        <v>0</v>
      </c>
      <c r="AK60" s="1"/>
      <c r="AL60" s="1"/>
      <c r="AM60" s="4"/>
      <c r="AN60" s="1"/>
      <c r="AO60" s="1"/>
      <c r="AP60" s="1"/>
      <c r="AQ60" s="1"/>
      <c r="AR60" s="1"/>
      <c r="AS60" s="1"/>
      <c r="AT60" s="1"/>
      <c r="AU60" s="1"/>
    </row>
    <row r="61" ht="15.75" customHeight="1">
      <c r="A61" s="12"/>
      <c r="B61" s="12"/>
      <c r="C61" s="12"/>
      <c r="D61" s="13" t="s">
        <v>5</v>
      </c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>
        <f t="shared" si="2"/>
        <v>0</v>
      </c>
      <c r="AK61" s="1"/>
      <c r="AL61" s="1"/>
      <c r="AM61" s="4"/>
      <c r="AN61" s="1"/>
      <c r="AO61" s="1"/>
      <c r="AP61" s="1"/>
      <c r="AQ61" s="1"/>
      <c r="AR61" s="1"/>
      <c r="AS61" s="1"/>
      <c r="AT61" s="1"/>
      <c r="AU61" s="1"/>
    </row>
    <row r="62" ht="15.75" customHeight="1">
      <c r="A62" s="16"/>
      <c r="B62" s="16"/>
      <c r="C62" s="16"/>
      <c r="D62" s="13" t="s">
        <v>6</v>
      </c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>
        <f t="shared" si="2"/>
        <v>0</v>
      </c>
      <c r="AK62" s="1"/>
      <c r="AL62" s="1"/>
      <c r="AM62" s="4"/>
      <c r="AN62" s="1"/>
      <c r="AO62" s="1"/>
      <c r="AP62" s="1"/>
      <c r="AQ62" s="1"/>
      <c r="AR62" s="1"/>
      <c r="AS62" s="1"/>
      <c r="AT62" s="1"/>
      <c r="AU62" s="1"/>
    </row>
    <row r="63" ht="15.75" customHeight="1">
      <c r="A63" s="10"/>
      <c r="B63" s="10"/>
      <c r="C63" s="10"/>
      <c r="D63" s="13" t="s">
        <v>7</v>
      </c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>
        <f t="shared" si="2"/>
        <v>0</v>
      </c>
      <c r="AK63" s="1"/>
      <c r="AL63" s="1"/>
      <c r="AM63" s="4"/>
      <c r="AN63" s="1"/>
      <c r="AO63" s="1"/>
      <c r="AP63" s="1"/>
      <c r="AQ63" s="1"/>
      <c r="AR63" s="1"/>
      <c r="AS63" s="1"/>
      <c r="AT63" s="1"/>
      <c r="AU63" s="1"/>
    </row>
    <row r="64" ht="15.75" customHeight="1">
      <c r="A64" s="12"/>
      <c r="B64" s="12"/>
      <c r="C64" s="12"/>
      <c r="D64" s="13" t="s">
        <v>5</v>
      </c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>
        <f t="shared" si="2"/>
        <v>0</v>
      </c>
      <c r="AK64" s="1"/>
      <c r="AL64" s="1"/>
      <c r="AM64" s="4"/>
      <c r="AN64" s="1"/>
      <c r="AO64" s="1"/>
      <c r="AP64" s="1"/>
      <c r="AQ64" s="1"/>
      <c r="AR64" s="1"/>
      <c r="AS64" s="1"/>
      <c r="AT64" s="1"/>
      <c r="AU64" s="1"/>
    </row>
    <row r="65" ht="15.75" customHeight="1">
      <c r="A65" s="16"/>
      <c r="B65" s="16"/>
      <c r="C65" s="16"/>
      <c r="D65" s="13" t="s">
        <v>6</v>
      </c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>
        <f t="shared" si="2"/>
        <v>0</v>
      </c>
      <c r="AK65" s="1"/>
      <c r="AL65" s="1"/>
      <c r="AM65" s="4"/>
      <c r="AN65" s="1"/>
      <c r="AO65" s="1"/>
      <c r="AP65" s="1"/>
      <c r="AQ65" s="1"/>
      <c r="AR65" s="1"/>
      <c r="AS65" s="1"/>
      <c r="AT65" s="1"/>
      <c r="AU65" s="1"/>
    </row>
    <row r="66" ht="15.75" customHeight="1">
      <c r="A66" s="10"/>
      <c r="B66" s="10"/>
      <c r="C66" s="10"/>
      <c r="D66" s="13" t="s">
        <v>7</v>
      </c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>
        <f t="shared" si="2"/>
        <v>0</v>
      </c>
      <c r="AK66" s="1"/>
      <c r="AL66" s="1"/>
      <c r="AM66" s="4"/>
      <c r="AN66" s="1"/>
      <c r="AO66" s="1"/>
      <c r="AP66" s="1"/>
      <c r="AQ66" s="1"/>
      <c r="AR66" s="1"/>
      <c r="AS66" s="1"/>
      <c r="AT66" s="1"/>
      <c r="AU66" s="1"/>
    </row>
    <row r="67" ht="15.75" customHeight="1">
      <c r="A67" s="12"/>
      <c r="B67" s="12"/>
      <c r="C67" s="12"/>
      <c r="D67" s="13" t="s">
        <v>5</v>
      </c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>
        <f t="shared" si="2"/>
        <v>0</v>
      </c>
      <c r="AK67" s="1"/>
      <c r="AL67" s="1"/>
      <c r="AM67" s="4"/>
      <c r="AN67" s="1"/>
      <c r="AO67" s="1"/>
      <c r="AP67" s="1"/>
      <c r="AQ67" s="1"/>
      <c r="AR67" s="1"/>
      <c r="AS67" s="1"/>
      <c r="AT67" s="1"/>
      <c r="AU67" s="1"/>
    </row>
    <row r="68" ht="15.75" customHeight="1">
      <c r="A68" s="16"/>
      <c r="B68" s="16"/>
      <c r="C68" s="16"/>
      <c r="D68" s="13" t="s">
        <v>6</v>
      </c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>
        <f t="shared" si="2"/>
        <v>0</v>
      </c>
      <c r="AK68" s="1"/>
      <c r="AL68" s="1"/>
      <c r="AM68" s="4"/>
      <c r="AN68" s="1"/>
      <c r="AO68" s="1"/>
      <c r="AP68" s="1"/>
      <c r="AQ68" s="1"/>
      <c r="AR68" s="1"/>
      <c r="AS68" s="1"/>
      <c r="AT68" s="1"/>
      <c r="AU68" s="1"/>
    </row>
    <row r="69" ht="15.75" customHeight="1">
      <c r="A69" s="10"/>
      <c r="B69" s="10"/>
      <c r="C69" s="10"/>
      <c r="D69" s="13" t="s">
        <v>7</v>
      </c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>
        <f t="shared" si="2"/>
        <v>0</v>
      </c>
      <c r="AK69" s="1"/>
      <c r="AL69" s="1"/>
      <c r="AM69" s="4"/>
      <c r="AN69" s="1"/>
      <c r="AO69" s="1"/>
      <c r="AP69" s="1"/>
      <c r="AQ69" s="1"/>
      <c r="AR69" s="1"/>
      <c r="AS69" s="1"/>
      <c r="AT69" s="1"/>
      <c r="AU69" s="1"/>
    </row>
    <row r="70" ht="15.75" customHeight="1">
      <c r="A70" s="12"/>
      <c r="B70" s="12"/>
      <c r="C70" s="12"/>
      <c r="D70" s="13" t="s">
        <v>5</v>
      </c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>
        <f t="shared" si="2"/>
        <v>0</v>
      </c>
      <c r="AK70" s="1"/>
      <c r="AL70" s="1"/>
      <c r="AM70" s="4"/>
      <c r="AN70" s="1"/>
      <c r="AO70" s="1"/>
      <c r="AP70" s="1"/>
      <c r="AQ70" s="1"/>
      <c r="AR70" s="1"/>
      <c r="AS70" s="1"/>
      <c r="AT70" s="1"/>
      <c r="AU70" s="1"/>
    </row>
    <row r="71" ht="15.75" customHeight="1">
      <c r="A71" s="16"/>
      <c r="B71" s="16"/>
      <c r="C71" s="16"/>
      <c r="D71" s="13" t="s">
        <v>6</v>
      </c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>
        <f t="shared" si="2"/>
        <v>0</v>
      </c>
      <c r="AK71" s="1"/>
      <c r="AL71" s="1"/>
      <c r="AM71" s="4"/>
      <c r="AN71" s="1"/>
      <c r="AO71" s="1"/>
      <c r="AP71" s="1"/>
      <c r="AQ71" s="1"/>
      <c r="AR71" s="1"/>
      <c r="AS71" s="1"/>
      <c r="AT71" s="1"/>
      <c r="AU71" s="1"/>
    </row>
    <row r="72" ht="15.75" customHeight="1">
      <c r="A72" s="10"/>
      <c r="B72" s="10"/>
      <c r="C72" s="10"/>
      <c r="D72" s="13" t="s">
        <v>7</v>
      </c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>
        <f t="shared" si="2"/>
        <v>0</v>
      </c>
      <c r="AK72" s="1"/>
      <c r="AL72" s="1"/>
      <c r="AM72" s="4"/>
      <c r="AN72" s="1"/>
      <c r="AO72" s="1"/>
      <c r="AP72" s="1"/>
      <c r="AQ72" s="1"/>
      <c r="AR72" s="1"/>
      <c r="AS72" s="1"/>
      <c r="AT72" s="1"/>
      <c r="AU72" s="1"/>
    </row>
    <row r="73" ht="15.75" customHeight="1">
      <c r="A73" s="31"/>
      <c r="B73" s="31"/>
      <c r="C73" s="3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4"/>
      <c r="AN73" s="1"/>
      <c r="AO73" s="1"/>
      <c r="AP73" s="1"/>
      <c r="AQ73" s="1"/>
      <c r="AR73" s="1"/>
      <c r="AS73" s="1"/>
      <c r="AT73" s="1"/>
      <c r="AU73" s="1"/>
    </row>
    <row r="74" ht="15.75" customHeight="1">
      <c r="A74" s="31"/>
      <c r="B74" s="31"/>
      <c r="C74" s="3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4"/>
      <c r="AN74" s="1"/>
      <c r="AO74" s="1"/>
      <c r="AP74" s="1"/>
      <c r="AQ74" s="1"/>
      <c r="AR74" s="1"/>
      <c r="AS74" s="1"/>
      <c r="AT74" s="1"/>
      <c r="AU74" s="1"/>
    </row>
    <row r="75" ht="15.75" customHeight="1">
      <c r="A75" s="31"/>
      <c r="B75" s="31"/>
      <c r="C75" s="3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4"/>
      <c r="AN75" s="1"/>
      <c r="AO75" s="1"/>
      <c r="AP75" s="1"/>
      <c r="AQ75" s="1"/>
      <c r="AR75" s="1"/>
      <c r="AS75" s="1"/>
      <c r="AT75" s="1"/>
      <c r="AU75" s="1"/>
    </row>
    <row r="76" ht="15.75" customHeight="1">
      <c r="A76" s="31"/>
      <c r="B76" s="31"/>
      <c r="C76" s="3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4"/>
      <c r="AN76" s="1"/>
      <c r="AO76" s="1"/>
      <c r="AP76" s="1"/>
      <c r="AQ76" s="1"/>
      <c r="AR76" s="1"/>
      <c r="AS76" s="1"/>
      <c r="AT76" s="1"/>
      <c r="AU76" s="1"/>
    </row>
    <row r="77" ht="15.75" customHeight="1">
      <c r="A77" s="31"/>
      <c r="B77" s="31"/>
      <c r="C77" s="3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4"/>
      <c r="AN77" s="1"/>
      <c r="AO77" s="1"/>
      <c r="AP77" s="1"/>
      <c r="AQ77" s="1"/>
      <c r="AR77" s="1"/>
      <c r="AS77" s="1"/>
      <c r="AT77" s="1"/>
      <c r="AU77" s="1"/>
    </row>
    <row r="78" ht="15.75" customHeight="1">
      <c r="A78" s="31"/>
      <c r="B78" s="31"/>
      <c r="C78" s="3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4"/>
      <c r="AN78" s="1"/>
      <c r="AO78" s="1"/>
      <c r="AP78" s="1"/>
      <c r="AQ78" s="1"/>
      <c r="AR78" s="1"/>
      <c r="AS78" s="1"/>
      <c r="AT78" s="1"/>
      <c r="AU78" s="1"/>
    </row>
    <row r="79" ht="15.75" customHeight="1">
      <c r="A79" s="31"/>
      <c r="B79" s="31"/>
      <c r="C79" s="3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4"/>
      <c r="AN79" s="1"/>
      <c r="AO79" s="1"/>
      <c r="AP79" s="1"/>
      <c r="AQ79" s="1"/>
      <c r="AR79" s="1"/>
      <c r="AS79" s="1"/>
      <c r="AT79" s="1"/>
      <c r="AU79" s="1"/>
    </row>
    <row r="80" ht="15.75" customHeight="1">
      <c r="A80" s="31"/>
      <c r="B80" s="31"/>
      <c r="C80" s="3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4"/>
      <c r="AN80" s="1"/>
      <c r="AO80" s="1"/>
      <c r="AP80" s="1"/>
      <c r="AQ80" s="1"/>
      <c r="AR80" s="1"/>
      <c r="AS80" s="1"/>
      <c r="AT80" s="1"/>
      <c r="AU80" s="1"/>
    </row>
    <row r="81" ht="15.75" customHeight="1">
      <c r="A81" s="31"/>
      <c r="B81" s="31"/>
      <c r="C81" s="3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4"/>
      <c r="AN81" s="1"/>
      <c r="AO81" s="1"/>
      <c r="AP81" s="1"/>
      <c r="AQ81" s="1"/>
      <c r="AR81" s="1"/>
      <c r="AS81" s="1"/>
      <c r="AT81" s="1"/>
      <c r="AU81" s="1"/>
    </row>
    <row r="82" ht="15.75" customHeight="1">
      <c r="A82" s="31"/>
      <c r="B82" s="31"/>
      <c r="C82" s="3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4"/>
      <c r="AN82" s="1"/>
      <c r="AO82" s="1"/>
      <c r="AP82" s="1"/>
      <c r="AQ82" s="1"/>
      <c r="AR82" s="1"/>
      <c r="AS82" s="1"/>
      <c r="AT82" s="1"/>
      <c r="AU82" s="1"/>
    </row>
    <row r="83" ht="15.75" customHeight="1">
      <c r="A83" s="31"/>
      <c r="B83" s="31"/>
      <c r="C83" s="3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4"/>
      <c r="AN83" s="1"/>
      <c r="AO83" s="1"/>
      <c r="AP83" s="1"/>
      <c r="AQ83" s="1"/>
      <c r="AR83" s="1"/>
      <c r="AS83" s="1"/>
      <c r="AT83" s="1"/>
      <c r="AU83" s="1"/>
    </row>
    <row r="84" ht="15.75" customHeight="1">
      <c r="A84" s="31"/>
      <c r="B84" s="31"/>
      <c r="C84" s="3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4"/>
      <c r="AN84" s="1"/>
      <c r="AO84" s="1"/>
      <c r="AP84" s="1"/>
      <c r="AQ84" s="1"/>
      <c r="AR84" s="1"/>
      <c r="AS84" s="1"/>
      <c r="AT84" s="1"/>
      <c r="AU84" s="1"/>
    </row>
    <row r="85" ht="15.75" customHeight="1">
      <c r="A85" s="31"/>
      <c r="B85" s="31"/>
      <c r="C85" s="3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4"/>
      <c r="AN85" s="1"/>
      <c r="AO85" s="1"/>
      <c r="AP85" s="1"/>
      <c r="AQ85" s="1"/>
      <c r="AR85" s="1"/>
      <c r="AS85" s="1"/>
      <c r="AT85" s="1"/>
      <c r="AU85" s="1"/>
    </row>
    <row r="86" ht="15.75" customHeight="1">
      <c r="A86" s="31"/>
      <c r="B86" s="31"/>
      <c r="C86" s="3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4"/>
      <c r="AN86" s="1"/>
      <c r="AO86" s="1"/>
      <c r="AP86" s="1"/>
      <c r="AQ86" s="1"/>
      <c r="AR86" s="1"/>
      <c r="AS86" s="1"/>
      <c r="AT86" s="1"/>
      <c r="AU86" s="1"/>
    </row>
    <row r="87" ht="15.75" customHeight="1">
      <c r="A87" s="31"/>
      <c r="B87" s="31"/>
      <c r="C87" s="3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4"/>
      <c r="AN87" s="1"/>
      <c r="AO87" s="1"/>
      <c r="AP87" s="1"/>
      <c r="AQ87" s="1"/>
      <c r="AR87" s="1"/>
      <c r="AS87" s="1"/>
      <c r="AT87" s="1"/>
      <c r="AU87" s="1"/>
    </row>
    <row r="88" ht="15.75" customHeight="1">
      <c r="A88" s="31"/>
      <c r="B88" s="31"/>
      <c r="C88" s="3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4"/>
      <c r="AN88" s="1"/>
      <c r="AO88" s="1"/>
      <c r="AP88" s="1"/>
      <c r="AQ88" s="1"/>
      <c r="AR88" s="1"/>
      <c r="AS88" s="1"/>
      <c r="AT88" s="1"/>
      <c r="AU88" s="1"/>
    </row>
    <row r="89" ht="15.75" customHeight="1">
      <c r="A89" s="31"/>
      <c r="B89" s="31"/>
      <c r="C89" s="3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4"/>
      <c r="AN89" s="1"/>
      <c r="AO89" s="1"/>
      <c r="AP89" s="1"/>
      <c r="AQ89" s="1"/>
      <c r="AR89" s="1"/>
      <c r="AS89" s="1"/>
      <c r="AT89" s="1"/>
      <c r="AU89" s="1"/>
    </row>
    <row r="90" ht="15.75" customHeight="1">
      <c r="A90" s="31"/>
      <c r="B90" s="31"/>
      <c r="C90" s="3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4"/>
      <c r="AN90" s="1"/>
      <c r="AO90" s="1"/>
      <c r="AP90" s="1"/>
      <c r="AQ90" s="1"/>
      <c r="AR90" s="1"/>
      <c r="AS90" s="1"/>
      <c r="AT90" s="1"/>
      <c r="AU90" s="1"/>
    </row>
    <row r="91" ht="15.75" customHeight="1">
      <c r="A91" s="31"/>
      <c r="B91" s="31"/>
      <c r="C91" s="3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4"/>
      <c r="AN91" s="1"/>
      <c r="AO91" s="1"/>
      <c r="AP91" s="1"/>
      <c r="AQ91" s="1"/>
      <c r="AR91" s="1"/>
      <c r="AS91" s="1"/>
      <c r="AT91" s="1"/>
      <c r="AU91" s="1"/>
    </row>
    <row r="92" ht="15.75" customHeight="1">
      <c r="A92" s="31"/>
      <c r="B92" s="31"/>
      <c r="C92" s="3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4"/>
      <c r="AN92" s="1"/>
      <c r="AO92" s="1"/>
      <c r="AP92" s="1"/>
      <c r="AQ92" s="1"/>
      <c r="AR92" s="1"/>
      <c r="AS92" s="1"/>
      <c r="AT92" s="1"/>
      <c r="AU92" s="1"/>
    </row>
    <row r="93" ht="15.75" customHeight="1">
      <c r="A93" s="31"/>
      <c r="B93" s="31"/>
      <c r="C93" s="3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4"/>
      <c r="AN93" s="1"/>
      <c r="AO93" s="1"/>
      <c r="AP93" s="1"/>
      <c r="AQ93" s="1"/>
      <c r="AR93" s="1"/>
      <c r="AS93" s="1"/>
      <c r="AT93" s="1"/>
      <c r="AU93" s="1"/>
    </row>
    <row r="94" ht="15.75" customHeight="1">
      <c r="A94" s="31"/>
      <c r="B94" s="31"/>
      <c r="C94" s="3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4"/>
      <c r="AN94" s="1"/>
      <c r="AO94" s="1"/>
      <c r="AP94" s="1"/>
      <c r="AQ94" s="1"/>
      <c r="AR94" s="1"/>
      <c r="AS94" s="1"/>
      <c r="AT94" s="1"/>
      <c r="AU94" s="1"/>
    </row>
    <row r="95" ht="15.75" customHeight="1">
      <c r="A95" s="31"/>
      <c r="B95" s="31"/>
      <c r="C95" s="3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4"/>
      <c r="AN95" s="1"/>
      <c r="AO95" s="1"/>
      <c r="AP95" s="1"/>
      <c r="AQ95" s="1"/>
      <c r="AR95" s="1"/>
      <c r="AS95" s="1"/>
      <c r="AT95" s="1"/>
      <c r="AU95" s="1"/>
    </row>
    <row r="96" ht="15.75" customHeight="1">
      <c r="A96" s="31"/>
      <c r="B96" s="31"/>
      <c r="C96" s="3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4"/>
      <c r="AN96" s="1"/>
      <c r="AO96" s="1"/>
      <c r="AP96" s="1"/>
      <c r="AQ96" s="1"/>
      <c r="AR96" s="1"/>
      <c r="AS96" s="1"/>
      <c r="AT96" s="1"/>
      <c r="AU96" s="1"/>
    </row>
    <row r="97" ht="15.75" customHeight="1">
      <c r="A97" s="31"/>
      <c r="B97" s="31"/>
      <c r="C97" s="3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4"/>
      <c r="AN97" s="1"/>
      <c r="AO97" s="1"/>
      <c r="AP97" s="1"/>
      <c r="AQ97" s="1"/>
      <c r="AR97" s="1"/>
      <c r="AS97" s="1"/>
      <c r="AT97" s="1"/>
      <c r="AU97" s="1"/>
    </row>
    <row r="98" ht="15.75" customHeight="1">
      <c r="A98" s="31"/>
      <c r="B98" s="31"/>
      <c r="C98" s="3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4"/>
      <c r="AN98" s="1"/>
      <c r="AO98" s="1"/>
      <c r="AP98" s="1"/>
      <c r="AQ98" s="1"/>
      <c r="AR98" s="1"/>
      <c r="AS98" s="1"/>
      <c r="AT98" s="1"/>
      <c r="AU98" s="1"/>
    </row>
    <row r="99" ht="15.75" customHeight="1">
      <c r="A99" s="31"/>
      <c r="B99" s="31"/>
      <c r="C99" s="3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4"/>
      <c r="AN99" s="1"/>
      <c r="AO99" s="1"/>
      <c r="AP99" s="1"/>
      <c r="AQ99" s="1"/>
      <c r="AR99" s="1"/>
      <c r="AS99" s="1"/>
      <c r="AT99" s="1"/>
      <c r="AU99" s="1"/>
    </row>
    <row r="100" ht="15.75" customHeight="1">
      <c r="A100" s="31"/>
      <c r="B100" s="31"/>
      <c r="C100" s="3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4"/>
      <c r="AN100" s="1"/>
      <c r="AO100" s="1"/>
      <c r="AP100" s="1"/>
      <c r="AQ100" s="1"/>
      <c r="AR100" s="1"/>
      <c r="AS100" s="1"/>
      <c r="AT100" s="1"/>
      <c r="AU100" s="1"/>
    </row>
    <row r="101" ht="15.75" customHeight="1">
      <c r="A101" s="31"/>
      <c r="B101" s="31"/>
      <c r="C101" s="3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4"/>
      <c r="AN101" s="1"/>
      <c r="AO101" s="1"/>
      <c r="AP101" s="1"/>
      <c r="AQ101" s="1"/>
      <c r="AR101" s="1"/>
      <c r="AS101" s="1"/>
      <c r="AT101" s="1"/>
      <c r="AU101" s="1"/>
    </row>
    <row r="102" ht="15.75" customHeight="1">
      <c r="A102" s="31"/>
      <c r="B102" s="31"/>
      <c r="C102" s="3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4"/>
      <c r="AN102" s="1"/>
      <c r="AO102" s="1"/>
      <c r="AP102" s="1"/>
      <c r="AQ102" s="1"/>
      <c r="AR102" s="1"/>
      <c r="AS102" s="1"/>
      <c r="AT102" s="1"/>
      <c r="AU102" s="1"/>
    </row>
    <row r="103" ht="15.75" customHeight="1">
      <c r="A103" s="31"/>
      <c r="B103" s="31"/>
      <c r="C103" s="3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4"/>
      <c r="AN103" s="1"/>
      <c r="AO103" s="1"/>
      <c r="AP103" s="1"/>
      <c r="AQ103" s="1"/>
      <c r="AR103" s="1"/>
      <c r="AS103" s="1"/>
      <c r="AT103" s="1"/>
      <c r="AU103" s="1"/>
    </row>
    <row r="104" ht="15.75" customHeight="1">
      <c r="A104" s="31"/>
      <c r="B104" s="31"/>
      <c r="C104" s="3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4"/>
      <c r="AN104" s="1"/>
      <c r="AO104" s="1"/>
      <c r="AP104" s="1"/>
      <c r="AQ104" s="1"/>
      <c r="AR104" s="1"/>
      <c r="AS104" s="1"/>
      <c r="AT104" s="1"/>
      <c r="AU104" s="1"/>
    </row>
    <row r="105" ht="15.75" customHeight="1">
      <c r="A105" s="31"/>
      <c r="B105" s="31"/>
      <c r="C105" s="3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4"/>
      <c r="AN105" s="1"/>
      <c r="AO105" s="1"/>
      <c r="AP105" s="1"/>
      <c r="AQ105" s="1"/>
      <c r="AR105" s="1"/>
      <c r="AS105" s="1"/>
      <c r="AT105" s="1"/>
      <c r="AU105" s="1"/>
    </row>
    <row r="106" ht="15.75" customHeight="1">
      <c r="A106" s="31"/>
      <c r="B106" s="31"/>
      <c r="C106" s="3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4"/>
      <c r="AN106" s="1"/>
      <c r="AO106" s="1"/>
      <c r="AP106" s="1"/>
      <c r="AQ106" s="1"/>
      <c r="AR106" s="1"/>
      <c r="AS106" s="1"/>
      <c r="AT106" s="1"/>
      <c r="AU106" s="1"/>
    </row>
    <row r="107" ht="15.75" customHeight="1">
      <c r="A107" s="31"/>
      <c r="B107" s="31"/>
      <c r="C107" s="3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4"/>
      <c r="AN107" s="1"/>
      <c r="AO107" s="1"/>
      <c r="AP107" s="1"/>
      <c r="AQ107" s="1"/>
      <c r="AR107" s="1"/>
      <c r="AS107" s="1"/>
      <c r="AT107" s="1"/>
      <c r="AU107" s="1"/>
    </row>
    <row r="108" ht="15.75" customHeight="1">
      <c r="A108" s="31"/>
      <c r="B108" s="31"/>
      <c r="C108" s="3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4"/>
      <c r="AN108" s="1"/>
      <c r="AO108" s="1"/>
      <c r="AP108" s="1"/>
      <c r="AQ108" s="1"/>
      <c r="AR108" s="1"/>
      <c r="AS108" s="1"/>
      <c r="AT108" s="1"/>
      <c r="AU108" s="1"/>
    </row>
    <row r="109" ht="15.75" customHeight="1">
      <c r="A109" s="31"/>
      <c r="B109" s="31"/>
      <c r="C109" s="3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4"/>
      <c r="AN109" s="1"/>
      <c r="AO109" s="1"/>
      <c r="AP109" s="1"/>
      <c r="AQ109" s="1"/>
      <c r="AR109" s="1"/>
      <c r="AS109" s="1"/>
      <c r="AT109" s="1"/>
      <c r="AU109" s="1"/>
    </row>
    <row r="110" ht="15.75" customHeight="1">
      <c r="A110" s="31"/>
      <c r="B110" s="31"/>
      <c r="C110" s="3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4"/>
      <c r="AN110" s="1"/>
      <c r="AO110" s="1"/>
      <c r="AP110" s="1"/>
      <c r="AQ110" s="1"/>
      <c r="AR110" s="1"/>
      <c r="AS110" s="1"/>
      <c r="AT110" s="1"/>
      <c r="AU110" s="1"/>
    </row>
    <row r="111" ht="15.75" customHeight="1">
      <c r="A111" s="31"/>
      <c r="B111" s="31"/>
      <c r="C111" s="3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4"/>
      <c r="AN111" s="1"/>
      <c r="AO111" s="1"/>
      <c r="AP111" s="1"/>
      <c r="AQ111" s="1"/>
      <c r="AR111" s="1"/>
      <c r="AS111" s="1"/>
      <c r="AT111" s="1"/>
      <c r="AU111" s="1"/>
    </row>
    <row r="112" ht="15.75" customHeight="1">
      <c r="A112" s="31"/>
      <c r="B112" s="31"/>
      <c r="C112" s="3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4"/>
      <c r="AN112" s="1"/>
      <c r="AO112" s="1"/>
      <c r="AP112" s="1"/>
      <c r="AQ112" s="1"/>
      <c r="AR112" s="1"/>
      <c r="AS112" s="1"/>
      <c r="AT112" s="1"/>
      <c r="AU112" s="1"/>
    </row>
    <row r="113" ht="15.75" customHeight="1">
      <c r="A113" s="31"/>
      <c r="B113" s="31"/>
      <c r="C113" s="3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4"/>
      <c r="AN113" s="1"/>
      <c r="AO113" s="1"/>
      <c r="AP113" s="1"/>
      <c r="AQ113" s="1"/>
      <c r="AR113" s="1"/>
      <c r="AS113" s="1"/>
      <c r="AT113" s="1"/>
      <c r="AU113" s="1"/>
    </row>
    <row r="114" ht="15.75" customHeight="1">
      <c r="A114" s="31"/>
      <c r="B114" s="31"/>
      <c r="C114" s="3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4"/>
      <c r="AN114" s="1"/>
      <c r="AO114" s="1"/>
      <c r="AP114" s="1"/>
      <c r="AQ114" s="1"/>
      <c r="AR114" s="1"/>
      <c r="AS114" s="1"/>
      <c r="AT114" s="1"/>
      <c r="AU114" s="1"/>
    </row>
    <row r="115" ht="15.75" customHeight="1">
      <c r="A115" s="31"/>
      <c r="B115" s="31"/>
      <c r="C115" s="3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4"/>
      <c r="AN115" s="1"/>
      <c r="AO115" s="1"/>
      <c r="AP115" s="1"/>
      <c r="AQ115" s="1"/>
      <c r="AR115" s="1"/>
      <c r="AS115" s="1"/>
      <c r="AT115" s="1"/>
      <c r="AU115" s="1"/>
    </row>
    <row r="116" ht="15.75" customHeight="1">
      <c r="A116" s="31"/>
      <c r="B116" s="31"/>
      <c r="C116" s="3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4"/>
      <c r="AN116" s="1"/>
      <c r="AO116" s="1"/>
      <c r="AP116" s="1"/>
      <c r="AQ116" s="1"/>
      <c r="AR116" s="1"/>
      <c r="AS116" s="1"/>
      <c r="AT116" s="1"/>
      <c r="AU116" s="1"/>
    </row>
    <row r="117" ht="15.75" customHeight="1">
      <c r="A117" s="31"/>
      <c r="B117" s="31"/>
      <c r="C117" s="3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4"/>
      <c r="AN117" s="1"/>
      <c r="AO117" s="1"/>
      <c r="AP117" s="1"/>
      <c r="AQ117" s="1"/>
      <c r="AR117" s="1"/>
      <c r="AS117" s="1"/>
      <c r="AT117" s="1"/>
      <c r="AU117" s="1"/>
    </row>
    <row r="118" ht="15.75" customHeight="1">
      <c r="A118" s="31"/>
      <c r="B118" s="31"/>
      <c r="C118" s="3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4"/>
      <c r="AN118" s="1"/>
      <c r="AO118" s="1"/>
      <c r="AP118" s="1"/>
      <c r="AQ118" s="1"/>
      <c r="AR118" s="1"/>
      <c r="AS118" s="1"/>
      <c r="AT118" s="1"/>
      <c r="AU118" s="1"/>
    </row>
    <row r="119" ht="15.75" customHeight="1">
      <c r="A119" s="31"/>
      <c r="B119" s="31"/>
      <c r="C119" s="3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4"/>
      <c r="AN119" s="1"/>
      <c r="AO119" s="1"/>
      <c r="AP119" s="1"/>
      <c r="AQ119" s="1"/>
      <c r="AR119" s="1"/>
      <c r="AS119" s="1"/>
      <c r="AT119" s="1"/>
      <c r="AU119" s="1"/>
    </row>
    <row r="120" ht="15.75" customHeight="1">
      <c r="A120" s="31"/>
      <c r="B120" s="31"/>
      <c r="C120" s="3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4"/>
      <c r="AN120" s="1"/>
      <c r="AO120" s="1"/>
      <c r="AP120" s="1"/>
      <c r="AQ120" s="1"/>
      <c r="AR120" s="1"/>
      <c r="AS120" s="1"/>
      <c r="AT120" s="1"/>
      <c r="AU120" s="1"/>
    </row>
    <row r="121" ht="15.75" customHeight="1">
      <c r="A121" s="31"/>
      <c r="B121" s="31"/>
      <c r="C121" s="3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4"/>
      <c r="AN121" s="1"/>
      <c r="AO121" s="1"/>
      <c r="AP121" s="1"/>
      <c r="AQ121" s="1"/>
      <c r="AR121" s="1"/>
      <c r="AS121" s="1"/>
      <c r="AT121" s="1"/>
      <c r="AU121" s="1"/>
    </row>
    <row r="122" ht="15.75" customHeight="1">
      <c r="A122" s="31"/>
      <c r="B122" s="31"/>
      <c r="C122" s="3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4"/>
      <c r="AN122" s="1"/>
      <c r="AO122" s="1"/>
      <c r="AP122" s="1"/>
      <c r="AQ122" s="1"/>
      <c r="AR122" s="1"/>
      <c r="AS122" s="1"/>
      <c r="AT122" s="1"/>
      <c r="AU122" s="1"/>
    </row>
    <row r="123" ht="15.75" customHeight="1">
      <c r="A123" s="31"/>
      <c r="B123" s="31"/>
      <c r="C123" s="3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4"/>
      <c r="AN123" s="1"/>
      <c r="AO123" s="1"/>
      <c r="AP123" s="1"/>
      <c r="AQ123" s="1"/>
      <c r="AR123" s="1"/>
      <c r="AS123" s="1"/>
      <c r="AT123" s="1"/>
      <c r="AU123" s="1"/>
    </row>
    <row r="124" ht="15.75" customHeight="1">
      <c r="A124" s="31"/>
      <c r="B124" s="31"/>
      <c r="C124" s="3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4"/>
      <c r="AN124" s="1"/>
      <c r="AO124" s="1"/>
      <c r="AP124" s="1"/>
      <c r="AQ124" s="1"/>
      <c r="AR124" s="1"/>
      <c r="AS124" s="1"/>
      <c r="AT124" s="1"/>
      <c r="AU124" s="1"/>
    </row>
    <row r="125" ht="15.75" customHeight="1">
      <c r="A125" s="31"/>
      <c r="B125" s="31"/>
      <c r="C125" s="3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4"/>
      <c r="AN125" s="1"/>
      <c r="AO125" s="1"/>
      <c r="AP125" s="1"/>
      <c r="AQ125" s="1"/>
      <c r="AR125" s="1"/>
      <c r="AS125" s="1"/>
      <c r="AT125" s="1"/>
      <c r="AU125" s="1"/>
    </row>
    <row r="126" ht="15.75" customHeight="1">
      <c r="A126" s="31"/>
      <c r="B126" s="31"/>
      <c r="C126" s="3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4"/>
      <c r="AN126" s="1"/>
      <c r="AO126" s="1"/>
      <c r="AP126" s="1"/>
      <c r="AQ126" s="1"/>
      <c r="AR126" s="1"/>
      <c r="AS126" s="1"/>
      <c r="AT126" s="1"/>
      <c r="AU126" s="1"/>
    </row>
    <row r="127" ht="15.75" customHeight="1">
      <c r="A127" s="31"/>
      <c r="B127" s="31"/>
      <c r="C127" s="3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4"/>
      <c r="AN127" s="1"/>
      <c r="AO127" s="1"/>
      <c r="AP127" s="1"/>
      <c r="AQ127" s="1"/>
      <c r="AR127" s="1"/>
      <c r="AS127" s="1"/>
      <c r="AT127" s="1"/>
      <c r="AU127" s="1"/>
    </row>
    <row r="128" ht="15.75" customHeight="1">
      <c r="A128" s="31"/>
      <c r="B128" s="31"/>
      <c r="C128" s="3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4"/>
      <c r="AN128" s="1"/>
      <c r="AO128" s="1"/>
      <c r="AP128" s="1"/>
      <c r="AQ128" s="1"/>
      <c r="AR128" s="1"/>
      <c r="AS128" s="1"/>
      <c r="AT128" s="1"/>
      <c r="AU128" s="1"/>
    </row>
    <row r="129" ht="15.75" customHeight="1">
      <c r="A129" s="31"/>
      <c r="B129" s="31"/>
      <c r="C129" s="3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4"/>
      <c r="AN129" s="1"/>
      <c r="AO129" s="1"/>
      <c r="AP129" s="1"/>
      <c r="AQ129" s="1"/>
      <c r="AR129" s="1"/>
      <c r="AS129" s="1"/>
      <c r="AT129" s="1"/>
      <c r="AU129" s="1"/>
    </row>
    <row r="130" ht="15.75" customHeight="1">
      <c r="A130" s="31"/>
      <c r="B130" s="31"/>
      <c r="C130" s="3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4"/>
      <c r="AN130" s="1"/>
      <c r="AO130" s="1"/>
      <c r="AP130" s="1"/>
      <c r="AQ130" s="1"/>
      <c r="AR130" s="1"/>
      <c r="AS130" s="1"/>
      <c r="AT130" s="1"/>
      <c r="AU130" s="1"/>
    </row>
    <row r="131" ht="15.75" customHeight="1">
      <c r="A131" s="31"/>
      <c r="B131" s="31"/>
      <c r="C131" s="3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4"/>
      <c r="AN131" s="1"/>
      <c r="AO131" s="1"/>
      <c r="AP131" s="1"/>
      <c r="AQ131" s="1"/>
      <c r="AR131" s="1"/>
      <c r="AS131" s="1"/>
      <c r="AT131" s="1"/>
      <c r="AU131" s="1"/>
    </row>
    <row r="132" ht="15.75" customHeight="1">
      <c r="A132" s="31"/>
      <c r="B132" s="31"/>
      <c r="C132" s="3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4"/>
      <c r="AN132" s="1"/>
      <c r="AO132" s="1"/>
      <c r="AP132" s="1"/>
      <c r="AQ132" s="1"/>
      <c r="AR132" s="1"/>
      <c r="AS132" s="1"/>
      <c r="AT132" s="1"/>
      <c r="AU132" s="1"/>
    </row>
    <row r="133" ht="15.75" customHeight="1">
      <c r="A133" s="31"/>
      <c r="B133" s="31"/>
      <c r="C133" s="3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4"/>
      <c r="AN133" s="1"/>
      <c r="AO133" s="1"/>
      <c r="AP133" s="1"/>
      <c r="AQ133" s="1"/>
      <c r="AR133" s="1"/>
      <c r="AS133" s="1"/>
      <c r="AT133" s="1"/>
      <c r="AU133" s="1"/>
    </row>
    <row r="134" ht="15.75" customHeight="1">
      <c r="A134" s="31"/>
      <c r="B134" s="31"/>
      <c r="C134" s="3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4"/>
      <c r="AN134" s="1"/>
      <c r="AO134" s="1"/>
      <c r="AP134" s="1"/>
      <c r="AQ134" s="1"/>
      <c r="AR134" s="1"/>
      <c r="AS134" s="1"/>
      <c r="AT134" s="1"/>
      <c r="AU134" s="1"/>
    </row>
    <row r="135" ht="15.75" customHeight="1">
      <c r="A135" s="31"/>
      <c r="B135" s="31"/>
      <c r="C135" s="3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4"/>
      <c r="AN135" s="1"/>
      <c r="AO135" s="1"/>
      <c r="AP135" s="1"/>
      <c r="AQ135" s="1"/>
      <c r="AR135" s="1"/>
      <c r="AS135" s="1"/>
      <c r="AT135" s="1"/>
      <c r="AU135" s="1"/>
    </row>
    <row r="136" ht="15.75" customHeight="1">
      <c r="A136" s="31"/>
      <c r="B136" s="31"/>
      <c r="C136" s="3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4"/>
      <c r="AN136" s="1"/>
      <c r="AO136" s="1"/>
      <c r="AP136" s="1"/>
      <c r="AQ136" s="1"/>
      <c r="AR136" s="1"/>
      <c r="AS136" s="1"/>
      <c r="AT136" s="1"/>
      <c r="AU136" s="1"/>
    </row>
    <row r="137" ht="15.75" customHeight="1">
      <c r="A137" s="31"/>
      <c r="B137" s="31"/>
      <c r="C137" s="3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4"/>
      <c r="AN137" s="1"/>
      <c r="AO137" s="1"/>
      <c r="AP137" s="1"/>
      <c r="AQ137" s="1"/>
      <c r="AR137" s="1"/>
      <c r="AS137" s="1"/>
      <c r="AT137" s="1"/>
      <c r="AU137" s="1"/>
    </row>
    <row r="138" ht="15.75" customHeight="1">
      <c r="A138" s="31"/>
      <c r="B138" s="31"/>
      <c r="C138" s="3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4"/>
      <c r="AN138" s="1"/>
      <c r="AO138" s="1"/>
      <c r="AP138" s="1"/>
      <c r="AQ138" s="1"/>
      <c r="AR138" s="1"/>
      <c r="AS138" s="1"/>
      <c r="AT138" s="1"/>
      <c r="AU138" s="1"/>
    </row>
    <row r="139" ht="15.75" customHeight="1">
      <c r="A139" s="31"/>
      <c r="B139" s="31"/>
      <c r="C139" s="3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4"/>
      <c r="AN139" s="1"/>
      <c r="AO139" s="1"/>
      <c r="AP139" s="1"/>
      <c r="AQ139" s="1"/>
      <c r="AR139" s="1"/>
      <c r="AS139" s="1"/>
      <c r="AT139" s="1"/>
      <c r="AU139" s="1"/>
    </row>
    <row r="140" ht="15.75" customHeight="1">
      <c r="A140" s="31"/>
      <c r="B140" s="31"/>
      <c r="C140" s="3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4"/>
      <c r="AN140" s="1"/>
      <c r="AO140" s="1"/>
      <c r="AP140" s="1"/>
      <c r="AQ140" s="1"/>
      <c r="AR140" s="1"/>
      <c r="AS140" s="1"/>
      <c r="AT140" s="1"/>
      <c r="AU140" s="1"/>
    </row>
    <row r="141" ht="15.75" customHeight="1">
      <c r="A141" s="31"/>
      <c r="B141" s="31"/>
      <c r="C141" s="3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4"/>
      <c r="AN141" s="1"/>
      <c r="AO141" s="1"/>
      <c r="AP141" s="1"/>
      <c r="AQ141" s="1"/>
      <c r="AR141" s="1"/>
      <c r="AS141" s="1"/>
      <c r="AT141" s="1"/>
      <c r="AU141" s="1"/>
    </row>
    <row r="142" ht="15.75" customHeight="1">
      <c r="A142" s="31"/>
      <c r="B142" s="31"/>
      <c r="C142" s="3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4"/>
      <c r="AN142" s="1"/>
      <c r="AO142" s="1"/>
      <c r="AP142" s="1"/>
      <c r="AQ142" s="1"/>
      <c r="AR142" s="1"/>
      <c r="AS142" s="1"/>
      <c r="AT142" s="1"/>
      <c r="AU142" s="1"/>
    </row>
    <row r="143" ht="15.75" customHeight="1">
      <c r="A143" s="31"/>
      <c r="B143" s="31"/>
      <c r="C143" s="3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4"/>
      <c r="AN143" s="1"/>
      <c r="AO143" s="1"/>
      <c r="AP143" s="1"/>
      <c r="AQ143" s="1"/>
      <c r="AR143" s="1"/>
      <c r="AS143" s="1"/>
      <c r="AT143" s="1"/>
      <c r="AU143" s="1"/>
    </row>
    <row r="144" ht="15.75" customHeight="1">
      <c r="A144" s="31"/>
      <c r="B144" s="31"/>
      <c r="C144" s="3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4"/>
      <c r="AN144" s="1"/>
      <c r="AO144" s="1"/>
      <c r="AP144" s="1"/>
      <c r="AQ144" s="1"/>
      <c r="AR144" s="1"/>
      <c r="AS144" s="1"/>
      <c r="AT144" s="1"/>
      <c r="AU144" s="1"/>
    </row>
    <row r="145" ht="15.75" customHeight="1">
      <c r="A145" s="31"/>
      <c r="B145" s="31"/>
      <c r="C145" s="3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4"/>
      <c r="AN145" s="1"/>
      <c r="AO145" s="1"/>
      <c r="AP145" s="1"/>
      <c r="AQ145" s="1"/>
      <c r="AR145" s="1"/>
      <c r="AS145" s="1"/>
      <c r="AT145" s="1"/>
      <c r="AU145" s="1"/>
    </row>
    <row r="146" ht="15.75" customHeight="1">
      <c r="A146" s="31"/>
      <c r="B146" s="31"/>
      <c r="C146" s="3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4"/>
      <c r="AN146" s="1"/>
      <c r="AO146" s="1"/>
      <c r="AP146" s="1"/>
      <c r="AQ146" s="1"/>
      <c r="AR146" s="1"/>
      <c r="AS146" s="1"/>
      <c r="AT146" s="1"/>
      <c r="AU146" s="1"/>
    </row>
    <row r="147" ht="15.75" customHeight="1">
      <c r="A147" s="31"/>
      <c r="B147" s="31"/>
      <c r="C147" s="3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4"/>
      <c r="AN147" s="1"/>
      <c r="AO147" s="1"/>
      <c r="AP147" s="1"/>
      <c r="AQ147" s="1"/>
      <c r="AR147" s="1"/>
      <c r="AS147" s="1"/>
      <c r="AT147" s="1"/>
      <c r="AU147" s="1"/>
    </row>
    <row r="148" ht="15.75" customHeight="1">
      <c r="A148" s="31"/>
      <c r="B148" s="31"/>
      <c r="C148" s="3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4"/>
      <c r="AN148" s="1"/>
      <c r="AO148" s="1"/>
      <c r="AP148" s="1"/>
      <c r="AQ148" s="1"/>
      <c r="AR148" s="1"/>
      <c r="AS148" s="1"/>
      <c r="AT148" s="1"/>
      <c r="AU148" s="1"/>
    </row>
    <row r="149" ht="15.75" customHeight="1">
      <c r="A149" s="31"/>
      <c r="B149" s="31"/>
      <c r="C149" s="3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4"/>
      <c r="AN149" s="1"/>
      <c r="AO149" s="1"/>
      <c r="AP149" s="1"/>
      <c r="AQ149" s="1"/>
      <c r="AR149" s="1"/>
      <c r="AS149" s="1"/>
      <c r="AT149" s="1"/>
      <c r="AU149" s="1"/>
    </row>
    <row r="150" ht="15.75" customHeight="1">
      <c r="A150" s="31"/>
      <c r="B150" s="31"/>
      <c r="C150" s="3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4"/>
      <c r="AN150" s="1"/>
      <c r="AO150" s="1"/>
      <c r="AP150" s="1"/>
      <c r="AQ150" s="1"/>
      <c r="AR150" s="1"/>
      <c r="AS150" s="1"/>
      <c r="AT150" s="1"/>
      <c r="AU150" s="1"/>
    </row>
    <row r="151" ht="15.75" customHeight="1">
      <c r="A151" s="31"/>
      <c r="B151" s="31"/>
      <c r="C151" s="3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4"/>
      <c r="AN151" s="1"/>
      <c r="AO151" s="1"/>
      <c r="AP151" s="1"/>
      <c r="AQ151" s="1"/>
      <c r="AR151" s="1"/>
      <c r="AS151" s="1"/>
      <c r="AT151" s="1"/>
      <c r="AU151" s="1"/>
    </row>
    <row r="152" ht="15.75" customHeight="1">
      <c r="A152" s="31"/>
      <c r="B152" s="31"/>
      <c r="C152" s="3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4"/>
      <c r="AN152" s="1"/>
      <c r="AO152" s="1"/>
      <c r="AP152" s="1"/>
      <c r="AQ152" s="1"/>
      <c r="AR152" s="1"/>
      <c r="AS152" s="1"/>
      <c r="AT152" s="1"/>
      <c r="AU152" s="1"/>
    </row>
    <row r="153" ht="15.75" customHeight="1">
      <c r="A153" s="31"/>
      <c r="B153" s="31"/>
      <c r="C153" s="3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4"/>
      <c r="AN153" s="1"/>
      <c r="AO153" s="1"/>
      <c r="AP153" s="1"/>
      <c r="AQ153" s="1"/>
      <c r="AR153" s="1"/>
      <c r="AS153" s="1"/>
      <c r="AT153" s="1"/>
      <c r="AU153" s="1"/>
    </row>
    <row r="154" ht="15.75" customHeight="1">
      <c r="A154" s="31"/>
      <c r="B154" s="31"/>
      <c r="C154" s="3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4"/>
      <c r="AN154" s="1"/>
      <c r="AO154" s="1"/>
      <c r="AP154" s="1"/>
      <c r="AQ154" s="1"/>
      <c r="AR154" s="1"/>
      <c r="AS154" s="1"/>
      <c r="AT154" s="1"/>
      <c r="AU154" s="1"/>
    </row>
    <row r="155" ht="15.75" customHeight="1">
      <c r="A155" s="31"/>
      <c r="B155" s="31"/>
      <c r="C155" s="3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4"/>
      <c r="AN155" s="1"/>
      <c r="AO155" s="1"/>
      <c r="AP155" s="1"/>
      <c r="AQ155" s="1"/>
      <c r="AR155" s="1"/>
      <c r="AS155" s="1"/>
      <c r="AT155" s="1"/>
      <c r="AU155" s="1"/>
    </row>
    <row r="156" ht="15.75" customHeight="1">
      <c r="A156" s="31"/>
      <c r="B156" s="31"/>
      <c r="C156" s="3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4"/>
      <c r="AN156" s="1"/>
      <c r="AO156" s="1"/>
      <c r="AP156" s="1"/>
      <c r="AQ156" s="1"/>
      <c r="AR156" s="1"/>
      <c r="AS156" s="1"/>
      <c r="AT156" s="1"/>
      <c r="AU156" s="1"/>
    </row>
    <row r="157" ht="15.75" customHeight="1">
      <c r="A157" s="31"/>
      <c r="B157" s="31"/>
      <c r="C157" s="3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4"/>
      <c r="AN157" s="1"/>
      <c r="AO157" s="1"/>
      <c r="AP157" s="1"/>
      <c r="AQ157" s="1"/>
      <c r="AR157" s="1"/>
      <c r="AS157" s="1"/>
      <c r="AT157" s="1"/>
      <c r="AU157" s="1"/>
    </row>
    <row r="158" ht="15.75" customHeight="1">
      <c r="A158" s="31"/>
      <c r="B158" s="31"/>
      <c r="C158" s="3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4"/>
      <c r="AN158" s="1"/>
      <c r="AO158" s="1"/>
      <c r="AP158" s="1"/>
      <c r="AQ158" s="1"/>
      <c r="AR158" s="1"/>
      <c r="AS158" s="1"/>
      <c r="AT158" s="1"/>
      <c r="AU158" s="1"/>
    </row>
    <row r="159" ht="15.75" customHeight="1">
      <c r="A159" s="31"/>
      <c r="B159" s="31"/>
      <c r="C159" s="3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4"/>
      <c r="AN159" s="1"/>
      <c r="AO159" s="1"/>
      <c r="AP159" s="1"/>
      <c r="AQ159" s="1"/>
      <c r="AR159" s="1"/>
      <c r="AS159" s="1"/>
      <c r="AT159" s="1"/>
      <c r="AU159" s="1"/>
    </row>
    <row r="160" ht="15.75" customHeight="1">
      <c r="A160" s="31"/>
      <c r="B160" s="31"/>
      <c r="C160" s="3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4"/>
      <c r="AN160" s="1"/>
      <c r="AO160" s="1"/>
      <c r="AP160" s="1"/>
      <c r="AQ160" s="1"/>
      <c r="AR160" s="1"/>
      <c r="AS160" s="1"/>
      <c r="AT160" s="1"/>
      <c r="AU160" s="1"/>
    </row>
    <row r="161" ht="15.75" customHeight="1">
      <c r="A161" s="31"/>
      <c r="B161" s="31"/>
      <c r="C161" s="3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4"/>
      <c r="AN161" s="1"/>
      <c r="AO161" s="1"/>
      <c r="AP161" s="1"/>
      <c r="AQ161" s="1"/>
      <c r="AR161" s="1"/>
      <c r="AS161" s="1"/>
      <c r="AT161" s="1"/>
      <c r="AU161" s="1"/>
    </row>
    <row r="162" ht="15.75" customHeight="1">
      <c r="A162" s="31"/>
      <c r="B162" s="31"/>
      <c r="C162" s="3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4"/>
      <c r="AN162" s="1"/>
      <c r="AO162" s="1"/>
      <c r="AP162" s="1"/>
      <c r="AQ162" s="1"/>
      <c r="AR162" s="1"/>
      <c r="AS162" s="1"/>
      <c r="AT162" s="1"/>
      <c r="AU162" s="1"/>
    </row>
    <row r="163" ht="15.75" customHeight="1">
      <c r="A163" s="31"/>
      <c r="B163" s="31"/>
      <c r="C163" s="3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4"/>
      <c r="AN163" s="1"/>
      <c r="AO163" s="1"/>
      <c r="AP163" s="1"/>
      <c r="AQ163" s="1"/>
      <c r="AR163" s="1"/>
      <c r="AS163" s="1"/>
      <c r="AT163" s="1"/>
      <c r="AU163" s="1"/>
    </row>
    <row r="164" ht="15.75" customHeight="1">
      <c r="A164" s="31"/>
      <c r="B164" s="31"/>
      <c r="C164" s="3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4"/>
      <c r="AN164" s="1"/>
      <c r="AO164" s="1"/>
      <c r="AP164" s="1"/>
      <c r="AQ164" s="1"/>
      <c r="AR164" s="1"/>
      <c r="AS164" s="1"/>
      <c r="AT164" s="1"/>
      <c r="AU164" s="1"/>
    </row>
    <row r="165" ht="15.75" customHeight="1">
      <c r="A165" s="31"/>
      <c r="B165" s="31"/>
      <c r="C165" s="3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4"/>
      <c r="AN165" s="1"/>
      <c r="AO165" s="1"/>
      <c r="AP165" s="1"/>
      <c r="AQ165" s="1"/>
      <c r="AR165" s="1"/>
      <c r="AS165" s="1"/>
      <c r="AT165" s="1"/>
      <c r="AU165" s="1"/>
    </row>
    <row r="166" ht="15.75" customHeight="1">
      <c r="A166" s="31"/>
      <c r="B166" s="31"/>
      <c r="C166" s="3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4"/>
      <c r="AN166" s="1"/>
      <c r="AO166" s="1"/>
      <c r="AP166" s="1"/>
      <c r="AQ166" s="1"/>
      <c r="AR166" s="1"/>
      <c r="AS166" s="1"/>
      <c r="AT166" s="1"/>
      <c r="AU166" s="1"/>
    </row>
    <row r="167" ht="15.75" customHeight="1">
      <c r="A167" s="31"/>
      <c r="B167" s="31"/>
      <c r="C167" s="3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4"/>
      <c r="AN167" s="1"/>
      <c r="AO167" s="1"/>
      <c r="AP167" s="1"/>
      <c r="AQ167" s="1"/>
      <c r="AR167" s="1"/>
      <c r="AS167" s="1"/>
      <c r="AT167" s="1"/>
      <c r="AU167" s="1"/>
    </row>
    <row r="168" ht="15.75" customHeight="1">
      <c r="A168" s="31"/>
      <c r="B168" s="31"/>
      <c r="C168" s="3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4"/>
      <c r="AN168" s="1"/>
      <c r="AO168" s="1"/>
      <c r="AP168" s="1"/>
      <c r="AQ168" s="1"/>
      <c r="AR168" s="1"/>
      <c r="AS168" s="1"/>
      <c r="AT168" s="1"/>
      <c r="AU168" s="1"/>
    </row>
    <row r="169" ht="15.75" customHeight="1">
      <c r="A169" s="31"/>
      <c r="B169" s="31"/>
      <c r="C169" s="3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4"/>
      <c r="AN169" s="1"/>
      <c r="AO169" s="1"/>
      <c r="AP169" s="1"/>
      <c r="AQ169" s="1"/>
      <c r="AR169" s="1"/>
      <c r="AS169" s="1"/>
      <c r="AT169" s="1"/>
      <c r="AU169" s="1"/>
    </row>
    <row r="170" ht="15.75" customHeight="1">
      <c r="A170" s="31"/>
      <c r="B170" s="31"/>
      <c r="C170" s="3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4"/>
      <c r="AN170" s="1"/>
      <c r="AO170" s="1"/>
      <c r="AP170" s="1"/>
      <c r="AQ170" s="1"/>
      <c r="AR170" s="1"/>
      <c r="AS170" s="1"/>
      <c r="AT170" s="1"/>
      <c r="AU170" s="1"/>
    </row>
    <row r="171" ht="15.75" customHeight="1">
      <c r="A171" s="31"/>
      <c r="B171" s="31"/>
      <c r="C171" s="3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4"/>
      <c r="AN171" s="1"/>
      <c r="AO171" s="1"/>
      <c r="AP171" s="1"/>
      <c r="AQ171" s="1"/>
      <c r="AR171" s="1"/>
      <c r="AS171" s="1"/>
      <c r="AT171" s="1"/>
      <c r="AU171" s="1"/>
    </row>
    <row r="172" ht="15.75" customHeight="1">
      <c r="A172" s="31"/>
      <c r="B172" s="31"/>
      <c r="C172" s="3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4"/>
      <c r="AN172" s="1"/>
      <c r="AO172" s="1"/>
      <c r="AP172" s="1"/>
      <c r="AQ172" s="1"/>
      <c r="AR172" s="1"/>
      <c r="AS172" s="1"/>
      <c r="AT172" s="1"/>
      <c r="AU172" s="1"/>
    </row>
    <row r="173" ht="15.75" customHeight="1">
      <c r="A173" s="31"/>
      <c r="B173" s="31"/>
      <c r="C173" s="3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4"/>
      <c r="AN173" s="1"/>
      <c r="AO173" s="1"/>
      <c r="AP173" s="1"/>
      <c r="AQ173" s="1"/>
      <c r="AR173" s="1"/>
      <c r="AS173" s="1"/>
      <c r="AT173" s="1"/>
      <c r="AU173" s="1"/>
    </row>
    <row r="174" ht="15.75" customHeight="1">
      <c r="A174" s="31"/>
      <c r="B174" s="31"/>
      <c r="C174" s="3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4"/>
      <c r="AN174" s="1"/>
      <c r="AO174" s="1"/>
      <c r="AP174" s="1"/>
      <c r="AQ174" s="1"/>
      <c r="AR174" s="1"/>
      <c r="AS174" s="1"/>
      <c r="AT174" s="1"/>
      <c r="AU174" s="1"/>
    </row>
    <row r="175" ht="15.75" customHeight="1">
      <c r="A175" s="31"/>
      <c r="B175" s="31"/>
      <c r="C175" s="3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4"/>
      <c r="AN175" s="1"/>
      <c r="AO175" s="1"/>
      <c r="AP175" s="1"/>
      <c r="AQ175" s="1"/>
      <c r="AR175" s="1"/>
      <c r="AS175" s="1"/>
      <c r="AT175" s="1"/>
      <c r="AU175" s="1"/>
    </row>
    <row r="176" ht="15.75" customHeight="1">
      <c r="A176" s="31"/>
      <c r="B176" s="31"/>
      <c r="C176" s="3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4"/>
      <c r="AN176" s="1"/>
      <c r="AO176" s="1"/>
      <c r="AP176" s="1"/>
      <c r="AQ176" s="1"/>
      <c r="AR176" s="1"/>
      <c r="AS176" s="1"/>
      <c r="AT176" s="1"/>
      <c r="AU176" s="1"/>
    </row>
    <row r="177" ht="15.75" customHeight="1">
      <c r="A177" s="31"/>
      <c r="B177" s="31"/>
      <c r="C177" s="3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4"/>
      <c r="AN177" s="1"/>
      <c r="AO177" s="1"/>
      <c r="AP177" s="1"/>
      <c r="AQ177" s="1"/>
      <c r="AR177" s="1"/>
      <c r="AS177" s="1"/>
      <c r="AT177" s="1"/>
      <c r="AU177" s="1"/>
    </row>
    <row r="178" ht="15.75" customHeight="1">
      <c r="A178" s="31"/>
      <c r="B178" s="31"/>
      <c r="C178" s="3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4"/>
      <c r="AN178" s="1"/>
      <c r="AO178" s="1"/>
      <c r="AP178" s="1"/>
      <c r="AQ178" s="1"/>
      <c r="AR178" s="1"/>
      <c r="AS178" s="1"/>
      <c r="AT178" s="1"/>
      <c r="AU178" s="1"/>
    </row>
    <row r="179" ht="15.75" customHeight="1">
      <c r="A179" s="31"/>
      <c r="B179" s="31"/>
      <c r="C179" s="3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4"/>
      <c r="AN179" s="1"/>
      <c r="AO179" s="1"/>
      <c r="AP179" s="1"/>
      <c r="AQ179" s="1"/>
      <c r="AR179" s="1"/>
      <c r="AS179" s="1"/>
      <c r="AT179" s="1"/>
      <c r="AU179" s="1"/>
    </row>
    <row r="180" ht="15.75" customHeight="1">
      <c r="A180" s="31"/>
      <c r="B180" s="31"/>
      <c r="C180" s="3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4"/>
      <c r="AN180" s="1"/>
      <c r="AO180" s="1"/>
      <c r="AP180" s="1"/>
      <c r="AQ180" s="1"/>
      <c r="AR180" s="1"/>
      <c r="AS180" s="1"/>
      <c r="AT180" s="1"/>
      <c r="AU180" s="1"/>
    </row>
    <row r="181" ht="15.75" customHeight="1">
      <c r="A181" s="31"/>
      <c r="B181" s="31"/>
      <c r="C181" s="3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4"/>
      <c r="AN181" s="1"/>
      <c r="AO181" s="1"/>
      <c r="AP181" s="1"/>
      <c r="AQ181" s="1"/>
      <c r="AR181" s="1"/>
      <c r="AS181" s="1"/>
      <c r="AT181" s="1"/>
      <c r="AU181" s="1"/>
    </row>
    <row r="182" ht="15.75" customHeight="1">
      <c r="A182" s="31"/>
      <c r="B182" s="31"/>
      <c r="C182" s="3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4"/>
      <c r="AN182" s="1"/>
      <c r="AO182" s="1"/>
      <c r="AP182" s="1"/>
      <c r="AQ182" s="1"/>
      <c r="AR182" s="1"/>
      <c r="AS182" s="1"/>
      <c r="AT182" s="1"/>
      <c r="AU182" s="1"/>
    </row>
    <row r="183" ht="15.75" customHeight="1">
      <c r="A183" s="31"/>
      <c r="B183" s="31"/>
      <c r="C183" s="3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4"/>
      <c r="AN183" s="1"/>
      <c r="AO183" s="1"/>
      <c r="AP183" s="1"/>
      <c r="AQ183" s="1"/>
      <c r="AR183" s="1"/>
      <c r="AS183" s="1"/>
      <c r="AT183" s="1"/>
      <c r="AU183" s="1"/>
    </row>
    <row r="184" ht="15.75" customHeight="1">
      <c r="A184" s="31"/>
      <c r="B184" s="31"/>
      <c r="C184" s="3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4"/>
      <c r="AN184" s="1"/>
      <c r="AO184" s="1"/>
      <c r="AP184" s="1"/>
      <c r="AQ184" s="1"/>
      <c r="AR184" s="1"/>
      <c r="AS184" s="1"/>
      <c r="AT184" s="1"/>
      <c r="AU184" s="1"/>
    </row>
    <row r="185" ht="15.75" customHeight="1">
      <c r="A185" s="31"/>
      <c r="B185" s="31"/>
      <c r="C185" s="3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4"/>
      <c r="AN185" s="1"/>
      <c r="AO185" s="1"/>
      <c r="AP185" s="1"/>
      <c r="AQ185" s="1"/>
      <c r="AR185" s="1"/>
      <c r="AS185" s="1"/>
      <c r="AT185" s="1"/>
      <c r="AU185" s="1"/>
    </row>
    <row r="186" ht="15.75" customHeight="1">
      <c r="A186" s="31"/>
      <c r="B186" s="31"/>
      <c r="C186" s="3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4"/>
      <c r="AN186" s="1"/>
      <c r="AO186" s="1"/>
      <c r="AP186" s="1"/>
      <c r="AQ186" s="1"/>
      <c r="AR186" s="1"/>
      <c r="AS186" s="1"/>
      <c r="AT186" s="1"/>
      <c r="AU186" s="1"/>
    </row>
    <row r="187" ht="15.75" customHeight="1">
      <c r="A187" s="31"/>
      <c r="B187" s="31"/>
      <c r="C187" s="3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4"/>
      <c r="AN187" s="1"/>
      <c r="AO187" s="1"/>
      <c r="AP187" s="1"/>
      <c r="AQ187" s="1"/>
      <c r="AR187" s="1"/>
      <c r="AS187" s="1"/>
      <c r="AT187" s="1"/>
      <c r="AU187" s="1"/>
    </row>
    <row r="188" ht="15.75" customHeight="1">
      <c r="A188" s="31"/>
      <c r="B188" s="31"/>
      <c r="C188" s="3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4"/>
      <c r="AN188" s="1"/>
      <c r="AO188" s="1"/>
      <c r="AP188" s="1"/>
      <c r="AQ188" s="1"/>
      <c r="AR188" s="1"/>
      <c r="AS188" s="1"/>
      <c r="AT188" s="1"/>
      <c r="AU188" s="1"/>
    </row>
    <row r="189" ht="15.75" customHeight="1">
      <c r="A189" s="31"/>
      <c r="B189" s="31"/>
      <c r="C189" s="3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4"/>
      <c r="AN189" s="1"/>
      <c r="AO189" s="1"/>
      <c r="AP189" s="1"/>
      <c r="AQ189" s="1"/>
      <c r="AR189" s="1"/>
      <c r="AS189" s="1"/>
      <c r="AT189" s="1"/>
      <c r="AU189" s="1"/>
    </row>
    <row r="190" ht="15.75" customHeight="1">
      <c r="A190" s="31"/>
      <c r="B190" s="31"/>
      <c r="C190" s="3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4"/>
      <c r="AN190" s="1"/>
      <c r="AO190" s="1"/>
      <c r="AP190" s="1"/>
      <c r="AQ190" s="1"/>
      <c r="AR190" s="1"/>
      <c r="AS190" s="1"/>
      <c r="AT190" s="1"/>
      <c r="AU190" s="1"/>
    </row>
    <row r="191" ht="15.75" customHeight="1">
      <c r="A191" s="31"/>
      <c r="B191" s="31"/>
      <c r="C191" s="3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4"/>
      <c r="AN191" s="1"/>
      <c r="AO191" s="1"/>
      <c r="AP191" s="1"/>
      <c r="AQ191" s="1"/>
      <c r="AR191" s="1"/>
      <c r="AS191" s="1"/>
      <c r="AT191" s="1"/>
      <c r="AU191" s="1"/>
    </row>
    <row r="192" ht="15.75" customHeight="1">
      <c r="A192" s="31"/>
      <c r="B192" s="31"/>
      <c r="C192" s="3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4"/>
      <c r="AN192" s="1"/>
      <c r="AO192" s="1"/>
      <c r="AP192" s="1"/>
      <c r="AQ192" s="1"/>
      <c r="AR192" s="1"/>
      <c r="AS192" s="1"/>
      <c r="AT192" s="1"/>
      <c r="AU192" s="1"/>
    </row>
    <row r="193" ht="15.75" customHeight="1">
      <c r="A193" s="31"/>
      <c r="B193" s="31"/>
      <c r="C193" s="3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4"/>
      <c r="AN193" s="1"/>
      <c r="AO193" s="1"/>
      <c r="AP193" s="1"/>
      <c r="AQ193" s="1"/>
      <c r="AR193" s="1"/>
      <c r="AS193" s="1"/>
      <c r="AT193" s="1"/>
      <c r="AU193" s="1"/>
    </row>
    <row r="194" ht="15.75" customHeight="1">
      <c r="A194" s="31"/>
      <c r="B194" s="31"/>
      <c r="C194" s="3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4"/>
      <c r="AN194" s="1"/>
      <c r="AO194" s="1"/>
      <c r="AP194" s="1"/>
      <c r="AQ194" s="1"/>
      <c r="AR194" s="1"/>
      <c r="AS194" s="1"/>
      <c r="AT194" s="1"/>
      <c r="AU194" s="1"/>
    </row>
    <row r="195" ht="15.75" customHeight="1">
      <c r="A195" s="31"/>
      <c r="B195" s="31"/>
      <c r="C195" s="3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4"/>
      <c r="AN195" s="1"/>
      <c r="AO195" s="1"/>
      <c r="AP195" s="1"/>
      <c r="AQ195" s="1"/>
      <c r="AR195" s="1"/>
      <c r="AS195" s="1"/>
      <c r="AT195" s="1"/>
      <c r="AU195" s="1"/>
    </row>
    <row r="196" ht="15.75" customHeight="1">
      <c r="A196" s="31"/>
      <c r="B196" s="31"/>
      <c r="C196" s="3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4"/>
      <c r="AN196" s="1"/>
      <c r="AO196" s="1"/>
      <c r="AP196" s="1"/>
      <c r="AQ196" s="1"/>
      <c r="AR196" s="1"/>
      <c r="AS196" s="1"/>
      <c r="AT196" s="1"/>
      <c r="AU196" s="1"/>
    </row>
    <row r="197" ht="15.75" customHeight="1">
      <c r="A197" s="31"/>
      <c r="B197" s="31"/>
      <c r="C197" s="3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4"/>
      <c r="AN197" s="1"/>
      <c r="AO197" s="1"/>
      <c r="AP197" s="1"/>
      <c r="AQ197" s="1"/>
      <c r="AR197" s="1"/>
      <c r="AS197" s="1"/>
      <c r="AT197" s="1"/>
      <c r="AU197" s="1"/>
    </row>
    <row r="198" ht="15.75" customHeight="1">
      <c r="A198" s="31"/>
      <c r="B198" s="31"/>
      <c r="C198" s="3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4"/>
      <c r="AN198" s="1"/>
      <c r="AO198" s="1"/>
      <c r="AP198" s="1"/>
      <c r="AQ198" s="1"/>
      <c r="AR198" s="1"/>
      <c r="AS198" s="1"/>
      <c r="AT198" s="1"/>
      <c r="AU198" s="1"/>
    </row>
    <row r="199" ht="15.75" customHeight="1">
      <c r="A199" s="31"/>
      <c r="B199" s="31"/>
      <c r="C199" s="3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4"/>
      <c r="AN199" s="1"/>
      <c r="AO199" s="1"/>
      <c r="AP199" s="1"/>
      <c r="AQ199" s="1"/>
      <c r="AR199" s="1"/>
      <c r="AS199" s="1"/>
      <c r="AT199" s="1"/>
      <c r="AU199" s="1"/>
    </row>
    <row r="200" ht="15.75" customHeight="1">
      <c r="A200" s="31"/>
      <c r="B200" s="31"/>
      <c r="C200" s="3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4"/>
      <c r="AN200" s="1"/>
      <c r="AO200" s="1"/>
      <c r="AP200" s="1"/>
      <c r="AQ200" s="1"/>
      <c r="AR200" s="1"/>
      <c r="AS200" s="1"/>
      <c r="AT200" s="1"/>
      <c r="AU200" s="1"/>
    </row>
    <row r="201" ht="15.75" customHeight="1">
      <c r="A201" s="31"/>
      <c r="B201" s="31"/>
      <c r="C201" s="3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4"/>
      <c r="AN201" s="1"/>
      <c r="AO201" s="1"/>
      <c r="AP201" s="1"/>
      <c r="AQ201" s="1"/>
      <c r="AR201" s="1"/>
      <c r="AS201" s="1"/>
      <c r="AT201" s="1"/>
      <c r="AU201" s="1"/>
    </row>
    <row r="202" ht="15.75" customHeight="1">
      <c r="A202" s="31"/>
      <c r="B202" s="31"/>
      <c r="C202" s="3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4"/>
      <c r="AN202" s="1"/>
      <c r="AO202" s="1"/>
      <c r="AP202" s="1"/>
      <c r="AQ202" s="1"/>
      <c r="AR202" s="1"/>
      <c r="AS202" s="1"/>
      <c r="AT202" s="1"/>
      <c r="AU202" s="1"/>
    </row>
    <row r="203" ht="15.75" customHeight="1">
      <c r="A203" s="31"/>
      <c r="B203" s="31"/>
      <c r="C203" s="3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4"/>
      <c r="AN203" s="1"/>
      <c r="AO203" s="1"/>
      <c r="AP203" s="1"/>
      <c r="AQ203" s="1"/>
      <c r="AR203" s="1"/>
      <c r="AS203" s="1"/>
      <c r="AT203" s="1"/>
      <c r="AU203" s="1"/>
    </row>
    <row r="204" ht="15.75" customHeight="1">
      <c r="A204" s="31"/>
      <c r="B204" s="31"/>
      <c r="C204" s="3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4"/>
      <c r="AN204" s="1"/>
      <c r="AO204" s="1"/>
      <c r="AP204" s="1"/>
      <c r="AQ204" s="1"/>
      <c r="AR204" s="1"/>
      <c r="AS204" s="1"/>
      <c r="AT204" s="1"/>
      <c r="AU204" s="1"/>
    </row>
    <row r="205" ht="15.75" customHeight="1">
      <c r="A205" s="31"/>
      <c r="B205" s="31"/>
      <c r="C205" s="3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4"/>
      <c r="AN205" s="1"/>
      <c r="AO205" s="1"/>
      <c r="AP205" s="1"/>
      <c r="AQ205" s="1"/>
      <c r="AR205" s="1"/>
      <c r="AS205" s="1"/>
      <c r="AT205" s="1"/>
      <c r="AU205" s="1"/>
    </row>
    <row r="206" ht="15.75" customHeight="1">
      <c r="A206" s="31"/>
      <c r="B206" s="31"/>
      <c r="C206" s="3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4"/>
      <c r="AN206" s="1"/>
      <c r="AO206" s="1"/>
      <c r="AP206" s="1"/>
      <c r="AQ206" s="1"/>
      <c r="AR206" s="1"/>
      <c r="AS206" s="1"/>
      <c r="AT206" s="1"/>
      <c r="AU206" s="1"/>
    </row>
    <row r="207" ht="15.75" customHeight="1">
      <c r="A207" s="31"/>
      <c r="B207" s="31"/>
      <c r="C207" s="3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4"/>
      <c r="AN207" s="1"/>
      <c r="AO207" s="1"/>
      <c r="AP207" s="1"/>
      <c r="AQ207" s="1"/>
      <c r="AR207" s="1"/>
      <c r="AS207" s="1"/>
      <c r="AT207" s="1"/>
      <c r="AU207" s="1"/>
    </row>
    <row r="208" ht="15.75" customHeight="1">
      <c r="A208" s="31"/>
      <c r="B208" s="31"/>
      <c r="C208" s="3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4"/>
      <c r="AN208" s="1"/>
      <c r="AO208" s="1"/>
      <c r="AP208" s="1"/>
      <c r="AQ208" s="1"/>
      <c r="AR208" s="1"/>
      <c r="AS208" s="1"/>
      <c r="AT208" s="1"/>
      <c r="AU208" s="1"/>
    </row>
    <row r="209" ht="15.75" customHeight="1">
      <c r="A209" s="31"/>
      <c r="B209" s="31"/>
      <c r="C209" s="3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4"/>
      <c r="AN209" s="1"/>
      <c r="AO209" s="1"/>
      <c r="AP209" s="1"/>
      <c r="AQ209" s="1"/>
      <c r="AR209" s="1"/>
      <c r="AS209" s="1"/>
      <c r="AT209" s="1"/>
      <c r="AU209" s="1"/>
    </row>
    <row r="210" ht="15.75" customHeight="1">
      <c r="A210" s="31"/>
      <c r="B210" s="31"/>
      <c r="C210" s="3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4"/>
      <c r="AN210" s="1"/>
      <c r="AO210" s="1"/>
      <c r="AP210" s="1"/>
      <c r="AQ210" s="1"/>
      <c r="AR210" s="1"/>
      <c r="AS210" s="1"/>
      <c r="AT210" s="1"/>
      <c r="AU210" s="1"/>
    </row>
    <row r="211" ht="15.75" customHeight="1">
      <c r="A211" s="31"/>
      <c r="B211" s="31"/>
      <c r="C211" s="3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4"/>
      <c r="AN211" s="1"/>
      <c r="AO211" s="1"/>
      <c r="AP211" s="1"/>
      <c r="AQ211" s="1"/>
      <c r="AR211" s="1"/>
      <c r="AS211" s="1"/>
      <c r="AT211" s="1"/>
      <c r="AU211" s="1"/>
    </row>
    <row r="212" ht="15.75" customHeight="1">
      <c r="A212" s="31"/>
      <c r="B212" s="31"/>
      <c r="C212" s="3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4"/>
      <c r="AN212" s="1"/>
      <c r="AO212" s="1"/>
      <c r="AP212" s="1"/>
      <c r="AQ212" s="1"/>
      <c r="AR212" s="1"/>
      <c r="AS212" s="1"/>
      <c r="AT212" s="1"/>
      <c r="AU212" s="1"/>
    </row>
    <row r="213" ht="15.75" customHeight="1">
      <c r="A213" s="31"/>
      <c r="B213" s="31"/>
      <c r="C213" s="3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4"/>
      <c r="AN213" s="1"/>
      <c r="AO213" s="1"/>
      <c r="AP213" s="1"/>
      <c r="AQ213" s="1"/>
      <c r="AR213" s="1"/>
      <c r="AS213" s="1"/>
      <c r="AT213" s="1"/>
      <c r="AU213" s="1"/>
    </row>
    <row r="214" ht="15.75" customHeight="1">
      <c r="A214" s="31"/>
      <c r="B214" s="31"/>
      <c r="C214" s="3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4"/>
      <c r="AN214" s="1"/>
      <c r="AO214" s="1"/>
      <c r="AP214" s="1"/>
      <c r="AQ214" s="1"/>
      <c r="AR214" s="1"/>
      <c r="AS214" s="1"/>
      <c r="AT214" s="1"/>
      <c r="AU214" s="1"/>
    </row>
    <row r="215" ht="15.75" customHeight="1">
      <c r="A215" s="31"/>
      <c r="B215" s="31"/>
      <c r="C215" s="3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4"/>
      <c r="AN215" s="1"/>
      <c r="AO215" s="1"/>
      <c r="AP215" s="1"/>
      <c r="AQ215" s="1"/>
      <c r="AR215" s="1"/>
      <c r="AS215" s="1"/>
      <c r="AT215" s="1"/>
      <c r="AU215" s="1"/>
    </row>
    <row r="216" ht="15.75" customHeight="1">
      <c r="A216" s="31"/>
      <c r="B216" s="31"/>
      <c r="C216" s="3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4"/>
      <c r="AN216" s="1"/>
      <c r="AO216" s="1"/>
      <c r="AP216" s="1"/>
      <c r="AQ216" s="1"/>
      <c r="AR216" s="1"/>
      <c r="AS216" s="1"/>
      <c r="AT216" s="1"/>
      <c r="AU216" s="1"/>
    </row>
    <row r="217" ht="15.75" customHeight="1">
      <c r="A217" s="31"/>
      <c r="B217" s="31"/>
      <c r="C217" s="3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4"/>
      <c r="AN217" s="1"/>
      <c r="AO217" s="1"/>
      <c r="AP217" s="1"/>
      <c r="AQ217" s="1"/>
      <c r="AR217" s="1"/>
      <c r="AS217" s="1"/>
      <c r="AT217" s="1"/>
      <c r="AU217" s="1"/>
    </row>
    <row r="218" ht="15.75" customHeight="1">
      <c r="A218" s="31"/>
      <c r="B218" s="31"/>
      <c r="C218" s="3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4"/>
      <c r="AN218" s="1"/>
      <c r="AO218" s="1"/>
      <c r="AP218" s="1"/>
      <c r="AQ218" s="1"/>
      <c r="AR218" s="1"/>
      <c r="AS218" s="1"/>
      <c r="AT218" s="1"/>
      <c r="AU218" s="1"/>
    </row>
    <row r="219" ht="15.75" customHeight="1">
      <c r="A219" s="31"/>
      <c r="B219" s="31"/>
      <c r="C219" s="3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4"/>
      <c r="AN219" s="1"/>
      <c r="AO219" s="1"/>
      <c r="AP219" s="1"/>
      <c r="AQ219" s="1"/>
      <c r="AR219" s="1"/>
      <c r="AS219" s="1"/>
      <c r="AT219" s="1"/>
      <c r="AU219" s="1"/>
    </row>
    <row r="220" ht="15.75" customHeight="1">
      <c r="A220" s="31"/>
      <c r="B220" s="31"/>
      <c r="C220" s="3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4"/>
      <c r="AN220" s="1"/>
      <c r="AO220" s="1"/>
      <c r="AP220" s="1"/>
      <c r="AQ220" s="1"/>
      <c r="AR220" s="1"/>
      <c r="AS220" s="1"/>
      <c r="AT220" s="1"/>
      <c r="AU220" s="1"/>
    </row>
    <row r="221" ht="15.75" customHeight="1">
      <c r="A221" s="31"/>
      <c r="B221" s="31"/>
      <c r="C221" s="3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4"/>
      <c r="AN221" s="1"/>
      <c r="AO221" s="1"/>
      <c r="AP221" s="1"/>
      <c r="AQ221" s="1"/>
      <c r="AR221" s="1"/>
      <c r="AS221" s="1"/>
      <c r="AT221" s="1"/>
      <c r="AU221" s="1"/>
    </row>
    <row r="222" ht="15.75" customHeight="1">
      <c r="A222" s="31"/>
      <c r="B222" s="31"/>
      <c r="C222" s="3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4"/>
      <c r="AN222" s="1"/>
      <c r="AO222" s="1"/>
      <c r="AP222" s="1"/>
      <c r="AQ222" s="1"/>
      <c r="AR222" s="1"/>
      <c r="AS222" s="1"/>
      <c r="AT222" s="1"/>
      <c r="AU222" s="1"/>
    </row>
    <row r="223" ht="15.75" customHeight="1">
      <c r="A223" s="31"/>
      <c r="B223" s="31"/>
      <c r="C223" s="3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4"/>
      <c r="AN223" s="1"/>
      <c r="AO223" s="1"/>
      <c r="AP223" s="1"/>
      <c r="AQ223" s="1"/>
      <c r="AR223" s="1"/>
      <c r="AS223" s="1"/>
      <c r="AT223" s="1"/>
      <c r="AU223" s="1"/>
    </row>
    <row r="224" ht="15.75" customHeight="1">
      <c r="A224" s="31"/>
      <c r="B224" s="31"/>
      <c r="C224" s="3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4"/>
      <c r="AN224" s="1"/>
      <c r="AO224" s="1"/>
      <c r="AP224" s="1"/>
      <c r="AQ224" s="1"/>
      <c r="AR224" s="1"/>
      <c r="AS224" s="1"/>
      <c r="AT224" s="1"/>
      <c r="AU224" s="1"/>
    </row>
    <row r="225" ht="15.75" customHeight="1">
      <c r="A225" s="31"/>
      <c r="B225" s="31"/>
      <c r="C225" s="3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4"/>
      <c r="AN225" s="1"/>
      <c r="AO225" s="1"/>
      <c r="AP225" s="1"/>
      <c r="AQ225" s="1"/>
      <c r="AR225" s="1"/>
      <c r="AS225" s="1"/>
      <c r="AT225" s="1"/>
      <c r="AU225" s="1"/>
    </row>
    <row r="226" ht="15.75" customHeight="1">
      <c r="A226" s="31"/>
      <c r="B226" s="31"/>
      <c r="C226" s="3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4"/>
      <c r="AN226" s="1"/>
      <c r="AO226" s="1"/>
      <c r="AP226" s="1"/>
      <c r="AQ226" s="1"/>
      <c r="AR226" s="1"/>
      <c r="AS226" s="1"/>
      <c r="AT226" s="1"/>
      <c r="AU226" s="1"/>
    </row>
    <row r="227" ht="15.75" customHeight="1">
      <c r="A227" s="31"/>
      <c r="B227" s="31"/>
      <c r="C227" s="3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4"/>
      <c r="AN227" s="1"/>
      <c r="AO227" s="1"/>
      <c r="AP227" s="1"/>
      <c r="AQ227" s="1"/>
      <c r="AR227" s="1"/>
      <c r="AS227" s="1"/>
      <c r="AT227" s="1"/>
      <c r="AU227" s="1"/>
    </row>
    <row r="228" ht="15.75" customHeight="1">
      <c r="A228" s="31"/>
      <c r="B228" s="31"/>
      <c r="C228" s="3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4"/>
      <c r="AN228" s="1"/>
      <c r="AO228" s="1"/>
      <c r="AP228" s="1"/>
      <c r="AQ228" s="1"/>
      <c r="AR228" s="1"/>
      <c r="AS228" s="1"/>
      <c r="AT228" s="1"/>
      <c r="AU228" s="1"/>
    </row>
    <row r="229" ht="15.75" customHeight="1">
      <c r="A229" s="31"/>
      <c r="B229" s="31"/>
      <c r="C229" s="3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4"/>
      <c r="AN229" s="1"/>
      <c r="AO229" s="1"/>
      <c r="AP229" s="1"/>
      <c r="AQ229" s="1"/>
      <c r="AR229" s="1"/>
      <c r="AS229" s="1"/>
      <c r="AT229" s="1"/>
      <c r="AU229" s="1"/>
    </row>
    <row r="230" ht="15.75" customHeight="1">
      <c r="A230" s="31"/>
      <c r="B230" s="31"/>
      <c r="C230" s="3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4"/>
      <c r="AN230" s="1"/>
      <c r="AO230" s="1"/>
      <c r="AP230" s="1"/>
      <c r="AQ230" s="1"/>
      <c r="AR230" s="1"/>
      <c r="AS230" s="1"/>
      <c r="AT230" s="1"/>
      <c r="AU230" s="1"/>
    </row>
    <row r="231" ht="15.75" customHeight="1">
      <c r="A231" s="31"/>
      <c r="B231" s="31"/>
      <c r="C231" s="3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4"/>
      <c r="AN231" s="1"/>
      <c r="AO231" s="1"/>
      <c r="AP231" s="1"/>
      <c r="AQ231" s="1"/>
      <c r="AR231" s="1"/>
      <c r="AS231" s="1"/>
      <c r="AT231" s="1"/>
      <c r="AU231" s="1"/>
    </row>
    <row r="232" ht="15.75" customHeight="1">
      <c r="A232" s="31"/>
      <c r="B232" s="31"/>
      <c r="C232" s="3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4"/>
      <c r="AN232" s="1"/>
      <c r="AO232" s="1"/>
      <c r="AP232" s="1"/>
      <c r="AQ232" s="1"/>
      <c r="AR232" s="1"/>
      <c r="AS232" s="1"/>
      <c r="AT232" s="1"/>
      <c r="AU232" s="1"/>
    </row>
    <row r="233" ht="15.75" customHeight="1">
      <c r="A233" s="31"/>
      <c r="B233" s="31"/>
      <c r="C233" s="3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4"/>
      <c r="AN233" s="1"/>
      <c r="AO233" s="1"/>
      <c r="AP233" s="1"/>
      <c r="AQ233" s="1"/>
      <c r="AR233" s="1"/>
      <c r="AS233" s="1"/>
      <c r="AT233" s="1"/>
      <c r="AU233" s="1"/>
    </row>
    <row r="234" ht="15.75" customHeight="1">
      <c r="A234" s="31"/>
      <c r="B234" s="31"/>
      <c r="C234" s="3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4"/>
      <c r="AN234" s="1"/>
      <c r="AO234" s="1"/>
      <c r="AP234" s="1"/>
      <c r="AQ234" s="1"/>
      <c r="AR234" s="1"/>
      <c r="AS234" s="1"/>
      <c r="AT234" s="1"/>
      <c r="AU234" s="1"/>
    </row>
    <row r="235" ht="15.75" customHeight="1">
      <c r="A235" s="31"/>
      <c r="B235" s="31"/>
      <c r="C235" s="3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4"/>
      <c r="AN235" s="1"/>
      <c r="AO235" s="1"/>
      <c r="AP235" s="1"/>
      <c r="AQ235" s="1"/>
      <c r="AR235" s="1"/>
      <c r="AS235" s="1"/>
      <c r="AT235" s="1"/>
      <c r="AU235" s="1"/>
    </row>
    <row r="236" ht="15.75" customHeight="1">
      <c r="A236" s="31"/>
      <c r="B236" s="31"/>
      <c r="C236" s="3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4"/>
      <c r="AN236" s="1"/>
      <c r="AO236" s="1"/>
      <c r="AP236" s="1"/>
      <c r="AQ236" s="1"/>
      <c r="AR236" s="1"/>
      <c r="AS236" s="1"/>
      <c r="AT236" s="1"/>
      <c r="AU236" s="1"/>
    </row>
    <row r="237" ht="15.75" customHeight="1">
      <c r="A237" s="31"/>
      <c r="B237" s="31"/>
      <c r="C237" s="3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4"/>
      <c r="AN237" s="1"/>
      <c r="AO237" s="1"/>
      <c r="AP237" s="1"/>
      <c r="AQ237" s="1"/>
      <c r="AR237" s="1"/>
      <c r="AS237" s="1"/>
      <c r="AT237" s="1"/>
      <c r="AU237" s="1"/>
    </row>
    <row r="238" ht="15.75" customHeight="1">
      <c r="A238" s="31"/>
      <c r="B238" s="31"/>
      <c r="C238" s="3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4"/>
      <c r="AN238" s="1"/>
      <c r="AO238" s="1"/>
      <c r="AP238" s="1"/>
      <c r="AQ238" s="1"/>
      <c r="AR238" s="1"/>
      <c r="AS238" s="1"/>
      <c r="AT238" s="1"/>
      <c r="AU238" s="1"/>
    </row>
    <row r="239" ht="15.75" customHeight="1">
      <c r="A239" s="31"/>
      <c r="B239" s="31"/>
      <c r="C239" s="3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4"/>
      <c r="AN239" s="1"/>
      <c r="AO239" s="1"/>
      <c r="AP239" s="1"/>
      <c r="AQ239" s="1"/>
      <c r="AR239" s="1"/>
      <c r="AS239" s="1"/>
      <c r="AT239" s="1"/>
      <c r="AU239" s="1"/>
    </row>
    <row r="240" ht="15.75" customHeight="1">
      <c r="A240" s="31"/>
      <c r="B240" s="31"/>
      <c r="C240" s="3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4"/>
      <c r="AN240" s="1"/>
      <c r="AO240" s="1"/>
      <c r="AP240" s="1"/>
      <c r="AQ240" s="1"/>
      <c r="AR240" s="1"/>
      <c r="AS240" s="1"/>
      <c r="AT240" s="1"/>
      <c r="AU240" s="1"/>
    </row>
    <row r="241" ht="15.75" customHeight="1">
      <c r="A241" s="31"/>
      <c r="B241" s="31"/>
      <c r="C241" s="3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4"/>
      <c r="AN241" s="1"/>
      <c r="AO241" s="1"/>
      <c r="AP241" s="1"/>
      <c r="AQ241" s="1"/>
      <c r="AR241" s="1"/>
      <c r="AS241" s="1"/>
      <c r="AT241" s="1"/>
      <c r="AU241" s="1"/>
    </row>
    <row r="242" ht="15.75" customHeight="1">
      <c r="A242" s="31"/>
      <c r="B242" s="31"/>
      <c r="C242" s="3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4"/>
      <c r="AN242" s="1"/>
      <c r="AO242" s="1"/>
      <c r="AP242" s="1"/>
      <c r="AQ242" s="1"/>
      <c r="AR242" s="1"/>
      <c r="AS242" s="1"/>
      <c r="AT242" s="1"/>
      <c r="AU242" s="1"/>
    </row>
    <row r="243" ht="15.75" customHeight="1">
      <c r="A243" s="31"/>
      <c r="B243" s="31"/>
      <c r="C243" s="3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4"/>
      <c r="AN243" s="1"/>
      <c r="AO243" s="1"/>
      <c r="AP243" s="1"/>
      <c r="AQ243" s="1"/>
      <c r="AR243" s="1"/>
      <c r="AS243" s="1"/>
      <c r="AT243" s="1"/>
      <c r="AU243" s="1"/>
    </row>
    <row r="244" ht="15.75" customHeight="1">
      <c r="A244" s="31"/>
      <c r="B244" s="31"/>
      <c r="C244" s="3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4"/>
      <c r="AN244" s="1"/>
      <c r="AO244" s="1"/>
      <c r="AP244" s="1"/>
      <c r="AQ244" s="1"/>
      <c r="AR244" s="1"/>
      <c r="AS244" s="1"/>
      <c r="AT244" s="1"/>
      <c r="AU244" s="1"/>
    </row>
    <row r="245" ht="15.75" customHeight="1">
      <c r="A245" s="31"/>
      <c r="B245" s="31"/>
      <c r="C245" s="3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4"/>
      <c r="AN245" s="1"/>
      <c r="AO245" s="1"/>
      <c r="AP245" s="1"/>
      <c r="AQ245" s="1"/>
      <c r="AR245" s="1"/>
      <c r="AS245" s="1"/>
      <c r="AT245" s="1"/>
      <c r="AU245" s="1"/>
    </row>
    <row r="246" ht="15.75" customHeight="1">
      <c r="A246" s="31"/>
      <c r="B246" s="31"/>
      <c r="C246" s="3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4"/>
      <c r="AN246" s="1"/>
      <c r="AO246" s="1"/>
      <c r="AP246" s="1"/>
      <c r="AQ246" s="1"/>
      <c r="AR246" s="1"/>
      <c r="AS246" s="1"/>
      <c r="AT246" s="1"/>
      <c r="AU246" s="1"/>
    </row>
    <row r="247" ht="15.75" customHeight="1">
      <c r="A247" s="31"/>
      <c r="B247" s="31"/>
      <c r="C247" s="3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4"/>
      <c r="AN247" s="1"/>
      <c r="AO247" s="1"/>
      <c r="AP247" s="1"/>
      <c r="AQ247" s="1"/>
      <c r="AR247" s="1"/>
      <c r="AS247" s="1"/>
      <c r="AT247" s="1"/>
      <c r="AU247" s="1"/>
    </row>
    <row r="248" ht="15.75" customHeight="1">
      <c r="A248" s="31"/>
      <c r="B248" s="31"/>
      <c r="C248" s="3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4"/>
      <c r="AN248" s="1"/>
      <c r="AO248" s="1"/>
      <c r="AP248" s="1"/>
      <c r="AQ248" s="1"/>
      <c r="AR248" s="1"/>
      <c r="AS248" s="1"/>
      <c r="AT248" s="1"/>
      <c r="AU248" s="1"/>
    </row>
    <row r="249" ht="15.75" customHeight="1">
      <c r="A249" s="31"/>
      <c r="B249" s="31"/>
      <c r="C249" s="3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4"/>
      <c r="AN249" s="1"/>
      <c r="AO249" s="1"/>
      <c r="AP249" s="1"/>
      <c r="AQ249" s="1"/>
      <c r="AR249" s="1"/>
      <c r="AS249" s="1"/>
      <c r="AT249" s="1"/>
      <c r="AU249" s="1"/>
    </row>
    <row r="250" ht="15.75" customHeight="1">
      <c r="A250" s="31"/>
      <c r="B250" s="31"/>
      <c r="C250" s="3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4"/>
      <c r="AN250" s="1"/>
      <c r="AO250" s="1"/>
      <c r="AP250" s="1"/>
      <c r="AQ250" s="1"/>
      <c r="AR250" s="1"/>
      <c r="AS250" s="1"/>
      <c r="AT250" s="1"/>
      <c r="AU250" s="1"/>
    </row>
    <row r="251" ht="15.75" customHeight="1">
      <c r="A251" s="31"/>
      <c r="B251" s="31"/>
      <c r="C251" s="3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4"/>
      <c r="AN251" s="1"/>
      <c r="AO251" s="1"/>
      <c r="AP251" s="1"/>
      <c r="AQ251" s="1"/>
      <c r="AR251" s="1"/>
      <c r="AS251" s="1"/>
      <c r="AT251" s="1"/>
      <c r="AU251" s="1"/>
    </row>
    <row r="252" ht="15.75" customHeight="1">
      <c r="A252" s="31"/>
      <c r="B252" s="31"/>
      <c r="C252" s="3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4"/>
      <c r="AN252" s="1"/>
      <c r="AO252" s="1"/>
      <c r="AP252" s="1"/>
      <c r="AQ252" s="1"/>
      <c r="AR252" s="1"/>
      <c r="AS252" s="1"/>
      <c r="AT252" s="1"/>
      <c r="AU252" s="1"/>
    </row>
    <row r="253" ht="15.75" customHeight="1">
      <c r="A253" s="31"/>
      <c r="B253" s="31"/>
      <c r="C253" s="3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4"/>
      <c r="AN253" s="1"/>
      <c r="AO253" s="1"/>
      <c r="AP253" s="1"/>
      <c r="AQ253" s="1"/>
      <c r="AR253" s="1"/>
      <c r="AS253" s="1"/>
      <c r="AT253" s="1"/>
      <c r="AU253" s="1"/>
    </row>
    <row r="254" ht="15.75" customHeight="1">
      <c r="A254" s="31"/>
      <c r="B254" s="31"/>
      <c r="C254" s="3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4"/>
      <c r="AN254" s="1"/>
      <c r="AO254" s="1"/>
      <c r="AP254" s="1"/>
      <c r="AQ254" s="1"/>
      <c r="AR254" s="1"/>
      <c r="AS254" s="1"/>
      <c r="AT254" s="1"/>
      <c r="AU254" s="1"/>
    </row>
    <row r="255" ht="15.75" customHeight="1">
      <c r="A255" s="31"/>
      <c r="B255" s="31"/>
      <c r="C255" s="3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4"/>
      <c r="AN255" s="1"/>
      <c r="AO255" s="1"/>
      <c r="AP255" s="1"/>
      <c r="AQ255" s="1"/>
      <c r="AR255" s="1"/>
      <c r="AS255" s="1"/>
      <c r="AT255" s="1"/>
      <c r="AU255" s="1"/>
    </row>
    <row r="256" ht="15.75" customHeight="1">
      <c r="A256" s="31"/>
      <c r="B256" s="31"/>
      <c r="C256" s="3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4"/>
      <c r="AN256" s="1"/>
      <c r="AO256" s="1"/>
      <c r="AP256" s="1"/>
      <c r="AQ256" s="1"/>
      <c r="AR256" s="1"/>
      <c r="AS256" s="1"/>
      <c r="AT256" s="1"/>
      <c r="AU256" s="1"/>
    </row>
    <row r="257" ht="15.75" customHeight="1">
      <c r="A257" s="31"/>
      <c r="B257" s="31"/>
      <c r="C257" s="3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4"/>
      <c r="AN257" s="1"/>
      <c r="AO257" s="1"/>
      <c r="AP257" s="1"/>
      <c r="AQ257" s="1"/>
      <c r="AR257" s="1"/>
      <c r="AS257" s="1"/>
      <c r="AT257" s="1"/>
      <c r="AU257" s="1"/>
    </row>
    <row r="258" ht="15.75" customHeight="1">
      <c r="A258" s="31"/>
      <c r="B258" s="31"/>
      <c r="C258" s="3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4"/>
      <c r="AN258" s="1"/>
      <c r="AO258" s="1"/>
      <c r="AP258" s="1"/>
      <c r="AQ258" s="1"/>
      <c r="AR258" s="1"/>
      <c r="AS258" s="1"/>
      <c r="AT258" s="1"/>
      <c r="AU258" s="1"/>
    </row>
    <row r="259" ht="15.75" customHeight="1">
      <c r="A259" s="31"/>
      <c r="B259" s="31"/>
      <c r="C259" s="3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4"/>
      <c r="AN259" s="1"/>
      <c r="AO259" s="1"/>
      <c r="AP259" s="1"/>
      <c r="AQ259" s="1"/>
      <c r="AR259" s="1"/>
      <c r="AS259" s="1"/>
      <c r="AT259" s="1"/>
      <c r="AU259" s="1"/>
    </row>
    <row r="260" ht="15.75" customHeight="1">
      <c r="A260" s="31"/>
      <c r="B260" s="31"/>
      <c r="C260" s="3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4"/>
      <c r="AN260" s="1"/>
      <c r="AO260" s="1"/>
      <c r="AP260" s="1"/>
      <c r="AQ260" s="1"/>
      <c r="AR260" s="1"/>
      <c r="AS260" s="1"/>
      <c r="AT260" s="1"/>
      <c r="AU260" s="1"/>
    </row>
    <row r="261" ht="15.75" customHeight="1">
      <c r="A261" s="31"/>
      <c r="B261" s="31"/>
      <c r="C261" s="3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4"/>
      <c r="AN261" s="1"/>
      <c r="AO261" s="1"/>
      <c r="AP261" s="1"/>
      <c r="AQ261" s="1"/>
      <c r="AR261" s="1"/>
      <c r="AS261" s="1"/>
      <c r="AT261" s="1"/>
      <c r="AU261" s="1"/>
    </row>
    <row r="262" ht="15.75" customHeight="1">
      <c r="A262" s="31"/>
      <c r="B262" s="31"/>
      <c r="C262" s="3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4"/>
      <c r="AN262" s="1"/>
      <c r="AO262" s="1"/>
      <c r="AP262" s="1"/>
      <c r="AQ262" s="1"/>
      <c r="AR262" s="1"/>
      <c r="AS262" s="1"/>
      <c r="AT262" s="1"/>
      <c r="AU262" s="1"/>
    </row>
    <row r="263" ht="15.75" customHeight="1">
      <c r="A263" s="31"/>
      <c r="B263" s="31"/>
      <c r="C263" s="3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4"/>
      <c r="AN263" s="1"/>
      <c r="AO263" s="1"/>
      <c r="AP263" s="1"/>
      <c r="AQ263" s="1"/>
      <c r="AR263" s="1"/>
      <c r="AS263" s="1"/>
      <c r="AT263" s="1"/>
      <c r="AU263" s="1"/>
    </row>
    <row r="264" ht="15.75" customHeight="1">
      <c r="A264" s="31"/>
      <c r="B264" s="31"/>
      <c r="C264" s="3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4"/>
      <c r="AN264" s="1"/>
      <c r="AO264" s="1"/>
      <c r="AP264" s="1"/>
      <c r="AQ264" s="1"/>
      <c r="AR264" s="1"/>
      <c r="AS264" s="1"/>
      <c r="AT264" s="1"/>
      <c r="AU264" s="1"/>
    </row>
    <row r="265" ht="15.75" customHeight="1">
      <c r="A265" s="31"/>
      <c r="B265" s="31"/>
      <c r="C265" s="3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4"/>
      <c r="AN265" s="1"/>
      <c r="AO265" s="1"/>
      <c r="AP265" s="1"/>
      <c r="AQ265" s="1"/>
      <c r="AR265" s="1"/>
      <c r="AS265" s="1"/>
      <c r="AT265" s="1"/>
      <c r="AU265" s="1"/>
    </row>
    <row r="266" ht="15.75" customHeight="1">
      <c r="A266" s="31"/>
      <c r="B266" s="31"/>
      <c r="C266" s="3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4"/>
      <c r="AN266" s="1"/>
      <c r="AO266" s="1"/>
      <c r="AP266" s="1"/>
      <c r="AQ266" s="1"/>
      <c r="AR266" s="1"/>
      <c r="AS266" s="1"/>
      <c r="AT266" s="1"/>
      <c r="AU266" s="1"/>
    </row>
    <row r="267" ht="15.75" customHeight="1">
      <c r="A267" s="31"/>
      <c r="B267" s="31"/>
      <c r="C267" s="3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4"/>
      <c r="AN267" s="1"/>
      <c r="AO267" s="1"/>
      <c r="AP267" s="1"/>
      <c r="AQ267" s="1"/>
      <c r="AR267" s="1"/>
      <c r="AS267" s="1"/>
      <c r="AT267" s="1"/>
      <c r="AU267" s="1"/>
    </row>
    <row r="268" ht="15.75" customHeight="1">
      <c r="A268" s="31"/>
      <c r="B268" s="31"/>
      <c r="C268" s="3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4"/>
      <c r="AN268" s="1"/>
      <c r="AO268" s="1"/>
      <c r="AP268" s="1"/>
      <c r="AQ268" s="1"/>
      <c r="AR268" s="1"/>
      <c r="AS268" s="1"/>
      <c r="AT268" s="1"/>
      <c r="AU268" s="1"/>
    </row>
    <row r="269" ht="15.75" customHeight="1">
      <c r="A269" s="31"/>
      <c r="B269" s="31"/>
      <c r="C269" s="3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4"/>
      <c r="AN269" s="1"/>
      <c r="AO269" s="1"/>
      <c r="AP269" s="1"/>
      <c r="AQ269" s="1"/>
      <c r="AR269" s="1"/>
      <c r="AS269" s="1"/>
      <c r="AT269" s="1"/>
      <c r="AU269" s="1"/>
    </row>
    <row r="270" ht="15.75" customHeight="1">
      <c r="A270" s="31"/>
      <c r="B270" s="31"/>
      <c r="C270" s="3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4"/>
      <c r="AN270" s="1"/>
      <c r="AO270" s="1"/>
      <c r="AP270" s="1"/>
      <c r="AQ270" s="1"/>
      <c r="AR270" s="1"/>
      <c r="AS270" s="1"/>
      <c r="AT270" s="1"/>
      <c r="AU270" s="1"/>
    </row>
    <row r="271" ht="15.75" customHeight="1">
      <c r="A271" s="31"/>
      <c r="B271" s="31"/>
      <c r="C271" s="3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4"/>
      <c r="AN271" s="1"/>
      <c r="AO271" s="1"/>
      <c r="AP271" s="1"/>
      <c r="AQ271" s="1"/>
      <c r="AR271" s="1"/>
      <c r="AS271" s="1"/>
      <c r="AT271" s="1"/>
      <c r="AU271" s="1"/>
    </row>
    <row r="272" ht="15.75" customHeight="1">
      <c r="A272" s="31"/>
      <c r="B272" s="31"/>
      <c r="C272" s="3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4"/>
      <c r="AN272" s="1"/>
      <c r="AO272" s="1"/>
      <c r="AP272" s="1"/>
      <c r="AQ272" s="1"/>
      <c r="AR272" s="1"/>
      <c r="AS272" s="1"/>
      <c r="AT272" s="1"/>
      <c r="AU272" s="1"/>
    </row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6">
    <mergeCell ref="A7:A9"/>
    <mergeCell ref="B7:B9"/>
    <mergeCell ref="C7:C9"/>
    <mergeCell ref="AM7:AM9"/>
    <mergeCell ref="A2:A3"/>
    <mergeCell ref="B2:B3"/>
    <mergeCell ref="C2:C3"/>
    <mergeCell ref="D2:D3"/>
    <mergeCell ref="A4:A6"/>
    <mergeCell ref="B4:B6"/>
    <mergeCell ref="C4:C6"/>
    <mergeCell ref="B16:B18"/>
    <mergeCell ref="C16:C18"/>
    <mergeCell ref="AM16:AM18"/>
    <mergeCell ref="A19:A21"/>
    <mergeCell ref="B19:B21"/>
    <mergeCell ref="C19:C21"/>
    <mergeCell ref="AM19:AM21"/>
    <mergeCell ref="A10:A12"/>
    <mergeCell ref="B10:B12"/>
    <mergeCell ref="C10:C12"/>
    <mergeCell ref="A13:A15"/>
    <mergeCell ref="B13:B15"/>
    <mergeCell ref="C13:C15"/>
    <mergeCell ref="A16:A18"/>
    <mergeCell ref="B28:B30"/>
    <mergeCell ref="C28:C30"/>
    <mergeCell ref="A22:A24"/>
    <mergeCell ref="B22:B24"/>
    <mergeCell ref="C22:C24"/>
    <mergeCell ref="A25:A27"/>
    <mergeCell ref="B25:B27"/>
    <mergeCell ref="C25:C27"/>
    <mergeCell ref="A28:A30"/>
    <mergeCell ref="B64:B66"/>
    <mergeCell ref="C64:C66"/>
    <mergeCell ref="A58:A60"/>
    <mergeCell ref="B58:B60"/>
    <mergeCell ref="C58:C60"/>
    <mergeCell ref="A61:A63"/>
    <mergeCell ref="B61:B63"/>
    <mergeCell ref="C61:C63"/>
    <mergeCell ref="A64:A66"/>
    <mergeCell ref="B37:B39"/>
    <mergeCell ref="C37:C39"/>
    <mergeCell ref="A31:A33"/>
    <mergeCell ref="B31:B33"/>
    <mergeCell ref="C31:C33"/>
    <mergeCell ref="A34:A36"/>
    <mergeCell ref="B34:B36"/>
    <mergeCell ref="C34:C36"/>
    <mergeCell ref="A37:A39"/>
    <mergeCell ref="B46:B48"/>
    <mergeCell ref="C46:C48"/>
    <mergeCell ref="A40:A42"/>
    <mergeCell ref="B40:B42"/>
    <mergeCell ref="C40:C42"/>
    <mergeCell ref="A43:A45"/>
    <mergeCell ref="B43:B45"/>
    <mergeCell ref="C43:C45"/>
    <mergeCell ref="A46:A48"/>
    <mergeCell ref="B55:B57"/>
    <mergeCell ref="C55:C57"/>
    <mergeCell ref="A49:A51"/>
    <mergeCell ref="B49:B51"/>
    <mergeCell ref="C49:C51"/>
    <mergeCell ref="A52:A54"/>
    <mergeCell ref="B52:B54"/>
    <mergeCell ref="C52:C54"/>
    <mergeCell ref="A55:A57"/>
    <mergeCell ref="A67:A69"/>
    <mergeCell ref="B67:B69"/>
    <mergeCell ref="C67:C69"/>
    <mergeCell ref="A70:A72"/>
    <mergeCell ref="B70:B72"/>
    <mergeCell ref="C70:C72"/>
  </mergeCells>
  <printOptions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4" width="12.63"/>
    <col customWidth="1" min="5" max="35" width="2.63"/>
    <col customWidth="1" min="36" max="36" width="5.25"/>
    <col customWidth="1" min="37" max="37" width="5.63"/>
    <col customWidth="1" min="38" max="38" width="7.63"/>
    <col customWidth="1" min="39" max="39" width="25.75"/>
    <col customWidth="1" min="40" max="47" width="2.63"/>
  </cols>
  <sheetData>
    <row r="1" ht="15.75" customHeight="1">
      <c r="A1" s="1">
        <v>2025.0</v>
      </c>
      <c r="B1" s="1">
        <v>4.0</v>
      </c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4"/>
      <c r="AN1" s="1"/>
      <c r="AO1" s="1"/>
      <c r="AP1" s="1"/>
      <c r="AQ1" s="1"/>
      <c r="AR1" s="1"/>
      <c r="AS1" s="1"/>
      <c r="AT1" s="1"/>
      <c r="AU1" s="1"/>
    </row>
    <row r="2" ht="15.75" customHeight="1">
      <c r="A2" s="5" t="s">
        <v>0</v>
      </c>
      <c r="B2" s="5" t="s">
        <v>1</v>
      </c>
      <c r="C2" s="5" t="s">
        <v>2</v>
      </c>
      <c r="D2" s="6"/>
      <c r="E2" s="7">
        <f>DATE($A$1,$B$1,1)</f>
        <v>45748</v>
      </c>
      <c r="F2" s="7">
        <f>DATE($A$1,$B$1,2)</f>
        <v>45749</v>
      </c>
      <c r="G2" s="7">
        <f>DATE($A$1,$B$1,3)</f>
        <v>45750</v>
      </c>
      <c r="H2" s="7">
        <f>DATE($A$1,$B$1,4)</f>
        <v>45751</v>
      </c>
      <c r="I2" s="7">
        <f>DATE($A$1,$B$1,5)</f>
        <v>45752</v>
      </c>
      <c r="J2" s="7">
        <f>DATE($A$1,$B$1,6)</f>
        <v>45753</v>
      </c>
      <c r="K2" s="7">
        <f>DATE($A$1,$B$1,7)</f>
        <v>45754</v>
      </c>
      <c r="L2" s="7">
        <f>DATE($A$1,$B$1,8)</f>
        <v>45755</v>
      </c>
      <c r="M2" s="7">
        <f>DATE($A$1,$B$1,9)</f>
        <v>45756</v>
      </c>
      <c r="N2" s="7">
        <f>DATE($A$1,$B$1,10)</f>
        <v>45757</v>
      </c>
      <c r="O2" s="7">
        <f>DATE($A$1,$B$1,11)</f>
        <v>45758</v>
      </c>
      <c r="P2" s="7">
        <f>DATE($A$1,$B$1,12)</f>
        <v>45759</v>
      </c>
      <c r="Q2" s="7">
        <f>DATE($A$1,$B$1,13)</f>
        <v>45760</v>
      </c>
      <c r="R2" s="7">
        <f>DATE($A$1,$B$1,14)</f>
        <v>45761</v>
      </c>
      <c r="S2" s="7">
        <f>DATE($A$1,$B$1,15)</f>
        <v>45762</v>
      </c>
      <c r="T2" s="7">
        <f>DATE($A$1,$B$1,16)</f>
        <v>45763</v>
      </c>
      <c r="U2" s="7">
        <f>DATE($A$1,$B$1,17)</f>
        <v>45764</v>
      </c>
      <c r="V2" s="7">
        <f>DATE($A$1,$B$1,18)</f>
        <v>45765</v>
      </c>
      <c r="W2" s="7">
        <f>DATE($A$1,$B$1,19)</f>
        <v>45766</v>
      </c>
      <c r="X2" s="7">
        <f>DATE($A$1,$B$1,20)</f>
        <v>45767</v>
      </c>
      <c r="Y2" s="7">
        <f>DATE($A$1,$B$1,21)</f>
        <v>45768</v>
      </c>
      <c r="Z2" s="7">
        <f>DATE($A$1,$B$1,22)</f>
        <v>45769</v>
      </c>
      <c r="AA2" s="7">
        <f>DATE($A$1,$B$1,23)</f>
        <v>45770</v>
      </c>
      <c r="AB2" s="7">
        <f>DATE($A$1,$B$1,24)</f>
        <v>45771</v>
      </c>
      <c r="AC2" s="7">
        <f>DATE($A$1,$B$1,25)</f>
        <v>45772</v>
      </c>
      <c r="AD2" s="7">
        <f>DATE($A$1,$B$1,26)</f>
        <v>45773</v>
      </c>
      <c r="AE2" s="7">
        <f>DATE($A$1,$B$1,27)</f>
        <v>45774</v>
      </c>
      <c r="AF2" s="7">
        <f>DATE($A$1,$B$1,28)</f>
        <v>45775</v>
      </c>
      <c r="AG2" s="7">
        <f>DATE($A$1,$B$1,29)</f>
        <v>45776</v>
      </c>
      <c r="AH2" s="7">
        <f>DATE($A$1,$B$1,30)</f>
        <v>45777</v>
      </c>
      <c r="AI2" s="7">
        <f>DATE($A$1,$B$1,31)</f>
        <v>45778</v>
      </c>
      <c r="AJ2" s="8" t="s">
        <v>3</v>
      </c>
      <c r="AK2" s="9"/>
      <c r="AL2" s="8" t="s">
        <v>4</v>
      </c>
      <c r="AM2" s="4"/>
      <c r="AN2" s="1"/>
      <c r="AO2" s="1"/>
      <c r="AP2" s="1"/>
      <c r="AQ2" s="1"/>
      <c r="AR2" s="1"/>
      <c r="AS2" s="1"/>
      <c r="AT2" s="1"/>
      <c r="AU2" s="1"/>
    </row>
    <row r="3" ht="15.75" customHeight="1">
      <c r="A3" s="10"/>
      <c r="B3" s="10"/>
      <c r="C3" s="10"/>
      <c r="D3" s="10"/>
      <c r="E3" s="11" t="str">
        <f t="shared" ref="E3:AI3" si="1">TEXT(E2,"ddd")</f>
        <v>火</v>
      </c>
      <c r="F3" s="11" t="str">
        <f t="shared" si="1"/>
        <v>水</v>
      </c>
      <c r="G3" s="11" t="str">
        <f t="shared" si="1"/>
        <v>木</v>
      </c>
      <c r="H3" s="11" t="str">
        <f t="shared" si="1"/>
        <v>金</v>
      </c>
      <c r="I3" s="11" t="str">
        <f t="shared" si="1"/>
        <v>土</v>
      </c>
      <c r="J3" s="11" t="str">
        <f t="shared" si="1"/>
        <v>日</v>
      </c>
      <c r="K3" s="11" t="str">
        <f t="shared" si="1"/>
        <v>月</v>
      </c>
      <c r="L3" s="11" t="str">
        <f t="shared" si="1"/>
        <v>火</v>
      </c>
      <c r="M3" s="11" t="str">
        <f t="shared" si="1"/>
        <v>水</v>
      </c>
      <c r="N3" s="11" t="str">
        <f t="shared" si="1"/>
        <v>木</v>
      </c>
      <c r="O3" s="11" t="str">
        <f t="shared" si="1"/>
        <v>金</v>
      </c>
      <c r="P3" s="11" t="str">
        <f t="shared" si="1"/>
        <v>土</v>
      </c>
      <c r="Q3" s="11" t="str">
        <f t="shared" si="1"/>
        <v>日</v>
      </c>
      <c r="R3" s="11" t="str">
        <f t="shared" si="1"/>
        <v>月</v>
      </c>
      <c r="S3" s="11" t="str">
        <f t="shared" si="1"/>
        <v>火</v>
      </c>
      <c r="T3" s="11" t="str">
        <f t="shared" si="1"/>
        <v>水</v>
      </c>
      <c r="U3" s="11" t="str">
        <f t="shared" si="1"/>
        <v>木</v>
      </c>
      <c r="V3" s="11" t="str">
        <f t="shared" si="1"/>
        <v>金</v>
      </c>
      <c r="W3" s="11" t="str">
        <f t="shared" si="1"/>
        <v>土</v>
      </c>
      <c r="X3" s="11" t="str">
        <f t="shared" si="1"/>
        <v>日</v>
      </c>
      <c r="Y3" s="11" t="str">
        <f t="shared" si="1"/>
        <v>月</v>
      </c>
      <c r="Z3" s="11" t="str">
        <f t="shared" si="1"/>
        <v>火</v>
      </c>
      <c r="AA3" s="11" t="str">
        <f t="shared" si="1"/>
        <v>水</v>
      </c>
      <c r="AB3" s="11" t="str">
        <f t="shared" si="1"/>
        <v>木</v>
      </c>
      <c r="AC3" s="11" t="str">
        <f t="shared" si="1"/>
        <v>金</v>
      </c>
      <c r="AD3" s="11" t="str">
        <f t="shared" si="1"/>
        <v>土</v>
      </c>
      <c r="AE3" s="11" t="str">
        <f t="shared" si="1"/>
        <v>日</v>
      </c>
      <c r="AF3" s="11" t="str">
        <f t="shared" si="1"/>
        <v>月</v>
      </c>
      <c r="AG3" s="11" t="str">
        <f t="shared" si="1"/>
        <v>火</v>
      </c>
      <c r="AH3" s="11" t="str">
        <f t="shared" si="1"/>
        <v>水</v>
      </c>
      <c r="AI3" s="11" t="str">
        <f t="shared" si="1"/>
        <v>木</v>
      </c>
      <c r="AJ3" s="9"/>
      <c r="AK3" s="9"/>
      <c r="AL3" s="6"/>
      <c r="AM3" s="4"/>
      <c r="AN3" s="1"/>
      <c r="AO3" s="1"/>
      <c r="AP3" s="1"/>
      <c r="AQ3" s="1"/>
      <c r="AR3" s="1"/>
      <c r="AS3" s="1"/>
      <c r="AT3" s="1"/>
      <c r="AU3" s="1"/>
    </row>
    <row r="4" ht="15.75" hidden="1" customHeight="1">
      <c r="A4" s="12" t="s">
        <v>30</v>
      </c>
      <c r="B4" s="12" t="s">
        <v>31</v>
      </c>
      <c r="C4" s="12"/>
      <c r="D4" s="13" t="s">
        <v>5</v>
      </c>
      <c r="E4" s="13">
        <v>1.0</v>
      </c>
      <c r="F4" s="13">
        <v>1.0</v>
      </c>
      <c r="G4" s="13">
        <v>1.0</v>
      </c>
      <c r="H4" s="13">
        <v>1.0</v>
      </c>
      <c r="I4" s="13">
        <v>1.0</v>
      </c>
      <c r="J4" s="13">
        <v>1.0</v>
      </c>
      <c r="K4" s="13">
        <v>1.0</v>
      </c>
      <c r="L4" s="13">
        <v>1.0</v>
      </c>
      <c r="M4" s="13">
        <v>1.0</v>
      </c>
      <c r="N4" s="13">
        <v>1.0</v>
      </c>
      <c r="O4" s="13">
        <v>1.0</v>
      </c>
      <c r="P4" s="13">
        <v>1.0</v>
      </c>
      <c r="Q4" s="13">
        <v>1.0</v>
      </c>
      <c r="R4" s="13">
        <v>1.0</v>
      </c>
      <c r="S4" s="13">
        <v>1.0</v>
      </c>
      <c r="T4" s="13">
        <v>1.0</v>
      </c>
      <c r="U4" s="13">
        <v>1.0</v>
      </c>
      <c r="V4" s="13">
        <v>1.0</v>
      </c>
      <c r="W4" s="13">
        <v>1.0</v>
      </c>
      <c r="X4" s="13">
        <v>1.0</v>
      </c>
      <c r="Y4" s="13">
        <v>1.0</v>
      </c>
      <c r="Z4" s="13">
        <v>1.0</v>
      </c>
      <c r="AA4" s="13">
        <v>1.0</v>
      </c>
      <c r="AB4" s="13">
        <v>1.0</v>
      </c>
      <c r="AC4" s="13">
        <v>1.0</v>
      </c>
      <c r="AD4" s="13">
        <v>1.0</v>
      </c>
      <c r="AE4" s="13">
        <v>1.0</v>
      </c>
      <c r="AF4" s="13">
        <v>1.0</v>
      </c>
      <c r="AG4" s="13">
        <v>1.0</v>
      </c>
      <c r="AH4" s="13">
        <v>1.0</v>
      </c>
      <c r="AI4" s="13">
        <v>0.0</v>
      </c>
      <c r="AJ4" s="13">
        <f t="shared" ref="AJ4:AJ72" si="2">SUM(E4:AI4)</f>
        <v>30</v>
      </c>
      <c r="AK4" s="14">
        <f>330*AJ4</f>
        <v>9900</v>
      </c>
      <c r="AL4" s="15"/>
      <c r="AM4" s="4"/>
      <c r="AN4" s="1"/>
      <c r="AO4" s="1"/>
      <c r="AP4" s="1"/>
      <c r="AQ4" s="1"/>
      <c r="AR4" s="1"/>
      <c r="AS4" s="1"/>
      <c r="AT4" s="1"/>
      <c r="AU4" s="1"/>
    </row>
    <row r="5" ht="15.75" hidden="1" customHeight="1">
      <c r="A5" s="16"/>
      <c r="B5" s="16"/>
      <c r="C5" s="16"/>
      <c r="D5" s="13" t="s">
        <v>6</v>
      </c>
      <c r="E5" s="13">
        <v>1.0</v>
      </c>
      <c r="F5" s="13">
        <v>1.0</v>
      </c>
      <c r="G5" s="13">
        <v>1.0</v>
      </c>
      <c r="H5" s="13">
        <v>1.0</v>
      </c>
      <c r="I5" s="13">
        <v>1.0</v>
      </c>
      <c r="J5" s="13">
        <v>1.0</v>
      </c>
      <c r="K5" s="13">
        <v>1.0</v>
      </c>
      <c r="L5" s="13">
        <v>1.0</v>
      </c>
      <c r="M5" s="13">
        <v>1.0</v>
      </c>
      <c r="N5" s="13">
        <v>1.0</v>
      </c>
      <c r="O5" s="13">
        <v>1.0</v>
      </c>
      <c r="P5" s="13">
        <v>1.0</v>
      </c>
      <c r="Q5" s="13">
        <v>1.0</v>
      </c>
      <c r="R5" s="13">
        <v>1.0</v>
      </c>
      <c r="S5" s="13">
        <v>1.0</v>
      </c>
      <c r="T5" s="13">
        <v>1.0</v>
      </c>
      <c r="U5" s="13">
        <v>1.0</v>
      </c>
      <c r="V5" s="13">
        <v>1.0</v>
      </c>
      <c r="W5" s="13">
        <v>1.0</v>
      </c>
      <c r="X5" s="13">
        <v>1.0</v>
      </c>
      <c r="Y5" s="13">
        <v>1.0</v>
      </c>
      <c r="Z5" s="13">
        <v>1.0</v>
      </c>
      <c r="AA5" s="13">
        <v>1.0</v>
      </c>
      <c r="AB5" s="13">
        <v>1.0</v>
      </c>
      <c r="AC5" s="13">
        <v>1.0</v>
      </c>
      <c r="AD5" s="13">
        <v>1.0</v>
      </c>
      <c r="AE5" s="13">
        <v>1.0</v>
      </c>
      <c r="AF5" s="13">
        <v>1.0</v>
      </c>
      <c r="AG5" s="13">
        <v>1.0</v>
      </c>
      <c r="AH5" s="13">
        <v>1.0</v>
      </c>
      <c r="AI5" s="13">
        <v>0.0</v>
      </c>
      <c r="AJ5" s="13">
        <f t="shared" si="2"/>
        <v>30</v>
      </c>
      <c r="AK5" s="14">
        <f t="shared" ref="AK5:AK6" si="3">550*AJ5</f>
        <v>16500</v>
      </c>
      <c r="AL5" s="19"/>
      <c r="AM5" s="4"/>
      <c r="AN5" s="1"/>
      <c r="AO5" s="1"/>
      <c r="AP5" s="1"/>
      <c r="AQ5" s="1"/>
      <c r="AR5" s="1"/>
      <c r="AS5" s="1"/>
      <c r="AT5" s="1"/>
      <c r="AU5" s="1"/>
    </row>
    <row r="6" ht="15.75" hidden="1" customHeight="1">
      <c r="A6" s="10"/>
      <c r="B6" s="10"/>
      <c r="C6" s="10"/>
      <c r="D6" s="13" t="s">
        <v>7</v>
      </c>
      <c r="E6" s="13">
        <v>1.0</v>
      </c>
      <c r="F6" s="13">
        <v>1.0</v>
      </c>
      <c r="G6" s="13">
        <v>1.0</v>
      </c>
      <c r="H6" s="13">
        <v>1.0</v>
      </c>
      <c r="I6" s="13">
        <v>1.0</v>
      </c>
      <c r="J6" s="13">
        <v>1.0</v>
      </c>
      <c r="K6" s="13">
        <v>1.0</v>
      </c>
      <c r="L6" s="13">
        <v>1.0</v>
      </c>
      <c r="M6" s="13">
        <v>1.0</v>
      </c>
      <c r="N6" s="13">
        <v>1.0</v>
      </c>
      <c r="O6" s="13">
        <v>1.0</v>
      </c>
      <c r="P6" s="13">
        <v>1.0</v>
      </c>
      <c r="Q6" s="13">
        <v>1.0</v>
      </c>
      <c r="R6" s="13">
        <v>1.0</v>
      </c>
      <c r="S6" s="13">
        <v>1.0</v>
      </c>
      <c r="T6" s="13">
        <v>1.0</v>
      </c>
      <c r="U6" s="13">
        <v>1.0</v>
      </c>
      <c r="V6" s="13">
        <v>1.0</v>
      </c>
      <c r="W6" s="13">
        <v>1.0</v>
      </c>
      <c r="X6" s="13">
        <v>1.0</v>
      </c>
      <c r="Y6" s="13">
        <v>1.0</v>
      </c>
      <c r="Z6" s="13">
        <v>1.0</v>
      </c>
      <c r="AA6" s="13">
        <v>1.0</v>
      </c>
      <c r="AB6" s="13">
        <v>1.0</v>
      </c>
      <c r="AC6" s="13">
        <v>1.0</v>
      </c>
      <c r="AD6" s="13">
        <v>1.0</v>
      </c>
      <c r="AE6" s="13">
        <v>1.0</v>
      </c>
      <c r="AF6" s="13">
        <v>1.0</v>
      </c>
      <c r="AG6" s="13">
        <v>1.0</v>
      </c>
      <c r="AH6" s="13">
        <v>1.0</v>
      </c>
      <c r="AI6" s="13">
        <v>0.0</v>
      </c>
      <c r="AJ6" s="13">
        <f t="shared" si="2"/>
        <v>30</v>
      </c>
      <c r="AK6" s="14">
        <f t="shared" si="3"/>
        <v>16500</v>
      </c>
      <c r="AL6" s="20">
        <f>SUM(AK4:AK6)</f>
        <v>42900</v>
      </c>
      <c r="AM6" s="4"/>
      <c r="AN6" s="1"/>
      <c r="AO6" s="1"/>
      <c r="AP6" s="1"/>
      <c r="AQ6" s="1"/>
      <c r="AR6" s="1"/>
      <c r="AS6" s="1"/>
      <c r="AT6" s="1"/>
      <c r="AU6" s="1"/>
    </row>
    <row r="7" ht="15.75" hidden="1" customHeight="1">
      <c r="A7" s="21" t="s">
        <v>8</v>
      </c>
      <c r="B7" s="21" t="s">
        <v>9</v>
      </c>
      <c r="C7" s="21" t="s">
        <v>42</v>
      </c>
      <c r="D7" s="22" t="s">
        <v>5</v>
      </c>
      <c r="E7" s="22">
        <v>0.0</v>
      </c>
      <c r="F7" s="22">
        <v>0.0</v>
      </c>
      <c r="G7" s="22">
        <v>0.0</v>
      </c>
      <c r="H7" s="22">
        <v>0.0</v>
      </c>
      <c r="I7" s="22">
        <v>0.0</v>
      </c>
      <c r="J7" s="22">
        <v>0.0</v>
      </c>
      <c r="K7" s="22">
        <v>0.0</v>
      </c>
      <c r="L7" s="22">
        <v>0.0</v>
      </c>
      <c r="M7" s="22">
        <v>0.0</v>
      </c>
      <c r="N7" s="22">
        <v>0.0</v>
      </c>
      <c r="O7" s="22">
        <v>0.0</v>
      </c>
      <c r="P7" s="22">
        <v>0.0</v>
      </c>
      <c r="Q7" s="22">
        <v>0.0</v>
      </c>
      <c r="R7" s="22">
        <v>0.0</v>
      </c>
      <c r="S7" s="22">
        <v>0.0</v>
      </c>
      <c r="T7" s="22">
        <v>0.0</v>
      </c>
      <c r="U7" s="22">
        <v>0.0</v>
      </c>
      <c r="V7" s="22">
        <v>0.0</v>
      </c>
      <c r="W7" s="22">
        <v>0.0</v>
      </c>
      <c r="X7" s="22">
        <v>0.0</v>
      </c>
      <c r="Y7" s="22">
        <v>0.0</v>
      </c>
      <c r="Z7" s="22">
        <v>0.0</v>
      </c>
      <c r="AA7" s="22">
        <v>0.0</v>
      </c>
      <c r="AB7" s="22">
        <v>0.0</v>
      </c>
      <c r="AC7" s="22">
        <v>0.0</v>
      </c>
      <c r="AD7" s="22">
        <v>0.0</v>
      </c>
      <c r="AE7" s="22">
        <v>0.0</v>
      </c>
      <c r="AF7" s="22">
        <v>0.0</v>
      </c>
      <c r="AG7" s="22">
        <v>0.0</v>
      </c>
      <c r="AH7" s="22">
        <v>0.0</v>
      </c>
      <c r="AI7" s="22">
        <v>0.0</v>
      </c>
      <c r="AJ7" s="22">
        <f t="shared" si="2"/>
        <v>0</v>
      </c>
      <c r="AK7" s="23">
        <f>330*AJ7</f>
        <v>0</v>
      </c>
      <c r="AL7" s="24"/>
      <c r="AM7" s="31" t="s">
        <v>43</v>
      </c>
      <c r="AN7" s="1"/>
      <c r="AO7" s="1"/>
      <c r="AP7" s="1"/>
      <c r="AQ7" s="1"/>
      <c r="AR7" s="1"/>
      <c r="AS7" s="1"/>
      <c r="AT7" s="1"/>
      <c r="AU7" s="1"/>
    </row>
    <row r="8" ht="15.75" hidden="1" customHeight="1">
      <c r="A8" s="16"/>
      <c r="B8" s="16"/>
      <c r="C8" s="16"/>
      <c r="D8" s="22" t="s">
        <v>6</v>
      </c>
      <c r="E8" s="22">
        <v>0.0</v>
      </c>
      <c r="F8" s="22">
        <v>0.0</v>
      </c>
      <c r="G8" s="22">
        <v>0.0</v>
      </c>
      <c r="H8" s="22">
        <v>0.0</v>
      </c>
      <c r="I8" s="22">
        <v>0.0</v>
      </c>
      <c r="J8" s="22">
        <v>0.0</v>
      </c>
      <c r="K8" s="22">
        <v>0.0</v>
      </c>
      <c r="L8" s="22">
        <v>0.0</v>
      </c>
      <c r="M8" s="22">
        <v>0.0</v>
      </c>
      <c r="N8" s="22">
        <v>0.0</v>
      </c>
      <c r="O8" s="22">
        <v>0.0</v>
      </c>
      <c r="P8" s="22">
        <v>0.0</v>
      </c>
      <c r="Q8" s="22">
        <v>0.0</v>
      </c>
      <c r="R8" s="22">
        <v>0.0</v>
      </c>
      <c r="S8" s="22">
        <v>0.0</v>
      </c>
      <c r="T8" s="22">
        <v>0.0</v>
      </c>
      <c r="U8" s="22">
        <v>0.0</v>
      </c>
      <c r="V8" s="22">
        <v>0.0</v>
      </c>
      <c r="W8" s="22">
        <v>0.0</v>
      </c>
      <c r="X8" s="22">
        <v>0.0</v>
      </c>
      <c r="Y8" s="22">
        <v>0.0</v>
      </c>
      <c r="Z8" s="22">
        <v>0.0</v>
      </c>
      <c r="AA8" s="22">
        <v>0.0</v>
      </c>
      <c r="AB8" s="22">
        <v>0.0</v>
      </c>
      <c r="AC8" s="22">
        <v>0.0</v>
      </c>
      <c r="AD8" s="22">
        <v>0.0</v>
      </c>
      <c r="AE8" s="22">
        <v>0.0</v>
      </c>
      <c r="AF8" s="22">
        <v>0.0</v>
      </c>
      <c r="AG8" s="22">
        <v>0.0</v>
      </c>
      <c r="AH8" s="22">
        <v>0.0</v>
      </c>
      <c r="AI8" s="22">
        <v>0.0</v>
      </c>
      <c r="AJ8" s="22">
        <f t="shared" si="2"/>
        <v>0</v>
      </c>
      <c r="AK8" s="23">
        <f t="shared" ref="AK8:AK9" si="4">550*AJ8</f>
        <v>0</v>
      </c>
      <c r="AL8" s="24"/>
      <c r="AN8" s="1"/>
      <c r="AO8" s="1"/>
      <c r="AP8" s="1"/>
      <c r="AQ8" s="1"/>
      <c r="AR8" s="1"/>
      <c r="AS8" s="1"/>
      <c r="AT8" s="1"/>
      <c r="AU8" s="1"/>
    </row>
    <row r="9" ht="15.75" hidden="1" customHeight="1">
      <c r="A9" s="10"/>
      <c r="B9" s="10"/>
      <c r="C9" s="10"/>
      <c r="D9" s="22" t="s">
        <v>7</v>
      </c>
      <c r="E9" s="22">
        <v>0.0</v>
      </c>
      <c r="F9" s="22">
        <v>0.0</v>
      </c>
      <c r="G9" s="22">
        <v>0.0</v>
      </c>
      <c r="H9" s="22">
        <v>0.0</v>
      </c>
      <c r="I9" s="22">
        <v>0.0</v>
      </c>
      <c r="J9" s="22">
        <v>0.0</v>
      </c>
      <c r="K9" s="22">
        <v>0.0</v>
      </c>
      <c r="L9" s="22">
        <v>0.0</v>
      </c>
      <c r="M9" s="22">
        <v>0.0</v>
      </c>
      <c r="N9" s="22">
        <v>0.0</v>
      </c>
      <c r="O9" s="22">
        <v>0.0</v>
      </c>
      <c r="P9" s="22">
        <v>0.0</v>
      </c>
      <c r="Q9" s="22">
        <v>0.0</v>
      </c>
      <c r="R9" s="22">
        <v>0.0</v>
      </c>
      <c r="S9" s="22">
        <v>0.0</v>
      </c>
      <c r="T9" s="22">
        <v>0.0</v>
      </c>
      <c r="U9" s="22">
        <v>0.0</v>
      </c>
      <c r="V9" s="22">
        <v>0.0</v>
      </c>
      <c r="W9" s="22">
        <v>0.0</v>
      </c>
      <c r="X9" s="22">
        <v>0.0</v>
      </c>
      <c r="Y9" s="22">
        <v>0.0</v>
      </c>
      <c r="Z9" s="22">
        <v>0.0</v>
      </c>
      <c r="AA9" s="22">
        <v>0.0</v>
      </c>
      <c r="AB9" s="22">
        <v>0.0</v>
      </c>
      <c r="AC9" s="22">
        <v>0.0</v>
      </c>
      <c r="AD9" s="22">
        <v>0.0</v>
      </c>
      <c r="AE9" s="22">
        <v>0.0</v>
      </c>
      <c r="AF9" s="22">
        <v>0.0</v>
      </c>
      <c r="AG9" s="22">
        <v>0.0</v>
      </c>
      <c r="AH9" s="22">
        <v>0.0</v>
      </c>
      <c r="AI9" s="22">
        <v>0.0</v>
      </c>
      <c r="AJ9" s="22">
        <f t="shared" si="2"/>
        <v>0</v>
      </c>
      <c r="AK9" s="23">
        <f t="shared" si="4"/>
        <v>0</v>
      </c>
      <c r="AL9" s="26">
        <f>SUM(AK7:AK9)</f>
        <v>0</v>
      </c>
      <c r="AN9" s="1"/>
      <c r="AO9" s="1"/>
      <c r="AP9" s="1"/>
      <c r="AQ9" s="1"/>
      <c r="AR9" s="1"/>
      <c r="AS9" s="1"/>
      <c r="AT9" s="1"/>
      <c r="AU9" s="1"/>
    </row>
    <row r="10" ht="15.75" customHeight="1">
      <c r="A10" s="12" t="s">
        <v>11</v>
      </c>
      <c r="B10" s="12" t="s">
        <v>12</v>
      </c>
      <c r="C10" s="12" t="s">
        <v>49</v>
      </c>
      <c r="D10" s="13" t="s">
        <v>5</v>
      </c>
      <c r="E10" s="13">
        <v>0.0</v>
      </c>
      <c r="F10" s="13">
        <v>0.0</v>
      </c>
      <c r="G10" s="13">
        <v>0.0</v>
      </c>
      <c r="H10" s="13">
        <v>0.0</v>
      </c>
      <c r="I10" s="13">
        <v>0.0</v>
      </c>
      <c r="J10" s="13">
        <v>0.0</v>
      </c>
      <c r="K10" s="13">
        <v>0.0</v>
      </c>
      <c r="L10" s="13">
        <v>0.0</v>
      </c>
      <c r="M10" s="13">
        <v>0.0</v>
      </c>
      <c r="N10" s="13">
        <v>0.0</v>
      </c>
      <c r="O10" s="13">
        <v>0.0</v>
      </c>
      <c r="P10" s="13">
        <v>0.0</v>
      </c>
      <c r="Q10" s="13">
        <v>0.0</v>
      </c>
      <c r="R10" s="13">
        <v>0.0</v>
      </c>
      <c r="S10" s="13">
        <v>0.0</v>
      </c>
      <c r="T10" s="13">
        <v>0.0</v>
      </c>
      <c r="U10" s="13">
        <v>0.0</v>
      </c>
      <c r="V10" s="13">
        <v>0.0</v>
      </c>
      <c r="W10" s="13">
        <v>0.0</v>
      </c>
      <c r="X10" s="13">
        <v>0.0</v>
      </c>
      <c r="Y10" s="13">
        <v>0.0</v>
      </c>
      <c r="Z10" s="13">
        <v>0.0</v>
      </c>
      <c r="AA10" s="13">
        <v>0.0</v>
      </c>
      <c r="AB10" s="13">
        <v>0.0</v>
      </c>
      <c r="AC10" s="13">
        <v>0.0</v>
      </c>
      <c r="AD10" s="13">
        <v>0.0</v>
      </c>
      <c r="AE10" s="13">
        <v>0.0</v>
      </c>
      <c r="AF10" s="13">
        <v>0.0</v>
      </c>
      <c r="AG10" s="13">
        <v>0.0</v>
      </c>
      <c r="AH10" s="13">
        <v>0.0</v>
      </c>
      <c r="AI10" s="13">
        <v>0.0</v>
      </c>
      <c r="AJ10" s="13">
        <f t="shared" si="2"/>
        <v>0</v>
      </c>
      <c r="AK10" s="14">
        <f>330*AJ10</f>
        <v>0</v>
      </c>
      <c r="AL10" s="19"/>
      <c r="AM10" s="4"/>
      <c r="AN10" s="1"/>
      <c r="AO10" s="1"/>
      <c r="AP10" s="1"/>
      <c r="AQ10" s="1"/>
      <c r="AR10" s="1"/>
      <c r="AS10" s="1"/>
      <c r="AT10" s="1"/>
      <c r="AU10" s="1"/>
    </row>
    <row r="11" ht="15.75" customHeight="1">
      <c r="A11" s="16"/>
      <c r="B11" s="16"/>
      <c r="C11" s="16"/>
      <c r="D11" s="13" t="s">
        <v>6</v>
      </c>
      <c r="E11" s="13">
        <v>1.0</v>
      </c>
      <c r="F11" s="13">
        <v>1.0</v>
      </c>
      <c r="G11" s="13">
        <v>1.0</v>
      </c>
      <c r="H11" s="13">
        <v>0.0</v>
      </c>
      <c r="I11" s="13">
        <v>1.0</v>
      </c>
      <c r="J11" s="13">
        <v>1.0</v>
      </c>
      <c r="K11" s="13">
        <v>1.0</v>
      </c>
      <c r="L11" s="13">
        <v>1.0</v>
      </c>
      <c r="M11" s="13">
        <v>1.0</v>
      </c>
      <c r="N11" s="13">
        <v>1.0</v>
      </c>
      <c r="O11" s="13">
        <v>1.0</v>
      </c>
      <c r="P11" s="13">
        <v>1.0</v>
      </c>
      <c r="Q11" s="13">
        <v>1.0</v>
      </c>
      <c r="R11" s="13">
        <v>1.0</v>
      </c>
      <c r="S11" s="13">
        <v>1.0</v>
      </c>
      <c r="T11" s="13">
        <v>1.0</v>
      </c>
      <c r="U11" s="13">
        <v>1.0</v>
      </c>
      <c r="V11" s="13">
        <v>0.0</v>
      </c>
      <c r="W11" s="13">
        <v>0.0</v>
      </c>
      <c r="X11" s="13">
        <v>0.0</v>
      </c>
      <c r="Y11" s="13">
        <v>1.0</v>
      </c>
      <c r="Z11" s="13">
        <v>1.0</v>
      </c>
      <c r="AA11" s="13">
        <v>1.0</v>
      </c>
      <c r="AB11" s="13">
        <v>1.0</v>
      </c>
      <c r="AC11" s="13">
        <v>1.0</v>
      </c>
      <c r="AD11" s="13">
        <v>1.0</v>
      </c>
      <c r="AE11" s="13">
        <v>1.0</v>
      </c>
      <c r="AF11" s="13">
        <v>1.0</v>
      </c>
      <c r="AG11" s="13">
        <v>1.0</v>
      </c>
      <c r="AH11" s="13">
        <v>1.0</v>
      </c>
      <c r="AI11" s="13">
        <v>0.0</v>
      </c>
      <c r="AJ11" s="13">
        <f t="shared" si="2"/>
        <v>26</v>
      </c>
      <c r="AK11" s="14">
        <f t="shared" ref="AK11:AK12" si="5">550*AJ11</f>
        <v>14300</v>
      </c>
      <c r="AL11" s="19"/>
      <c r="AM11" s="27"/>
      <c r="AN11" s="1"/>
      <c r="AO11" s="1"/>
      <c r="AP11" s="1"/>
      <c r="AQ11" s="1"/>
      <c r="AR11" s="1"/>
      <c r="AS11" s="1"/>
      <c r="AT11" s="1"/>
      <c r="AU11" s="1"/>
    </row>
    <row r="12" ht="15.75" customHeight="1">
      <c r="A12" s="10"/>
      <c r="B12" s="10"/>
      <c r="C12" s="10"/>
      <c r="D12" s="13" t="s">
        <v>7</v>
      </c>
      <c r="E12" s="13">
        <v>1.0</v>
      </c>
      <c r="F12" s="13">
        <v>1.0</v>
      </c>
      <c r="G12" s="13">
        <v>1.0</v>
      </c>
      <c r="H12" s="13">
        <v>1.0</v>
      </c>
      <c r="I12" s="13">
        <v>1.0</v>
      </c>
      <c r="J12" s="13">
        <v>1.0</v>
      </c>
      <c r="K12" s="13">
        <v>1.0</v>
      </c>
      <c r="L12" s="13">
        <v>1.0</v>
      </c>
      <c r="M12" s="13">
        <v>1.0</v>
      </c>
      <c r="N12" s="13">
        <v>1.0</v>
      </c>
      <c r="O12" s="13">
        <v>1.0</v>
      </c>
      <c r="P12" s="13">
        <v>1.0</v>
      </c>
      <c r="Q12" s="13">
        <v>1.0</v>
      </c>
      <c r="R12" s="13">
        <v>1.0</v>
      </c>
      <c r="S12" s="13">
        <v>1.0</v>
      </c>
      <c r="T12" s="13">
        <v>1.0</v>
      </c>
      <c r="U12" s="13">
        <v>1.0</v>
      </c>
      <c r="V12" s="13">
        <v>0.0</v>
      </c>
      <c r="W12" s="13">
        <v>0.0</v>
      </c>
      <c r="X12" s="13">
        <v>0.0</v>
      </c>
      <c r="Y12" s="13">
        <v>1.0</v>
      </c>
      <c r="Z12" s="13">
        <v>1.0</v>
      </c>
      <c r="AA12" s="13">
        <v>1.0</v>
      </c>
      <c r="AB12" s="13">
        <v>1.0</v>
      </c>
      <c r="AC12" s="13">
        <v>1.0</v>
      </c>
      <c r="AD12" s="13">
        <v>1.0</v>
      </c>
      <c r="AE12" s="13">
        <v>1.0</v>
      </c>
      <c r="AF12" s="13">
        <v>1.0</v>
      </c>
      <c r="AG12" s="13">
        <v>1.0</v>
      </c>
      <c r="AH12" s="13">
        <v>1.0</v>
      </c>
      <c r="AI12" s="13">
        <v>0.0</v>
      </c>
      <c r="AJ12" s="13">
        <f t="shared" si="2"/>
        <v>27</v>
      </c>
      <c r="AK12" s="14">
        <f t="shared" si="5"/>
        <v>14850</v>
      </c>
      <c r="AL12" s="20">
        <f>SUM(AK10:AK12)</f>
        <v>29150</v>
      </c>
      <c r="AM12" s="4" t="s">
        <v>44</v>
      </c>
      <c r="AN12" s="1"/>
      <c r="AO12" s="1"/>
      <c r="AP12" s="1"/>
      <c r="AQ12" s="1"/>
      <c r="AR12" s="1"/>
      <c r="AS12" s="1"/>
      <c r="AT12" s="1"/>
      <c r="AU12" s="1"/>
    </row>
    <row r="13" ht="15.75" customHeight="1">
      <c r="A13" s="21" t="s">
        <v>14</v>
      </c>
      <c r="B13" s="21" t="s">
        <v>15</v>
      </c>
      <c r="C13" s="21"/>
      <c r="D13" s="22" t="s">
        <v>5</v>
      </c>
      <c r="E13" s="22">
        <v>1.0</v>
      </c>
      <c r="F13" s="22">
        <v>1.0</v>
      </c>
      <c r="G13" s="22">
        <v>1.0</v>
      </c>
      <c r="H13" s="22">
        <v>1.0</v>
      </c>
      <c r="I13" s="22">
        <v>1.0</v>
      </c>
      <c r="J13" s="22">
        <v>1.0</v>
      </c>
      <c r="K13" s="22">
        <v>1.0</v>
      </c>
      <c r="L13" s="22">
        <v>1.0</v>
      </c>
      <c r="M13" s="22">
        <v>1.0</v>
      </c>
      <c r="N13" s="22">
        <v>1.0</v>
      </c>
      <c r="O13" s="22">
        <v>1.0</v>
      </c>
      <c r="P13" s="22">
        <v>1.0</v>
      </c>
      <c r="Q13" s="22">
        <v>1.0</v>
      </c>
      <c r="R13" s="22">
        <v>1.0</v>
      </c>
      <c r="S13" s="22">
        <v>1.0</v>
      </c>
      <c r="T13" s="22">
        <v>1.0</v>
      </c>
      <c r="U13" s="22">
        <v>1.0</v>
      </c>
      <c r="V13" s="22">
        <v>1.0</v>
      </c>
      <c r="W13" s="22">
        <v>1.0</v>
      </c>
      <c r="X13" s="22">
        <v>1.0</v>
      </c>
      <c r="Y13" s="22">
        <v>1.0</v>
      </c>
      <c r="Z13" s="22">
        <v>1.0</v>
      </c>
      <c r="AA13" s="22">
        <v>1.0</v>
      </c>
      <c r="AB13" s="22">
        <v>1.0</v>
      </c>
      <c r="AC13" s="22">
        <v>1.0</v>
      </c>
      <c r="AD13" s="22">
        <v>1.0</v>
      </c>
      <c r="AE13" s="22">
        <v>1.0</v>
      </c>
      <c r="AF13" s="22">
        <v>1.0</v>
      </c>
      <c r="AG13" s="22">
        <v>1.0</v>
      </c>
      <c r="AH13" s="22">
        <v>1.0</v>
      </c>
      <c r="AI13" s="22">
        <v>0.0</v>
      </c>
      <c r="AJ13" s="22">
        <f t="shared" si="2"/>
        <v>30</v>
      </c>
      <c r="AK13" s="23">
        <f>330*AJ13</f>
        <v>9900</v>
      </c>
      <c r="AL13" s="24"/>
      <c r="AM13" s="25"/>
      <c r="AN13" s="1"/>
      <c r="AO13" s="1"/>
      <c r="AP13" s="1"/>
      <c r="AQ13" s="1"/>
      <c r="AR13" s="1"/>
      <c r="AS13" s="1"/>
      <c r="AT13" s="1"/>
      <c r="AU13" s="1"/>
    </row>
    <row r="14" ht="15.75" customHeight="1">
      <c r="A14" s="16"/>
      <c r="B14" s="16"/>
      <c r="C14" s="16"/>
      <c r="D14" s="22" t="s">
        <v>6</v>
      </c>
      <c r="E14" s="22">
        <v>1.0</v>
      </c>
      <c r="F14" s="22">
        <v>1.0</v>
      </c>
      <c r="G14" s="22">
        <v>1.0</v>
      </c>
      <c r="H14" s="22">
        <v>1.0</v>
      </c>
      <c r="I14" s="22">
        <v>1.0</v>
      </c>
      <c r="J14" s="22">
        <v>1.0</v>
      </c>
      <c r="K14" s="22">
        <v>1.0</v>
      </c>
      <c r="L14" s="22">
        <v>1.0</v>
      </c>
      <c r="M14" s="22">
        <v>1.0</v>
      </c>
      <c r="N14" s="22">
        <v>1.0</v>
      </c>
      <c r="O14" s="22">
        <v>1.0</v>
      </c>
      <c r="P14" s="22">
        <v>1.0</v>
      </c>
      <c r="Q14" s="22">
        <v>1.0</v>
      </c>
      <c r="R14" s="22">
        <v>1.0</v>
      </c>
      <c r="S14" s="22">
        <v>1.0</v>
      </c>
      <c r="T14" s="22">
        <v>1.0</v>
      </c>
      <c r="U14" s="22">
        <v>1.0</v>
      </c>
      <c r="V14" s="22">
        <v>1.0</v>
      </c>
      <c r="W14" s="22">
        <v>1.0</v>
      </c>
      <c r="X14" s="22">
        <v>1.0</v>
      </c>
      <c r="Y14" s="22">
        <v>1.0</v>
      </c>
      <c r="Z14" s="22">
        <v>1.0</v>
      </c>
      <c r="AA14" s="22">
        <v>1.0</v>
      </c>
      <c r="AB14" s="22">
        <v>1.0</v>
      </c>
      <c r="AC14" s="22">
        <v>1.0</v>
      </c>
      <c r="AD14" s="22">
        <v>1.0</v>
      </c>
      <c r="AE14" s="22">
        <v>1.0</v>
      </c>
      <c r="AF14" s="22">
        <v>1.0</v>
      </c>
      <c r="AG14" s="22">
        <v>1.0</v>
      </c>
      <c r="AH14" s="22">
        <v>1.0</v>
      </c>
      <c r="AI14" s="22">
        <v>0.0</v>
      </c>
      <c r="AJ14" s="22">
        <f t="shared" si="2"/>
        <v>30</v>
      </c>
      <c r="AK14" s="23">
        <f t="shared" ref="AK14:AK15" si="6">550*AJ14</f>
        <v>16500</v>
      </c>
      <c r="AL14" s="24"/>
      <c r="AM14" s="4"/>
      <c r="AN14" s="1"/>
      <c r="AO14" s="1"/>
      <c r="AP14" s="1"/>
      <c r="AQ14" s="1"/>
      <c r="AR14" s="1"/>
      <c r="AS14" s="1"/>
      <c r="AT14" s="1"/>
      <c r="AU14" s="1"/>
    </row>
    <row r="15" ht="15.75" customHeight="1">
      <c r="A15" s="10"/>
      <c r="B15" s="10"/>
      <c r="C15" s="10"/>
      <c r="D15" s="22" t="s">
        <v>7</v>
      </c>
      <c r="E15" s="22">
        <v>1.0</v>
      </c>
      <c r="F15" s="22">
        <v>1.0</v>
      </c>
      <c r="G15" s="22">
        <v>1.0</v>
      </c>
      <c r="H15" s="22">
        <v>1.0</v>
      </c>
      <c r="I15" s="22">
        <v>1.0</v>
      </c>
      <c r="J15" s="22">
        <v>1.0</v>
      </c>
      <c r="K15" s="22">
        <v>1.0</v>
      </c>
      <c r="L15" s="22">
        <v>1.0</v>
      </c>
      <c r="M15" s="22">
        <v>1.0</v>
      </c>
      <c r="N15" s="22">
        <v>1.0</v>
      </c>
      <c r="O15" s="22">
        <v>1.0</v>
      </c>
      <c r="P15" s="22">
        <v>1.0</v>
      </c>
      <c r="Q15" s="22">
        <v>1.0</v>
      </c>
      <c r="R15" s="22">
        <v>1.0</v>
      </c>
      <c r="S15" s="22">
        <v>1.0</v>
      </c>
      <c r="T15" s="22">
        <v>1.0</v>
      </c>
      <c r="U15" s="22">
        <v>1.0</v>
      </c>
      <c r="V15" s="22">
        <v>1.0</v>
      </c>
      <c r="W15" s="22">
        <v>1.0</v>
      </c>
      <c r="X15" s="22">
        <v>1.0</v>
      </c>
      <c r="Y15" s="22">
        <v>1.0</v>
      </c>
      <c r="Z15" s="22">
        <v>1.0</v>
      </c>
      <c r="AA15" s="22">
        <v>1.0</v>
      </c>
      <c r="AB15" s="22">
        <v>1.0</v>
      </c>
      <c r="AC15" s="22">
        <v>1.0</v>
      </c>
      <c r="AD15" s="22">
        <v>1.0</v>
      </c>
      <c r="AE15" s="22">
        <v>1.0</v>
      </c>
      <c r="AF15" s="22">
        <v>1.0</v>
      </c>
      <c r="AG15" s="22">
        <v>1.0</v>
      </c>
      <c r="AH15" s="22">
        <v>1.0</v>
      </c>
      <c r="AI15" s="22">
        <v>0.0</v>
      </c>
      <c r="AJ15" s="22">
        <f t="shared" si="2"/>
        <v>30</v>
      </c>
      <c r="AK15" s="23">
        <f t="shared" si="6"/>
        <v>16500</v>
      </c>
      <c r="AL15" s="26">
        <f>SUM(AK13:AK15)</f>
        <v>42900</v>
      </c>
      <c r="AM15" s="4"/>
      <c r="AN15" s="1"/>
      <c r="AO15" s="1"/>
      <c r="AP15" s="1"/>
      <c r="AQ15" s="1"/>
      <c r="AR15" s="1"/>
      <c r="AS15" s="1"/>
      <c r="AT15" s="1"/>
      <c r="AU15" s="1"/>
    </row>
    <row r="16" ht="15.75" customHeight="1">
      <c r="A16" s="12"/>
      <c r="B16" s="12" t="s">
        <v>17</v>
      </c>
      <c r="C16" s="12" t="s">
        <v>42</v>
      </c>
      <c r="D16" s="13" t="s">
        <v>5</v>
      </c>
      <c r="E16" s="13">
        <v>0.0</v>
      </c>
      <c r="F16" s="13">
        <v>0.0</v>
      </c>
      <c r="G16" s="13">
        <v>0.0</v>
      </c>
      <c r="H16" s="13">
        <v>0.0</v>
      </c>
      <c r="I16" s="13">
        <v>0.0</v>
      </c>
      <c r="J16" s="13">
        <v>0.0</v>
      </c>
      <c r="K16" s="13">
        <v>0.0</v>
      </c>
      <c r="L16" s="13">
        <v>0.0</v>
      </c>
      <c r="M16" s="13">
        <v>0.0</v>
      </c>
      <c r="N16" s="13">
        <v>0.0</v>
      </c>
      <c r="O16" s="13">
        <v>0.0</v>
      </c>
      <c r="P16" s="13">
        <v>0.0</v>
      </c>
      <c r="Q16" s="13">
        <v>0.0</v>
      </c>
      <c r="R16" s="13">
        <v>0.0</v>
      </c>
      <c r="S16" s="13">
        <v>0.0</v>
      </c>
      <c r="T16" s="13">
        <v>0.0</v>
      </c>
      <c r="U16" s="13">
        <v>0.0</v>
      </c>
      <c r="V16" s="13">
        <v>0.0</v>
      </c>
      <c r="W16" s="13">
        <v>0.0</v>
      </c>
      <c r="X16" s="13">
        <v>0.0</v>
      </c>
      <c r="Y16" s="13">
        <v>0.0</v>
      </c>
      <c r="Z16" s="13">
        <v>0.0</v>
      </c>
      <c r="AA16" s="13">
        <v>0.0</v>
      </c>
      <c r="AB16" s="13">
        <v>0.0</v>
      </c>
      <c r="AC16" s="13">
        <v>0.0</v>
      </c>
      <c r="AD16" s="13">
        <v>0.0</v>
      </c>
      <c r="AE16" s="13">
        <v>0.0</v>
      </c>
      <c r="AF16" s="13">
        <v>0.0</v>
      </c>
      <c r="AG16" s="13">
        <v>0.0</v>
      </c>
      <c r="AH16" s="13">
        <v>0.0</v>
      </c>
      <c r="AI16" s="13">
        <v>0.0</v>
      </c>
      <c r="AJ16" s="13">
        <f t="shared" si="2"/>
        <v>0</v>
      </c>
      <c r="AK16" s="14">
        <f>330*AJ16</f>
        <v>0</v>
      </c>
      <c r="AL16" s="19"/>
      <c r="AM16" s="31" t="s">
        <v>45</v>
      </c>
      <c r="AN16" s="1"/>
      <c r="AO16" s="1"/>
      <c r="AP16" s="1"/>
      <c r="AQ16" s="1"/>
      <c r="AR16" s="1"/>
      <c r="AS16" s="1"/>
      <c r="AT16" s="1"/>
      <c r="AU16" s="1"/>
    </row>
    <row r="17" ht="15.75" customHeight="1">
      <c r="A17" s="16"/>
      <c r="B17" s="16"/>
      <c r="C17" s="16"/>
      <c r="D17" s="13" t="s">
        <v>6</v>
      </c>
      <c r="E17" s="13">
        <v>0.0</v>
      </c>
      <c r="F17" s="13">
        <v>0.0</v>
      </c>
      <c r="G17" s="13">
        <v>0.0</v>
      </c>
      <c r="H17" s="13">
        <v>0.0</v>
      </c>
      <c r="I17" s="13">
        <v>0.0</v>
      </c>
      <c r="J17" s="13">
        <v>0.0</v>
      </c>
      <c r="K17" s="13">
        <v>0.0</v>
      </c>
      <c r="L17" s="13">
        <v>0.0</v>
      </c>
      <c r="M17" s="13">
        <v>0.0</v>
      </c>
      <c r="N17" s="13">
        <v>0.0</v>
      </c>
      <c r="O17" s="13">
        <v>0.0</v>
      </c>
      <c r="P17" s="13">
        <v>0.0</v>
      </c>
      <c r="Q17" s="13">
        <v>0.0</v>
      </c>
      <c r="R17" s="13">
        <v>0.0</v>
      </c>
      <c r="S17" s="13">
        <v>0.0</v>
      </c>
      <c r="T17" s="13">
        <v>0.0</v>
      </c>
      <c r="U17" s="13">
        <v>0.0</v>
      </c>
      <c r="V17" s="13">
        <v>0.0</v>
      </c>
      <c r="W17" s="13">
        <v>0.0</v>
      </c>
      <c r="X17" s="13">
        <v>0.0</v>
      </c>
      <c r="Y17" s="13">
        <v>0.0</v>
      </c>
      <c r="Z17" s="13">
        <v>0.0</v>
      </c>
      <c r="AA17" s="13">
        <v>0.0</v>
      </c>
      <c r="AB17" s="13">
        <v>0.0</v>
      </c>
      <c r="AC17" s="13">
        <v>0.0</v>
      </c>
      <c r="AD17" s="13">
        <v>0.0</v>
      </c>
      <c r="AE17" s="13">
        <v>0.0</v>
      </c>
      <c r="AF17" s="13">
        <v>0.0</v>
      </c>
      <c r="AG17" s="13">
        <v>0.0</v>
      </c>
      <c r="AH17" s="13">
        <v>0.0</v>
      </c>
      <c r="AI17" s="13">
        <v>0.0</v>
      </c>
      <c r="AJ17" s="13">
        <f t="shared" si="2"/>
        <v>0</v>
      </c>
      <c r="AK17" s="14">
        <f t="shared" ref="AK17:AK18" si="7">550*AJ17</f>
        <v>0</v>
      </c>
      <c r="AL17" s="19"/>
      <c r="AN17" s="1"/>
      <c r="AO17" s="1"/>
      <c r="AP17" s="1"/>
      <c r="AQ17" s="1"/>
      <c r="AR17" s="1"/>
      <c r="AS17" s="1"/>
      <c r="AT17" s="1"/>
      <c r="AU17" s="1"/>
    </row>
    <row r="18" ht="15.75" customHeight="1">
      <c r="A18" s="10"/>
      <c r="B18" s="10"/>
      <c r="C18" s="10"/>
      <c r="D18" s="13" t="s">
        <v>7</v>
      </c>
      <c r="E18" s="13">
        <v>0.0</v>
      </c>
      <c r="F18" s="13">
        <v>0.0</v>
      </c>
      <c r="G18" s="13">
        <v>0.0</v>
      </c>
      <c r="H18" s="13">
        <v>0.0</v>
      </c>
      <c r="I18" s="13">
        <v>0.0</v>
      </c>
      <c r="J18" s="13">
        <v>0.0</v>
      </c>
      <c r="K18" s="13">
        <v>0.0</v>
      </c>
      <c r="L18" s="13">
        <v>0.0</v>
      </c>
      <c r="M18" s="13">
        <v>0.0</v>
      </c>
      <c r="N18" s="13">
        <v>0.0</v>
      </c>
      <c r="O18" s="13">
        <v>0.0</v>
      </c>
      <c r="P18" s="13">
        <v>0.0</v>
      </c>
      <c r="Q18" s="13">
        <v>0.0</v>
      </c>
      <c r="R18" s="13">
        <v>0.0</v>
      </c>
      <c r="S18" s="13">
        <v>0.0</v>
      </c>
      <c r="T18" s="13">
        <v>0.0</v>
      </c>
      <c r="U18" s="13">
        <v>0.0</v>
      </c>
      <c r="V18" s="13">
        <v>0.0</v>
      </c>
      <c r="W18" s="13">
        <v>0.0</v>
      </c>
      <c r="X18" s="13">
        <v>0.0</v>
      </c>
      <c r="Y18" s="13">
        <v>0.0</v>
      </c>
      <c r="Z18" s="13">
        <v>0.0</v>
      </c>
      <c r="AA18" s="13">
        <v>0.0</v>
      </c>
      <c r="AB18" s="13">
        <v>0.0</v>
      </c>
      <c r="AC18" s="13">
        <v>0.0</v>
      </c>
      <c r="AD18" s="13">
        <v>0.0</v>
      </c>
      <c r="AE18" s="13">
        <v>0.0</v>
      </c>
      <c r="AF18" s="13">
        <v>0.0</v>
      </c>
      <c r="AG18" s="13">
        <v>0.0</v>
      </c>
      <c r="AH18" s="13">
        <v>0.0</v>
      </c>
      <c r="AI18" s="13">
        <v>0.0</v>
      </c>
      <c r="AJ18" s="13">
        <f t="shared" si="2"/>
        <v>0</v>
      </c>
      <c r="AK18" s="14">
        <f t="shared" si="7"/>
        <v>0</v>
      </c>
      <c r="AL18" s="20">
        <f>SUM(AK16:AK18)</f>
        <v>0</v>
      </c>
      <c r="AN18" s="1"/>
      <c r="AO18" s="1"/>
      <c r="AP18" s="1"/>
      <c r="AQ18" s="1"/>
      <c r="AR18" s="1"/>
      <c r="AS18" s="1"/>
      <c r="AT18" s="1"/>
      <c r="AU18" s="1"/>
    </row>
    <row r="19" ht="15.75" customHeight="1">
      <c r="A19" s="29"/>
      <c r="B19" s="29" t="s">
        <v>19</v>
      </c>
      <c r="C19" s="29" t="s">
        <v>46</v>
      </c>
      <c r="D19" s="28" t="s">
        <v>5</v>
      </c>
      <c r="E19" s="22">
        <v>0.0</v>
      </c>
      <c r="F19" s="22">
        <v>0.0</v>
      </c>
      <c r="G19" s="22">
        <v>0.0</v>
      </c>
      <c r="H19" s="22">
        <v>0.0</v>
      </c>
      <c r="I19" s="22">
        <v>0.0</v>
      </c>
      <c r="J19" s="22">
        <v>0.0</v>
      </c>
      <c r="K19" s="22">
        <v>0.0</v>
      </c>
      <c r="L19" s="22">
        <v>0.0</v>
      </c>
      <c r="M19" s="22">
        <v>0.0</v>
      </c>
      <c r="N19" s="22">
        <v>0.0</v>
      </c>
      <c r="O19" s="22">
        <v>0.0</v>
      </c>
      <c r="P19" s="22">
        <v>0.0</v>
      </c>
      <c r="Q19" s="22">
        <v>0.0</v>
      </c>
      <c r="R19" s="22">
        <v>0.0</v>
      </c>
      <c r="S19" s="22">
        <v>0.0</v>
      </c>
      <c r="T19" s="22">
        <v>0.0</v>
      </c>
      <c r="U19" s="22">
        <v>0.0</v>
      </c>
      <c r="V19" s="22">
        <v>0.0</v>
      </c>
      <c r="W19" s="22">
        <v>0.0</v>
      </c>
      <c r="X19" s="22">
        <v>0.0</v>
      </c>
      <c r="Y19" s="22">
        <v>0.0</v>
      </c>
      <c r="Z19" s="22">
        <v>0.0</v>
      </c>
      <c r="AA19" s="22">
        <v>0.0</v>
      </c>
      <c r="AB19" s="22">
        <v>0.0</v>
      </c>
      <c r="AC19" s="22">
        <v>0.0</v>
      </c>
      <c r="AD19" s="22">
        <v>0.0</v>
      </c>
      <c r="AE19" s="22">
        <v>0.0</v>
      </c>
      <c r="AF19" s="22">
        <v>0.0</v>
      </c>
      <c r="AG19" s="22">
        <v>0.0</v>
      </c>
      <c r="AH19" s="22">
        <v>0.0</v>
      </c>
      <c r="AI19" s="22">
        <v>0.0</v>
      </c>
      <c r="AJ19" s="28">
        <f t="shared" si="2"/>
        <v>0</v>
      </c>
      <c r="AK19" s="23">
        <f>330*AJ19</f>
        <v>0</v>
      </c>
      <c r="AL19" s="24"/>
      <c r="AM19" s="31" t="s">
        <v>50</v>
      </c>
      <c r="AN19" s="1"/>
      <c r="AO19" s="1"/>
      <c r="AP19" s="1"/>
      <c r="AQ19" s="1"/>
      <c r="AR19" s="1"/>
      <c r="AS19" s="1"/>
      <c r="AT19" s="1"/>
      <c r="AU19" s="1"/>
    </row>
    <row r="20" ht="15.75" customHeight="1">
      <c r="A20" s="16"/>
      <c r="B20" s="16"/>
      <c r="C20" s="16"/>
      <c r="D20" s="28" t="s">
        <v>6</v>
      </c>
      <c r="E20" s="22">
        <v>1.0</v>
      </c>
      <c r="F20" s="22">
        <v>1.0</v>
      </c>
      <c r="G20" s="22">
        <v>1.0</v>
      </c>
      <c r="H20" s="22">
        <v>1.0</v>
      </c>
      <c r="I20" s="22">
        <v>1.0</v>
      </c>
      <c r="J20" s="22">
        <v>1.0</v>
      </c>
      <c r="K20" s="22">
        <v>1.0</v>
      </c>
      <c r="L20" s="22">
        <v>1.0</v>
      </c>
      <c r="M20" s="22">
        <v>1.0</v>
      </c>
      <c r="N20" s="22">
        <v>1.0</v>
      </c>
      <c r="O20" s="22">
        <v>1.0</v>
      </c>
      <c r="P20" s="22">
        <v>1.0</v>
      </c>
      <c r="Q20" s="22">
        <v>1.0</v>
      </c>
      <c r="R20" s="22">
        <v>1.0</v>
      </c>
      <c r="S20" s="22">
        <v>1.0</v>
      </c>
      <c r="T20" s="22">
        <v>1.0</v>
      </c>
      <c r="U20" s="22">
        <v>1.0</v>
      </c>
      <c r="V20" s="22">
        <v>0.0</v>
      </c>
      <c r="W20" s="22">
        <v>0.0</v>
      </c>
      <c r="X20" s="22">
        <v>0.0</v>
      </c>
      <c r="Y20" s="22">
        <v>0.0</v>
      </c>
      <c r="Z20" s="22">
        <v>0.0</v>
      </c>
      <c r="AA20" s="22">
        <v>0.0</v>
      </c>
      <c r="AB20" s="22">
        <v>0.0</v>
      </c>
      <c r="AC20" s="22">
        <v>0.0</v>
      </c>
      <c r="AD20" s="22">
        <v>0.0</v>
      </c>
      <c r="AE20" s="22">
        <v>0.0</v>
      </c>
      <c r="AF20" s="22">
        <v>0.0</v>
      </c>
      <c r="AG20" s="22">
        <v>0.0</v>
      </c>
      <c r="AH20" s="22">
        <v>0.0</v>
      </c>
      <c r="AI20" s="22">
        <v>0.0</v>
      </c>
      <c r="AJ20" s="28">
        <f t="shared" si="2"/>
        <v>17</v>
      </c>
      <c r="AK20" s="23">
        <f t="shared" ref="AK20:AK21" si="8">550*AJ20</f>
        <v>9350</v>
      </c>
      <c r="AL20" s="24"/>
      <c r="AN20" s="1"/>
      <c r="AO20" s="1"/>
      <c r="AP20" s="1"/>
      <c r="AQ20" s="1"/>
      <c r="AR20" s="1"/>
      <c r="AS20" s="1"/>
      <c r="AT20" s="1"/>
      <c r="AU20" s="1"/>
    </row>
    <row r="21" ht="15.75" customHeight="1">
      <c r="A21" s="10"/>
      <c r="B21" s="10"/>
      <c r="C21" s="10"/>
      <c r="D21" s="28" t="s">
        <v>7</v>
      </c>
      <c r="E21" s="22">
        <v>1.0</v>
      </c>
      <c r="F21" s="22">
        <v>1.0</v>
      </c>
      <c r="G21" s="22">
        <v>1.0</v>
      </c>
      <c r="H21" s="22">
        <v>1.0</v>
      </c>
      <c r="I21" s="22">
        <v>1.0</v>
      </c>
      <c r="J21" s="22">
        <v>1.0</v>
      </c>
      <c r="K21" s="22">
        <v>1.0</v>
      </c>
      <c r="L21" s="22">
        <v>1.0</v>
      </c>
      <c r="M21" s="22">
        <v>1.0</v>
      </c>
      <c r="N21" s="22">
        <v>1.0</v>
      </c>
      <c r="O21" s="22">
        <v>1.0</v>
      </c>
      <c r="P21" s="22">
        <v>1.0</v>
      </c>
      <c r="Q21" s="22">
        <v>1.0</v>
      </c>
      <c r="R21" s="22">
        <v>1.0</v>
      </c>
      <c r="S21" s="22">
        <v>1.0</v>
      </c>
      <c r="T21" s="22">
        <v>1.0</v>
      </c>
      <c r="U21" s="22">
        <v>1.0</v>
      </c>
      <c r="V21" s="22">
        <v>0.0</v>
      </c>
      <c r="W21" s="22">
        <v>0.0</v>
      </c>
      <c r="X21" s="22">
        <v>0.0</v>
      </c>
      <c r="Y21" s="22">
        <v>0.0</v>
      </c>
      <c r="Z21" s="22">
        <v>1.0</v>
      </c>
      <c r="AA21" s="22">
        <v>1.0</v>
      </c>
      <c r="AB21" s="22">
        <v>1.0</v>
      </c>
      <c r="AC21" s="22">
        <v>1.0</v>
      </c>
      <c r="AD21" s="22">
        <v>1.0</v>
      </c>
      <c r="AE21" s="22">
        <v>1.0</v>
      </c>
      <c r="AF21" s="22">
        <v>1.0</v>
      </c>
      <c r="AG21" s="22">
        <v>1.0</v>
      </c>
      <c r="AH21" s="22">
        <v>1.0</v>
      </c>
      <c r="AI21" s="22">
        <v>0.0</v>
      </c>
      <c r="AJ21" s="28">
        <f t="shared" si="2"/>
        <v>26</v>
      </c>
      <c r="AK21" s="23">
        <f t="shared" si="8"/>
        <v>14300</v>
      </c>
      <c r="AL21" s="26">
        <f>SUM(AK19:AK21)</f>
        <v>23650</v>
      </c>
      <c r="AN21" s="1"/>
      <c r="AO21" s="1"/>
      <c r="AP21" s="1"/>
      <c r="AQ21" s="1"/>
      <c r="AR21" s="1"/>
      <c r="AS21" s="1"/>
      <c r="AT21" s="1"/>
      <c r="AU21" s="1"/>
    </row>
    <row r="22" ht="15.75" customHeight="1">
      <c r="A22" s="12">
        <v>413.0</v>
      </c>
      <c r="B22" s="12" t="s">
        <v>22</v>
      </c>
      <c r="C22" s="41"/>
      <c r="D22" s="14" t="s">
        <v>5</v>
      </c>
      <c r="E22" s="13">
        <v>1.0</v>
      </c>
      <c r="F22" s="13">
        <v>1.0</v>
      </c>
      <c r="G22" s="13">
        <v>1.0</v>
      </c>
      <c r="H22" s="13">
        <v>1.0</v>
      </c>
      <c r="I22" s="13">
        <v>1.0</v>
      </c>
      <c r="J22" s="13">
        <v>1.0</v>
      </c>
      <c r="K22" s="13">
        <v>1.0</v>
      </c>
      <c r="L22" s="13">
        <v>1.0</v>
      </c>
      <c r="M22" s="13">
        <v>1.0</v>
      </c>
      <c r="N22" s="13">
        <v>1.0</v>
      </c>
      <c r="O22" s="13">
        <v>1.0</v>
      </c>
      <c r="P22" s="13">
        <v>1.0</v>
      </c>
      <c r="Q22" s="13">
        <v>1.0</v>
      </c>
      <c r="R22" s="13">
        <v>1.0</v>
      </c>
      <c r="S22" s="13">
        <v>1.0</v>
      </c>
      <c r="T22" s="13">
        <v>1.0</v>
      </c>
      <c r="U22" s="13">
        <v>1.0</v>
      </c>
      <c r="V22" s="13">
        <v>1.0</v>
      </c>
      <c r="W22" s="13">
        <v>1.0</v>
      </c>
      <c r="X22" s="13">
        <v>1.0</v>
      </c>
      <c r="Y22" s="13">
        <v>1.0</v>
      </c>
      <c r="Z22" s="13">
        <v>1.0</v>
      </c>
      <c r="AA22" s="13">
        <v>1.0</v>
      </c>
      <c r="AB22" s="13">
        <v>1.0</v>
      </c>
      <c r="AC22" s="13">
        <v>1.0</v>
      </c>
      <c r="AD22" s="13">
        <v>1.0</v>
      </c>
      <c r="AE22" s="13">
        <v>1.0</v>
      </c>
      <c r="AF22" s="13">
        <v>1.0</v>
      </c>
      <c r="AG22" s="13">
        <v>1.0</v>
      </c>
      <c r="AH22" s="13">
        <v>1.0</v>
      </c>
      <c r="AI22" s="13">
        <v>0.0</v>
      </c>
      <c r="AJ22" s="14">
        <f t="shared" si="2"/>
        <v>30</v>
      </c>
      <c r="AK22" s="14">
        <f>330*AJ22</f>
        <v>9900</v>
      </c>
      <c r="AL22" s="19"/>
      <c r="AM22" s="4"/>
      <c r="AN22" s="1"/>
      <c r="AO22" s="1"/>
      <c r="AP22" s="1"/>
      <c r="AQ22" s="1"/>
      <c r="AR22" s="1"/>
      <c r="AS22" s="1"/>
      <c r="AT22" s="1"/>
      <c r="AU22" s="1"/>
    </row>
    <row r="23" ht="15.75" customHeight="1">
      <c r="A23" s="16"/>
      <c r="B23" s="16"/>
      <c r="C23" s="16"/>
      <c r="D23" s="14" t="s">
        <v>6</v>
      </c>
      <c r="E23" s="13">
        <v>1.0</v>
      </c>
      <c r="F23" s="13">
        <v>1.0</v>
      </c>
      <c r="G23" s="13">
        <v>1.0</v>
      </c>
      <c r="H23" s="13">
        <v>1.0</v>
      </c>
      <c r="I23" s="13">
        <v>1.0</v>
      </c>
      <c r="J23" s="13">
        <v>1.0</v>
      </c>
      <c r="K23" s="13">
        <v>1.0</v>
      </c>
      <c r="L23" s="13">
        <v>1.0</v>
      </c>
      <c r="M23" s="13">
        <v>1.0</v>
      </c>
      <c r="N23" s="13">
        <v>1.0</v>
      </c>
      <c r="O23" s="13">
        <v>1.0</v>
      </c>
      <c r="P23" s="13">
        <v>1.0</v>
      </c>
      <c r="Q23" s="13">
        <v>1.0</v>
      </c>
      <c r="R23" s="13">
        <v>1.0</v>
      </c>
      <c r="S23" s="13">
        <v>1.0</v>
      </c>
      <c r="T23" s="13">
        <v>1.0</v>
      </c>
      <c r="U23" s="13">
        <v>1.0</v>
      </c>
      <c r="V23" s="13">
        <v>1.0</v>
      </c>
      <c r="W23" s="13">
        <v>1.0</v>
      </c>
      <c r="X23" s="13">
        <v>1.0</v>
      </c>
      <c r="Y23" s="13">
        <v>1.0</v>
      </c>
      <c r="Z23" s="13">
        <v>1.0</v>
      </c>
      <c r="AA23" s="13">
        <v>1.0</v>
      </c>
      <c r="AB23" s="13">
        <v>1.0</v>
      </c>
      <c r="AC23" s="13">
        <v>1.0</v>
      </c>
      <c r="AD23" s="13">
        <v>1.0</v>
      </c>
      <c r="AE23" s="13">
        <v>1.0</v>
      </c>
      <c r="AF23" s="13">
        <v>1.0</v>
      </c>
      <c r="AG23" s="13">
        <v>1.0</v>
      </c>
      <c r="AH23" s="13">
        <v>1.0</v>
      </c>
      <c r="AI23" s="13">
        <v>0.0</v>
      </c>
      <c r="AJ23" s="14">
        <f t="shared" si="2"/>
        <v>30</v>
      </c>
      <c r="AK23" s="14">
        <f t="shared" ref="AK23:AK24" si="9">550*AJ23</f>
        <v>16500</v>
      </c>
      <c r="AL23" s="19"/>
      <c r="AM23" s="4"/>
      <c r="AN23" s="1"/>
      <c r="AO23" s="1"/>
      <c r="AP23" s="1"/>
      <c r="AQ23" s="1"/>
      <c r="AR23" s="1"/>
      <c r="AS23" s="1"/>
      <c r="AT23" s="1"/>
      <c r="AU23" s="1"/>
    </row>
    <row r="24" ht="15.75" customHeight="1">
      <c r="A24" s="10"/>
      <c r="B24" s="10"/>
      <c r="C24" s="10"/>
      <c r="D24" s="14" t="s">
        <v>7</v>
      </c>
      <c r="E24" s="13">
        <v>1.0</v>
      </c>
      <c r="F24" s="13">
        <v>1.0</v>
      </c>
      <c r="G24" s="13">
        <v>1.0</v>
      </c>
      <c r="H24" s="13">
        <v>1.0</v>
      </c>
      <c r="I24" s="13">
        <v>1.0</v>
      </c>
      <c r="J24" s="13">
        <v>1.0</v>
      </c>
      <c r="K24" s="13">
        <v>1.0</v>
      </c>
      <c r="L24" s="13">
        <v>1.0</v>
      </c>
      <c r="M24" s="13">
        <v>1.0</v>
      </c>
      <c r="N24" s="13">
        <v>1.0</v>
      </c>
      <c r="O24" s="13">
        <v>1.0</v>
      </c>
      <c r="P24" s="13">
        <v>1.0</v>
      </c>
      <c r="Q24" s="13">
        <v>1.0</v>
      </c>
      <c r="R24" s="13">
        <v>1.0</v>
      </c>
      <c r="S24" s="13">
        <v>1.0</v>
      </c>
      <c r="T24" s="13">
        <v>1.0</v>
      </c>
      <c r="U24" s="13">
        <v>1.0</v>
      </c>
      <c r="V24" s="13">
        <v>1.0</v>
      </c>
      <c r="W24" s="13">
        <v>1.0</v>
      </c>
      <c r="X24" s="13">
        <v>1.0</v>
      </c>
      <c r="Y24" s="13">
        <v>1.0</v>
      </c>
      <c r="Z24" s="13">
        <v>1.0</v>
      </c>
      <c r="AA24" s="13">
        <v>1.0</v>
      </c>
      <c r="AB24" s="13">
        <v>1.0</v>
      </c>
      <c r="AC24" s="13">
        <v>1.0</v>
      </c>
      <c r="AD24" s="13">
        <v>1.0</v>
      </c>
      <c r="AE24" s="13">
        <v>1.0</v>
      </c>
      <c r="AF24" s="13">
        <v>1.0</v>
      </c>
      <c r="AG24" s="13">
        <v>1.0</v>
      </c>
      <c r="AH24" s="13">
        <v>1.0</v>
      </c>
      <c r="AI24" s="13">
        <v>0.0</v>
      </c>
      <c r="AJ24" s="14">
        <f t="shared" si="2"/>
        <v>30</v>
      </c>
      <c r="AK24" s="14">
        <f t="shared" si="9"/>
        <v>16500</v>
      </c>
      <c r="AL24" s="20">
        <f>SUM(AK22:AK24)</f>
        <v>42900</v>
      </c>
      <c r="AM24" s="4"/>
      <c r="AN24" s="1"/>
      <c r="AO24" s="1"/>
      <c r="AP24" s="1"/>
      <c r="AQ24" s="1"/>
      <c r="AR24" s="1"/>
      <c r="AS24" s="1"/>
      <c r="AT24" s="1"/>
      <c r="AU24" s="1"/>
    </row>
    <row r="25" ht="15.75" customHeight="1">
      <c r="A25" s="12"/>
      <c r="B25" s="12"/>
      <c r="C25" s="12"/>
      <c r="D25" s="13" t="s">
        <v>5</v>
      </c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>
        <v>0.0</v>
      </c>
      <c r="AJ25" s="13">
        <f t="shared" si="2"/>
        <v>0</v>
      </c>
      <c r="AK25" s="23">
        <f>330*AJ25</f>
        <v>0</v>
      </c>
      <c r="AL25" s="24"/>
      <c r="AM25" s="4"/>
      <c r="AN25" s="1"/>
      <c r="AO25" s="1"/>
      <c r="AP25" s="1"/>
      <c r="AQ25" s="1"/>
      <c r="AR25" s="1"/>
      <c r="AS25" s="1"/>
      <c r="AT25" s="1"/>
      <c r="AU25" s="1"/>
    </row>
    <row r="26" ht="15.75" customHeight="1">
      <c r="A26" s="16"/>
      <c r="B26" s="16"/>
      <c r="C26" s="16"/>
      <c r="D26" s="13" t="s">
        <v>6</v>
      </c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>
        <f t="shared" si="2"/>
        <v>0</v>
      </c>
      <c r="AK26" s="23">
        <f t="shared" ref="AK26:AK27" si="10">550*AJ26</f>
        <v>0</v>
      </c>
      <c r="AL26" s="24"/>
      <c r="AM26" s="4"/>
      <c r="AN26" s="1"/>
      <c r="AO26" s="1"/>
      <c r="AP26" s="1"/>
      <c r="AQ26" s="1"/>
      <c r="AR26" s="1"/>
      <c r="AS26" s="1"/>
      <c r="AT26" s="1"/>
      <c r="AU26" s="1"/>
    </row>
    <row r="27" ht="15.75" customHeight="1">
      <c r="A27" s="10"/>
      <c r="B27" s="10"/>
      <c r="C27" s="10"/>
      <c r="D27" s="13" t="s">
        <v>7</v>
      </c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>
        <f t="shared" si="2"/>
        <v>0</v>
      </c>
      <c r="AK27" s="23">
        <f t="shared" si="10"/>
        <v>0</v>
      </c>
      <c r="AL27" s="26">
        <f>SUM(AK25:AK27)</f>
        <v>0</v>
      </c>
      <c r="AM27" s="4"/>
      <c r="AN27" s="1"/>
      <c r="AO27" s="1"/>
      <c r="AP27" s="1"/>
      <c r="AQ27" s="1"/>
      <c r="AR27" s="1"/>
      <c r="AS27" s="1"/>
      <c r="AT27" s="1"/>
      <c r="AU27" s="1"/>
    </row>
    <row r="28" ht="15.75" customHeight="1">
      <c r="A28" s="12"/>
      <c r="B28" s="12"/>
      <c r="C28" s="12"/>
      <c r="D28" s="13" t="s">
        <v>5</v>
      </c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>
        <f t="shared" si="2"/>
        <v>0</v>
      </c>
      <c r="AK28" s="14">
        <f>330*AJ28</f>
        <v>0</v>
      </c>
      <c r="AL28" s="19"/>
      <c r="AM28" s="4"/>
      <c r="AN28" s="1"/>
      <c r="AO28" s="1"/>
      <c r="AP28" s="1"/>
      <c r="AQ28" s="1"/>
      <c r="AR28" s="1"/>
      <c r="AS28" s="1"/>
      <c r="AT28" s="1"/>
      <c r="AU28" s="1"/>
    </row>
    <row r="29" ht="15.75" customHeight="1">
      <c r="A29" s="16"/>
      <c r="B29" s="16"/>
      <c r="C29" s="16"/>
      <c r="D29" s="13" t="s">
        <v>6</v>
      </c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>
        <f t="shared" si="2"/>
        <v>0</v>
      </c>
      <c r="AK29" s="14">
        <f t="shared" ref="AK29:AK30" si="11">550*AJ29</f>
        <v>0</v>
      </c>
      <c r="AL29" s="19"/>
      <c r="AM29" s="4"/>
      <c r="AN29" s="1"/>
      <c r="AO29" s="1"/>
      <c r="AP29" s="1"/>
      <c r="AQ29" s="1"/>
      <c r="AR29" s="1"/>
      <c r="AS29" s="1"/>
      <c r="AT29" s="1"/>
      <c r="AU29" s="1"/>
    </row>
    <row r="30" ht="15.75" customHeight="1">
      <c r="A30" s="10"/>
      <c r="B30" s="10"/>
      <c r="C30" s="10"/>
      <c r="D30" s="13" t="s">
        <v>7</v>
      </c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>
        <f t="shared" si="2"/>
        <v>0</v>
      </c>
      <c r="AK30" s="14">
        <f t="shared" si="11"/>
        <v>0</v>
      </c>
      <c r="AL30" s="20">
        <f>SUM(AK28:AK30)</f>
        <v>0</v>
      </c>
      <c r="AM30" s="4"/>
      <c r="AN30" s="1"/>
      <c r="AO30" s="1"/>
      <c r="AP30" s="1"/>
      <c r="AQ30" s="1"/>
      <c r="AR30" s="1"/>
      <c r="AS30" s="1"/>
      <c r="AT30" s="1"/>
      <c r="AU30" s="1"/>
    </row>
    <row r="31" ht="15.75" customHeight="1">
      <c r="A31" s="12"/>
      <c r="B31" s="12"/>
      <c r="C31" s="12"/>
      <c r="D31" s="13" t="s">
        <v>5</v>
      </c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>
        <f t="shared" si="2"/>
        <v>0</v>
      </c>
      <c r="AK31" s="23">
        <f>330*AJ31</f>
        <v>0</v>
      </c>
      <c r="AL31" s="24"/>
      <c r="AM31" s="4"/>
      <c r="AN31" s="1"/>
      <c r="AO31" s="1"/>
      <c r="AP31" s="1"/>
      <c r="AQ31" s="1"/>
      <c r="AR31" s="1"/>
      <c r="AS31" s="1"/>
      <c r="AT31" s="1"/>
      <c r="AU31" s="1"/>
    </row>
    <row r="32" ht="15.75" customHeight="1">
      <c r="A32" s="16"/>
      <c r="B32" s="16"/>
      <c r="C32" s="16"/>
      <c r="D32" s="13" t="s">
        <v>6</v>
      </c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>
        <f t="shared" si="2"/>
        <v>0</v>
      </c>
      <c r="AK32" s="23">
        <f t="shared" ref="AK32:AK33" si="12">550*AJ32</f>
        <v>0</v>
      </c>
      <c r="AL32" s="24"/>
      <c r="AM32" s="4"/>
      <c r="AN32" s="1"/>
      <c r="AO32" s="1"/>
      <c r="AP32" s="1"/>
      <c r="AQ32" s="1"/>
      <c r="AR32" s="1"/>
      <c r="AS32" s="1"/>
      <c r="AT32" s="1"/>
      <c r="AU32" s="1"/>
    </row>
    <row r="33" ht="15.75" customHeight="1">
      <c r="A33" s="10"/>
      <c r="B33" s="10"/>
      <c r="C33" s="10"/>
      <c r="D33" s="13" t="s">
        <v>7</v>
      </c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>
        <f t="shared" si="2"/>
        <v>0</v>
      </c>
      <c r="AK33" s="23">
        <f t="shared" si="12"/>
        <v>0</v>
      </c>
      <c r="AL33" s="26">
        <f>SUM(AK31:AK33)</f>
        <v>0</v>
      </c>
      <c r="AM33" s="4"/>
      <c r="AN33" s="1"/>
      <c r="AO33" s="1"/>
      <c r="AP33" s="1"/>
      <c r="AQ33" s="1"/>
      <c r="AR33" s="1"/>
      <c r="AS33" s="1"/>
      <c r="AT33" s="1"/>
      <c r="AU33" s="1"/>
    </row>
    <row r="34" ht="15.75" customHeight="1">
      <c r="A34" s="12"/>
      <c r="B34" s="12"/>
      <c r="C34" s="12"/>
      <c r="D34" s="13" t="s">
        <v>5</v>
      </c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>
        <f t="shared" si="2"/>
        <v>0</v>
      </c>
      <c r="AK34" s="1"/>
      <c r="AL34" s="1"/>
      <c r="AM34" s="4"/>
      <c r="AN34" s="1"/>
      <c r="AO34" s="1"/>
      <c r="AP34" s="1"/>
      <c r="AQ34" s="1"/>
      <c r="AR34" s="1"/>
      <c r="AS34" s="1"/>
      <c r="AT34" s="1"/>
      <c r="AU34" s="1"/>
    </row>
    <row r="35" ht="15.75" customHeight="1">
      <c r="A35" s="16"/>
      <c r="B35" s="16"/>
      <c r="C35" s="16"/>
      <c r="D35" s="13" t="s">
        <v>6</v>
      </c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>
        <f t="shared" si="2"/>
        <v>0</v>
      </c>
      <c r="AK35" s="1"/>
      <c r="AL35" s="1"/>
      <c r="AM35" s="4"/>
      <c r="AN35" s="1"/>
      <c r="AO35" s="1"/>
      <c r="AP35" s="1"/>
      <c r="AQ35" s="1"/>
      <c r="AR35" s="1"/>
      <c r="AS35" s="1"/>
      <c r="AT35" s="1"/>
      <c r="AU35" s="1"/>
    </row>
    <row r="36" ht="15.75" customHeight="1">
      <c r="A36" s="10"/>
      <c r="B36" s="10"/>
      <c r="C36" s="10"/>
      <c r="D36" s="13" t="s">
        <v>7</v>
      </c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>
        <f t="shared" si="2"/>
        <v>0</v>
      </c>
      <c r="AK36" s="1"/>
      <c r="AL36" s="1"/>
      <c r="AM36" s="4"/>
      <c r="AN36" s="1"/>
      <c r="AO36" s="1"/>
      <c r="AP36" s="1"/>
      <c r="AQ36" s="1"/>
      <c r="AR36" s="1"/>
      <c r="AS36" s="1"/>
      <c r="AT36" s="1"/>
      <c r="AU36" s="1"/>
    </row>
    <row r="37" ht="15.75" customHeight="1">
      <c r="A37" s="12"/>
      <c r="B37" s="12"/>
      <c r="C37" s="12"/>
      <c r="D37" s="13" t="s">
        <v>5</v>
      </c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>
        <f t="shared" si="2"/>
        <v>0</v>
      </c>
      <c r="AK37" s="1"/>
      <c r="AL37" s="1"/>
      <c r="AM37" s="4"/>
      <c r="AN37" s="1"/>
      <c r="AO37" s="1"/>
      <c r="AP37" s="1"/>
      <c r="AQ37" s="1"/>
      <c r="AR37" s="1"/>
      <c r="AS37" s="1"/>
      <c r="AT37" s="1"/>
      <c r="AU37" s="1"/>
    </row>
    <row r="38" ht="15.75" customHeight="1">
      <c r="A38" s="16"/>
      <c r="B38" s="16"/>
      <c r="C38" s="16"/>
      <c r="D38" s="13" t="s">
        <v>6</v>
      </c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>
        <f t="shared" si="2"/>
        <v>0</v>
      </c>
      <c r="AK38" s="1"/>
      <c r="AL38" s="1"/>
      <c r="AM38" s="4"/>
      <c r="AN38" s="1"/>
      <c r="AO38" s="1"/>
      <c r="AP38" s="1"/>
      <c r="AQ38" s="1"/>
      <c r="AR38" s="1"/>
      <c r="AS38" s="1"/>
      <c r="AT38" s="1"/>
      <c r="AU38" s="1"/>
    </row>
    <row r="39" ht="15.75" customHeight="1">
      <c r="A39" s="10"/>
      <c r="B39" s="10"/>
      <c r="C39" s="10"/>
      <c r="D39" s="13" t="s">
        <v>7</v>
      </c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>
        <f t="shared" si="2"/>
        <v>0</v>
      </c>
      <c r="AK39" s="1"/>
      <c r="AL39" s="1"/>
      <c r="AM39" s="4"/>
      <c r="AN39" s="1"/>
      <c r="AO39" s="1"/>
      <c r="AP39" s="1"/>
      <c r="AQ39" s="1"/>
      <c r="AR39" s="1"/>
      <c r="AS39" s="1"/>
      <c r="AT39" s="1"/>
      <c r="AU39" s="1"/>
    </row>
    <row r="40" ht="15.75" customHeight="1">
      <c r="A40" s="12"/>
      <c r="B40" s="12"/>
      <c r="C40" s="12"/>
      <c r="D40" s="13" t="s">
        <v>5</v>
      </c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>
        <f t="shared" si="2"/>
        <v>0</v>
      </c>
      <c r="AK40" s="1"/>
      <c r="AL40" s="1"/>
      <c r="AM40" s="4"/>
      <c r="AN40" s="1"/>
      <c r="AO40" s="1"/>
      <c r="AP40" s="1"/>
      <c r="AQ40" s="1"/>
      <c r="AR40" s="1"/>
      <c r="AS40" s="1"/>
      <c r="AT40" s="1"/>
      <c r="AU40" s="1"/>
    </row>
    <row r="41" ht="15.75" customHeight="1">
      <c r="A41" s="16"/>
      <c r="B41" s="16"/>
      <c r="C41" s="16"/>
      <c r="D41" s="13" t="s">
        <v>6</v>
      </c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>
        <f t="shared" si="2"/>
        <v>0</v>
      </c>
      <c r="AK41" s="1"/>
      <c r="AL41" s="1"/>
      <c r="AM41" s="4"/>
      <c r="AN41" s="1"/>
      <c r="AO41" s="1"/>
      <c r="AP41" s="1"/>
      <c r="AQ41" s="1"/>
      <c r="AR41" s="1"/>
      <c r="AS41" s="1"/>
      <c r="AT41" s="1"/>
      <c r="AU41" s="1"/>
    </row>
    <row r="42" ht="15.75" customHeight="1">
      <c r="A42" s="10"/>
      <c r="B42" s="10"/>
      <c r="C42" s="10"/>
      <c r="D42" s="13" t="s">
        <v>7</v>
      </c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>
        <f t="shared" si="2"/>
        <v>0</v>
      </c>
      <c r="AK42" s="1"/>
      <c r="AL42" s="1"/>
      <c r="AM42" s="4"/>
      <c r="AN42" s="1"/>
      <c r="AO42" s="1"/>
      <c r="AP42" s="1"/>
      <c r="AQ42" s="1"/>
      <c r="AR42" s="1"/>
      <c r="AS42" s="1"/>
      <c r="AT42" s="1"/>
      <c r="AU42" s="1"/>
    </row>
    <row r="43" ht="15.75" customHeight="1">
      <c r="A43" s="12"/>
      <c r="B43" s="12"/>
      <c r="C43" s="12"/>
      <c r="D43" s="13" t="s">
        <v>5</v>
      </c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>
        <f t="shared" si="2"/>
        <v>0</v>
      </c>
      <c r="AK43" s="1"/>
      <c r="AL43" s="1"/>
      <c r="AM43" s="4"/>
      <c r="AN43" s="1"/>
      <c r="AO43" s="1"/>
      <c r="AP43" s="1"/>
      <c r="AQ43" s="1"/>
      <c r="AR43" s="1"/>
      <c r="AS43" s="1"/>
      <c r="AT43" s="1"/>
      <c r="AU43" s="1"/>
    </row>
    <row r="44" ht="15.75" customHeight="1">
      <c r="A44" s="16"/>
      <c r="B44" s="16"/>
      <c r="C44" s="16"/>
      <c r="D44" s="13" t="s">
        <v>6</v>
      </c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>
        <f t="shared" si="2"/>
        <v>0</v>
      </c>
      <c r="AK44" s="1"/>
      <c r="AL44" s="1"/>
      <c r="AM44" s="4"/>
      <c r="AN44" s="1"/>
      <c r="AO44" s="1"/>
      <c r="AP44" s="1"/>
      <c r="AQ44" s="1"/>
      <c r="AR44" s="1"/>
      <c r="AS44" s="1"/>
      <c r="AT44" s="1"/>
      <c r="AU44" s="1"/>
    </row>
    <row r="45" ht="15.75" customHeight="1">
      <c r="A45" s="10"/>
      <c r="B45" s="10"/>
      <c r="C45" s="10"/>
      <c r="D45" s="13" t="s">
        <v>7</v>
      </c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>
        <f t="shared" si="2"/>
        <v>0</v>
      </c>
      <c r="AK45" s="1"/>
      <c r="AL45" s="1"/>
      <c r="AM45" s="4"/>
      <c r="AN45" s="1"/>
      <c r="AO45" s="1"/>
      <c r="AP45" s="1"/>
      <c r="AQ45" s="1"/>
      <c r="AR45" s="1"/>
      <c r="AS45" s="1"/>
      <c r="AT45" s="1"/>
      <c r="AU45" s="1"/>
    </row>
    <row r="46" ht="15.75" customHeight="1">
      <c r="A46" s="12"/>
      <c r="B46" s="12"/>
      <c r="C46" s="12"/>
      <c r="D46" s="13" t="s">
        <v>5</v>
      </c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>
        <f t="shared" si="2"/>
        <v>0</v>
      </c>
      <c r="AK46" s="1"/>
      <c r="AL46" s="1"/>
      <c r="AM46" s="4"/>
      <c r="AN46" s="1"/>
      <c r="AO46" s="1"/>
      <c r="AP46" s="1"/>
      <c r="AQ46" s="1"/>
      <c r="AR46" s="1"/>
      <c r="AS46" s="1"/>
      <c r="AT46" s="1"/>
      <c r="AU46" s="1"/>
    </row>
    <row r="47" ht="15.75" customHeight="1">
      <c r="A47" s="16"/>
      <c r="B47" s="16"/>
      <c r="C47" s="16"/>
      <c r="D47" s="13" t="s">
        <v>6</v>
      </c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>
        <f t="shared" si="2"/>
        <v>0</v>
      </c>
      <c r="AK47" s="1"/>
      <c r="AL47" s="1"/>
      <c r="AM47" s="4"/>
      <c r="AN47" s="1"/>
      <c r="AO47" s="1"/>
      <c r="AP47" s="1"/>
      <c r="AQ47" s="1"/>
      <c r="AR47" s="1"/>
      <c r="AS47" s="1"/>
      <c r="AT47" s="1"/>
      <c r="AU47" s="1"/>
    </row>
    <row r="48" ht="15.75" customHeight="1">
      <c r="A48" s="10"/>
      <c r="B48" s="10"/>
      <c r="C48" s="10"/>
      <c r="D48" s="13" t="s">
        <v>7</v>
      </c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>
        <f t="shared" si="2"/>
        <v>0</v>
      </c>
      <c r="AK48" s="1"/>
      <c r="AL48" s="1"/>
      <c r="AM48" s="4"/>
      <c r="AN48" s="1"/>
      <c r="AO48" s="1"/>
      <c r="AP48" s="1"/>
      <c r="AQ48" s="1"/>
      <c r="AR48" s="1"/>
      <c r="AS48" s="1"/>
      <c r="AT48" s="1"/>
      <c r="AU48" s="1"/>
    </row>
    <row r="49" ht="15.75" customHeight="1">
      <c r="A49" s="12"/>
      <c r="B49" s="12"/>
      <c r="C49" s="12"/>
      <c r="D49" s="13" t="s">
        <v>5</v>
      </c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>
        <f t="shared" si="2"/>
        <v>0</v>
      </c>
      <c r="AK49" s="1"/>
      <c r="AL49" s="1"/>
      <c r="AM49" s="4"/>
      <c r="AN49" s="1"/>
      <c r="AO49" s="1"/>
      <c r="AP49" s="1"/>
      <c r="AQ49" s="1"/>
      <c r="AR49" s="1"/>
      <c r="AS49" s="1"/>
      <c r="AT49" s="1"/>
      <c r="AU49" s="1"/>
    </row>
    <row r="50" ht="15.75" customHeight="1">
      <c r="A50" s="16"/>
      <c r="B50" s="16"/>
      <c r="C50" s="16"/>
      <c r="D50" s="13" t="s">
        <v>6</v>
      </c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>
        <f t="shared" si="2"/>
        <v>0</v>
      </c>
      <c r="AK50" s="1"/>
      <c r="AL50" s="1"/>
      <c r="AM50" s="4"/>
      <c r="AN50" s="1"/>
      <c r="AO50" s="1"/>
      <c r="AP50" s="1"/>
      <c r="AQ50" s="1"/>
      <c r="AR50" s="1"/>
      <c r="AS50" s="1"/>
      <c r="AT50" s="1"/>
      <c r="AU50" s="1"/>
    </row>
    <row r="51" ht="15.75" customHeight="1">
      <c r="A51" s="10"/>
      <c r="B51" s="10"/>
      <c r="C51" s="10"/>
      <c r="D51" s="13" t="s">
        <v>7</v>
      </c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>
        <f t="shared" si="2"/>
        <v>0</v>
      </c>
      <c r="AK51" s="1"/>
      <c r="AL51" s="1"/>
      <c r="AM51" s="4"/>
      <c r="AN51" s="1"/>
      <c r="AO51" s="1"/>
      <c r="AP51" s="1"/>
      <c r="AQ51" s="1"/>
      <c r="AR51" s="1"/>
      <c r="AS51" s="1"/>
      <c r="AT51" s="1"/>
      <c r="AU51" s="1"/>
    </row>
    <row r="52" ht="15.75" customHeight="1">
      <c r="A52" s="12"/>
      <c r="B52" s="12"/>
      <c r="C52" s="12"/>
      <c r="D52" s="13" t="s">
        <v>5</v>
      </c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>
        <f t="shared" si="2"/>
        <v>0</v>
      </c>
      <c r="AK52" s="1"/>
      <c r="AL52" s="1"/>
      <c r="AM52" s="4"/>
      <c r="AN52" s="1"/>
      <c r="AO52" s="1"/>
      <c r="AP52" s="1"/>
      <c r="AQ52" s="1"/>
      <c r="AR52" s="1"/>
      <c r="AS52" s="1"/>
      <c r="AT52" s="1"/>
      <c r="AU52" s="1"/>
    </row>
    <row r="53" ht="15.75" customHeight="1">
      <c r="A53" s="16"/>
      <c r="B53" s="16"/>
      <c r="C53" s="16"/>
      <c r="D53" s="13" t="s">
        <v>6</v>
      </c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>
        <f t="shared" si="2"/>
        <v>0</v>
      </c>
      <c r="AK53" s="1"/>
      <c r="AL53" s="1"/>
      <c r="AM53" s="4"/>
      <c r="AN53" s="1"/>
      <c r="AO53" s="1"/>
      <c r="AP53" s="1"/>
      <c r="AQ53" s="1"/>
      <c r="AR53" s="1"/>
      <c r="AS53" s="1"/>
      <c r="AT53" s="1"/>
      <c r="AU53" s="1"/>
    </row>
    <row r="54" ht="15.75" customHeight="1">
      <c r="A54" s="10"/>
      <c r="B54" s="10"/>
      <c r="C54" s="10"/>
      <c r="D54" s="13" t="s">
        <v>7</v>
      </c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>
        <f t="shared" si="2"/>
        <v>0</v>
      </c>
      <c r="AK54" s="1"/>
      <c r="AL54" s="1"/>
      <c r="AM54" s="4"/>
      <c r="AN54" s="1"/>
      <c r="AO54" s="1"/>
      <c r="AP54" s="1"/>
      <c r="AQ54" s="1"/>
      <c r="AR54" s="1"/>
      <c r="AS54" s="1"/>
      <c r="AT54" s="1"/>
      <c r="AU54" s="1"/>
    </row>
    <row r="55" ht="15.75" customHeight="1">
      <c r="A55" s="12"/>
      <c r="B55" s="12"/>
      <c r="C55" s="12"/>
      <c r="D55" s="13" t="s">
        <v>5</v>
      </c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>
        <f t="shared" si="2"/>
        <v>0</v>
      </c>
      <c r="AK55" s="1"/>
      <c r="AL55" s="1"/>
      <c r="AM55" s="4"/>
      <c r="AN55" s="1"/>
      <c r="AO55" s="1"/>
      <c r="AP55" s="1"/>
      <c r="AQ55" s="1"/>
      <c r="AR55" s="1"/>
      <c r="AS55" s="1"/>
      <c r="AT55" s="1"/>
      <c r="AU55" s="1"/>
    </row>
    <row r="56" ht="15.75" customHeight="1">
      <c r="A56" s="16"/>
      <c r="B56" s="16"/>
      <c r="C56" s="16"/>
      <c r="D56" s="13" t="s">
        <v>6</v>
      </c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>
        <f t="shared" si="2"/>
        <v>0</v>
      </c>
      <c r="AK56" s="1"/>
      <c r="AL56" s="1"/>
      <c r="AM56" s="4"/>
      <c r="AN56" s="1"/>
      <c r="AO56" s="1"/>
      <c r="AP56" s="1"/>
      <c r="AQ56" s="1"/>
      <c r="AR56" s="1"/>
      <c r="AS56" s="1"/>
      <c r="AT56" s="1"/>
      <c r="AU56" s="1"/>
    </row>
    <row r="57" ht="15.75" customHeight="1">
      <c r="A57" s="10"/>
      <c r="B57" s="10"/>
      <c r="C57" s="10"/>
      <c r="D57" s="13" t="s">
        <v>7</v>
      </c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>
        <f t="shared" si="2"/>
        <v>0</v>
      </c>
      <c r="AK57" s="1"/>
      <c r="AL57" s="1"/>
      <c r="AM57" s="4"/>
      <c r="AN57" s="1"/>
      <c r="AO57" s="1"/>
      <c r="AP57" s="1"/>
      <c r="AQ57" s="1"/>
      <c r="AR57" s="1"/>
      <c r="AS57" s="1"/>
      <c r="AT57" s="1"/>
      <c r="AU57" s="1"/>
    </row>
    <row r="58" ht="15.75" customHeight="1">
      <c r="A58" s="12"/>
      <c r="B58" s="12"/>
      <c r="C58" s="12"/>
      <c r="D58" s="13" t="s">
        <v>5</v>
      </c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>
        <f t="shared" si="2"/>
        <v>0</v>
      </c>
      <c r="AK58" s="1"/>
      <c r="AL58" s="1"/>
      <c r="AM58" s="4"/>
      <c r="AN58" s="1"/>
      <c r="AO58" s="1"/>
      <c r="AP58" s="1"/>
      <c r="AQ58" s="1"/>
      <c r="AR58" s="1"/>
      <c r="AS58" s="1"/>
      <c r="AT58" s="1"/>
      <c r="AU58" s="1"/>
    </row>
    <row r="59" ht="15.75" customHeight="1">
      <c r="A59" s="16"/>
      <c r="B59" s="16"/>
      <c r="C59" s="16"/>
      <c r="D59" s="13" t="s">
        <v>6</v>
      </c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>
        <f t="shared" si="2"/>
        <v>0</v>
      </c>
      <c r="AK59" s="1"/>
      <c r="AL59" s="1"/>
      <c r="AM59" s="4"/>
      <c r="AN59" s="1"/>
      <c r="AO59" s="1"/>
      <c r="AP59" s="1"/>
      <c r="AQ59" s="1"/>
      <c r="AR59" s="1"/>
      <c r="AS59" s="1"/>
      <c r="AT59" s="1"/>
      <c r="AU59" s="1"/>
    </row>
    <row r="60" ht="15.75" customHeight="1">
      <c r="A60" s="10"/>
      <c r="B60" s="10"/>
      <c r="C60" s="10"/>
      <c r="D60" s="13" t="s">
        <v>7</v>
      </c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>
        <f t="shared" si="2"/>
        <v>0</v>
      </c>
      <c r="AK60" s="1"/>
      <c r="AL60" s="1"/>
      <c r="AM60" s="4"/>
      <c r="AN60" s="1"/>
      <c r="AO60" s="1"/>
      <c r="AP60" s="1"/>
      <c r="AQ60" s="1"/>
      <c r="AR60" s="1"/>
      <c r="AS60" s="1"/>
      <c r="AT60" s="1"/>
      <c r="AU60" s="1"/>
    </row>
    <row r="61" ht="15.75" customHeight="1">
      <c r="A61" s="12"/>
      <c r="B61" s="12"/>
      <c r="C61" s="12"/>
      <c r="D61" s="13" t="s">
        <v>5</v>
      </c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>
        <f t="shared" si="2"/>
        <v>0</v>
      </c>
      <c r="AK61" s="1"/>
      <c r="AL61" s="1"/>
      <c r="AM61" s="4"/>
      <c r="AN61" s="1"/>
      <c r="AO61" s="1"/>
      <c r="AP61" s="1"/>
      <c r="AQ61" s="1"/>
      <c r="AR61" s="1"/>
      <c r="AS61" s="1"/>
      <c r="AT61" s="1"/>
      <c r="AU61" s="1"/>
    </row>
    <row r="62" ht="15.75" customHeight="1">
      <c r="A62" s="16"/>
      <c r="B62" s="16"/>
      <c r="C62" s="16"/>
      <c r="D62" s="13" t="s">
        <v>6</v>
      </c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>
        <f t="shared" si="2"/>
        <v>0</v>
      </c>
      <c r="AK62" s="1"/>
      <c r="AL62" s="1"/>
      <c r="AM62" s="4"/>
      <c r="AN62" s="1"/>
      <c r="AO62" s="1"/>
      <c r="AP62" s="1"/>
      <c r="AQ62" s="1"/>
      <c r="AR62" s="1"/>
      <c r="AS62" s="1"/>
      <c r="AT62" s="1"/>
      <c r="AU62" s="1"/>
    </row>
    <row r="63" ht="15.75" customHeight="1">
      <c r="A63" s="10"/>
      <c r="B63" s="10"/>
      <c r="C63" s="10"/>
      <c r="D63" s="13" t="s">
        <v>7</v>
      </c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>
        <f t="shared" si="2"/>
        <v>0</v>
      </c>
      <c r="AK63" s="1"/>
      <c r="AL63" s="1"/>
      <c r="AM63" s="4"/>
      <c r="AN63" s="1"/>
      <c r="AO63" s="1"/>
      <c r="AP63" s="1"/>
      <c r="AQ63" s="1"/>
      <c r="AR63" s="1"/>
      <c r="AS63" s="1"/>
      <c r="AT63" s="1"/>
      <c r="AU63" s="1"/>
    </row>
    <row r="64" ht="15.75" customHeight="1">
      <c r="A64" s="12"/>
      <c r="B64" s="12"/>
      <c r="C64" s="12"/>
      <c r="D64" s="13" t="s">
        <v>5</v>
      </c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>
        <f t="shared" si="2"/>
        <v>0</v>
      </c>
      <c r="AK64" s="1"/>
      <c r="AL64" s="1"/>
      <c r="AM64" s="4"/>
      <c r="AN64" s="1"/>
      <c r="AO64" s="1"/>
      <c r="AP64" s="1"/>
      <c r="AQ64" s="1"/>
      <c r="AR64" s="1"/>
      <c r="AS64" s="1"/>
      <c r="AT64" s="1"/>
      <c r="AU64" s="1"/>
    </row>
    <row r="65" ht="15.75" customHeight="1">
      <c r="A65" s="16"/>
      <c r="B65" s="16"/>
      <c r="C65" s="16"/>
      <c r="D65" s="13" t="s">
        <v>6</v>
      </c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>
        <f t="shared" si="2"/>
        <v>0</v>
      </c>
      <c r="AK65" s="1"/>
      <c r="AL65" s="1"/>
      <c r="AM65" s="4"/>
      <c r="AN65" s="1"/>
      <c r="AO65" s="1"/>
      <c r="AP65" s="1"/>
      <c r="AQ65" s="1"/>
      <c r="AR65" s="1"/>
      <c r="AS65" s="1"/>
      <c r="AT65" s="1"/>
      <c r="AU65" s="1"/>
    </row>
    <row r="66" ht="15.75" customHeight="1">
      <c r="A66" s="10"/>
      <c r="B66" s="10"/>
      <c r="C66" s="10"/>
      <c r="D66" s="13" t="s">
        <v>7</v>
      </c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>
        <f t="shared" si="2"/>
        <v>0</v>
      </c>
      <c r="AK66" s="1"/>
      <c r="AL66" s="1"/>
      <c r="AM66" s="4"/>
      <c r="AN66" s="1"/>
      <c r="AO66" s="1"/>
      <c r="AP66" s="1"/>
      <c r="AQ66" s="1"/>
      <c r="AR66" s="1"/>
      <c r="AS66" s="1"/>
      <c r="AT66" s="1"/>
      <c r="AU66" s="1"/>
    </row>
    <row r="67" ht="15.75" customHeight="1">
      <c r="A67" s="12"/>
      <c r="B67" s="12"/>
      <c r="C67" s="12"/>
      <c r="D67" s="13" t="s">
        <v>5</v>
      </c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>
        <f t="shared" si="2"/>
        <v>0</v>
      </c>
      <c r="AK67" s="1"/>
      <c r="AL67" s="1"/>
      <c r="AM67" s="4"/>
      <c r="AN67" s="1"/>
      <c r="AO67" s="1"/>
      <c r="AP67" s="1"/>
      <c r="AQ67" s="1"/>
      <c r="AR67" s="1"/>
      <c r="AS67" s="1"/>
      <c r="AT67" s="1"/>
      <c r="AU67" s="1"/>
    </row>
    <row r="68" ht="15.75" customHeight="1">
      <c r="A68" s="16"/>
      <c r="B68" s="16"/>
      <c r="C68" s="16"/>
      <c r="D68" s="13" t="s">
        <v>6</v>
      </c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>
        <f t="shared" si="2"/>
        <v>0</v>
      </c>
      <c r="AK68" s="1"/>
      <c r="AL68" s="1"/>
      <c r="AM68" s="4"/>
      <c r="AN68" s="1"/>
      <c r="AO68" s="1"/>
      <c r="AP68" s="1"/>
      <c r="AQ68" s="1"/>
      <c r="AR68" s="1"/>
      <c r="AS68" s="1"/>
      <c r="AT68" s="1"/>
      <c r="AU68" s="1"/>
    </row>
    <row r="69" ht="15.75" customHeight="1">
      <c r="A69" s="10"/>
      <c r="B69" s="10"/>
      <c r="C69" s="10"/>
      <c r="D69" s="13" t="s">
        <v>7</v>
      </c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>
        <f t="shared" si="2"/>
        <v>0</v>
      </c>
      <c r="AK69" s="1"/>
      <c r="AL69" s="1"/>
      <c r="AM69" s="4"/>
      <c r="AN69" s="1"/>
      <c r="AO69" s="1"/>
      <c r="AP69" s="1"/>
      <c r="AQ69" s="1"/>
      <c r="AR69" s="1"/>
      <c r="AS69" s="1"/>
      <c r="AT69" s="1"/>
      <c r="AU69" s="1"/>
    </row>
    <row r="70" ht="15.75" customHeight="1">
      <c r="A70" s="12"/>
      <c r="B70" s="12"/>
      <c r="C70" s="12"/>
      <c r="D70" s="13" t="s">
        <v>5</v>
      </c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>
        <f t="shared" si="2"/>
        <v>0</v>
      </c>
      <c r="AK70" s="1"/>
      <c r="AL70" s="1"/>
      <c r="AM70" s="4"/>
      <c r="AN70" s="1"/>
      <c r="AO70" s="1"/>
      <c r="AP70" s="1"/>
      <c r="AQ70" s="1"/>
      <c r="AR70" s="1"/>
      <c r="AS70" s="1"/>
      <c r="AT70" s="1"/>
      <c r="AU70" s="1"/>
    </row>
    <row r="71" ht="15.75" customHeight="1">
      <c r="A71" s="16"/>
      <c r="B71" s="16"/>
      <c r="C71" s="16"/>
      <c r="D71" s="13" t="s">
        <v>6</v>
      </c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>
        <f t="shared" si="2"/>
        <v>0</v>
      </c>
      <c r="AK71" s="1"/>
      <c r="AL71" s="1"/>
      <c r="AM71" s="4"/>
      <c r="AN71" s="1"/>
      <c r="AO71" s="1"/>
      <c r="AP71" s="1"/>
      <c r="AQ71" s="1"/>
      <c r="AR71" s="1"/>
      <c r="AS71" s="1"/>
      <c r="AT71" s="1"/>
      <c r="AU71" s="1"/>
    </row>
    <row r="72" ht="15.75" customHeight="1">
      <c r="A72" s="10"/>
      <c r="B72" s="10"/>
      <c r="C72" s="10"/>
      <c r="D72" s="13" t="s">
        <v>7</v>
      </c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>
        <f t="shared" si="2"/>
        <v>0</v>
      </c>
      <c r="AK72" s="1"/>
      <c r="AL72" s="1"/>
      <c r="AM72" s="4"/>
      <c r="AN72" s="1"/>
      <c r="AO72" s="1"/>
      <c r="AP72" s="1"/>
      <c r="AQ72" s="1"/>
      <c r="AR72" s="1"/>
      <c r="AS72" s="1"/>
      <c r="AT72" s="1"/>
      <c r="AU72" s="1"/>
    </row>
    <row r="73" ht="15.75" customHeight="1">
      <c r="A73" s="31"/>
      <c r="B73" s="31"/>
      <c r="C73" s="3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4"/>
      <c r="AN73" s="1"/>
      <c r="AO73" s="1"/>
      <c r="AP73" s="1"/>
      <c r="AQ73" s="1"/>
      <c r="AR73" s="1"/>
      <c r="AS73" s="1"/>
      <c r="AT73" s="1"/>
      <c r="AU73" s="1"/>
    </row>
    <row r="74" ht="15.75" customHeight="1">
      <c r="A74" s="31"/>
      <c r="B74" s="31"/>
      <c r="C74" s="3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4"/>
      <c r="AN74" s="1"/>
      <c r="AO74" s="1"/>
      <c r="AP74" s="1"/>
      <c r="AQ74" s="1"/>
      <c r="AR74" s="1"/>
      <c r="AS74" s="1"/>
      <c r="AT74" s="1"/>
      <c r="AU74" s="1"/>
    </row>
    <row r="75" ht="15.75" customHeight="1">
      <c r="A75" s="31"/>
      <c r="B75" s="31"/>
      <c r="C75" s="3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4"/>
      <c r="AN75" s="1"/>
      <c r="AO75" s="1"/>
      <c r="AP75" s="1"/>
      <c r="AQ75" s="1"/>
      <c r="AR75" s="1"/>
      <c r="AS75" s="1"/>
      <c r="AT75" s="1"/>
      <c r="AU75" s="1"/>
    </row>
    <row r="76" ht="15.75" customHeight="1">
      <c r="A76" s="31"/>
      <c r="B76" s="31"/>
      <c r="C76" s="3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4"/>
      <c r="AN76" s="1"/>
      <c r="AO76" s="1"/>
      <c r="AP76" s="1"/>
      <c r="AQ76" s="1"/>
      <c r="AR76" s="1"/>
      <c r="AS76" s="1"/>
      <c r="AT76" s="1"/>
      <c r="AU76" s="1"/>
    </row>
    <row r="77" ht="15.75" customHeight="1">
      <c r="A77" s="31"/>
      <c r="B77" s="31"/>
      <c r="C77" s="3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4"/>
      <c r="AN77" s="1"/>
      <c r="AO77" s="1"/>
      <c r="AP77" s="1"/>
      <c r="AQ77" s="1"/>
      <c r="AR77" s="1"/>
      <c r="AS77" s="1"/>
      <c r="AT77" s="1"/>
      <c r="AU77" s="1"/>
    </row>
    <row r="78" ht="15.75" customHeight="1">
      <c r="A78" s="31"/>
      <c r="B78" s="31"/>
      <c r="C78" s="3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4"/>
      <c r="AN78" s="1"/>
      <c r="AO78" s="1"/>
      <c r="AP78" s="1"/>
      <c r="AQ78" s="1"/>
      <c r="AR78" s="1"/>
      <c r="AS78" s="1"/>
      <c r="AT78" s="1"/>
      <c r="AU78" s="1"/>
    </row>
    <row r="79" ht="15.75" customHeight="1">
      <c r="A79" s="31"/>
      <c r="B79" s="31"/>
      <c r="C79" s="3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4"/>
      <c r="AN79" s="1"/>
      <c r="AO79" s="1"/>
      <c r="AP79" s="1"/>
      <c r="AQ79" s="1"/>
      <c r="AR79" s="1"/>
      <c r="AS79" s="1"/>
      <c r="AT79" s="1"/>
      <c r="AU79" s="1"/>
    </row>
    <row r="80" ht="15.75" customHeight="1">
      <c r="A80" s="31"/>
      <c r="B80" s="31"/>
      <c r="C80" s="3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4"/>
      <c r="AN80" s="1"/>
      <c r="AO80" s="1"/>
      <c r="AP80" s="1"/>
      <c r="AQ80" s="1"/>
      <c r="AR80" s="1"/>
      <c r="AS80" s="1"/>
      <c r="AT80" s="1"/>
      <c r="AU80" s="1"/>
    </row>
    <row r="81" ht="15.75" customHeight="1">
      <c r="A81" s="31"/>
      <c r="B81" s="31"/>
      <c r="C81" s="3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4"/>
      <c r="AN81" s="1"/>
      <c r="AO81" s="1"/>
      <c r="AP81" s="1"/>
      <c r="AQ81" s="1"/>
      <c r="AR81" s="1"/>
      <c r="AS81" s="1"/>
      <c r="AT81" s="1"/>
      <c r="AU81" s="1"/>
    </row>
    <row r="82" ht="15.75" customHeight="1">
      <c r="A82" s="31"/>
      <c r="B82" s="31"/>
      <c r="C82" s="3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4"/>
      <c r="AN82" s="1"/>
      <c r="AO82" s="1"/>
      <c r="AP82" s="1"/>
      <c r="AQ82" s="1"/>
      <c r="AR82" s="1"/>
      <c r="AS82" s="1"/>
      <c r="AT82" s="1"/>
      <c r="AU82" s="1"/>
    </row>
    <row r="83" ht="15.75" customHeight="1">
      <c r="A83" s="31"/>
      <c r="B83" s="31"/>
      <c r="C83" s="3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4"/>
      <c r="AN83" s="1"/>
      <c r="AO83" s="1"/>
      <c r="AP83" s="1"/>
      <c r="AQ83" s="1"/>
      <c r="AR83" s="1"/>
      <c r="AS83" s="1"/>
      <c r="AT83" s="1"/>
      <c r="AU83" s="1"/>
    </row>
    <row r="84" ht="15.75" customHeight="1">
      <c r="A84" s="31"/>
      <c r="B84" s="31"/>
      <c r="C84" s="3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4"/>
      <c r="AN84" s="1"/>
      <c r="AO84" s="1"/>
      <c r="AP84" s="1"/>
      <c r="AQ84" s="1"/>
      <c r="AR84" s="1"/>
      <c r="AS84" s="1"/>
      <c r="AT84" s="1"/>
      <c r="AU84" s="1"/>
    </row>
    <row r="85" ht="15.75" customHeight="1">
      <c r="A85" s="31"/>
      <c r="B85" s="31"/>
      <c r="C85" s="3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4"/>
      <c r="AN85" s="1"/>
      <c r="AO85" s="1"/>
      <c r="AP85" s="1"/>
      <c r="AQ85" s="1"/>
      <c r="AR85" s="1"/>
      <c r="AS85" s="1"/>
      <c r="AT85" s="1"/>
      <c r="AU85" s="1"/>
    </row>
    <row r="86" ht="15.75" customHeight="1">
      <c r="A86" s="31"/>
      <c r="B86" s="31"/>
      <c r="C86" s="3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4"/>
      <c r="AN86" s="1"/>
      <c r="AO86" s="1"/>
      <c r="AP86" s="1"/>
      <c r="AQ86" s="1"/>
      <c r="AR86" s="1"/>
      <c r="AS86" s="1"/>
      <c r="AT86" s="1"/>
      <c r="AU86" s="1"/>
    </row>
    <row r="87" ht="15.75" customHeight="1">
      <c r="A87" s="31"/>
      <c r="B87" s="31"/>
      <c r="C87" s="3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4"/>
      <c r="AN87" s="1"/>
      <c r="AO87" s="1"/>
      <c r="AP87" s="1"/>
      <c r="AQ87" s="1"/>
      <c r="AR87" s="1"/>
      <c r="AS87" s="1"/>
      <c r="AT87" s="1"/>
      <c r="AU87" s="1"/>
    </row>
    <row r="88" ht="15.75" customHeight="1">
      <c r="A88" s="31"/>
      <c r="B88" s="31"/>
      <c r="C88" s="3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4"/>
      <c r="AN88" s="1"/>
      <c r="AO88" s="1"/>
      <c r="AP88" s="1"/>
      <c r="AQ88" s="1"/>
      <c r="AR88" s="1"/>
      <c r="AS88" s="1"/>
      <c r="AT88" s="1"/>
      <c r="AU88" s="1"/>
    </row>
    <row r="89" ht="15.75" customHeight="1">
      <c r="A89" s="31"/>
      <c r="B89" s="31"/>
      <c r="C89" s="3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4"/>
      <c r="AN89" s="1"/>
      <c r="AO89" s="1"/>
      <c r="AP89" s="1"/>
      <c r="AQ89" s="1"/>
      <c r="AR89" s="1"/>
      <c r="AS89" s="1"/>
      <c r="AT89" s="1"/>
      <c r="AU89" s="1"/>
    </row>
    <row r="90" ht="15.75" customHeight="1">
      <c r="A90" s="31"/>
      <c r="B90" s="31"/>
      <c r="C90" s="3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4"/>
      <c r="AN90" s="1"/>
      <c r="AO90" s="1"/>
      <c r="AP90" s="1"/>
      <c r="AQ90" s="1"/>
      <c r="AR90" s="1"/>
      <c r="AS90" s="1"/>
      <c r="AT90" s="1"/>
      <c r="AU90" s="1"/>
    </row>
    <row r="91" ht="15.75" customHeight="1">
      <c r="A91" s="31"/>
      <c r="B91" s="31"/>
      <c r="C91" s="3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4"/>
      <c r="AN91" s="1"/>
      <c r="AO91" s="1"/>
      <c r="AP91" s="1"/>
      <c r="AQ91" s="1"/>
      <c r="AR91" s="1"/>
      <c r="AS91" s="1"/>
      <c r="AT91" s="1"/>
      <c r="AU91" s="1"/>
    </row>
    <row r="92" ht="15.75" customHeight="1">
      <c r="A92" s="31"/>
      <c r="B92" s="31"/>
      <c r="C92" s="3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4"/>
      <c r="AN92" s="1"/>
      <c r="AO92" s="1"/>
      <c r="AP92" s="1"/>
      <c r="AQ92" s="1"/>
      <c r="AR92" s="1"/>
      <c r="AS92" s="1"/>
      <c r="AT92" s="1"/>
      <c r="AU92" s="1"/>
    </row>
    <row r="93" ht="15.75" customHeight="1">
      <c r="A93" s="31"/>
      <c r="B93" s="31"/>
      <c r="C93" s="3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4"/>
      <c r="AN93" s="1"/>
      <c r="AO93" s="1"/>
      <c r="AP93" s="1"/>
      <c r="AQ93" s="1"/>
      <c r="AR93" s="1"/>
      <c r="AS93" s="1"/>
      <c r="AT93" s="1"/>
      <c r="AU93" s="1"/>
    </row>
    <row r="94" ht="15.75" customHeight="1">
      <c r="A94" s="31"/>
      <c r="B94" s="31"/>
      <c r="C94" s="3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4"/>
      <c r="AN94" s="1"/>
      <c r="AO94" s="1"/>
      <c r="AP94" s="1"/>
      <c r="AQ94" s="1"/>
      <c r="AR94" s="1"/>
      <c r="AS94" s="1"/>
      <c r="AT94" s="1"/>
      <c r="AU94" s="1"/>
    </row>
    <row r="95" ht="15.75" customHeight="1">
      <c r="A95" s="31"/>
      <c r="B95" s="31"/>
      <c r="C95" s="3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4"/>
      <c r="AN95" s="1"/>
      <c r="AO95" s="1"/>
      <c r="AP95" s="1"/>
      <c r="AQ95" s="1"/>
      <c r="AR95" s="1"/>
      <c r="AS95" s="1"/>
      <c r="AT95" s="1"/>
      <c r="AU95" s="1"/>
    </row>
    <row r="96" ht="15.75" customHeight="1">
      <c r="A96" s="31"/>
      <c r="B96" s="31"/>
      <c r="C96" s="3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4"/>
      <c r="AN96" s="1"/>
      <c r="AO96" s="1"/>
      <c r="AP96" s="1"/>
      <c r="AQ96" s="1"/>
      <c r="AR96" s="1"/>
      <c r="AS96" s="1"/>
      <c r="AT96" s="1"/>
      <c r="AU96" s="1"/>
    </row>
    <row r="97" ht="15.75" customHeight="1">
      <c r="A97" s="31"/>
      <c r="B97" s="31"/>
      <c r="C97" s="3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4"/>
      <c r="AN97" s="1"/>
      <c r="AO97" s="1"/>
      <c r="AP97" s="1"/>
      <c r="AQ97" s="1"/>
      <c r="AR97" s="1"/>
      <c r="AS97" s="1"/>
      <c r="AT97" s="1"/>
      <c r="AU97" s="1"/>
    </row>
    <row r="98" ht="15.75" customHeight="1">
      <c r="A98" s="31"/>
      <c r="B98" s="31"/>
      <c r="C98" s="3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4"/>
      <c r="AN98" s="1"/>
      <c r="AO98" s="1"/>
      <c r="AP98" s="1"/>
      <c r="AQ98" s="1"/>
      <c r="AR98" s="1"/>
      <c r="AS98" s="1"/>
      <c r="AT98" s="1"/>
      <c r="AU98" s="1"/>
    </row>
    <row r="99" ht="15.75" customHeight="1">
      <c r="A99" s="31"/>
      <c r="B99" s="31"/>
      <c r="C99" s="3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4"/>
      <c r="AN99" s="1"/>
      <c r="AO99" s="1"/>
      <c r="AP99" s="1"/>
      <c r="AQ99" s="1"/>
      <c r="AR99" s="1"/>
      <c r="AS99" s="1"/>
      <c r="AT99" s="1"/>
      <c r="AU99" s="1"/>
    </row>
    <row r="100" ht="15.75" customHeight="1">
      <c r="A100" s="31"/>
      <c r="B100" s="31"/>
      <c r="C100" s="3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4"/>
      <c r="AN100" s="1"/>
      <c r="AO100" s="1"/>
      <c r="AP100" s="1"/>
      <c r="AQ100" s="1"/>
      <c r="AR100" s="1"/>
      <c r="AS100" s="1"/>
      <c r="AT100" s="1"/>
      <c r="AU100" s="1"/>
    </row>
    <row r="101" ht="15.75" customHeight="1">
      <c r="A101" s="31"/>
      <c r="B101" s="31"/>
      <c r="C101" s="3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4"/>
      <c r="AN101" s="1"/>
      <c r="AO101" s="1"/>
      <c r="AP101" s="1"/>
      <c r="AQ101" s="1"/>
      <c r="AR101" s="1"/>
      <c r="AS101" s="1"/>
      <c r="AT101" s="1"/>
      <c r="AU101" s="1"/>
    </row>
    <row r="102" ht="15.75" customHeight="1">
      <c r="A102" s="31"/>
      <c r="B102" s="31"/>
      <c r="C102" s="3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4"/>
      <c r="AN102" s="1"/>
      <c r="AO102" s="1"/>
      <c r="AP102" s="1"/>
      <c r="AQ102" s="1"/>
      <c r="AR102" s="1"/>
      <c r="AS102" s="1"/>
      <c r="AT102" s="1"/>
      <c r="AU102" s="1"/>
    </row>
    <row r="103" ht="15.75" customHeight="1">
      <c r="A103" s="31"/>
      <c r="B103" s="31"/>
      <c r="C103" s="3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4"/>
      <c r="AN103" s="1"/>
      <c r="AO103" s="1"/>
      <c r="AP103" s="1"/>
      <c r="AQ103" s="1"/>
      <c r="AR103" s="1"/>
      <c r="AS103" s="1"/>
      <c r="AT103" s="1"/>
      <c r="AU103" s="1"/>
    </row>
    <row r="104" ht="15.75" customHeight="1">
      <c r="A104" s="31"/>
      <c r="B104" s="31"/>
      <c r="C104" s="3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4"/>
      <c r="AN104" s="1"/>
      <c r="AO104" s="1"/>
      <c r="AP104" s="1"/>
      <c r="AQ104" s="1"/>
      <c r="AR104" s="1"/>
      <c r="AS104" s="1"/>
      <c r="AT104" s="1"/>
      <c r="AU104" s="1"/>
    </row>
    <row r="105" ht="15.75" customHeight="1">
      <c r="A105" s="31"/>
      <c r="B105" s="31"/>
      <c r="C105" s="3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4"/>
      <c r="AN105" s="1"/>
      <c r="AO105" s="1"/>
      <c r="AP105" s="1"/>
      <c r="AQ105" s="1"/>
      <c r="AR105" s="1"/>
      <c r="AS105" s="1"/>
      <c r="AT105" s="1"/>
      <c r="AU105" s="1"/>
    </row>
    <row r="106" ht="15.75" customHeight="1">
      <c r="A106" s="31"/>
      <c r="B106" s="31"/>
      <c r="C106" s="3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4"/>
      <c r="AN106" s="1"/>
      <c r="AO106" s="1"/>
      <c r="AP106" s="1"/>
      <c r="AQ106" s="1"/>
      <c r="AR106" s="1"/>
      <c r="AS106" s="1"/>
      <c r="AT106" s="1"/>
      <c r="AU106" s="1"/>
    </row>
    <row r="107" ht="15.75" customHeight="1">
      <c r="A107" s="31"/>
      <c r="B107" s="31"/>
      <c r="C107" s="3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4"/>
      <c r="AN107" s="1"/>
      <c r="AO107" s="1"/>
      <c r="AP107" s="1"/>
      <c r="AQ107" s="1"/>
      <c r="AR107" s="1"/>
      <c r="AS107" s="1"/>
      <c r="AT107" s="1"/>
      <c r="AU107" s="1"/>
    </row>
    <row r="108" ht="15.75" customHeight="1">
      <c r="A108" s="31"/>
      <c r="B108" s="31"/>
      <c r="C108" s="3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4"/>
      <c r="AN108" s="1"/>
      <c r="AO108" s="1"/>
      <c r="AP108" s="1"/>
      <c r="AQ108" s="1"/>
      <c r="AR108" s="1"/>
      <c r="AS108" s="1"/>
      <c r="AT108" s="1"/>
      <c r="AU108" s="1"/>
    </row>
    <row r="109" ht="15.75" customHeight="1">
      <c r="A109" s="31"/>
      <c r="B109" s="31"/>
      <c r="C109" s="3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4"/>
      <c r="AN109" s="1"/>
      <c r="AO109" s="1"/>
      <c r="AP109" s="1"/>
      <c r="AQ109" s="1"/>
      <c r="AR109" s="1"/>
      <c r="AS109" s="1"/>
      <c r="AT109" s="1"/>
      <c r="AU109" s="1"/>
    </row>
    <row r="110" ht="15.75" customHeight="1">
      <c r="A110" s="31"/>
      <c r="B110" s="31"/>
      <c r="C110" s="3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4"/>
      <c r="AN110" s="1"/>
      <c r="AO110" s="1"/>
      <c r="AP110" s="1"/>
      <c r="AQ110" s="1"/>
      <c r="AR110" s="1"/>
      <c r="AS110" s="1"/>
      <c r="AT110" s="1"/>
      <c r="AU110" s="1"/>
    </row>
    <row r="111" ht="15.75" customHeight="1">
      <c r="A111" s="31"/>
      <c r="B111" s="31"/>
      <c r="C111" s="3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4"/>
      <c r="AN111" s="1"/>
      <c r="AO111" s="1"/>
      <c r="AP111" s="1"/>
      <c r="AQ111" s="1"/>
      <c r="AR111" s="1"/>
      <c r="AS111" s="1"/>
      <c r="AT111" s="1"/>
      <c r="AU111" s="1"/>
    </row>
    <row r="112" ht="15.75" customHeight="1">
      <c r="A112" s="31"/>
      <c r="B112" s="31"/>
      <c r="C112" s="3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4"/>
      <c r="AN112" s="1"/>
      <c r="AO112" s="1"/>
      <c r="AP112" s="1"/>
      <c r="AQ112" s="1"/>
      <c r="AR112" s="1"/>
      <c r="AS112" s="1"/>
      <c r="AT112" s="1"/>
      <c r="AU112" s="1"/>
    </row>
    <row r="113" ht="15.75" customHeight="1">
      <c r="A113" s="31"/>
      <c r="B113" s="31"/>
      <c r="C113" s="3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4"/>
      <c r="AN113" s="1"/>
      <c r="AO113" s="1"/>
      <c r="AP113" s="1"/>
      <c r="AQ113" s="1"/>
      <c r="AR113" s="1"/>
      <c r="AS113" s="1"/>
      <c r="AT113" s="1"/>
      <c r="AU113" s="1"/>
    </row>
    <row r="114" ht="15.75" customHeight="1">
      <c r="A114" s="31"/>
      <c r="B114" s="31"/>
      <c r="C114" s="3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4"/>
      <c r="AN114" s="1"/>
      <c r="AO114" s="1"/>
      <c r="AP114" s="1"/>
      <c r="AQ114" s="1"/>
      <c r="AR114" s="1"/>
      <c r="AS114" s="1"/>
      <c r="AT114" s="1"/>
      <c r="AU114" s="1"/>
    </row>
    <row r="115" ht="15.75" customHeight="1">
      <c r="A115" s="31"/>
      <c r="B115" s="31"/>
      <c r="C115" s="3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4"/>
      <c r="AN115" s="1"/>
      <c r="AO115" s="1"/>
      <c r="AP115" s="1"/>
      <c r="AQ115" s="1"/>
      <c r="AR115" s="1"/>
      <c r="AS115" s="1"/>
      <c r="AT115" s="1"/>
      <c r="AU115" s="1"/>
    </row>
    <row r="116" ht="15.75" customHeight="1">
      <c r="A116" s="31"/>
      <c r="B116" s="31"/>
      <c r="C116" s="3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4"/>
      <c r="AN116" s="1"/>
      <c r="AO116" s="1"/>
      <c r="AP116" s="1"/>
      <c r="AQ116" s="1"/>
      <c r="AR116" s="1"/>
      <c r="AS116" s="1"/>
      <c r="AT116" s="1"/>
      <c r="AU116" s="1"/>
    </row>
    <row r="117" ht="15.75" customHeight="1">
      <c r="A117" s="31"/>
      <c r="B117" s="31"/>
      <c r="C117" s="3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4"/>
      <c r="AN117" s="1"/>
      <c r="AO117" s="1"/>
      <c r="AP117" s="1"/>
      <c r="AQ117" s="1"/>
      <c r="AR117" s="1"/>
      <c r="AS117" s="1"/>
      <c r="AT117" s="1"/>
      <c r="AU117" s="1"/>
    </row>
    <row r="118" ht="15.75" customHeight="1">
      <c r="A118" s="31"/>
      <c r="B118" s="31"/>
      <c r="C118" s="3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4"/>
      <c r="AN118" s="1"/>
      <c r="AO118" s="1"/>
      <c r="AP118" s="1"/>
      <c r="AQ118" s="1"/>
      <c r="AR118" s="1"/>
      <c r="AS118" s="1"/>
      <c r="AT118" s="1"/>
      <c r="AU118" s="1"/>
    </row>
    <row r="119" ht="15.75" customHeight="1">
      <c r="A119" s="31"/>
      <c r="B119" s="31"/>
      <c r="C119" s="3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4"/>
      <c r="AN119" s="1"/>
      <c r="AO119" s="1"/>
      <c r="AP119" s="1"/>
      <c r="AQ119" s="1"/>
      <c r="AR119" s="1"/>
      <c r="AS119" s="1"/>
      <c r="AT119" s="1"/>
      <c r="AU119" s="1"/>
    </row>
    <row r="120" ht="15.75" customHeight="1">
      <c r="A120" s="31"/>
      <c r="B120" s="31"/>
      <c r="C120" s="3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4"/>
      <c r="AN120" s="1"/>
      <c r="AO120" s="1"/>
      <c r="AP120" s="1"/>
      <c r="AQ120" s="1"/>
      <c r="AR120" s="1"/>
      <c r="AS120" s="1"/>
      <c r="AT120" s="1"/>
      <c r="AU120" s="1"/>
    </row>
    <row r="121" ht="15.75" customHeight="1">
      <c r="A121" s="31"/>
      <c r="B121" s="31"/>
      <c r="C121" s="3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4"/>
      <c r="AN121" s="1"/>
      <c r="AO121" s="1"/>
      <c r="AP121" s="1"/>
      <c r="AQ121" s="1"/>
      <c r="AR121" s="1"/>
      <c r="AS121" s="1"/>
      <c r="AT121" s="1"/>
      <c r="AU121" s="1"/>
    </row>
    <row r="122" ht="15.75" customHeight="1">
      <c r="A122" s="31"/>
      <c r="B122" s="31"/>
      <c r="C122" s="3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4"/>
      <c r="AN122" s="1"/>
      <c r="AO122" s="1"/>
      <c r="AP122" s="1"/>
      <c r="AQ122" s="1"/>
      <c r="AR122" s="1"/>
      <c r="AS122" s="1"/>
      <c r="AT122" s="1"/>
      <c r="AU122" s="1"/>
    </row>
    <row r="123" ht="15.75" customHeight="1">
      <c r="A123" s="31"/>
      <c r="B123" s="31"/>
      <c r="C123" s="3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4"/>
      <c r="AN123" s="1"/>
      <c r="AO123" s="1"/>
      <c r="AP123" s="1"/>
      <c r="AQ123" s="1"/>
      <c r="AR123" s="1"/>
      <c r="AS123" s="1"/>
      <c r="AT123" s="1"/>
      <c r="AU123" s="1"/>
    </row>
    <row r="124" ht="15.75" customHeight="1">
      <c r="A124" s="31"/>
      <c r="B124" s="31"/>
      <c r="C124" s="3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4"/>
      <c r="AN124" s="1"/>
      <c r="AO124" s="1"/>
      <c r="AP124" s="1"/>
      <c r="AQ124" s="1"/>
      <c r="AR124" s="1"/>
      <c r="AS124" s="1"/>
      <c r="AT124" s="1"/>
      <c r="AU124" s="1"/>
    </row>
    <row r="125" ht="15.75" customHeight="1">
      <c r="A125" s="31"/>
      <c r="B125" s="31"/>
      <c r="C125" s="3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4"/>
      <c r="AN125" s="1"/>
      <c r="AO125" s="1"/>
      <c r="AP125" s="1"/>
      <c r="AQ125" s="1"/>
      <c r="AR125" s="1"/>
      <c r="AS125" s="1"/>
      <c r="AT125" s="1"/>
      <c r="AU125" s="1"/>
    </row>
    <row r="126" ht="15.75" customHeight="1">
      <c r="A126" s="31"/>
      <c r="B126" s="31"/>
      <c r="C126" s="3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4"/>
      <c r="AN126" s="1"/>
      <c r="AO126" s="1"/>
      <c r="AP126" s="1"/>
      <c r="AQ126" s="1"/>
      <c r="AR126" s="1"/>
      <c r="AS126" s="1"/>
      <c r="AT126" s="1"/>
      <c r="AU126" s="1"/>
    </row>
    <row r="127" ht="15.75" customHeight="1">
      <c r="A127" s="31"/>
      <c r="B127" s="31"/>
      <c r="C127" s="3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4"/>
      <c r="AN127" s="1"/>
      <c r="AO127" s="1"/>
      <c r="AP127" s="1"/>
      <c r="AQ127" s="1"/>
      <c r="AR127" s="1"/>
      <c r="AS127" s="1"/>
      <c r="AT127" s="1"/>
      <c r="AU127" s="1"/>
    </row>
    <row r="128" ht="15.75" customHeight="1">
      <c r="A128" s="31"/>
      <c r="B128" s="31"/>
      <c r="C128" s="3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4"/>
      <c r="AN128" s="1"/>
      <c r="AO128" s="1"/>
      <c r="AP128" s="1"/>
      <c r="AQ128" s="1"/>
      <c r="AR128" s="1"/>
      <c r="AS128" s="1"/>
      <c r="AT128" s="1"/>
      <c r="AU128" s="1"/>
    </row>
    <row r="129" ht="15.75" customHeight="1">
      <c r="A129" s="31"/>
      <c r="B129" s="31"/>
      <c r="C129" s="3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4"/>
      <c r="AN129" s="1"/>
      <c r="AO129" s="1"/>
      <c r="AP129" s="1"/>
      <c r="AQ129" s="1"/>
      <c r="AR129" s="1"/>
      <c r="AS129" s="1"/>
      <c r="AT129" s="1"/>
      <c r="AU129" s="1"/>
    </row>
    <row r="130" ht="15.75" customHeight="1">
      <c r="A130" s="31"/>
      <c r="B130" s="31"/>
      <c r="C130" s="3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4"/>
      <c r="AN130" s="1"/>
      <c r="AO130" s="1"/>
      <c r="AP130" s="1"/>
      <c r="AQ130" s="1"/>
      <c r="AR130" s="1"/>
      <c r="AS130" s="1"/>
      <c r="AT130" s="1"/>
      <c r="AU130" s="1"/>
    </row>
    <row r="131" ht="15.75" customHeight="1">
      <c r="A131" s="31"/>
      <c r="B131" s="31"/>
      <c r="C131" s="3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4"/>
      <c r="AN131" s="1"/>
      <c r="AO131" s="1"/>
      <c r="AP131" s="1"/>
      <c r="AQ131" s="1"/>
      <c r="AR131" s="1"/>
      <c r="AS131" s="1"/>
      <c r="AT131" s="1"/>
      <c r="AU131" s="1"/>
    </row>
    <row r="132" ht="15.75" customHeight="1">
      <c r="A132" s="31"/>
      <c r="B132" s="31"/>
      <c r="C132" s="3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4"/>
      <c r="AN132" s="1"/>
      <c r="AO132" s="1"/>
      <c r="AP132" s="1"/>
      <c r="AQ132" s="1"/>
      <c r="AR132" s="1"/>
      <c r="AS132" s="1"/>
      <c r="AT132" s="1"/>
      <c r="AU132" s="1"/>
    </row>
    <row r="133" ht="15.75" customHeight="1">
      <c r="A133" s="31"/>
      <c r="B133" s="31"/>
      <c r="C133" s="3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4"/>
      <c r="AN133" s="1"/>
      <c r="AO133" s="1"/>
      <c r="AP133" s="1"/>
      <c r="AQ133" s="1"/>
      <c r="AR133" s="1"/>
      <c r="AS133" s="1"/>
      <c r="AT133" s="1"/>
      <c r="AU133" s="1"/>
    </row>
    <row r="134" ht="15.75" customHeight="1">
      <c r="A134" s="31"/>
      <c r="B134" s="31"/>
      <c r="C134" s="3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4"/>
      <c r="AN134" s="1"/>
      <c r="AO134" s="1"/>
      <c r="AP134" s="1"/>
      <c r="AQ134" s="1"/>
      <c r="AR134" s="1"/>
      <c r="AS134" s="1"/>
      <c r="AT134" s="1"/>
      <c r="AU134" s="1"/>
    </row>
    <row r="135" ht="15.75" customHeight="1">
      <c r="A135" s="31"/>
      <c r="B135" s="31"/>
      <c r="C135" s="3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4"/>
      <c r="AN135" s="1"/>
      <c r="AO135" s="1"/>
      <c r="AP135" s="1"/>
      <c r="AQ135" s="1"/>
      <c r="AR135" s="1"/>
      <c r="AS135" s="1"/>
      <c r="AT135" s="1"/>
      <c r="AU135" s="1"/>
    </row>
    <row r="136" ht="15.75" customHeight="1">
      <c r="A136" s="31"/>
      <c r="B136" s="31"/>
      <c r="C136" s="3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4"/>
      <c r="AN136" s="1"/>
      <c r="AO136" s="1"/>
      <c r="AP136" s="1"/>
      <c r="AQ136" s="1"/>
      <c r="AR136" s="1"/>
      <c r="AS136" s="1"/>
      <c r="AT136" s="1"/>
      <c r="AU136" s="1"/>
    </row>
    <row r="137" ht="15.75" customHeight="1">
      <c r="A137" s="31"/>
      <c r="B137" s="31"/>
      <c r="C137" s="3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4"/>
      <c r="AN137" s="1"/>
      <c r="AO137" s="1"/>
      <c r="AP137" s="1"/>
      <c r="AQ137" s="1"/>
      <c r="AR137" s="1"/>
      <c r="AS137" s="1"/>
      <c r="AT137" s="1"/>
      <c r="AU137" s="1"/>
    </row>
    <row r="138" ht="15.75" customHeight="1">
      <c r="A138" s="31"/>
      <c r="B138" s="31"/>
      <c r="C138" s="3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4"/>
      <c r="AN138" s="1"/>
      <c r="AO138" s="1"/>
      <c r="AP138" s="1"/>
      <c r="AQ138" s="1"/>
      <c r="AR138" s="1"/>
      <c r="AS138" s="1"/>
      <c r="AT138" s="1"/>
      <c r="AU138" s="1"/>
    </row>
    <row r="139" ht="15.75" customHeight="1">
      <c r="A139" s="31"/>
      <c r="B139" s="31"/>
      <c r="C139" s="3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4"/>
      <c r="AN139" s="1"/>
      <c r="AO139" s="1"/>
      <c r="AP139" s="1"/>
      <c r="AQ139" s="1"/>
      <c r="AR139" s="1"/>
      <c r="AS139" s="1"/>
      <c r="AT139" s="1"/>
      <c r="AU139" s="1"/>
    </row>
    <row r="140" ht="15.75" customHeight="1">
      <c r="A140" s="31"/>
      <c r="B140" s="31"/>
      <c r="C140" s="3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4"/>
      <c r="AN140" s="1"/>
      <c r="AO140" s="1"/>
      <c r="AP140" s="1"/>
      <c r="AQ140" s="1"/>
      <c r="AR140" s="1"/>
      <c r="AS140" s="1"/>
      <c r="AT140" s="1"/>
      <c r="AU140" s="1"/>
    </row>
    <row r="141" ht="15.75" customHeight="1">
      <c r="A141" s="31"/>
      <c r="B141" s="31"/>
      <c r="C141" s="3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4"/>
      <c r="AN141" s="1"/>
      <c r="AO141" s="1"/>
      <c r="AP141" s="1"/>
      <c r="AQ141" s="1"/>
      <c r="AR141" s="1"/>
      <c r="AS141" s="1"/>
      <c r="AT141" s="1"/>
      <c r="AU141" s="1"/>
    </row>
    <row r="142" ht="15.75" customHeight="1">
      <c r="A142" s="31"/>
      <c r="B142" s="31"/>
      <c r="C142" s="3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4"/>
      <c r="AN142" s="1"/>
      <c r="AO142" s="1"/>
      <c r="AP142" s="1"/>
      <c r="AQ142" s="1"/>
      <c r="AR142" s="1"/>
      <c r="AS142" s="1"/>
      <c r="AT142" s="1"/>
      <c r="AU142" s="1"/>
    </row>
    <row r="143" ht="15.75" customHeight="1">
      <c r="A143" s="31"/>
      <c r="B143" s="31"/>
      <c r="C143" s="3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4"/>
      <c r="AN143" s="1"/>
      <c r="AO143" s="1"/>
      <c r="AP143" s="1"/>
      <c r="AQ143" s="1"/>
      <c r="AR143" s="1"/>
      <c r="AS143" s="1"/>
      <c r="AT143" s="1"/>
      <c r="AU143" s="1"/>
    </row>
    <row r="144" ht="15.75" customHeight="1">
      <c r="A144" s="31"/>
      <c r="B144" s="31"/>
      <c r="C144" s="3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4"/>
      <c r="AN144" s="1"/>
      <c r="AO144" s="1"/>
      <c r="AP144" s="1"/>
      <c r="AQ144" s="1"/>
      <c r="AR144" s="1"/>
      <c r="AS144" s="1"/>
      <c r="AT144" s="1"/>
      <c r="AU144" s="1"/>
    </row>
    <row r="145" ht="15.75" customHeight="1">
      <c r="A145" s="31"/>
      <c r="B145" s="31"/>
      <c r="C145" s="3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4"/>
      <c r="AN145" s="1"/>
      <c r="AO145" s="1"/>
      <c r="AP145" s="1"/>
      <c r="AQ145" s="1"/>
      <c r="AR145" s="1"/>
      <c r="AS145" s="1"/>
      <c r="AT145" s="1"/>
      <c r="AU145" s="1"/>
    </row>
    <row r="146" ht="15.75" customHeight="1">
      <c r="A146" s="31"/>
      <c r="B146" s="31"/>
      <c r="C146" s="3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4"/>
      <c r="AN146" s="1"/>
      <c r="AO146" s="1"/>
      <c r="AP146" s="1"/>
      <c r="AQ146" s="1"/>
      <c r="AR146" s="1"/>
      <c r="AS146" s="1"/>
      <c r="AT146" s="1"/>
      <c r="AU146" s="1"/>
    </row>
    <row r="147" ht="15.75" customHeight="1">
      <c r="A147" s="31"/>
      <c r="B147" s="31"/>
      <c r="C147" s="3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4"/>
      <c r="AN147" s="1"/>
      <c r="AO147" s="1"/>
      <c r="AP147" s="1"/>
      <c r="AQ147" s="1"/>
      <c r="AR147" s="1"/>
      <c r="AS147" s="1"/>
      <c r="AT147" s="1"/>
      <c r="AU147" s="1"/>
    </row>
    <row r="148" ht="15.75" customHeight="1">
      <c r="A148" s="31"/>
      <c r="B148" s="31"/>
      <c r="C148" s="3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4"/>
      <c r="AN148" s="1"/>
      <c r="AO148" s="1"/>
      <c r="AP148" s="1"/>
      <c r="AQ148" s="1"/>
      <c r="AR148" s="1"/>
      <c r="AS148" s="1"/>
      <c r="AT148" s="1"/>
      <c r="AU148" s="1"/>
    </row>
    <row r="149" ht="15.75" customHeight="1">
      <c r="A149" s="31"/>
      <c r="B149" s="31"/>
      <c r="C149" s="3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4"/>
      <c r="AN149" s="1"/>
      <c r="AO149" s="1"/>
      <c r="AP149" s="1"/>
      <c r="AQ149" s="1"/>
      <c r="AR149" s="1"/>
      <c r="AS149" s="1"/>
      <c r="AT149" s="1"/>
      <c r="AU149" s="1"/>
    </row>
    <row r="150" ht="15.75" customHeight="1">
      <c r="A150" s="31"/>
      <c r="B150" s="31"/>
      <c r="C150" s="3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4"/>
      <c r="AN150" s="1"/>
      <c r="AO150" s="1"/>
      <c r="AP150" s="1"/>
      <c r="AQ150" s="1"/>
      <c r="AR150" s="1"/>
      <c r="AS150" s="1"/>
      <c r="AT150" s="1"/>
      <c r="AU150" s="1"/>
    </row>
    <row r="151" ht="15.75" customHeight="1">
      <c r="A151" s="31"/>
      <c r="B151" s="31"/>
      <c r="C151" s="3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4"/>
      <c r="AN151" s="1"/>
      <c r="AO151" s="1"/>
      <c r="AP151" s="1"/>
      <c r="AQ151" s="1"/>
      <c r="AR151" s="1"/>
      <c r="AS151" s="1"/>
      <c r="AT151" s="1"/>
      <c r="AU151" s="1"/>
    </row>
    <row r="152" ht="15.75" customHeight="1">
      <c r="A152" s="31"/>
      <c r="B152" s="31"/>
      <c r="C152" s="3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4"/>
      <c r="AN152" s="1"/>
      <c r="AO152" s="1"/>
      <c r="AP152" s="1"/>
      <c r="AQ152" s="1"/>
      <c r="AR152" s="1"/>
      <c r="AS152" s="1"/>
      <c r="AT152" s="1"/>
      <c r="AU152" s="1"/>
    </row>
    <row r="153" ht="15.75" customHeight="1">
      <c r="A153" s="31"/>
      <c r="B153" s="31"/>
      <c r="C153" s="3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4"/>
      <c r="AN153" s="1"/>
      <c r="AO153" s="1"/>
      <c r="AP153" s="1"/>
      <c r="AQ153" s="1"/>
      <c r="AR153" s="1"/>
      <c r="AS153" s="1"/>
      <c r="AT153" s="1"/>
      <c r="AU153" s="1"/>
    </row>
    <row r="154" ht="15.75" customHeight="1">
      <c r="A154" s="31"/>
      <c r="B154" s="31"/>
      <c r="C154" s="3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4"/>
      <c r="AN154" s="1"/>
      <c r="AO154" s="1"/>
      <c r="AP154" s="1"/>
      <c r="AQ154" s="1"/>
      <c r="AR154" s="1"/>
      <c r="AS154" s="1"/>
      <c r="AT154" s="1"/>
      <c r="AU154" s="1"/>
    </row>
    <row r="155" ht="15.75" customHeight="1">
      <c r="A155" s="31"/>
      <c r="B155" s="31"/>
      <c r="C155" s="3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4"/>
      <c r="AN155" s="1"/>
      <c r="AO155" s="1"/>
      <c r="AP155" s="1"/>
      <c r="AQ155" s="1"/>
      <c r="AR155" s="1"/>
      <c r="AS155" s="1"/>
      <c r="AT155" s="1"/>
      <c r="AU155" s="1"/>
    </row>
    <row r="156" ht="15.75" customHeight="1">
      <c r="A156" s="31"/>
      <c r="B156" s="31"/>
      <c r="C156" s="3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4"/>
      <c r="AN156" s="1"/>
      <c r="AO156" s="1"/>
      <c r="AP156" s="1"/>
      <c r="AQ156" s="1"/>
      <c r="AR156" s="1"/>
      <c r="AS156" s="1"/>
      <c r="AT156" s="1"/>
      <c r="AU156" s="1"/>
    </row>
    <row r="157" ht="15.75" customHeight="1">
      <c r="A157" s="31"/>
      <c r="B157" s="31"/>
      <c r="C157" s="3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4"/>
      <c r="AN157" s="1"/>
      <c r="AO157" s="1"/>
      <c r="AP157" s="1"/>
      <c r="AQ157" s="1"/>
      <c r="AR157" s="1"/>
      <c r="AS157" s="1"/>
      <c r="AT157" s="1"/>
      <c r="AU157" s="1"/>
    </row>
    <row r="158" ht="15.75" customHeight="1">
      <c r="A158" s="31"/>
      <c r="B158" s="31"/>
      <c r="C158" s="3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4"/>
      <c r="AN158" s="1"/>
      <c r="AO158" s="1"/>
      <c r="AP158" s="1"/>
      <c r="AQ158" s="1"/>
      <c r="AR158" s="1"/>
      <c r="AS158" s="1"/>
      <c r="AT158" s="1"/>
      <c r="AU158" s="1"/>
    </row>
    <row r="159" ht="15.75" customHeight="1">
      <c r="A159" s="31"/>
      <c r="B159" s="31"/>
      <c r="C159" s="3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4"/>
      <c r="AN159" s="1"/>
      <c r="AO159" s="1"/>
      <c r="AP159" s="1"/>
      <c r="AQ159" s="1"/>
      <c r="AR159" s="1"/>
      <c r="AS159" s="1"/>
      <c r="AT159" s="1"/>
      <c r="AU159" s="1"/>
    </row>
    <row r="160" ht="15.75" customHeight="1">
      <c r="A160" s="31"/>
      <c r="B160" s="31"/>
      <c r="C160" s="3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4"/>
      <c r="AN160" s="1"/>
      <c r="AO160" s="1"/>
      <c r="AP160" s="1"/>
      <c r="AQ160" s="1"/>
      <c r="AR160" s="1"/>
      <c r="AS160" s="1"/>
      <c r="AT160" s="1"/>
      <c r="AU160" s="1"/>
    </row>
    <row r="161" ht="15.75" customHeight="1">
      <c r="A161" s="31"/>
      <c r="B161" s="31"/>
      <c r="C161" s="3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4"/>
      <c r="AN161" s="1"/>
      <c r="AO161" s="1"/>
      <c r="AP161" s="1"/>
      <c r="AQ161" s="1"/>
      <c r="AR161" s="1"/>
      <c r="AS161" s="1"/>
      <c r="AT161" s="1"/>
      <c r="AU161" s="1"/>
    </row>
    <row r="162" ht="15.75" customHeight="1">
      <c r="A162" s="31"/>
      <c r="B162" s="31"/>
      <c r="C162" s="3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4"/>
      <c r="AN162" s="1"/>
      <c r="AO162" s="1"/>
      <c r="AP162" s="1"/>
      <c r="AQ162" s="1"/>
      <c r="AR162" s="1"/>
      <c r="AS162" s="1"/>
      <c r="AT162" s="1"/>
      <c r="AU162" s="1"/>
    </row>
    <row r="163" ht="15.75" customHeight="1">
      <c r="A163" s="31"/>
      <c r="B163" s="31"/>
      <c r="C163" s="3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4"/>
      <c r="AN163" s="1"/>
      <c r="AO163" s="1"/>
      <c r="AP163" s="1"/>
      <c r="AQ163" s="1"/>
      <c r="AR163" s="1"/>
      <c r="AS163" s="1"/>
      <c r="AT163" s="1"/>
      <c r="AU163" s="1"/>
    </row>
    <row r="164" ht="15.75" customHeight="1">
      <c r="A164" s="31"/>
      <c r="B164" s="31"/>
      <c r="C164" s="3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4"/>
      <c r="AN164" s="1"/>
      <c r="AO164" s="1"/>
      <c r="AP164" s="1"/>
      <c r="AQ164" s="1"/>
      <c r="AR164" s="1"/>
      <c r="AS164" s="1"/>
      <c r="AT164" s="1"/>
      <c r="AU164" s="1"/>
    </row>
    <row r="165" ht="15.75" customHeight="1">
      <c r="A165" s="31"/>
      <c r="B165" s="31"/>
      <c r="C165" s="3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4"/>
      <c r="AN165" s="1"/>
      <c r="AO165" s="1"/>
      <c r="AP165" s="1"/>
      <c r="AQ165" s="1"/>
      <c r="AR165" s="1"/>
      <c r="AS165" s="1"/>
      <c r="AT165" s="1"/>
      <c r="AU165" s="1"/>
    </row>
    <row r="166" ht="15.75" customHeight="1">
      <c r="A166" s="31"/>
      <c r="B166" s="31"/>
      <c r="C166" s="3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4"/>
      <c r="AN166" s="1"/>
      <c r="AO166" s="1"/>
      <c r="AP166" s="1"/>
      <c r="AQ166" s="1"/>
      <c r="AR166" s="1"/>
      <c r="AS166" s="1"/>
      <c r="AT166" s="1"/>
      <c r="AU166" s="1"/>
    </row>
    <row r="167" ht="15.75" customHeight="1">
      <c r="A167" s="31"/>
      <c r="B167" s="31"/>
      <c r="C167" s="3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4"/>
      <c r="AN167" s="1"/>
      <c r="AO167" s="1"/>
      <c r="AP167" s="1"/>
      <c r="AQ167" s="1"/>
      <c r="AR167" s="1"/>
      <c r="AS167" s="1"/>
      <c r="AT167" s="1"/>
      <c r="AU167" s="1"/>
    </row>
    <row r="168" ht="15.75" customHeight="1">
      <c r="A168" s="31"/>
      <c r="B168" s="31"/>
      <c r="C168" s="3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4"/>
      <c r="AN168" s="1"/>
      <c r="AO168" s="1"/>
      <c r="AP168" s="1"/>
      <c r="AQ168" s="1"/>
      <c r="AR168" s="1"/>
      <c r="AS168" s="1"/>
      <c r="AT168" s="1"/>
      <c r="AU168" s="1"/>
    </row>
    <row r="169" ht="15.75" customHeight="1">
      <c r="A169" s="31"/>
      <c r="B169" s="31"/>
      <c r="C169" s="3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4"/>
      <c r="AN169" s="1"/>
      <c r="AO169" s="1"/>
      <c r="AP169" s="1"/>
      <c r="AQ169" s="1"/>
      <c r="AR169" s="1"/>
      <c r="AS169" s="1"/>
      <c r="AT169" s="1"/>
      <c r="AU169" s="1"/>
    </row>
    <row r="170" ht="15.75" customHeight="1">
      <c r="A170" s="31"/>
      <c r="B170" s="31"/>
      <c r="C170" s="3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4"/>
      <c r="AN170" s="1"/>
      <c r="AO170" s="1"/>
      <c r="AP170" s="1"/>
      <c r="AQ170" s="1"/>
      <c r="AR170" s="1"/>
      <c r="AS170" s="1"/>
      <c r="AT170" s="1"/>
      <c r="AU170" s="1"/>
    </row>
    <row r="171" ht="15.75" customHeight="1">
      <c r="A171" s="31"/>
      <c r="B171" s="31"/>
      <c r="C171" s="3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4"/>
      <c r="AN171" s="1"/>
      <c r="AO171" s="1"/>
      <c r="AP171" s="1"/>
      <c r="AQ171" s="1"/>
      <c r="AR171" s="1"/>
      <c r="AS171" s="1"/>
      <c r="AT171" s="1"/>
      <c r="AU171" s="1"/>
    </row>
    <row r="172" ht="15.75" customHeight="1">
      <c r="A172" s="31"/>
      <c r="B172" s="31"/>
      <c r="C172" s="3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4"/>
      <c r="AN172" s="1"/>
      <c r="AO172" s="1"/>
      <c r="AP172" s="1"/>
      <c r="AQ172" s="1"/>
      <c r="AR172" s="1"/>
      <c r="AS172" s="1"/>
      <c r="AT172" s="1"/>
      <c r="AU172" s="1"/>
    </row>
    <row r="173" ht="15.75" customHeight="1">
      <c r="A173" s="31"/>
      <c r="B173" s="31"/>
      <c r="C173" s="3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4"/>
      <c r="AN173" s="1"/>
      <c r="AO173" s="1"/>
      <c r="AP173" s="1"/>
      <c r="AQ173" s="1"/>
      <c r="AR173" s="1"/>
      <c r="AS173" s="1"/>
      <c r="AT173" s="1"/>
      <c r="AU173" s="1"/>
    </row>
    <row r="174" ht="15.75" customHeight="1">
      <c r="A174" s="31"/>
      <c r="B174" s="31"/>
      <c r="C174" s="3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4"/>
      <c r="AN174" s="1"/>
      <c r="AO174" s="1"/>
      <c r="AP174" s="1"/>
      <c r="AQ174" s="1"/>
      <c r="AR174" s="1"/>
      <c r="AS174" s="1"/>
      <c r="AT174" s="1"/>
      <c r="AU174" s="1"/>
    </row>
    <row r="175" ht="15.75" customHeight="1">
      <c r="A175" s="31"/>
      <c r="B175" s="31"/>
      <c r="C175" s="3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4"/>
      <c r="AN175" s="1"/>
      <c r="AO175" s="1"/>
      <c r="AP175" s="1"/>
      <c r="AQ175" s="1"/>
      <c r="AR175" s="1"/>
      <c r="AS175" s="1"/>
      <c r="AT175" s="1"/>
      <c r="AU175" s="1"/>
    </row>
    <row r="176" ht="15.75" customHeight="1">
      <c r="A176" s="31"/>
      <c r="B176" s="31"/>
      <c r="C176" s="3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4"/>
      <c r="AN176" s="1"/>
      <c r="AO176" s="1"/>
      <c r="AP176" s="1"/>
      <c r="AQ176" s="1"/>
      <c r="AR176" s="1"/>
      <c r="AS176" s="1"/>
      <c r="AT176" s="1"/>
      <c r="AU176" s="1"/>
    </row>
    <row r="177" ht="15.75" customHeight="1">
      <c r="A177" s="31"/>
      <c r="B177" s="31"/>
      <c r="C177" s="3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4"/>
      <c r="AN177" s="1"/>
      <c r="AO177" s="1"/>
      <c r="AP177" s="1"/>
      <c r="AQ177" s="1"/>
      <c r="AR177" s="1"/>
      <c r="AS177" s="1"/>
      <c r="AT177" s="1"/>
      <c r="AU177" s="1"/>
    </row>
    <row r="178" ht="15.75" customHeight="1">
      <c r="A178" s="31"/>
      <c r="B178" s="31"/>
      <c r="C178" s="3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4"/>
      <c r="AN178" s="1"/>
      <c r="AO178" s="1"/>
      <c r="AP178" s="1"/>
      <c r="AQ178" s="1"/>
      <c r="AR178" s="1"/>
      <c r="AS178" s="1"/>
      <c r="AT178" s="1"/>
      <c r="AU178" s="1"/>
    </row>
    <row r="179" ht="15.75" customHeight="1">
      <c r="A179" s="31"/>
      <c r="B179" s="31"/>
      <c r="C179" s="3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4"/>
      <c r="AN179" s="1"/>
      <c r="AO179" s="1"/>
      <c r="AP179" s="1"/>
      <c r="AQ179" s="1"/>
      <c r="AR179" s="1"/>
      <c r="AS179" s="1"/>
      <c r="AT179" s="1"/>
      <c r="AU179" s="1"/>
    </row>
    <row r="180" ht="15.75" customHeight="1">
      <c r="A180" s="31"/>
      <c r="B180" s="31"/>
      <c r="C180" s="3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4"/>
      <c r="AN180" s="1"/>
      <c r="AO180" s="1"/>
      <c r="AP180" s="1"/>
      <c r="AQ180" s="1"/>
      <c r="AR180" s="1"/>
      <c r="AS180" s="1"/>
      <c r="AT180" s="1"/>
      <c r="AU180" s="1"/>
    </row>
    <row r="181" ht="15.75" customHeight="1">
      <c r="A181" s="31"/>
      <c r="B181" s="31"/>
      <c r="C181" s="3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4"/>
      <c r="AN181" s="1"/>
      <c r="AO181" s="1"/>
      <c r="AP181" s="1"/>
      <c r="AQ181" s="1"/>
      <c r="AR181" s="1"/>
      <c r="AS181" s="1"/>
      <c r="AT181" s="1"/>
      <c r="AU181" s="1"/>
    </row>
    <row r="182" ht="15.75" customHeight="1">
      <c r="A182" s="31"/>
      <c r="B182" s="31"/>
      <c r="C182" s="3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4"/>
      <c r="AN182" s="1"/>
      <c r="AO182" s="1"/>
      <c r="AP182" s="1"/>
      <c r="AQ182" s="1"/>
      <c r="AR182" s="1"/>
      <c r="AS182" s="1"/>
      <c r="AT182" s="1"/>
      <c r="AU182" s="1"/>
    </row>
    <row r="183" ht="15.75" customHeight="1">
      <c r="A183" s="31"/>
      <c r="B183" s="31"/>
      <c r="C183" s="3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4"/>
      <c r="AN183" s="1"/>
      <c r="AO183" s="1"/>
      <c r="AP183" s="1"/>
      <c r="AQ183" s="1"/>
      <c r="AR183" s="1"/>
      <c r="AS183" s="1"/>
      <c r="AT183" s="1"/>
      <c r="AU183" s="1"/>
    </row>
    <row r="184" ht="15.75" customHeight="1">
      <c r="A184" s="31"/>
      <c r="B184" s="31"/>
      <c r="C184" s="3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4"/>
      <c r="AN184" s="1"/>
      <c r="AO184" s="1"/>
      <c r="AP184" s="1"/>
      <c r="AQ184" s="1"/>
      <c r="AR184" s="1"/>
      <c r="AS184" s="1"/>
      <c r="AT184" s="1"/>
      <c r="AU184" s="1"/>
    </row>
    <row r="185" ht="15.75" customHeight="1">
      <c r="A185" s="31"/>
      <c r="B185" s="31"/>
      <c r="C185" s="3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4"/>
      <c r="AN185" s="1"/>
      <c r="AO185" s="1"/>
      <c r="AP185" s="1"/>
      <c r="AQ185" s="1"/>
      <c r="AR185" s="1"/>
      <c r="AS185" s="1"/>
      <c r="AT185" s="1"/>
      <c r="AU185" s="1"/>
    </row>
    <row r="186" ht="15.75" customHeight="1">
      <c r="A186" s="31"/>
      <c r="B186" s="31"/>
      <c r="C186" s="3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4"/>
      <c r="AN186" s="1"/>
      <c r="AO186" s="1"/>
      <c r="AP186" s="1"/>
      <c r="AQ186" s="1"/>
      <c r="AR186" s="1"/>
      <c r="AS186" s="1"/>
      <c r="AT186" s="1"/>
      <c r="AU186" s="1"/>
    </row>
    <row r="187" ht="15.75" customHeight="1">
      <c r="A187" s="31"/>
      <c r="B187" s="31"/>
      <c r="C187" s="3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4"/>
      <c r="AN187" s="1"/>
      <c r="AO187" s="1"/>
      <c r="AP187" s="1"/>
      <c r="AQ187" s="1"/>
      <c r="AR187" s="1"/>
      <c r="AS187" s="1"/>
      <c r="AT187" s="1"/>
      <c r="AU187" s="1"/>
    </row>
    <row r="188" ht="15.75" customHeight="1">
      <c r="A188" s="31"/>
      <c r="B188" s="31"/>
      <c r="C188" s="3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4"/>
      <c r="AN188" s="1"/>
      <c r="AO188" s="1"/>
      <c r="AP188" s="1"/>
      <c r="AQ188" s="1"/>
      <c r="AR188" s="1"/>
      <c r="AS188" s="1"/>
      <c r="AT188" s="1"/>
      <c r="AU188" s="1"/>
    </row>
    <row r="189" ht="15.75" customHeight="1">
      <c r="A189" s="31"/>
      <c r="B189" s="31"/>
      <c r="C189" s="3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4"/>
      <c r="AN189" s="1"/>
      <c r="AO189" s="1"/>
      <c r="AP189" s="1"/>
      <c r="AQ189" s="1"/>
      <c r="AR189" s="1"/>
      <c r="AS189" s="1"/>
      <c r="AT189" s="1"/>
      <c r="AU189" s="1"/>
    </row>
    <row r="190" ht="15.75" customHeight="1">
      <c r="A190" s="31"/>
      <c r="B190" s="31"/>
      <c r="C190" s="3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4"/>
      <c r="AN190" s="1"/>
      <c r="AO190" s="1"/>
      <c r="AP190" s="1"/>
      <c r="AQ190" s="1"/>
      <c r="AR190" s="1"/>
      <c r="AS190" s="1"/>
      <c r="AT190" s="1"/>
      <c r="AU190" s="1"/>
    </row>
    <row r="191" ht="15.75" customHeight="1">
      <c r="A191" s="31"/>
      <c r="B191" s="31"/>
      <c r="C191" s="3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4"/>
      <c r="AN191" s="1"/>
      <c r="AO191" s="1"/>
      <c r="AP191" s="1"/>
      <c r="AQ191" s="1"/>
      <c r="AR191" s="1"/>
      <c r="AS191" s="1"/>
      <c r="AT191" s="1"/>
      <c r="AU191" s="1"/>
    </row>
    <row r="192" ht="15.75" customHeight="1">
      <c r="A192" s="31"/>
      <c r="B192" s="31"/>
      <c r="C192" s="3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4"/>
      <c r="AN192" s="1"/>
      <c r="AO192" s="1"/>
      <c r="AP192" s="1"/>
      <c r="AQ192" s="1"/>
      <c r="AR192" s="1"/>
      <c r="AS192" s="1"/>
      <c r="AT192" s="1"/>
      <c r="AU192" s="1"/>
    </row>
    <row r="193" ht="15.75" customHeight="1">
      <c r="A193" s="31"/>
      <c r="B193" s="31"/>
      <c r="C193" s="3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4"/>
      <c r="AN193" s="1"/>
      <c r="AO193" s="1"/>
      <c r="AP193" s="1"/>
      <c r="AQ193" s="1"/>
      <c r="AR193" s="1"/>
      <c r="AS193" s="1"/>
      <c r="AT193" s="1"/>
      <c r="AU193" s="1"/>
    </row>
    <row r="194" ht="15.75" customHeight="1">
      <c r="A194" s="31"/>
      <c r="B194" s="31"/>
      <c r="C194" s="3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4"/>
      <c r="AN194" s="1"/>
      <c r="AO194" s="1"/>
      <c r="AP194" s="1"/>
      <c r="AQ194" s="1"/>
      <c r="AR194" s="1"/>
      <c r="AS194" s="1"/>
      <c r="AT194" s="1"/>
      <c r="AU194" s="1"/>
    </row>
    <row r="195" ht="15.75" customHeight="1">
      <c r="A195" s="31"/>
      <c r="B195" s="31"/>
      <c r="C195" s="3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4"/>
      <c r="AN195" s="1"/>
      <c r="AO195" s="1"/>
      <c r="AP195" s="1"/>
      <c r="AQ195" s="1"/>
      <c r="AR195" s="1"/>
      <c r="AS195" s="1"/>
      <c r="AT195" s="1"/>
      <c r="AU195" s="1"/>
    </row>
    <row r="196" ht="15.75" customHeight="1">
      <c r="A196" s="31"/>
      <c r="B196" s="31"/>
      <c r="C196" s="3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4"/>
      <c r="AN196" s="1"/>
      <c r="AO196" s="1"/>
      <c r="AP196" s="1"/>
      <c r="AQ196" s="1"/>
      <c r="AR196" s="1"/>
      <c r="AS196" s="1"/>
      <c r="AT196" s="1"/>
      <c r="AU196" s="1"/>
    </row>
    <row r="197" ht="15.75" customHeight="1">
      <c r="A197" s="31"/>
      <c r="B197" s="31"/>
      <c r="C197" s="3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4"/>
      <c r="AN197" s="1"/>
      <c r="AO197" s="1"/>
      <c r="AP197" s="1"/>
      <c r="AQ197" s="1"/>
      <c r="AR197" s="1"/>
      <c r="AS197" s="1"/>
      <c r="AT197" s="1"/>
      <c r="AU197" s="1"/>
    </row>
    <row r="198" ht="15.75" customHeight="1">
      <c r="A198" s="31"/>
      <c r="B198" s="31"/>
      <c r="C198" s="3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4"/>
      <c r="AN198" s="1"/>
      <c r="AO198" s="1"/>
      <c r="AP198" s="1"/>
      <c r="AQ198" s="1"/>
      <c r="AR198" s="1"/>
      <c r="AS198" s="1"/>
      <c r="AT198" s="1"/>
      <c r="AU198" s="1"/>
    </row>
    <row r="199" ht="15.75" customHeight="1">
      <c r="A199" s="31"/>
      <c r="B199" s="31"/>
      <c r="C199" s="3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4"/>
      <c r="AN199" s="1"/>
      <c r="AO199" s="1"/>
      <c r="AP199" s="1"/>
      <c r="AQ199" s="1"/>
      <c r="AR199" s="1"/>
      <c r="AS199" s="1"/>
      <c r="AT199" s="1"/>
      <c r="AU199" s="1"/>
    </row>
    <row r="200" ht="15.75" customHeight="1">
      <c r="A200" s="31"/>
      <c r="B200" s="31"/>
      <c r="C200" s="3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4"/>
      <c r="AN200" s="1"/>
      <c r="AO200" s="1"/>
      <c r="AP200" s="1"/>
      <c r="AQ200" s="1"/>
      <c r="AR200" s="1"/>
      <c r="AS200" s="1"/>
      <c r="AT200" s="1"/>
      <c r="AU200" s="1"/>
    </row>
    <row r="201" ht="15.75" customHeight="1">
      <c r="A201" s="31"/>
      <c r="B201" s="31"/>
      <c r="C201" s="3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4"/>
      <c r="AN201" s="1"/>
      <c r="AO201" s="1"/>
      <c r="AP201" s="1"/>
      <c r="AQ201" s="1"/>
      <c r="AR201" s="1"/>
      <c r="AS201" s="1"/>
      <c r="AT201" s="1"/>
      <c r="AU201" s="1"/>
    </row>
    <row r="202" ht="15.75" customHeight="1">
      <c r="A202" s="31"/>
      <c r="B202" s="31"/>
      <c r="C202" s="3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4"/>
      <c r="AN202" s="1"/>
      <c r="AO202" s="1"/>
      <c r="AP202" s="1"/>
      <c r="AQ202" s="1"/>
      <c r="AR202" s="1"/>
      <c r="AS202" s="1"/>
      <c r="AT202" s="1"/>
      <c r="AU202" s="1"/>
    </row>
    <row r="203" ht="15.75" customHeight="1">
      <c r="A203" s="31"/>
      <c r="B203" s="31"/>
      <c r="C203" s="3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4"/>
      <c r="AN203" s="1"/>
      <c r="AO203" s="1"/>
      <c r="AP203" s="1"/>
      <c r="AQ203" s="1"/>
      <c r="AR203" s="1"/>
      <c r="AS203" s="1"/>
      <c r="AT203" s="1"/>
      <c r="AU203" s="1"/>
    </row>
    <row r="204" ht="15.75" customHeight="1">
      <c r="A204" s="31"/>
      <c r="B204" s="31"/>
      <c r="C204" s="3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4"/>
      <c r="AN204" s="1"/>
      <c r="AO204" s="1"/>
      <c r="AP204" s="1"/>
      <c r="AQ204" s="1"/>
      <c r="AR204" s="1"/>
      <c r="AS204" s="1"/>
      <c r="AT204" s="1"/>
      <c r="AU204" s="1"/>
    </row>
    <row r="205" ht="15.75" customHeight="1">
      <c r="A205" s="31"/>
      <c r="B205" s="31"/>
      <c r="C205" s="3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4"/>
      <c r="AN205" s="1"/>
      <c r="AO205" s="1"/>
      <c r="AP205" s="1"/>
      <c r="AQ205" s="1"/>
      <c r="AR205" s="1"/>
      <c r="AS205" s="1"/>
      <c r="AT205" s="1"/>
      <c r="AU205" s="1"/>
    </row>
    <row r="206" ht="15.75" customHeight="1">
      <c r="A206" s="31"/>
      <c r="B206" s="31"/>
      <c r="C206" s="3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4"/>
      <c r="AN206" s="1"/>
      <c r="AO206" s="1"/>
      <c r="AP206" s="1"/>
      <c r="AQ206" s="1"/>
      <c r="AR206" s="1"/>
      <c r="AS206" s="1"/>
      <c r="AT206" s="1"/>
      <c r="AU206" s="1"/>
    </row>
    <row r="207" ht="15.75" customHeight="1">
      <c r="A207" s="31"/>
      <c r="B207" s="31"/>
      <c r="C207" s="3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4"/>
      <c r="AN207" s="1"/>
      <c r="AO207" s="1"/>
      <c r="AP207" s="1"/>
      <c r="AQ207" s="1"/>
      <c r="AR207" s="1"/>
      <c r="AS207" s="1"/>
      <c r="AT207" s="1"/>
      <c r="AU207" s="1"/>
    </row>
    <row r="208" ht="15.75" customHeight="1">
      <c r="A208" s="31"/>
      <c r="B208" s="31"/>
      <c r="C208" s="3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4"/>
      <c r="AN208" s="1"/>
      <c r="AO208" s="1"/>
      <c r="AP208" s="1"/>
      <c r="AQ208" s="1"/>
      <c r="AR208" s="1"/>
      <c r="AS208" s="1"/>
      <c r="AT208" s="1"/>
      <c r="AU208" s="1"/>
    </row>
    <row r="209" ht="15.75" customHeight="1">
      <c r="A209" s="31"/>
      <c r="B209" s="31"/>
      <c r="C209" s="3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4"/>
      <c r="AN209" s="1"/>
      <c r="AO209" s="1"/>
      <c r="AP209" s="1"/>
      <c r="AQ209" s="1"/>
      <c r="AR209" s="1"/>
      <c r="AS209" s="1"/>
      <c r="AT209" s="1"/>
      <c r="AU209" s="1"/>
    </row>
    <row r="210" ht="15.75" customHeight="1">
      <c r="A210" s="31"/>
      <c r="B210" s="31"/>
      <c r="C210" s="3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4"/>
      <c r="AN210" s="1"/>
      <c r="AO210" s="1"/>
      <c r="AP210" s="1"/>
      <c r="AQ210" s="1"/>
      <c r="AR210" s="1"/>
      <c r="AS210" s="1"/>
      <c r="AT210" s="1"/>
      <c r="AU210" s="1"/>
    </row>
    <row r="211" ht="15.75" customHeight="1">
      <c r="A211" s="31"/>
      <c r="B211" s="31"/>
      <c r="C211" s="3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4"/>
      <c r="AN211" s="1"/>
      <c r="AO211" s="1"/>
      <c r="AP211" s="1"/>
      <c r="AQ211" s="1"/>
      <c r="AR211" s="1"/>
      <c r="AS211" s="1"/>
      <c r="AT211" s="1"/>
      <c r="AU211" s="1"/>
    </row>
    <row r="212" ht="15.75" customHeight="1">
      <c r="A212" s="31"/>
      <c r="B212" s="31"/>
      <c r="C212" s="3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4"/>
      <c r="AN212" s="1"/>
      <c r="AO212" s="1"/>
      <c r="AP212" s="1"/>
      <c r="AQ212" s="1"/>
      <c r="AR212" s="1"/>
      <c r="AS212" s="1"/>
      <c r="AT212" s="1"/>
      <c r="AU212" s="1"/>
    </row>
    <row r="213" ht="15.75" customHeight="1">
      <c r="A213" s="31"/>
      <c r="B213" s="31"/>
      <c r="C213" s="3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4"/>
      <c r="AN213" s="1"/>
      <c r="AO213" s="1"/>
      <c r="AP213" s="1"/>
      <c r="AQ213" s="1"/>
      <c r="AR213" s="1"/>
      <c r="AS213" s="1"/>
      <c r="AT213" s="1"/>
      <c r="AU213" s="1"/>
    </row>
    <row r="214" ht="15.75" customHeight="1">
      <c r="A214" s="31"/>
      <c r="B214" s="31"/>
      <c r="C214" s="3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4"/>
      <c r="AN214" s="1"/>
      <c r="AO214" s="1"/>
      <c r="AP214" s="1"/>
      <c r="AQ214" s="1"/>
      <c r="AR214" s="1"/>
      <c r="AS214" s="1"/>
      <c r="AT214" s="1"/>
      <c r="AU214" s="1"/>
    </row>
    <row r="215" ht="15.75" customHeight="1">
      <c r="A215" s="31"/>
      <c r="B215" s="31"/>
      <c r="C215" s="3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4"/>
      <c r="AN215" s="1"/>
      <c r="AO215" s="1"/>
      <c r="AP215" s="1"/>
      <c r="AQ215" s="1"/>
      <c r="AR215" s="1"/>
      <c r="AS215" s="1"/>
      <c r="AT215" s="1"/>
      <c r="AU215" s="1"/>
    </row>
    <row r="216" ht="15.75" customHeight="1">
      <c r="A216" s="31"/>
      <c r="B216" s="31"/>
      <c r="C216" s="3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4"/>
      <c r="AN216" s="1"/>
      <c r="AO216" s="1"/>
      <c r="AP216" s="1"/>
      <c r="AQ216" s="1"/>
      <c r="AR216" s="1"/>
      <c r="AS216" s="1"/>
      <c r="AT216" s="1"/>
      <c r="AU216" s="1"/>
    </row>
    <row r="217" ht="15.75" customHeight="1">
      <c r="A217" s="31"/>
      <c r="B217" s="31"/>
      <c r="C217" s="3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4"/>
      <c r="AN217" s="1"/>
      <c r="AO217" s="1"/>
      <c r="AP217" s="1"/>
      <c r="AQ217" s="1"/>
      <c r="AR217" s="1"/>
      <c r="AS217" s="1"/>
      <c r="AT217" s="1"/>
      <c r="AU217" s="1"/>
    </row>
    <row r="218" ht="15.75" customHeight="1">
      <c r="A218" s="31"/>
      <c r="B218" s="31"/>
      <c r="C218" s="3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4"/>
      <c r="AN218" s="1"/>
      <c r="AO218" s="1"/>
      <c r="AP218" s="1"/>
      <c r="AQ218" s="1"/>
      <c r="AR218" s="1"/>
      <c r="AS218" s="1"/>
      <c r="AT218" s="1"/>
      <c r="AU218" s="1"/>
    </row>
    <row r="219" ht="15.75" customHeight="1">
      <c r="A219" s="31"/>
      <c r="B219" s="31"/>
      <c r="C219" s="3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4"/>
      <c r="AN219" s="1"/>
      <c r="AO219" s="1"/>
      <c r="AP219" s="1"/>
      <c r="AQ219" s="1"/>
      <c r="AR219" s="1"/>
      <c r="AS219" s="1"/>
      <c r="AT219" s="1"/>
      <c r="AU219" s="1"/>
    </row>
    <row r="220" ht="15.75" customHeight="1">
      <c r="A220" s="31"/>
      <c r="B220" s="31"/>
      <c r="C220" s="3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4"/>
      <c r="AN220" s="1"/>
      <c r="AO220" s="1"/>
      <c r="AP220" s="1"/>
      <c r="AQ220" s="1"/>
      <c r="AR220" s="1"/>
      <c r="AS220" s="1"/>
      <c r="AT220" s="1"/>
      <c r="AU220" s="1"/>
    </row>
    <row r="221" ht="15.75" customHeight="1">
      <c r="A221" s="31"/>
      <c r="B221" s="31"/>
      <c r="C221" s="3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4"/>
      <c r="AN221" s="1"/>
      <c r="AO221" s="1"/>
      <c r="AP221" s="1"/>
      <c r="AQ221" s="1"/>
      <c r="AR221" s="1"/>
      <c r="AS221" s="1"/>
      <c r="AT221" s="1"/>
      <c r="AU221" s="1"/>
    </row>
    <row r="222" ht="15.75" customHeight="1">
      <c r="A222" s="31"/>
      <c r="B222" s="31"/>
      <c r="C222" s="3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4"/>
      <c r="AN222" s="1"/>
      <c r="AO222" s="1"/>
      <c r="AP222" s="1"/>
      <c r="AQ222" s="1"/>
      <c r="AR222" s="1"/>
      <c r="AS222" s="1"/>
      <c r="AT222" s="1"/>
      <c r="AU222" s="1"/>
    </row>
    <row r="223" ht="15.75" customHeight="1">
      <c r="A223" s="31"/>
      <c r="B223" s="31"/>
      <c r="C223" s="3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4"/>
      <c r="AN223" s="1"/>
      <c r="AO223" s="1"/>
      <c r="AP223" s="1"/>
      <c r="AQ223" s="1"/>
      <c r="AR223" s="1"/>
      <c r="AS223" s="1"/>
      <c r="AT223" s="1"/>
      <c r="AU223" s="1"/>
    </row>
    <row r="224" ht="15.75" customHeight="1">
      <c r="A224" s="31"/>
      <c r="B224" s="31"/>
      <c r="C224" s="3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4"/>
      <c r="AN224" s="1"/>
      <c r="AO224" s="1"/>
      <c r="AP224" s="1"/>
      <c r="AQ224" s="1"/>
      <c r="AR224" s="1"/>
      <c r="AS224" s="1"/>
      <c r="AT224" s="1"/>
      <c r="AU224" s="1"/>
    </row>
    <row r="225" ht="15.75" customHeight="1">
      <c r="A225" s="31"/>
      <c r="B225" s="31"/>
      <c r="C225" s="3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4"/>
      <c r="AN225" s="1"/>
      <c r="AO225" s="1"/>
      <c r="AP225" s="1"/>
      <c r="AQ225" s="1"/>
      <c r="AR225" s="1"/>
      <c r="AS225" s="1"/>
      <c r="AT225" s="1"/>
      <c r="AU225" s="1"/>
    </row>
    <row r="226" ht="15.75" customHeight="1">
      <c r="A226" s="31"/>
      <c r="B226" s="31"/>
      <c r="C226" s="3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4"/>
      <c r="AN226" s="1"/>
      <c r="AO226" s="1"/>
      <c r="AP226" s="1"/>
      <c r="AQ226" s="1"/>
      <c r="AR226" s="1"/>
      <c r="AS226" s="1"/>
      <c r="AT226" s="1"/>
      <c r="AU226" s="1"/>
    </row>
    <row r="227" ht="15.75" customHeight="1">
      <c r="A227" s="31"/>
      <c r="B227" s="31"/>
      <c r="C227" s="3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4"/>
      <c r="AN227" s="1"/>
      <c r="AO227" s="1"/>
      <c r="AP227" s="1"/>
      <c r="AQ227" s="1"/>
      <c r="AR227" s="1"/>
      <c r="AS227" s="1"/>
      <c r="AT227" s="1"/>
      <c r="AU227" s="1"/>
    </row>
    <row r="228" ht="15.75" customHeight="1">
      <c r="A228" s="31"/>
      <c r="B228" s="31"/>
      <c r="C228" s="3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4"/>
      <c r="AN228" s="1"/>
      <c r="AO228" s="1"/>
      <c r="AP228" s="1"/>
      <c r="AQ228" s="1"/>
      <c r="AR228" s="1"/>
      <c r="AS228" s="1"/>
      <c r="AT228" s="1"/>
      <c r="AU228" s="1"/>
    </row>
    <row r="229" ht="15.75" customHeight="1">
      <c r="A229" s="31"/>
      <c r="B229" s="31"/>
      <c r="C229" s="3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4"/>
      <c r="AN229" s="1"/>
      <c r="AO229" s="1"/>
      <c r="AP229" s="1"/>
      <c r="AQ229" s="1"/>
      <c r="AR229" s="1"/>
      <c r="AS229" s="1"/>
      <c r="AT229" s="1"/>
      <c r="AU229" s="1"/>
    </row>
    <row r="230" ht="15.75" customHeight="1">
      <c r="A230" s="31"/>
      <c r="B230" s="31"/>
      <c r="C230" s="3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4"/>
      <c r="AN230" s="1"/>
      <c r="AO230" s="1"/>
      <c r="AP230" s="1"/>
      <c r="AQ230" s="1"/>
      <c r="AR230" s="1"/>
      <c r="AS230" s="1"/>
      <c r="AT230" s="1"/>
      <c r="AU230" s="1"/>
    </row>
    <row r="231" ht="15.75" customHeight="1">
      <c r="A231" s="31"/>
      <c r="B231" s="31"/>
      <c r="C231" s="3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4"/>
      <c r="AN231" s="1"/>
      <c r="AO231" s="1"/>
      <c r="AP231" s="1"/>
      <c r="AQ231" s="1"/>
      <c r="AR231" s="1"/>
      <c r="AS231" s="1"/>
      <c r="AT231" s="1"/>
      <c r="AU231" s="1"/>
    </row>
    <row r="232" ht="15.75" customHeight="1">
      <c r="A232" s="31"/>
      <c r="B232" s="31"/>
      <c r="C232" s="3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4"/>
      <c r="AN232" s="1"/>
      <c r="AO232" s="1"/>
      <c r="AP232" s="1"/>
      <c r="AQ232" s="1"/>
      <c r="AR232" s="1"/>
      <c r="AS232" s="1"/>
      <c r="AT232" s="1"/>
      <c r="AU232" s="1"/>
    </row>
    <row r="233" ht="15.75" customHeight="1">
      <c r="A233" s="31"/>
      <c r="B233" s="31"/>
      <c r="C233" s="3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4"/>
      <c r="AN233" s="1"/>
      <c r="AO233" s="1"/>
      <c r="AP233" s="1"/>
      <c r="AQ233" s="1"/>
      <c r="AR233" s="1"/>
      <c r="AS233" s="1"/>
      <c r="AT233" s="1"/>
      <c r="AU233" s="1"/>
    </row>
    <row r="234" ht="15.75" customHeight="1">
      <c r="A234" s="31"/>
      <c r="B234" s="31"/>
      <c r="C234" s="3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4"/>
      <c r="AN234" s="1"/>
      <c r="AO234" s="1"/>
      <c r="AP234" s="1"/>
      <c r="AQ234" s="1"/>
      <c r="AR234" s="1"/>
      <c r="AS234" s="1"/>
      <c r="AT234" s="1"/>
      <c r="AU234" s="1"/>
    </row>
    <row r="235" ht="15.75" customHeight="1">
      <c r="A235" s="31"/>
      <c r="B235" s="31"/>
      <c r="C235" s="3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4"/>
      <c r="AN235" s="1"/>
      <c r="AO235" s="1"/>
      <c r="AP235" s="1"/>
      <c r="AQ235" s="1"/>
      <c r="AR235" s="1"/>
      <c r="AS235" s="1"/>
      <c r="AT235" s="1"/>
      <c r="AU235" s="1"/>
    </row>
    <row r="236" ht="15.75" customHeight="1">
      <c r="A236" s="31"/>
      <c r="B236" s="31"/>
      <c r="C236" s="3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4"/>
      <c r="AN236" s="1"/>
      <c r="AO236" s="1"/>
      <c r="AP236" s="1"/>
      <c r="AQ236" s="1"/>
      <c r="AR236" s="1"/>
      <c r="AS236" s="1"/>
      <c r="AT236" s="1"/>
      <c r="AU236" s="1"/>
    </row>
    <row r="237" ht="15.75" customHeight="1">
      <c r="A237" s="31"/>
      <c r="B237" s="31"/>
      <c r="C237" s="3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4"/>
      <c r="AN237" s="1"/>
      <c r="AO237" s="1"/>
      <c r="AP237" s="1"/>
      <c r="AQ237" s="1"/>
      <c r="AR237" s="1"/>
      <c r="AS237" s="1"/>
      <c r="AT237" s="1"/>
      <c r="AU237" s="1"/>
    </row>
    <row r="238" ht="15.75" customHeight="1">
      <c r="A238" s="31"/>
      <c r="B238" s="31"/>
      <c r="C238" s="3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4"/>
      <c r="AN238" s="1"/>
      <c r="AO238" s="1"/>
      <c r="AP238" s="1"/>
      <c r="AQ238" s="1"/>
      <c r="AR238" s="1"/>
      <c r="AS238" s="1"/>
      <c r="AT238" s="1"/>
      <c r="AU238" s="1"/>
    </row>
    <row r="239" ht="15.75" customHeight="1">
      <c r="A239" s="31"/>
      <c r="B239" s="31"/>
      <c r="C239" s="3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4"/>
      <c r="AN239" s="1"/>
      <c r="AO239" s="1"/>
      <c r="AP239" s="1"/>
      <c r="AQ239" s="1"/>
      <c r="AR239" s="1"/>
      <c r="AS239" s="1"/>
      <c r="AT239" s="1"/>
      <c r="AU239" s="1"/>
    </row>
    <row r="240" ht="15.75" customHeight="1">
      <c r="A240" s="31"/>
      <c r="B240" s="31"/>
      <c r="C240" s="3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4"/>
      <c r="AN240" s="1"/>
      <c r="AO240" s="1"/>
      <c r="AP240" s="1"/>
      <c r="AQ240" s="1"/>
      <c r="AR240" s="1"/>
      <c r="AS240" s="1"/>
      <c r="AT240" s="1"/>
      <c r="AU240" s="1"/>
    </row>
    <row r="241" ht="15.75" customHeight="1">
      <c r="A241" s="31"/>
      <c r="B241" s="31"/>
      <c r="C241" s="3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4"/>
      <c r="AN241" s="1"/>
      <c r="AO241" s="1"/>
      <c r="AP241" s="1"/>
      <c r="AQ241" s="1"/>
      <c r="AR241" s="1"/>
      <c r="AS241" s="1"/>
      <c r="AT241" s="1"/>
      <c r="AU241" s="1"/>
    </row>
    <row r="242" ht="15.75" customHeight="1">
      <c r="A242" s="31"/>
      <c r="B242" s="31"/>
      <c r="C242" s="3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4"/>
      <c r="AN242" s="1"/>
      <c r="AO242" s="1"/>
      <c r="AP242" s="1"/>
      <c r="AQ242" s="1"/>
      <c r="AR242" s="1"/>
      <c r="AS242" s="1"/>
      <c r="AT242" s="1"/>
      <c r="AU242" s="1"/>
    </row>
    <row r="243" ht="15.75" customHeight="1">
      <c r="A243" s="31"/>
      <c r="B243" s="31"/>
      <c r="C243" s="3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4"/>
      <c r="AN243" s="1"/>
      <c r="AO243" s="1"/>
      <c r="AP243" s="1"/>
      <c r="AQ243" s="1"/>
      <c r="AR243" s="1"/>
      <c r="AS243" s="1"/>
      <c r="AT243" s="1"/>
      <c r="AU243" s="1"/>
    </row>
    <row r="244" ht="15.75" customHeight="1">
      <c r="A244" s="31"/>
      <c r="B244" s="31"/>
      <c r="C244" s="3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4"/>
      <c r="AN244" s="1"/>
      <c r="AO244" s="1"/>
      <c r="AP244" s="1"/>
      <c r="AQ244" s="1"/>
      <c r="AR244" s="1"/>
      <c r="AS244" s="1"/>
      <c r="AT244" s="1"/>
      <c r="AU244" s="1"/>
    </row>
    <row r="245" ht="15.75" customHeight="1">
      <c r="A245" s="31"/>
      <c r="B245" s="31"/>
      <c r="C245" s="3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4"/>
      <c r="AN245" s="1"/>
      <c r="AO245" s="1"/>
      <c r="AP245" s="1"/>
      <c r="AQ245" s="1"/>
      <c r="AR245" s="1"/>
      <c r="AS245" s="1"/>
      <c r="AT245" s="1"/>
      <c r="AU245" s="1"/>
    </row>
    <row r="246" ht="15.75" customHeight="1">
      <c r="A246" s="31"/>
      <c r="B246" s="31"/>
      <c r="C246" s="3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4"/>
      <c r="AN246" s="1"/>
      <c r="AO246" s="1"/>
      <c r="AP246" s="1"/>
      <c r="AQ246" s="1"/>
      <c r="AR246" s="1"/>
      <c r="AS246" s="1"/>
      <c r="AT246" s="1"/>
      <c r="AU246" s="1"/>
    </row>
    <row r="247" ht="15.75" customHeight="1">
      <c r="A247" s="31"/>
      <c r="B247" s="31"/>
      <c r="C247" s="3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4"/>
      <c r="AN247" s="1"/>
      <c r="AO247" s="1"/>
      <c r="AP247" s="1"/>
      <c r="AQ247" s="1"/>
      <c r="AR247" s="1"/>
      <c r="AS247" s="1"/>
      <c r="AT247" s="1"/>
      <c r="AU247" s="1"/>
    </row>
    <row r="248" ht="15.75" customHeight="1">
      <c r="A248" s="31"/>
      <c r="B248" s="31"/>
      <c r="C248" s="3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4"/>
      <c r="AN248" s="1"/>
      <c r="AO248" s="1"/>
      <c r="AP248" s="1"/>
      <c r="AQ248" s="1"/>
      <c r="AR248" s="1"/>
      <c r="AS248" s="1"/>
      <c r="AT248" s="1"/>
      <c r="AU248" s="1"/>
    </row>
    <row r="249" ht="15.75" customHeight="1">
      <c r="A249" s="31"/>
      <c r="B249" s="31"/>
      <c r="C249" s="3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4"/>
      <c r="AN249" s="1"/>
      <c r="AO249" s="1"/>
      <c r="AP249" s="1"/>
      <c r="AQ249" s="1"/>
      <c r="AR249" s="1"/>
      <c r="AS249" s="1"/>
      <c r="AT249" s="1"/>
      <c r="AU249" s="1"/>
    </row>
    <row r="250" ht="15.75" customHeight="1">
      <c r="A250" s="31"/>
      <c r="B250" s="31"/>
      <c r="C250" s="3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4"/>
      <c r="AN250" s="1"/>
      <c r="AO250" s="1"/>
      <c r="AP250" s="1"/>
      <c r="AQ250" s="1"/>
      <c r="AR250" s="1"/>
      <c r="AS250" s="1"/>
      <c r="AT250" s="1"/>
      <c r="AU250" s="1"/>
    </row>
    <row r="251" ht="15.75" customHeight="1">
      <c r="A251" s="31"/>
      <c r="B251" s="31"/>
      <c r="C251" s="3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4"/>
      <c r="AN251" s="1"/>
      <c r="AO251" s="1"/>
      <c r="AP251" s="1"/>
      <c r="AQ251" s="1"/>
      <c r="AR251" s="1"/>
      <c r="AS251" s="1"/>
      <c r="AT251" s="1"/>
      <c r="AU251" s="1"/>
    </row>
    <row r="252" ht="15.75" customHeight="1">
      <c r="A252" s="31"/>
      <c r="B252" s="31"/>
      <c r="C252" s="3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4"/>
      <c r="AN252" s="1"/>
      <c r="AO252" s="1"/>
      <c r="AP252" s="1"/>
      <c r="AQ252" s="1"/>
      <c r="AR252" s="1"/>
      <c r="AS252" s="1"/>
      <c r="AT252" s="1"/>
      <c r="AU252" s="1"/>
    </row>
    <row r="253" ht="15.75" customHeight="1">
      <c r="A253" s="31"/>
      <c r="B253" s="31"/>
      <c r="C253" s="3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4"/>
      <c r="AN253" s="1"/>
      <c r="AO253" s="1"/>
      <c r="AP253" s="1"/>
      <c r="AQ253" s="1"/>
      <c r="AR253" s="1"/>
      <c r="AS253" s="1"/>
      <c r="AT253" s="1"/>
      <c r="AU253" s="1"/>
    </row>
    <row r="254" ht="15.75" customHeight="1">
      <c r="A254" s="31"/>
      <c r="B254" s="31"/>
      <c r="C254" s="3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4"/>
      <c r="AN254" s="1"/>
      <c r="AO254" s="1"/>
      <c r="AP254" s="1"/>
      <c r="AQ254" s="1"/>
      <c r="AR254" s="1"/>
      <c r="AS254" s="1"/>
      <c r="AT254" s="1"/>
      <c r="AU254" s="1"/>
    </row>
    <row r="255" ht="15.75" customHeight="1">
      <c r="A255" s="31"/>
      <c r="B255" s="31"/>
      <c r="C255" s="3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4"/>
      <c r="AN255" s="1"/>
      <c r="AO255" s="1"/>
      <c r="AP255" s="1"/>
      <c r="AQ255" s="1"/>
      <c r="AR255" s="1"/>
      <c r="AS255" s="1"/>
      <c r="AT255" s="1"/>
      <c r="AU255" s="1"/>
    </row>
    <row r="256" ht="15.75" customHeight="1">
      <c r="A256" s="31"/>
      <c r="B256" s="31"/>
      <c r="C256" s="3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4"/>
      <c r="AN256" s="1"/>
      <c r="AO256" s="1"/>
      <c r="AP256" s="1"/>
      <c r="AQ256" s="1"/>
      <c r="AR256" s="1"/>
      <c r="AS256" s="1"/>
      <c r="AT256" s="1"/>
      <c r="AU256" s="1"/>
    </row>
    <row r="257" ht="15.75" customHeight="1">
      <c r="A257" s="31"/>
      <c r="B257" s="31"/>
      <c r="C257" s="3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4"/>
      <c r="AN257" s="1"/>
      <c r="AO257" s="1"/>
      <c r="AP257" s="1"/>
      <c r="AQ257" s="1"/>
      <c r="AR257" s="1"/>
      <c r="AS257" s="1"/>
      <c r="AT257" s="1"/>
      <c r="AU257" s="1"/>
    </row>
    <row r="258" ht="15.75" customHeight="1">
      <c r="A258" s="31"/>
      <c r="B258" s="31"/>
      <c r="C258" s="3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4"/>
      <c r="AN258" s="1"/>
      <c r="AO258" s="1"/>
      <c r="AP258" s="1"/>
      <c r="AQ258" s="1"/>
      <c r="AR258" s="1"/>
      <c r="AS258" s="1"/>
      <c r="AT258" s="1"/>
      <c r="AU258" s="1"/>
    </row>
    <row r="259" ht="15.75" customHeight="1">
      <c r="A259" s="31"/>
      <c r="B259" s="31"/>
      <c r="C259" s="3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4"/>
      <c r="AN259" s="1"/>
      <c r="AO259" s="1"/>
      <c r="AP259" s="1"/>
      <c r="AQ259" s="1"/>
      <c r="AR259" s="1"/>
      <c r="AS259" s="1"/>
      <c r="AT259" s="1"/>
      <c r="AU259" s="1"/>
    </row>
    <row r="260" ht="15.75" customHeight="1">
      <c r="A260" s="31"/>
      <c r="B260" s="31"/>
      <c r="C260" s="3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4"/>
      <c r="AN260" s="1"/>
      <c r="AO260" s="1"/>
      <c r="AP260" s="1"/>
      <c r="AQ260" s="1"/>
      <c r="AR260" s="1"/>
      <c r="AS260" s="1"/>
      <c r="AT260" s="1"/>
      <c r="AU260" s="1"/>
    </row>
    <row r="261" ht="15.75" customHeight="1">
      <c r="A261" s="31"/>
      <c r="B261" s="31"/>
      <c r="C261" s="3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4"/>
      <c r="AN261" s="1"/>
      <c r="AO261" s="1"/>
      <c r="AP261" s="1"/>
      <c r="AQ261" s="1"/>
      <c r="AR261" s="1"/>
      <c r="AS261" s="1"/>
      <c r="AT261" s="1"/>
      <c r="AU261" s="1"/>
    </row>
    <row r="262" ht="15.75" customHeight="1">
      <c r="A262" s="31"/>
      <c r="B262" s="31"/>
      <c r="C262" s="3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4"/>
      <c r="AN262" s="1"/>
      <c r="AO262" s="1"/>
      <c r="AP262" s="1"/>
      <c r="AQ262" s="1"/>
      <c r="AR262" s="1"/>
      <c r="AS262" s="1"/>
      <c r="AT262" s="1"/>
      <c r="AU262" s="1"/>
    </row>
    <row r="263" ht="15.75" customHeight="1">
      <c r="A263" s="31"/>
      <c r="B263" s="31"/>
      <c r="C263" s="3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4"/>
      <c r="AN263" s="1"/>
      <c r="AO263" s="1"/>
      <c r="AP263" s="1"/>
      <c r="AQ263" s="1"/>
      <c r="AR263" s="1"/>
      <c r="AS263" s="1"/>
      <c r="AT263" s="1"/>
      <c r="AU263" s="1"/>
    </row>
    <row r="264" ht="15.75" customHeight="1">
      <c r="A264" s="31"/>
      <c r="B264" s="31"/>
      <c r="C264" s="3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4"/>
      <c r="AN264" s="1"/>
      <c r="AO264" s="1"/>
      <c r="AP264" s="1"/>
      <c r="AQ264" s="1"/>
      <c r="AR264" s="1"/>
      <c r="AS264" s="1"/>
      <c r="AT264" s="1"/>
      <c r="AU264" s="1"/>
    </row>
    <row r="265" ht="15.75" customHeight="1">
      <c r="A265" s="31"/>
      <c r="B265" s="31"/>
      <c r="C265" s="3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4"/>
      <c r="AN265" s="1"/>
      <c r="AO265" s="1"/>
      <c r="AP265" s="1"/>
      <c r="AQ265" s="1"/>
      <c r="AR265" s="1"/>
      <c r="AS265" s="1"/>
      <c r="AT265" s="1"/>
      <c r="AU265" s="1"/>
    </row>
    <row r="266" ht="15.75" customHeight="1">
      <c r="A266" s="31"/>
      <c r="B266" s="31"/>
      <c r="C266" s="3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4"/>
      <c r="AN266" s="1"/>
      <c r="AO266" s="1"/>
      <c r="AP266" s="1"/>
      <c r="AQ266" s="1"/>
      <c r="AR266" s="1"/>
      <c r="AS266" s="1"/>
      <c r="AT266" s="1"/>
      <c r="AU266" s="1"/>
    </row>
    <row r="267" ht="15.75" customHeight="1">
      <c r="A267" s="31"/>
      <c r="B267" s="31"/>
      <c r="C267" s="3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4"/>
      <c r="AN267" s="1"/>
      <c r="AO267" s="1"/>
      <c r="AP267" s="1"/>
      <c r="AQ267" s="1"/>
      <c r="AR267" s="1"/>
      <c r="AS267" s="1"/>
      <c r="AT267" s="1"/>
      <c r="AU267" s="1"/>
    </row>
    <row r="268" ht="15.75" customHeight="1">
      <c r="A268" s="31"/>
      <c r="B268" s="31"/>
      <c r="C268" s="3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4"/>
      <c r="AN268" s="1"/>
      <c r="AO268" s="1"/>
      <c r="AP268" s="1"/>
      <c r="AQ268" s="1"/>
      <c r="AR268" s="1"/>
      <c r="AS268" s="1"/>
      <c r="AT268" s="1"/>
      <c r="AU268" s="1"/>
    </row>
    <row r="269" ht="15.75" customHeight="1">
      <c r="A269" s="31"/>
      <c r="B269" s="31"/>
      <c r="C269" s="3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4"/>
      <c r="AN269" s="1"/>
      <c r="AO269" s="1"/>
      <c r="AP269" s="1"/>
      <c r="AQ269" s="1"/>
      <c r="AR269" s="1"/>
      <c r="AS269" s="1"/>
      <c r="AT269" s="1"/>
      <c r="AU269" s="1"/>
    </row>
    <row r="270" ht="15.75" customHeight="1">
      <c r="A270" s="31"/>
      <c r="B270" s="31"/>
      <c r="C270" s="3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4"/>
      <c r="AN270" s="1"/>
      <c r="AO270" s="1"/>
      <c r="AP270" s="1"/>
      <c r="AQ270" s="1"/>
      <c r="AR270" s="1"/>
      <c r="AS270" s="1"/>
      <c r="AT270" s="1"/>
      <c r="AU270" s="1"/>
    </row>
    <row r="271" ht="15.75" customHeight="1">
      <c r="A271" s="31"/>
      <c r="B271" s="31"/>
      <c r="C271" s="3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4"/>
      <c r="AN271" s="1"/>
      <c r="AO271" s="1"/>
      <c r="AP271" s="1"/>
      <c r="AQ271" s="1"/>
      <c r="AR271" s="1"/>
      <c r="AS271" s="1"/>
      <c r="AT271" s="1"/>
      <c r="AU271" s="1"/>
    </row>
    <row r="272" ht="15.75" customHeight="1">
      <c r="A272" s="31"/>
      <c r="B272" s="31"/>
      <c r="C272" s="3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4"/>
      <c r="AN272" s="1"/>
      <c r="AO272" s="1"/>
      <c r="AP272" s="1"/>
      <c r="AQ272" s="1"/>
      <c r="AR272" s="1"/>
      <c r="AS272" s="1"/>
      <c r="AT272" s="1"/>
      <c r="AU272" s="1"/>
    </row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6">
    <mergeCell ref="A7:A9"/>
    <mergeCell ref="B7:B9"/>
    <mergeCell ref="C7:C9"/>
    <mergeCell ref="AM7:AM9"/>
    <mergeCell ref="A2:A3"/>
    <mergeCell ref="B2:B3"/>
    <mergeCell ref="C2:C3"/>
    <mergeCell ref="D2:D3"/>
    <mergeCell ref="A4:A6"/>
    <mergeCell ref="B4:B6"/>
    <mergeCell ref="C4:C6"/>
    <mergeCell ref="B16:B18"/>
    <mergeCell ref="C16:C18"/>
    <mergeCell ref="AM16:AM18"/>
    <mergeCell ref="A19:A21"/>
    <mergeCell ref="B19:B21"/>
    <mergeCell ref="C19:C21"/>
    <mergeCell ref="AM19:AM21"/>
    <mergeCell ref="A10:A12"/>
    <mergeCell ref="B10:B12"/>
    <mergeCell ref="C10:C12"/>
    <mergeCell ref="A13:A15"/>
    <mergeCell ref="B13:B15"/>
    <mergeCell ref="C13:C15"/>
    <mergeCell ref="A16:A18"/>
    <mergeCell ref="B28:B30"/>
    <mergeCell ref="C28:C30"/>
    <mergeCell ref="A22:A24"/>
    <mergeCell ref="B22:B24"/>
    <mergeCell ref="C22:C24"/>
    <mergeCell ref="A25:A27"/>
    <mergeCell ref="B25:B27"/>
    <mergeCell ref="C25:C27"/>
    <mergeCell ref="A28:A30"/>
    <mergeCell ref="B64:B66"/>
    <mergeCell ref="C64:C66"/>
    <mergeCell ref="A58:A60"/>
    <mergeCell ref="B58:B60"/>
    <mergeCell ref="C58:C60"/>
    <mergeCell ref="A61:A63"/>
    <mergeCell ref="B61:B63"/>
    <mergeCell ref="C61:C63"/>
    <mergeCell ref="A64:A66"/>
    <mergeCell ref="B37:B39"/>
    <mergeCell ref="C37:C39"/>
    <mergeCell ref="A31:A33"/>
    <mergeCell ref="B31:B33"/>
    <mergeCell ref="C31:C33"/>
    <mergeCell ref="A34:A36"/>
    <mergeCell ref="B34:B36"/>
    <mergeCell ref="C34:C36"/>
    <mergeCell ref="A37:A39"/>
    <mergeCell ref="B46:B48"/>
    <mergeCell ref="C46:C48"/>
    <mergeCell ref="A40:A42"/>
    <mergeCell ref="B40:B42"/>
    <mergeCell ref="C40:C42"/>
    <mergeCell ref="A43:A45"/>
    <mergeCell ref="B43:B45"/>
    <mergeCell ref="C43:C45"/>
    <mergeCell ref="A46:A48"/>
    <mergeCell ref="B55:B57"/>
    <mergeCell ref="C55:C57"/>
    <mergeCell ref="A49:A51"/>
    <mergeCell ref="B49:B51"/>
    <mergeCell ref="C49:C51"/>
    <mergeCell ref="A52:A54"/>
    <mergeCell ref="B52:B54"/>
    <mergeCell ref="C52:C54"/>
    <mergeCell ref="A55:A57"/>
    <mergeCell ref="A67:A69"/>
    <mergeCell ref="B67:B69"/>
    <mergeCell ref="C67:C69"/>
    <mergeCell ref="A70:A72"/>
    <mergeCell ref="B70:B72"/>
    <mergeCell ref="C70:C72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4"/>
  <legacyDrawing r:id="rId5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4" width="12.63"/>
    <col customWidth="1" min="5" max="35" width="2.63"/>
    <col customWidth="1" min="36" max="36" width="5.25"/>
    <col customWidth="1" min="37" max="37" width="5.63"/>
    <col customWidth="1" min="38" max="38" width="7.63"/>
    <col customWidth="1" min="39" max="39" width="25.75"/>
    <col customWidth="1" min="40" max="47" width="2.63"/>
  </cols>
  <sheetData>
    <row r="1" ht="15.75" customHeight="1">
      <c r="A1" s="31"/>
      <c r="B1" s="31"/>
      <c r="C1" s="3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4"/>
      <c r="AN1" s="1"/>
      <c r="AO1" s="1"/>
      <c r="AP1" s="1"/>
      <c r="AQ1" s="1"/>
      <c r="AR1" s="1"/>
      <c r="AS1" s="1"/>
      <c r="AT1" s="1"/>
      <c r="AU1" s="1"/>
    </row>
    <row r="2" ht="15.75" customHeight="1">
      <c r="A2" s="42" t="s">
        <v>0</v>
      </c>
      <c r="B2" s="42" t="s">
        <v>1</v>
      </c>
      <c r="C2" s="42" t="s">
        <v>2</v>
      </c>
      <c r="D2" s="43"/>
      <c r="E2" s="13">
        <v>1.0</v>
      </c>
      <c r="F2" s="13">
        <v>2.0</v>
      </c>
      <c r="G2" s="13">
        <v>3.0</v>
      </c>
      <c r="H2" s="13">
        <v>4.0</v>
      </c>
      <c r="I2" s="13">
        <v>5.0</v>
      </c>
      <c r="J2" s="13">
        <v>6.0</v>
      </c>
      <c r="K2" s="13">
        <v>7.0</v>
      </c>
      <c r="L2" s="13">
        <v>8.0</v>
      </c>
      <c r="M2" s="13">
        <v>9.0</v>
      </c>
      <c r="N2" s="13">
        <v>10.0</v>
      </c>
      <c r="O2" s="13">
        <v>11.0</v>
      </c>
      <c r="P2" s="13">
        <v>12.0</v>
      </c>
      <c r="Q2" s="13">
        <v>13.0</v>
      </c>
      <c r="R2" s="13">
        <v>14.0</v>
      </c>
      <c r="S2" s="13">
        <v>15.0</v>
      </c>
      <c r="T2" s="13">
        <v>16.0</v>
      </c>
      <c r="U2" s="13">
        <v>17.0</v>
      </c>
      <c r="V2" s="13">
        <v>18.0</v>
      </c>
      <c r="W2" s="13">
        <v>19.0</v>
      </c>
      <c r="X2" s="13">
        <v>20.0</v>
      </c>
      <c r="Y2" s="13">
        <v>21.0</v>
      </c>
      <c r="Z2" s="13">
        <v>22.0</v>
      </c>
      <c r="AA2" s="13">
        <v>23.0</v>
      </c>
      <c r="AB2" s="13">
        <v>24.0</v>
      </c>
      <c r="AC2" s="13">
        <v>25.0</v>
      </c>
      <c r="AD2" s="13">
        <v>26.0</v>
      </c>
      <c r="AE2" s="13">
        <v>27.0</v>
      </c>
      <c r="AF2" s="13">
        <v>28.0</v>
      </c>
      <c r="AG2" s="13">
        <v>29.0</v>
      </c>
      <c r="AH2" s="13">
        <v>30.0</v>
      </c>
      <c r="AI2" s="13">
        <v>31.0</v>
      </c>
      <c r="AJ2" s="13" t="s">
        <v>3</v>
      </c>
      <c r="AK2" s="9"/>
      <c r="AL2" s="8" t="s">
        <v>4</v>
      </c>
      <c r="AM2" s="4"/>
      <c r="AN2" s="1"/>
      <c r="AO2" s="1"/>
      <c r="AP2" s="1"/>
      <c r="AQ2" s="1"/>
      <c r="AR2" s="1"/>
      <c r="AS2" s="1"/>
      <c r="AT2" s="1"/>
      <c r="AU2" s="1"/>
    </row>
    <row r="3" ht="15.75" customHeight="1">
      <c r="A3" s="12" t="s">
        <v>30</v>
      </c>
      <c r="B3" s="12" t="s">
        <v>31</v>
      </c>
      <c r="C3" s="12"/>
      <c r="D3" s="13" t="s">
        <v>5</v>
      </c>
      <c r="E3" s="13">
        <v>1.0</v>
      </c>
      <c r="F3" s="13">
        <v>1.0</v>
      </c>
      <c r="G3" s="13">
        <v>1.0</v>
      </c>
      <c r="H3" s="13">
        <v>1.0</v>
      </c>
      <c r="I3" s="13">
        <v>1.0</v>
      </c>
      <c r="J3" s="13">
        <v>1.0</v>
      </c>
      <c r="K3" s="13">
        <v>1.0</v>
      </c>
      <c r="L3" s="13">
        <v>1.0</v>
      </c>
      <c r="M3" s="13">
        <v>1.0</v>
      </c>
      <c r="N3" s="13">
        <v>1.0</v>
      </c>
      <c r="O3" s="13">
        <v>1.0</v>
      </c>
      <c r="P3" s="13">
        <v>1.0</v>
      </c>
      <c r="Q3" s="13">
        <v>1.0</v>
      </c>
      <c r="R3" s="13">
        <v>1.0</v>
      </c>
      <c r="S3" s="13">
        <v>1.0</v>
      </c>
      <c r="T3" s="13">
        <v>1.0</v>
      </c>
      <c r="U3" s="13">
        <v>1.0</v>
      </c>
      <c r="V3" s="13">
        <v>1.0</v>
      </c>
      <c r="W3" s="13">
        <v>1.0</v>
      </c>
      <c r="X3" s="13">
        <v>1.0</v>
      </c>
      <c r="Y3" s="13">
        <v>1.0</v>
      </c>
      <c r="Z3" s="13">
        <v>1.0</v>
      </c>
      <c r="AA3" s="13">
        <v>1.0</v>
      </c>
      <c r="AB3" s="13">
        <v>1.0</v>
      </c>
      <c r="AC3" s="13">
        <v>1.0</v>
      </c>
      <c r="AD3" s="13">
        <v>1.0</v>
      </c>
      <c r="AE3" s="13">
        <v>1.0</v>
      </c>
      <c r="AF3" s="13">
        <v>1.0</v>
      </c>
      <c r="AG3" s="13">
        <v>1.0</v>
      </c>
      <c r="AH3" s="13">
        <v>1.0</v>
      </c>
      <c r="AI3" s="13">
        <v>1.0</v>
      </c>
      <c r="AJ3" s="13">
        <f t="shared" ref="AJ3:AJ71" si="1">SUM(E3:AI3)</f>
        <v>31</v>
      </c>
      <c r="AK3" s="14">
        <f>330*AJ3</f>
        <v>10230</v>
      </c>
      <c r="AL3" s="15"/>
      <c r="AM3" s="4"/>
      <c r="AN3" s="1"/>
      <c r="AO3" s="1"/>
      <c r="AP3" s="1"/>
      <c r="AQ3" s="1"/>
      <c r="AR3" s="1"/>
      <c r="AS3" s="1"/>
      <c r="AT3" s="1"/>
      <c r="AU3" s="1"/>
    </row>
    <row r="4" ht="15.75" customHeight="1">
      <c r="A4" s="16"/>
      <c r="B4" s="16"/>
      <c r="C4" s="16"/>
      <c r="D4" s="13" t="s">
        <v>6</v>
      </c>
      <c r="E4" s="13">
        <v>1.0</v>
      </c>
      <c r="F4" s="13">
        <v>1.0</v>
      </c>
      <c r="G4" s="13">
        <v>1.0</v>
      </c>
      <c r="H4" s="13">
        <v>1.0</v>
      </c>
      <c r="I4" s="13">
        <v>1.0</v>
      </c>
      <c r="J4" s="13">
        <v>1.0</v>
      </c>
      <c r="K4" s="13">
        <v>1.0</v>
      </c>
      <c r="L4" s="13">
        <v>1.0</v>
      </c>
      <c r="M4" s="13">
        <v>1.0</v>
      </c>
      <c r="N4" s="13">
        <v>1.0</v>
      </c>
      <c r="O4" s="13">
        <v>1.0</v>
      </c>
      <c r="P4" s="13">
        <v>1.0</v>
      </c>
      <c r="Q4" s="13">
        <v>1.0</v>
      </c>
      <c r="R4" s="13">
        <v>1.0</v>
      </c>
      <c r="S4" s="13">
        <v>1.0</v>
      </c>
      <c r="T4" s="13">
        <v>1.0</v>
      </c>
      <c r="U4" s="13">
        <v>1.0</v>
      </c>
      <c r="V4" s="13">
        <v>1.0</v>
      </c>
      <c r="W4" s="13">
        <v>1.0</v>
      </c>
      <c r="X4" s="13">
        <v>1.0</v>
      </c>
      <c r="Y4" s="13">
        <v>1.0</v>
      </c>
      <c r="Z4" s="13">
        <v>1.0</v>
      </c>
      <c r="AA4" s="13">
        <v>1.0</v>
      </c>
      <c r="AB4" s="13">
        <v>1.0</v>
      </c>
      <c r="AC4" s="13">
        <v>1.0</v>
      </c>
      <c r="AD4" s="13">
        <v>1.0</v>
      </c>
      <c r="AE4" s="13">
        <v>1.0</v>
      </c>
      <c r="AF4" s="13">
        <v>1.0</v>
      </c>
      <c r="AG4" s="13">
        <v>1.0</v>
      </c>
      <c r="AH4" s="13">
        <v>1.0</v>
      </c>
      <c r="AI4" s="13">
        <v>1.0</v>
      </c>
      <c r="AJ4" s="13">
        <f t="shared" si="1"/>
        <v>31</v>
      </c>
      <c r="AK4" s="14">
        <f t="shared" ref="AK4:AK5" si="2">550*AJ4</f>
        <v>17050</v>
      </c>
      <c r="AL4" s="19"/>
      <c r="AM4" s="4" t="s">
        <v>51</v>
      </c>
      <c r="AN4" s="1"/>
      <c r="AO4" s="1"/>
      <c r="AP4" s="1"/>
      <c r="AQ4" s="1"/>
      <c r="AR4" s="1"/>
      <c r="AS4" s="1"/>
      <c r="AT4" s="1"/>
      <c r="AU4" s="1"/>
    </row>
    <row r="5" ht="15.75" customHeight="1">
      <c r="A5" s="10"/>
      <c r="B5" s="10"/>
      <c r="C5" s="10"/>
      <c r="D5" s="13" t="s">
        <v>7</v>
      </c>
      <c r="E5" s="13">
        <v>1.0</v>
      </c>
      <c r="F5" s="13">
        <v>1.0</v>
      </c>
      <c r="G5" s="13">
        <v>1.0</v>
      </c>
      <c r="H5" s="13">
        <v>1.0</v>
      </c>
      <c r="I5" s="13">
        <v>1.0</v>
      </c>
      <c r="J5" s="13">
        <v>1.0</v>
      </c>
      <c r="K5" s="13">
        <v>1.0</v>
      </c>
      <c r="L5" s="13">
        <v>1.0</v>
      </c>
      <c r="M5" s="13">
        <v>1.0</v>
      </c>
      <c r="N5" s="13">
        <v>1.0</v>
      </c>
      <c r="O5" s="13">
        <v>1.0</v>
      </c>
      <c r="P5" s="13">
        <v>1.0</v>
      </c>
      <c r="Q5" s="13">
        <v>1.0</v>
      </c>
      <c r="R5" s="13">
        <v>1.0</v>
      </c>
      <c r="S5" s="13">
        <v>1.0</v>
      </c>
      <c r="T5" s="13">
        <v>1.0</v>
      </c>
      <c r="U5" s="13">
        <v>1.0</v>
      </c>
      <c r="V5" s="13">
        <v>1.0</v>
      </c>
      <c r="W5" s="13">
        <v>1.0</v>
      </c>
      <c r="X5" s="13">
        <v>1.0</v>
      </c>
      <c r="Y5" s="13">
        <v>1.0</v>
      </c>
      <c r="Z5" s="13">
        <v>1.0</v>
      </c>
      <c r="AA5" s="13">
        <v>1.0</v>
      </c>
      <c r="AB5" s="13">
        <v>1.0</v>
      </c>
      <c r="AC5" s="13">
        <v>1.0</v>
      </c>
      <c r="AD5" s="13">
        <v>1.0</v>
      </c>
      <c r="AE5" s="13">
        <v>1.0</v>
      </c>
      <c r="AF5" s="13">
        <v>1.0</v>
      </c>
      <c r="AG5" s="13">
        <v>1.0</v>
      </c>
      <c r="AH5" s="13">
        <v>1.0</v>
      </c>
      <c r="AI5" s="13">
        <v>1.0</v>
      </c>
      <c r="AJ5" s="13">
        <f t="shared" si="1"/>
        <v>31</v>
      </c>
      <c r="AK5" s="14">
        <f t="shared" si="2"/>
        <v>17050</v>
      </c>
      <c r="AL5" s="20">
        <f>SUM(AK3:AK5)</f>
        <v>44330</v>
      </c>
      <c r="AM5" s="4"/>
      <c r="AN5" s="1"/>
      <c r="AO5" s="1"/>
      <c r="AP5" s="1"/>
      <c r="AQ5" s="1"/>
      <c r="AR5" s="1"/>
      <c r="AS5" s="1"/>
      <c r="AT5" s="1"/>
      <c r="AU5" s="1"/>
    </row>
    <row r="6" ht="15.75" customHeight="1">
      <c r="A6" s="21" t="s">
        <v>8</v>
      </c>
      <c r="B6" s="21" t="s">
        <v>9</v>
      </c>
      <c r="C6" s="21" t="s">
        <v>42</v>
      </c>
      <c r="D6" s="22" t="s">
        <v>5</v>
      </c>
      <c r="E6" s="22">
        <v>0.0</v>
      </c>
      <c r="F6" s="22">
        <v>0.0</v>
      </c>
      <c r="G6" s="22">
        <v>0.0</v>
      </c>
      <c r="H6" s="22">
        <v>0.0</v>
      </c>
      <c r="I6" s="22">
        <v>0.0</v>
      </c>
      <c r="J6" s="22">
        <v>0.0</v>
      </c>
      <c r="K6" s="22">
        <v>0.0</v>
      </c>
      <c r="L6" s="22">
        <v>0.0</v>
      </c>
      <c r="M6" s="22">
        <v>0.0</v>
      </c>
      <c r="N6" s="22">
        <v>0.0</v>
      </c>
      <c r="O6" s="22">
        <v>0.0</v>
      </c>
      <c r="P6" s="22">
        <v>0.0</v>
      </c>
      <c r="Q6" s="22">
        <v>0.0</v>
      </c>
      <c r="R6" s="22">
        <v>0.0</v>
      </c>
      <c r="S6" s="22">
        <v>0.0</v>
      </c>
      <c r="T6" s="22">
        <v>0.0</v>
      </c>
      <c r="U6" s="22">
        <v>0.0</v>
      </c>
      <c r="V6" s="22">
        <v>0.0</v>
      </c>
      <c r="W6" s="22">
        <v>0.0</v>
      </c>
      <c r="X6" s="22">
        <v>0.0</v>
      </c>
      <c r="Y6" s="22">
        <v>0.0</v>
      </c>
      <c r="Z6" s="22">
        <v>0.0</v>
      </c>
      <c r="AA6" s="22">
        <v>0.0</v>
      </c>
      <c r="AB6" s="22">
        <v>0.0</v>
      </c>
      <c r="AC6" s="22">
        <v>0.0</v>
      </c>
      <c r="AD6" s="22">
        <v>0.0</v>
      </c>
      <c r="AE6" s="22">
        <v>0.0</v>
      </c>
      <c r="AF6" s="22">
        <v>0.0</v>
      </c>
      <c r="AG6" s="22">
        <v>0.0</v>
      </c>
      <c r="AH6" s="22">
        <v>0.0</v>
      </c>
      <c r="AI6" s="22">
        <v>0.0</v>
      </c>
      <c r="AJ6" s="22">
        <f t="shared" si="1"/>
        <v>0</v>
      </c>
      <c r="AK6" s="23">
        <f>330*AJ6</f>
        <v>0</v>
      </c>
      <c r="AL6" s="24"/>
      <c r="AM6" s="31" t="s">
        <v>43</v>
      </c>
      <c r="AN6" s="1"/>
      <c r="AO6" s="1"/>
      <c r="AP6" s="1"/>
      <c r="AQ6" s="1"/>
      <c r="AR6" s="1"/>
      <c r="AS6" s="1"/>
      <c r="AT6" s="1"/>
      <c r="AU6" s="1"/>
    </row>
    <row r="7" ht="15.75" customHeight="1">
      <c r="A7" s="16"/>
      <c r="B7" s="16"/>
      <c r="C7" s="16"/>
      <c r="D7" s="22" t="s">
        <v>6</v>
      </c>
      <c r="E7" s="22">
        <v>0.0</v>
      </c>
      <c r="F7" s="22">
        <v>0.0</v>
      </c>
      <c r="G7" s="22">
        <v>0.0</v>
      </c>
      <c r="H7" s="22">
        <v>0.0</v>
      </c>
      <c r="I7" s="22">
        <v>0.0</v>
      </c>
      <c r="J7" s="22">
        <v>0.0</v>
      </c>
      <c r="K7" s="22">
        <v>0.0</v>
      </c>
      <c r="L7" s="22">
        <v>0.0</v>
      </c>
      <c r="M7" s="22">
        <v>0.0</v>
      </c>
      <c r="N7" s="22">
        <v>0.0</v>
      </c>
      <c r="O7" s="22">
        <v>0.0</v>
      </c>
      <c r="P7" s="22">
        <v>0.0</v>
      </c>
      <c r="Q7" s="22">
        <v>0.0</v>
      </c>
      <c r="R7" s="22">
        <v>0.0</v>
      </c>
      <c r="S7" s="22">
        <v>0.0</v>
      </c>
      <c r="T7" s="22">
        <v>0.0</v>
      </c>
      <c r="U7" s="22">
        <v>0.0</v>
      </c>
      <c r="V7" s="22">
        <v>0.0</v>
      </c>
      <c r="W7" s="22">
        <v>0.0</v>
      </c>
      <c r="X7" s="22">
        <v>0.0</v>
      </c>
      <c r="Y7" s="22">
        <v>0.0</v>
      </c>
      <c r="Z7" s="22">
        <v>0.0</v>
      </c>
      <c r="AA7" s="22">
        <v>0.0</v>
      </c>
      <c r="AB7" s="22">
        <v>0.0</v>
      </c>
      <c r="AC7" s="22">
        <v>0.0</v>
      </c>
      <c r="AD7" s="22">
        <v>0.0</v>
      </c>
      <c r="AE7" s="22">
        <v>0.0</v>
      </c>
      <c r="AF7" s="22">
        <v>0.0</v>
      </c>
      <c r="AG7" s="22">
        <v>0.0</v>
      </c>
      <c r="AH7" s="22">
        <v>0.0</v>
      </c>
      <c r="AI7" s="22">
        <v>0.0</v>
      </c>
      <c r="AJ7" s="22">
        <f t="shared" si="1"/>
        <v>0</v>
      </c>
      <c r="AK7" s="23">
        <f t="shared" ref="AK7:AK8" si="3">550*AJ7</f>
        <v>0</v>
      </c>
      <c r="AL7" s="24"/>
      <c r="AN7" s="1"/>
      <c r="AO7" s="1"/>
      <c r="AP7" s="1"/>
      <c r="AQ7" s="1"/>
      <c r="AR7" s="1"/>
      <c r="AS7" s="1"/>
      <c r="AT7" s="1"/>
      <c r="AU7" s="1"/>
    </row>
    <row r="8" ht="15.75" customHeight="1">
      <c r="A8" s="10"/>
      <c r="B8" s="10"/>
      <c r="C8" s="10"/>
      <c r="D8" s="22" t="s">
        <v>7</v>
      </c>
      <c r="E8" s="22">
        <v>0.0</v>
      </c>
      <c r="F8" s="22">
        <v>0.0</v>
      </c>
      <c r="G8" s="22">
        <v>0.0</v>
      </c>
      <c r="H8" s="22">
        <v>0.0</v>
      </c>
      <c r="I8" s="22">
        <v>0.0</v>
      </c>
      <c r="J8" s="22">
        <v>0.0</v>
      </c>
      <c r="K8" s="22">
        <v>0.0</v>
      </c>
      <c r="L8" s="22">
        <v>0.0</v>
      </c>
      <c r="M8" s="22">
        <v>0.0</v>
      </c>
      <c r="N8" s="22">
        <v>0.0</v>
      </c>
      <c r="O8" s="22">
        <v>0.0</v>
      </c>
      <c r="P8" s="22">
        <v>0.0</v>
      </c>
      <c r="Q8" s="22">
        <v>0.0</v>
      </c>
      <c r="R8" s="22">
        <v>0.0</v>
      </c>
      <c r="S8" s="22">
        <v>0.0</v>
      </c>
      <c r="T8" s="22">
        <v>0.0</v>
      </c>
      <c r="U8" s="22">
        <v>0.0</v>
      </c>
      <c r="V8" s="22">
        <v>0.0</v>
      </c>
      <c r="W8" s="22">
        <v>0.0</v>
      </c>
      <c r="X8" s="22">
        <v>0.0</v>
      </c>
      <c r="Y8" s="22">
        <v>0.0</v>
      </c>
      <c r="Z8" s="22">
        <v>0.0</v>
      </c>
      <c r="AA8" s="22">
        <v>0.0</v>
      </c>
      <c r="AB8" s="22">
        <v>0.0</v>
      </c>
      <c r="AC8" s="22">
        <v>0.0</v>
      </c>
      <c r="AD8" s="22">
        <v>0.0</v>
      </c>
      <c r="AE8" s="22">
        <v>0.0</v>
      </c>
      <c r="AF8" s="22">
        <v>0.0</v>
      </c>
      <c r="AG8" s="22">
        <v>0.0</v>
      </c>
      <c r="AH8" s="22">
        <v>0.0</v>
      </c>
      <c r="AI8" s="22">
        <v>0.0</v>
      </c>
      <c r="AJ8" s="22">
        <f t="shared" si="1"/>
        <v>0</v>
      </c>
      <c r="AK8" s="23">
        <f t="shared" si="3"/>
        <v>0</v>
      </c>
      <c r="AL8" s="26">
        <f>SUM(AK6:AK8)</f>
        <v>0</v>
      </c>
      <c r="AN8" s="1"/>
      <c r="AO8" s="1"/>
      <c r="AP8" s="1"/>
      <c r="AQ8" s="1"/>
      <c r="AR8" s="1"/>
      <c r="AS8" s="1"/>
      <c r="AT8" s="1"/>
      <c r="AU8" s="1"/>
    </row>
    <row r="9" ht="15.75" customHeight="1">
      <c r="A9" s="12" t="s">
        <v>11</v>
      </c>
      <c r="B9" s="12" t="s">
        <v>12</v>
      </c>
      <c r="C9" s="12" t="s">
        <v>49</v>
      </c>
      <c r="D9" s="13" t="s">
        <v>5</v>
      </c>
      <c r="E9" s="13">
        <v>0.0</v>
      </c>
      <c r="F9" s="13">
        <v>0.0</v>
      </c>
      <c r="G9" s="13">
        <v>0.0</v>
      </c>
      <c r="H9" s="13">
        <v>0.0</v>
      </c>
      <c r="I9" s="13">
        <v>0.0</v>
      </c>
      <c r="J9" s="13">
        <v>0.0</v>
      </c>
      <c r="K9" s="13">
        <v>0.0</v>
      </c>
      <c r="L9" s="13">
        <v>0.0</v>
      </c>
      <c r="M9" s="13">
        <v>0.0</v>
      </c>
      <c r="N9" s="13">
        <v>0.0</v>
      </c>
      <c r="O9" s="13">
        <v>0.0</v>
      </c>
      <c r="P9" s="13">
        <v>0.0</v>
      </c>
      <c r="Q9" s="13">
        <v>0.0</v>
      </c>
      <c r="R9" s="13">
        <v>0.0</v>
      </c>
      <c r="S9" s="13">
        <v>0.0</v>
      </c>
      <c r="T9" s="13">
        <v>0.0</v>
      </c>
      <c r="U9" s="13">
        <v>0.0</v>
      </c>
      <c r="V9" s="13">
        <v>0.0</v>
      </c>
      <c r="W9" s="13">
        <v>0.0</v>
      </c>
      <c r="X9" s="13">
        <v>0.0</v>
      </c>
      <c r="Y9" s="13">
        <v>0.0</v>
      </c>
      <c r="Z9" s="13">
        <v>0.0</v>
      </c>
      <c r="AA9" s="13">
        <v>0.0</v>
      </c>
      <c r="AB9" s="13">
        <v>0.0</v>
      </c>
      <c r="AC9" s="13">
        <v>0.0</v>
      </c>
      <c r="AD9" s="13">
        <v>0.0</v>
      </c>
      <c r="AE9" s="13">
        <v>0.0</v>
      </c>
      <c r="AF9" s="13">
        <v>0.0</v>
      </c>
      <c r="AG9" s="13">
        <v>0.0</v>
      </c>
      <c r="AH9" s="13">
        <v>0.0</v>
      </c>
      <c r="AI9" s="13">
        <v>0.0</v>
      </c>
      <c r="AJ9" s="13">
        <f t="shared" si="1"/>
        <v>0</v>
      </c>
      <c r="AK9" s="14">
        <f>330*AJ9</f>
        <v>0</v>
      </c>
      <c r="AL9" s="19"/>
      <c r="AM9" s="4" t="s">
        <v>52</v>
      </c>
      <c r="AN9" s="1"/>
      <c r="AO9" s="1"/>
      <c r="AP9" s="1"/>
      <c r="AQ9" s="1"/>
      <c r="AR9" s="1"/>
      <c r="AS9" s="1"/>
      <c r="AT9" s="1"/>
      <c r="AU9" s="1"/>
    </row>
    <row r="10" ht="15.75" customHeight="1">
      <c r="A10" s="16"/>
      <c r="B10" s="16"/>
      <c r="C10" s="16"/>
      <c r="D10" s="13" t="s">
        <v>6</v>
      </c>
      <c r="E10" s="13">
        <v>1.0</v>
      </c>
      <c r="F10" s="13">
        <v>1.0</v>
      </c>
      <c r="G10" s="13"/>
      <c r="H10" s="13">
        <v>1.0</v>
      </c>
      <c r="I10" s="13">
        <v>1.0</v>
      </c>
      <c r="J10" s="13">
        <v>1.0</v>
      </c>
      <c r="K10" s="13">
        <v>1.0</v>
      </c>
      <c r="L10" s="13">
        <v>1.0</v>
      </c>
      <c r="M10" s="13">
        <v>1.0</v>
      </c>
      <c r="N10" s="13">
        <v>1.0</v>
      </c>
      <c r="O10" s="13">
        <v>1.0</v>
      </c>
      <c r="P10" s="13">
        <v>1.0</v>
      </c>
      <c r="Q10" s="13">
        <v>1.0</v>
      </c>
      <c r="R10" s="13">
        <v>1.0</v>
      </c>
      <c r="S10" s="13">
        <v>1.0</v>
      </c>
      <c r="T10" s="13">
        <v>1.0</v>
      </c>
      <c r="U10" s="13">
        <v>1.0</v>
      </c>
      <c r="V10" s="13">
        <v>1.0</v>
      </c>
      <c r="W10" s="13">
        <v>1.0</v>
      </c>
      <c r="X10" s="13">
        <v>1.0</v>
      </c>
      <c r="Y10" s="13">
        <v>1.0</v>
      </c>
      <c r="Z10" s="13">
        <v>1.0</v>
      </c>
      <c r="AA10" s="13">
        <v>1.0</v>
      </c>
      <c r="AB10" s="13">
        <v>1.0</v>
      </c>
      <c r="AC10" s="13">
        <v>1.0</v>
      </c>
      <c r="AD10" s="13">
        <v>1.0</v>
      </c>
      <c r="AE10" s="13">
        <v>1.0</v>
      </c>
      <c r="AF10" s="13">
        <v>1.0</v>
      </c>
      <c r="AG10" s="13">
        <v>1.0</v>
      </c>
      <c r="AH10" s="13">
        <v>0.0</v>
      </c>
      <c r="AI10" s="13">
        <v>1.0</v>
      </c>
      <c r="AJ10" s="13">
        <f t="shared" si="1"/>
        <v>29</v>
      </c>
      <c r="AK10" s="14">
        <f t="shared" ref="AK10:AK11" si="4">550*AJ10</f>
        <v>15950</v>
      </c>
      <c r="AL10" s="19"/>
      <c r="AM10" s="27"/>
      <c r="AN10" s="1"/>
      <c r="AO10" s="1"/>
      <c r="AP10" s="1"/>
      <c r="AQ10" s="1"/>
      <c r="AR10" s="1"/>
      <c r="AS10" s="1"/>
      <c r="AT10" s="1"/>
      <c r="AU10" s="1"/>
    </row>
    <row r="11" ht="15.75" customHeight="1">
      <c r="A11" s="10"/>
      <c r="B11" s="10"/>
      <c r="C11" s="10"/>
      <c r="D11" s="13" t="s">
        <v>7</v>
      </c>
      <c r="E11" s="13">
        <v>1.0</v>
      </c>
      <c r="F11" s="13">
        <v>1.0</v>
      </c>
      <c r="G11" s="13">
        <v>1.0</v>
      </c>
      <c r="H11" s="13">
        <v>1.0</v>
      </c>
      <c r="I11" s="13">
        <v>1.0</v>
      </c>
      <c r="J11" s="13">
        <v>1.0</v>
      </c>
      <c r="K11" s="13">
        <v>1.0</v>
      </c>
      <c r="L11" s="13">
        <v>1.0</v>
      </c>
      <c r="M11" s="13">
        <v>1.0</v>
      </c>
      <c r="N11" s="13">
        <v>1.0</v>
      </c>
      <c r="O11" s="13">
        <v>1.0</v>
      </c>
      <c r="P11" s="13">
        <v>1.0</v>
      </c>
      <c r="Q11" s="13">
        <v>1.0</v>
      </c>
      <c r="R11" s="13">
        <v>1.0</v>
      </c>
      <c r="S11" s="13">
        <v>1.0</v>
      </c>
      <c r="T11" s="13">
        <v>1.0</v>
      </c>
      <c r="U11" s="13">
        <v>1.0</v>
      </c>
      <c r="V11" s="13">
        <v>1.0</v>
      </c>
      <c r="W11" s="13">
        <v>1.0</v>
      </c>
      <c r="X11" s="13">
        <v>1.0</v>
      </c>
      <c r="Y11" s="13">
        <v>1.0</v>
      </c>
      <c r="Z11" s="13">
        <v>1.0</v>
      </c>
      <c r="AA11" s="13">
        <v>1.0</v>
      </c>
      <c r="AB11" s="13">
        <v>1.0</v>
      </c>
      <c r="AC11" s="13">
        <v>1.0</v>
      </c>
      <c r="AD11" s="13">
        <v>1.0</v>
      </c>
      <c r="AE11" s="13">
        <v>1.0</v>
      </c>
      <c r="AF11" s="13">
        <v>1.0</v>
      </c>
      <c r="AG11" s="13">
        <v>1.0</v>
      </c>
      <c r="AH11" s="13">
        <v>1.0</v>
      </c>
      <c r="AI11" s="13">
        <v>1.0</v>
      </c>
      <c r="AJ11" s="13">
        <f t="shared" si="1"/>
        <v>31</v>
      </c>
      <c r="AK11" s="14">
        <f t="shared" si="4"/>
        <v>17050</v>
      </c>
      <c r="AL11" s="20">
        <f>SUM(AK9:AK11)</f>
        <v>33000</v>
      </c>
      <c r="AM11" s="4" t="s">
        <v>44</v>
      </c>
      <c r="AN11" s="1"/>
      <c r="AO11" s="1"/>
      <c r="AP11" s="1"/>
      <c r="AQ11" s="1"/>
      <c r="AR11" s="1"/>
      <c r="AS11" s="1"/>
      <c r="AT11" s="1"/>
      <c r="AU11" s="1"/>
    </row>
    <row r="12" ht="15.75" customHeight="1">
      <c r="A12" s="21" t="s">
        <v>14</v>
      </c>
      <c r="B12" s="21" t="s">
        <v>15</v>
      </c>
      <c r="C12" s="21"/>
      <c r="D12" s="22" t="s">
        <v>5</v>
      </c>
      <c r="E12" s="22">
        <v>1.0</v>
      </c>
      <c r="F12" s="22">
        <v>1.0</v>
      </c>
      <c r="G12" s="22">
        <v>1.0</v>
      </c>
      <c r="H12" s="22">
        <v>1.0</v>
      </c>
      <c r="I12" s="22">
        <v>1.0</v>
      </c>
      <c r="J12" s="22">
        <v>1.0</v>
      </c>
      <c r="K12" s="22">
        <v>1.0</v>
      </c>
      <c r="L12" s="22">
        <v>1.0</v>
      </c>
      <c r="M12" s="22">
        <v>1.0</v>
      </c>
      <c r="N12" s="22">
        <v>1.0</v>
      </c>
      <c r="O12" s="22">
        <v>1.0</v>
      </c>
      <c r="P12" s="22">
        <v>1.0</v>
      </c>
      <c r="Q12" s="22">
        <v>1.0</v>
      </c>
      <c r="R12" s="22">
        <v>1.0</v>
      </c>
      <c r="S12" s="22">
        <v>1.0</v>
      </c>
      <c r="T12" s="22">
        <v>1.0</v>
      </c>
      <c r="U12" s="22">
        <v>1.0</v>
      </c>
      <c r="V12" s="22">
        <v>1.0</v>
      </c>
      <c r="W12" s="22">
        <v>1.0</v>
      </c>
      <c r="X12" s="22">
        <v>1.0</v>
      </c>
      <c r="Y12" s="22">
        <v>1.0</v>
      </c>
      <c r="Z12" s="22">
        <v>1.0</v>
      </c>
      <c r="AA12" s="22">
        <v>1.0</v>
      </c>
      <c r="AB12" s="22">
        <v>1.0</v>
      </c>
      <c r="AC12" s="22">
        <v>1.0</v>
      </c>
      <c r="AD12" s="22">
        <v>1.0</v>
      </c>
      <c r="AE12" s="22">
        <v>1.0</v>
      </c>
      <c r="AF12" s="22">
        <v>1.0</v>
      </c>
      <c r="AG12" s="22">
        <v>1.0</v>
      </c>
      <c r="AH12" s="22">
        <v>1.0</v>
      </c>
      <c r="AI12" s="22">
        <v>1.0</v>
      </c>
      <c r="AJ12" s="22">
        <f t="shared" si="1"/>
        <v>31</v>
      </c>
      <c r="AK12" s="23">
        <f>330*AJ12</f>
        <v>10230</v>
      </c>
      <c r="AL12" s="24"/>
      <c r="AM12" s="25"/>
      <c r="AN12" s="1"/>
      <c r="AO12" s="1"/>
      <c r="AP12" s="1"/>
      <c r="AQ12" s="1"/>
      <c r="AR12" s="1"/>
      <c r="AS12" s="1"/>
      <c r="AT12" s="1"/>
      <c r="AU12" s="1"/>
    </row>
    <row r="13" ht="15.75" customHeight="1">
      <c r="A13" s="16"/>
      <c r="B13" s="16"/>
      <c r="C13" s="16"/>
      <c r="D13" s="22" t="s">
        <v>6</v>
      </c>
      <c r="E13" s="22">
        <v>1.0</v>
      </c>
      <c r="F13" s="22">
        <v>1.0</v>
      </c>
      <c r="G13" s="22">
        <v>1.0</v>
      </c>
      <c r="H13" s="22">
        <v>1.0</v>
      </c>
      <c r="I13" s="22">
        <v>1.0</v>
      </c>
      <c r="J13" s="22">
        <v>1.0</v>
      </c>
      <c r="K13" s="22">
        <v>1.0</v>
      </c>
      <c r="L13" s="22">
        <v>1.0</v>
      </c>
      <c r="M13" s="22">
        <v>1.0</v>
      </c>
      <c r="N13" s="22">
        <v>1.0</v>
      </c>
      <c r="O13" s="22">
        <v>1.0</v>
      </c>
      <c r="P13" s="22">
        <v>1.0</v>
      </c>
      <c r="Q13" s="22">
        <v>1.0</v>
      </c>
      <c r="R13" s="22">
        <v>1.0</v>
      </c>
      <c r="S13" s="22">
        <v>1.0</v>
      </c>
      <c r="T13" s="22">
        <v>1.0</v>
      </c>
      <c r="U13" s="22">
        <v>1.0</v>
      </c>
      <c r="V13" s="22">
        <v>1.0</v>
      </c>
      <c r="W13" s="22">
        <v>1.0</v>
      </c>
      <c r="X13" s="22">
        <v>1.0</v>
      </c>
      <c r="Y13" s="22">
        <v>1.0</v>
      </c>
      <c r="Z13" s="22">
        <v>1.0</v>
      </c>
      <c r="AA13" s="22">
        <v>1.0</v>
      </c>
      <c r="AB13" s="22">
        <v>1.0</v>
      </c>
      <c r="AC13" s="22">
        <v>1.0</v>
      </c>
      <c r="AD13" s="22">
        <v>1.0</v>
      </c>
      <c r="AE13" s="22">
        <v>1.0</v>
      </c>
      <c r="AF13" s="22">
        <v>1.0</v>
      </c>
      <c r="AG13" s="22">
        <v>1.0</v>
      </c>
      <c r="AH13" s="22">
        <v>1.0</v>
      </c>
      <c r="AI13" s="22">
        <v>1.0</v>
      </c>
      <c r="AJ13" s="22">
        <f t="shared" si="1"/>
        <v>31</v>
      </c>
      <c r="AK13" s="23">
        <f t="shared" ref="AK13:AK14" si="5">550*AJ13</f>
        <v>17050</v>
      </c>
      <c r="AL13" s="24"/>
      <c r="AM13" s="4"/>
      <c r="AN13" s="1"/>
      <c r="AO13" s="1"/>
      <c r="AP13" s="1"/>
      <c r="AQ13" s="1"/>
      <c r="AR13" s="1"/>
      <c r="AS13" s="1"/>
      <c r="AT13" s="1"/>
      <c r="AU13" s="1"/>
    </row>
    <row r="14" ht="15.75" customHeight="1">
      <c r="A14" s="10"/>
      <c r="B14" s="10"/>
      <c r="C14" s="10"/>
      <c r="D14" s="22" t="s">
        <v>7</v>
      </c>
      <c r="E14" s="22">
        <v>1.0</v>
      </c>
      <c r="F14" s="22">
        <v>1.0</v>
      </c>
      <c r="G14" s="22">
        <v>1.0</v>
      </c>
      <c r="H14" s="22">
        <v>1.0</v>
      </c>
      <c r="I14" s="22">
        <v>1.0</v>
      </c>
      <c r="J14" s="22">
        <v>1.0</v>
      </c>
      <c r="K14" s="22">
        <v>1.0</v>
      </c>
      <c r="L14" s="22">
        <v>1.0</v>
      </c>
      <c r="M14" s="22">
        <v>1.0</v>
      </c>
      <c r="N14" s="22">
        <v>1.0</v>
      </c>
      <c r="O14" s="22">
        <v>1.0</v>
      </c>
      <c r="P14" s="22">
        <v>1.0</v>
      </c>
      <c r="Q14" s="22">
        <v>1.0</v>
      </c>
      <c r="R14" s="22">
        <v>1.0</v>
      </c>
      <c r="S14" s="22">
        <v>1.0</v>
      </c>
      <c r="T14" s="22">
        <v>1.0</v>
      </c>
      <c r="U14" s="22">
        <v>1.0</v>
      </c>
      <c r="V14" s="22">
        <v>1.0</v>
      </c>
      <c r="W14" s="22">
        <v>1.0</v>
      </c>
      <c r="X14" s="22">
        <v>1.0</v>
      </c>
      <c r="Y14" s="22">
        <v>1.0</v>
      </c>
      <c r="Z14" s="22">
        <v>1.0</v>
      </c>
      <c r="AA14" s="22">
        <v>1.0</v>
      </c>
      <c r="AB14" s="22">
        <v>1.0</v>
      </c>
      <c r="AC14" s="22">
        <v>1.0</v>
      </c>
      <c r="AD14" s="22">
        <v>1.0</v>
      </c>
      <c r="AE14" s="22">
        <v>1.0</v>
      </c>
      <c r="AF14" s="22">
        <v>1.0</v>
      </c>
      <c r="AG14" s="22">
        <v>1.0</v>
      </c>
      <c r="AH14" s="22">
        <v>1.0</v>
      </c>
      <c r="AI14" s="22">
        <v>1.0</v>
      </c>
      <c r="AJ14" s="22">
        <f t="shared" si="1"/>
        <v>31</v>
      </c>
      <c r="AK14" s="23">
        <f t="shared" si="5"/>
        <v>17050</v>
      </c>
      <c r="AL14" s="26">
        <f>SUM(AK12:AK14)</f>
        <v>44330</v>
      </c>
      <c r="AM14" s="4"/>
      <c r="AN14" s="1"/>
      <c r="AO14" s="1"/>
      <c r="AP14" s="1"/>
      <c r="AQ14" s="1"/>
      <c r="AR14" s="1"/>
      <c r="AS14" s="1"/>
      <c r="AT14" s="1"/>
      <c r="AU14" s="1"/>
    </row>
    <row r="15" ht="15.75" customHeight="1">
      <c r="A15" s="12"/>
      <c r="B15" s="12" t="s">
        <v>17</v>
      </c>
      <c r="C15" s="12" t="s">
        <v>42</v>
      </c>
      <c r="D15" s="13" t="s">
        <v>5</v>
      </c>
      <c r="E15" s="13">
        <v>0.0</v>
      </c>
      <c r="F15" s="13">
        <v>0.0</v>
      </c>
      <c r="G15" s="13">
        <v>0.0</v>
      </c>
      <c r="H15" s="13">
        <v>0.0</v>
      </c>
      <c r="I15" s="13">
        <v>0.0</v>
      </c>
      <c r="J15" s="13">
        <v>0.0</v>
      </c>
      <c r="K15" s="13">
        <v>0.0</v>
      </c>
      <c r="L15" s="13">
        <v>0.0</v>
      </c>
      <c r="M15" s="13">
        <v>0.0</v>
      </c>
      <c r="N15" s="13">
        <v>0.0</v>
      </c>
      <c r="O15" s="13">
        <v>0.0</v>
      </c>
      <c r="P15" s="13">
        <v>0.0</v>
      </c>
      <c r="Q15" s="13">
        <v>0.0</v>
      </c>
      <c r="R15" s="13">
        <v>0.0</v>
      </c>
      <c r="S15" s="13">
        <v>0.0</v>
      </c>
      <c r="T15" s="13">
        <v>0.0</v>
      </c>
      <c r="U15" s="13">
        <v>0.0</v>
      </c>
      <c r="V15" s="13">
        <v>0.0</v>
      </c>
      <c r="W15" s="13">
        <v>0.0</v>
      </c>
      <c r="X15" s="13">
        <v>0.0</v>
      </c>
      <c r="Y15" s="13">
        <v>0.0</v>
      </c>
      <c r="Z15" s="13">
        <v>0.0</v>
      </c>
      <c r="AA15" s="13">
        <v>0.0</v>
      </c>
      <c r="AB15" s="13">
        <v>0.0</v>
      </c>
      <c r="AC15" s="13">
        <v>0.0</v>
      </c>
      <c r="AD15" s="13">
        <v>0.0</v>
      </c>
      <c r="AE15" s="13">
        <v>0.0</v>
      </c>
      <c r="AF15" s="13">
        <v>0.0</v>
      </c>
      <c r="AG15" s="13">
        <v>0.0</v>
      </c>
      <c r="AH15" s="13">
        <v>0.0</v>
      </c>
      <c r="AI15" s="13">
        <v>0.0</v>
      </c>
      <c r="AJ15" s="13">
        <f t="shared" si="1"/>
        <v>0</v>
      </c>
      <c r="AK15" s="14">
        <f>330*AJ15</f>
        <v>0</v>
      </c>
      <c r="AL15" s="19"/>
      <c r="AM15" s="31" t="s">
        <v>45</v>
      </c>
      <c r="AN15" s="1"/>
      <c r="AO15" s="1"/>
      <c r="AP15" s="1"/>
      <c r="AQ15" s="1"/>
      <c r="AR15" s="1"/>
      <c r="AS15" s="1"/>
      <c r="AT15" s="1"/>
      <c r="AU15" s="1"/>
    </row>
    <row r="16" ht="15.75" customHeight="1">
      <c r="A16" s="16"/>
      <c r="B16" s="16"/>
      <c r="C16" s="16"/>
      <c r="D16" s="13" t="s">
        <v>6</v>
      </c>
      <c r="E16" s="13">
        <v>0.0</v>
      </c>
      <c r="F16" s="13">
        <v>0.0</v>
      </c>
      <c r="G16" s="13">
        <v>0.0</v>
      </c>
      <c r="H16" s="13">
        <v>0.0</v>
      </c>
      <c r="I16" s="13">
        <v>0.0</v>
      </c>
      <c r="J16" s="13">
        <v>0.0</v>
      </c>
      <c r="K16" s="13">
        <v>0.0</v>
      </c>
      <c r="L16" s="13">
        <v>0.0</v>
      </c>
      <c r="M16" s="13">
        <v>0.0</v>
      </c>
      <c r="N16" s="13">
        <v>0.0</v>
      </c>
      <c r="O16" s="13">
        <v>0.0</v>
      </c>
      <c r="P16" s="13">
        <v>0.0</v>
      </c>
      <c r="Q16" s="13">
        <v>0.0</v>
      </c>
      <c r="R16" s="13">
        <v>0.0</v>
      </c>
      <c r="S16" s="13">
        <v>0.0</v>
      </c>
      <c r="T16" s="13">
        <v>0.0</v>
      </c>
      <c r="U16" s="13">
        <v>0.0</v>
      </c>
      <c r="V16" s="13">
        <v>0.0</v>
      </c>
      <c r="W16" s="13">
        <v>0.0</v>
      </c>
      <c r="X16" s="13">
        <v>0.0</v>
      </c>
      <c r="Y16" s="13">
        <v>0.0</v>
      </c>
      <c r="Z16" s="13">
        <v>0.0</v>
      </c>
      <c r="AA16" s="13">
        <v>0.0</v>
      </c>
      <c r="AB16" s="13">
        <v>0.0</v>
      </c>
      <c r="AC16" s="13">
        <v>0.0</v>
      </c>
      <c r="AD16" s="13">
        <v>0.0</v>
      </c>
      <c r="AE16" s="13">
        <v>0.0</v>
      </c>
      <c r="AF16" s="13">
        <v>0.0</v>
      </c>
      <c r="AG16" s="13">
        <v>0.0</v>
      </c>
      <c r="AH16" s="13">
        <v>0.0</v>
      </c>
      <c r="AI16" s="13">
        <v>0.0</v>
      </c>
      <c r="AJ16" s="13">
        <f t="shared" si="1"/>
        <v>0</v>
      </c>
      <c r="AK16" s="14">
        <f t="shared" ref="AK16:AK17" si="6">550*AJ16</f>
        <v>0</v>
      </c>
      <c r="AL16" s="19"/>
      <c r="AN16" s="1"/>
      <c r="AO16" s="1"/>
      <c r="AP16" s="1"/>
      <c r="AQ16" s="1"/>
      <c r="AR16" s="1"/>
      <c r="AS16" s="1"/>
      <c r="AT16" s="1"/>
      <c r="AU16" s="1"/>
    </row>
    <row r="17" ht="15.75" customHeight="1">
      <c r="A17" s="10"/>
      <c r="B17" s="10"/>
      <c r="C17" s="10"/>
      <c r="D17" s="13" t="s">
        <v>7</v>
      </c>
      <c r="E17" s="13">
        <v>0.0</v>
      </c>
      <c r="F17" s="13">
        <v>0.0</v>
      </c>
      <c r="G17" s="13">
        <v>0.0</v>
      </c>
      <c r="H17" s="13">
        <v>0.0</v>
      </c>
      <c r="I17" s="13">
        <v>0.0</v>
      </c>
      <c r="J17" s="13">
        <v>0.0</v>
      </c>
      <c r="K17" s="13">
        <v>0.0</v>
      </c>
      <c r="L17" s="13">
        <v>0.0</v>
      </c>
      <c r="M17" s="13">
        <v>0.0</v>
      </c>
      <c r="N17" s="13">
        <v>0.0</v>
      </c>
      <c r="O17" s="13">
        <v>0.0</v>
      </c>
      <c r="P17" s="13">
        <v>0.0</v>
      </c>
      <c r="Q17" s="13">
        <v>0.0</v>
      </c>
      <c r="R17" s="13">
        <v>0.0</v>
      </c>
      <c r="S17" s="13">
        <v>0.0</v>
      </c>
      <c r="T17" s="13">
        <v>0.0</v>
      </c>
      <c r="U17" s="13">
        <v>0.0</v>
      </c>
      <c r="V17" s="13">
        <v>0.0</v>
      </c>
      <c r="W17" s="13">
        <v>0.0</v>
      </c>
      <c r="X17" s="13">
        <v>0.0</v>
      </c>
      <c r="Y17" s="13">
        <v>0.0</v>
      </c>
      <c r="Z17" s="13">
        <v>0.0</v>
      </c>
      <c r="AA17" s="13">
        <v>0.0</v>
      </c>
      <c r="AB17" s="13">
        <v>0.0</v>
      </c>
      <c r="AC17" s="13">
        <v>0.0</v>
      </c>
      <c r="AD17" s="13">
        <v>0.0</v>
      </c>
      <c r="AE17" s="13">
        <v>0.0</v>
      </c>
      <c r="AF17" s="13">
        <v>0.0</v>
      </c>
      <c r="AG17" s="13">
        <v>0.0</v>
      </c>
      <c r="AH17" s="13">
        <v>0.0</v>
      </c>
      <c r="AI17" s="13">
        <v>0.0</v>
      </c>
      <c r="AJ17" s="13">
        <f t="shared" si="1"/>
        <v>0</v>
      </c>
      <c r="AK17" s="14">
        <f t="shared" si="6"/>
        <v>0</v>
      </c>
      <c r="AL17" s="20">
        <f>SUM(AK15:AK17)</f>
        <v>0</v>
      </c>
      <c r="AN17" s="1"/>
      <c r="AO17" s="1"/>
      <c r="AP17" s="1"/>
      <c r="AQ17" s="1"/>
      <c r="AR17" s="1"/>
      <c r="AS17" s="1"/>
      <c r="AT17" s="1"/>
      <c r="AU17" s="1"/>
    </row>
    <row r="18" ht="15.75" customHeight="1">
      <c r="A18" s="29"/>
      <c r="B18" s="29" t="s">
        <v>19</v>
      </c>
      <c r="C18" s="29" t="s">
        <v>46</v>
      </c>
      <c r="D18" s="28" t="s">
        <v>5</v>
      </c>
      <c r="E18" s="22">
        <v>0.0</v>
      </c>
      <c r="F18" s="22">
        <v>0.0</v>
      </c>
      <c r="G18" s="22">
        <v>0.0</v>
      </c>
      <c r="H18" s="22">
        <v>0.0</v>
      </c>
      <c r="I18" s="22">
        <v>0.0</v>
      </c>
      <c r="J18" s="22">
        <v>0.0</v>
      </c>
      <c r="K18" s="22">
        <v>0.0</v>
      </c>
      <c r="L18" s="22">
        <v>0.0</v>
      </c>
      <c r="M18" s="22">
        <v>0.0</v>
      </c>
      <c r="N18" s="22">
        <v>0.0</v>
      </c>
      <c r="O18" s="22">
        <v>0.0</v>
      </c>
      <c r="P18" s="22">
        <v>0.0</v>
      </c>
      <c r="Q18" s="22">
        <v>0.0</v>
      </c>
      <c r="R18" s="22">
        <v>0.0</v>
      </c>
      <c r="S18" s="22">
        <v>0.0</v>
      </c>
      <c r="T18" s="22">
        <v>0.0</v>
      </c>
      <c r="U18" s="22">
        <v>0.0</v>
      </c>
      <c r="V18" s="22">
        <v>0.0</v>
      </c>
      <c r="W18" s="22">
        <v>0.0</v>
      </c>
      <c r="X18" s="22">
        <v>0.0</v>
      </c>
      <c r="Y18" s="22">
        <v>0.0</v>
      </c>
      <c r="Z18" s="22">
        <v>0.0</v>
      </c>
      <c r="AA18" s="22">
        <v>0.0</v>
      </c>
      <c r="AB18" s="22">
        <v>0.0</v>
      </c>
      <c r="AC18" s="22">
        <v>0.0</v>
      </c>
      <c r="AD18" s="22">
        <v>0.0</v>
      </c>
      <c r="AE18" s="22">
        <v>0.0</v>
      </c>
      <c r="AF18" s="22">
        <v>0.0</v>
      </c>
      <c r="AG18" s="22">
        <v>0.0</v>
      </c>
      <c r="AH18" s="22">
        <v>0.0</v>
      </c>
      <c r="AI18" s="22">
        <v>0.0</v>
      </c>
      <c r="AJ18" s="28">
        <f t="shared" si="1"/>
        <v>0</v>
      </c>
      <c r="AK18" s="23">
        <f>330*AJ18</f>
        <v>0</v>
      </c>
      <c r="AL18" s="24"/>
      <c r="AM18" s="4"/>
      <c r="AN18" s="1"/>
      <c r="AO18" s="1"/>
      <c r="AP18" s="1"/>
      <c r="AQ18" s="1"/>
      <c r="AR18" s="1"/>
      <c r="AS18" s="1"/>
      <c r="AT18" s="1"/>
      <c r="AU18" s="1"/>
    </row>
    <row r="19" ht="15.75" customHeight="1">
      <c r="A19" s="16"/>
      <c r="B19" s="16"/>
      <c r="C19" s="16"/>
      <c r="D19" s="28" t="s">
        <v>6</v>
      </c>
      <c r="E19" s="22">
        <v>1.0</v>
      </c>
      <c r="F19" s="22">
        <v>1.0</v>
      </c>
      <c r="G19" s="22">
        <v>1.0</v>
      </c>
      <c r="H19" s="22">
        <v>1.0</v>
      </c>
      <c r="I19" s="22">
        <v>1.0</v>
      </c>
      <c r="J19" s="22">
        <v>1.0</v>
      </c>
      <c r="K19" s="22">
        <v>1.0</v>
      </c>
      <c r="L19" s="22">
        <v>1.0</v>
      </c>
      <c r="M19" s="22">
        <v>1.0</v>
      </c>
      <c r="N19" s="22">
        <v>1.0</v>
      </c>
      <c r="O19" s="22">
        <v>1.0</v>
      </c>
      <c r="P19" s="22">
        <v>1.0</v>
      </c>
      <c r="Q19" s="22">
        <v>1.0</v>
      </c>
      <c r="R19" s="22">
        <v>1.0</v>
      </c>
      <c r="S19" s="22">
        <v>1.0</v>
      </c>
      <c r="T19" s="22">
        <v>1.0</v>
      </c>
      <c r="U19" s="22">
        <v>1.0</v>
      </c>
      <c r="V19" s="22">
        <v>1.0</v>
      </c>
      <c r="W19" s="22">
        <v>1.0</v>
      </c>
      <c r="X19" s="22">
        <v>1.0</v>
      </c>
      <c r="Y19" s="22">
        <v>1.0</v>
      </c>
      <c r="Z19" s="22">
        <v>1.0</v>
      </c>
      <c r="AA19" s="22">
        <v>1.0</v>
      </c>
      <c r="AB19" s="22">
        <v>1.0</v>
      </c>
      <c r="AC19" s="22">
        <v>1.0</v>
      </c>
      <c r="AD19" s="22">
        <v>1.0</v>
      </c>
      <c r="AE19" s="22">
        <v>1.0</v>
      </c>
      <c r="AF19" s="22">
        <v>1.0</v>
      </c>
      <c r="AG19" s="22">
        <v>1.0</v>
      </c>
      <c r="AH19" s="22">
        <v>1.0</v>
      </c>
      <c r="AI19" s="22">
        <v>1.0</v>
      </c>
      <c r="AJ19" s="28">
        <f t="shared" si="1"/>
        <v>31</v>
      </c>
      <c r="AK19" s="23">
        <f t="shared" ref="AK19:AK20" si="7">550*AJ19</f>
        <v>17050</v>
      </c>
      <c r="AL19" s="24"/>
      <c r="AM19" s="4" t="s">
        <v>53</v>
      </c>
      <c r="AN19" s="1"/>
      <c r="AO19" s="1"/>
      <c r="AP19" s="1"/>
      <c r="AQ19" s="1"/>
      <c r="AR19" s="1"/>
      <c r="AS19" s="1"/>
      <c r="AT19" s="1"/>
      <c r="AU19" s="1"/>
    </row>
    <row r="20" ht="15.75" customHeight="1">
      <c r="A20" s="10"/>
      <c r="B20" s="10"/>
      <c r="C20" s="10"/>
      <c r="D20" s="28" t="s">
        <v>7</v>
      </c>
      <c r="E20" s="22">
        <v>1.0</v>
      </c>
      <c r="F20" s="22">
        <v>1.0</v>
      </c>
      <c r="G20" s="22">
        <v>1.0</v>
      </c>
      <c r="H20" s="22">
        <v>1.0</v>
      </c>
      <c r="I20" s="22">
        <v>1.0</v>
      </c>
      <c r="J20" s="22">
        <v>1.0</v>
      </c>
      <c r="K20" s="22">
        <v>1.0</v>
      </c>
      <c r="L20" s="22">
        <v>1.0</v>
      </c>
      <c r="M20" s="22">
        <v>1.0</v>
      </c>
      <c r="N20" s="22">
        <v>1.0</v>
      </c>
      <c r="O20" s="22">
        <v>1.0</v>
      </c>
      <c r="P20" s="22">
        <v>1.0</v>
      </c>
      <c r="Q20" s="22">
        <v>1.0</v>
      </c>
      <c r="R20" s="22">
        <v>1.0</v>
      </c>
      <c r="S20" s="22">
        <v>1.0</v>
      </c>
      <c r="T20" s="22">
        <v>1.0</v>
      </c>
      <c r="U20" s="22">
        <v>1.0</v>
      </c>
      <c r="V20" s="22">
        <v>1.0</v>
      </c>
      <c r="W20" s="22">
        <v>1.0</v>
      </c>
      <c r="X20" s="22">
        <v>1.0</v>
      </c>
      <c r="Y20" s="22">
        <v>1.0</v>
      </c>
      <c r="Z20" s="22">
        <v>1.0</v>
      </c>
      <c r="AA20" s="22">
        <v>1.0</v>
      </c>
      <c r="AB20" s="22">
        <v>1.0</v>
      </c>
      <c r="AC20" s="22">
        <v>1.0</v>
      </c>
      <c r="AD20" s="22">
        <v>1.0</v>
      </c>
      <c r="AE20" s="22">
        <v>1.0</v>
      </c>
      <c r="AF20" s="22">
        <v>1.0</v>
      </c>
      <c r="AG20" s="22">
        <v>1.0</v>
      </c>
      <c r="AH20" s="22">
        <v>1.0</v>
      </c>
      <c r="AI20" s="22">
        <v>1.0</v>
      </c>
      <c r="AJ20" s="28">
        <f t="shared" si="1"/>
        <v>31</v>
      </c>
      <c r="AK20" s="23">
        <f t="shared" si="7"/>
        <v>17050</v>
      </c>
      <c r="AL20" s="26">
        <f>SUM(AK18:AK20)</f>
        <v>34100</v>
      </c>
      <c r="AM20" s="4" t="s">
        <v>54</v>
      </c>
      <c r="AN20" s="1"/>
      <c r="AO20" s="1"/>
      <c r="AP20" s="1"/>
      <c r="AQ20" s="1"/>
      <c r="AR20" s="1"/>
      <c r="AS20" s="1"/>
      <c r="AT20" s="1"/>
      <c r="AU20" s="1"/>
    </row>
    <row r="21" ht="15.75" customHeight="1">
      <c r="A21" s="12">
        <v>413.0</v>
      </c>
      <c r="B21" s="12" t="s">
        <v>22</v>
      </c>
      <c r="C21" s="41"/>
      <c r="D21" s="14" t="s">
        <v>5</v>
      </c>
      <c r="E21" s="14"/>
      <c r="F21" s="14"/>
      <c r="G21" s="14"/>
      <c r="H21" s="14"/>
      <c r="I21" s="14"/>
      <c r="J21" s="14"/>
      <c r="K21" s="14"/>
      <c r="L21" s="14">
        <v>1.0</v>
      </c>
      <c r="M21" s="14">
        <v>1.0</v>
      </c>
      <c r="N21" s="14">
        <v>1.0</v>
      </c>
      <c r="O21" s="14">
        <v>1.0</v>
      </c>
      <c r="P21" s="14">
        <v>1.0</v>
      </c>
      <c r="Q21" s="14">
        <v>1.0</v>
      </c>
      <c r="R21" s="14">
        <v>1.0</v>
      </c>
      <c r="S21" s="14">
        <v>1.0</v>
      </c>
      <c r="T21" s="14">
        <v>1.0</v>
      </c>
      <c r="U21" s="14">
        <v>1.0</v>
      </c>
      <c r="V21" s="14">
        <v>1.0</v>
      </c>
      <c r="W21" s="14">
        <v>1.0</v>
      </c>
      <c r="X21" s="14">
        <v>1.0</v>
      </c>
      <c r="Y21" s="14">
        <v>1.0</v>
      </c>
      <c r="Z21" s="14">
        <v>1.0</v>
      </c>
      <c r="AA21" s="14">
        <v>1.0</v>
      </c>
      <c r="AB21" s="14">
        <v>1.0</v>
      </c>
      <c r="AC21" s="14">
        <v>1.0</v>
      </c>
      <c r="AD21" s="14">
        <v>1.0</v>
      </c>
      <c r="AE21" s="14">
        <v>1.0</v>
      </c>
      <c r="AF21" s="14">
        <v>1.0</v>
      </c>
      <c r="AG21" s="14">
        <v>1.0</v>
      </c>
      <c r="AH21" s="14">
        <v>1.0</v>
      </c>
      <c r="AI21" s="14">
        <v>1.0</v>
      </c>
      <c r="AJ21" s="14">
        <f t="shared" si="1"/>
        <v>24</v>
      </c>
      <c r="AK21" s="14">
        <f>330*AJ21</f>
        <v>7920</v>
      </c>
      <c r="AL21" s="19"/>
      <c r="AM21" s="4"/>
      <c r="AN21" s="1"/>
      <c r="AO21" s="1"/>
      <c r="AP21" s="1"/>
      <c r="AQ21" s="1"/>
      <c r="AR21" s="1"/>
      <c r="AS21" s="1"/>
      <c r="AT21" s="1"/>
      <c r="AU21" s="1"/>
    </row>
    <row r="22" ht="15.75" customHeight="1">
      <c r="A22" s="16"/>
      <c r="B22" s="16"/>
      <c r="C22" s="16"/>
      <c r="D22" s="14" t="s">
        <v>6</v>
      </c>
      <c r="E22" s="14"/>
      <c r="F22" s="14"/>
      <c r="G22" s="14"/>
      <c r="H22" s="14"/>
      <c r="I22" s="14"/>
      <c r="J22" s="14"/>
      <c r="K22" s="14">
        <v>1.0</v>
      </c>
      <c r="L22" s="14">
        <v>1.0</v>
      </c>
      <c r="M22" s="14">
        <v>1.0</v>
      </c>
      <c r="N22" s="14">
        <v>1.0</v>
      </c>
      <c r="O22" s="14">
        <v>1.0</v>
      </c>
      <c r="P22" s="14">
        <v>0.0</v>
      </c>
      <c r="Q22" s="14">
        <v>1.0</v>
      </c>
      <c r="R22" s="14">
        <v>1.0</v>
      </c>
      <c r="S22" s="14">
        <v>1.0</v>
      </c>
      <c r="T22" s="14">
        <v>1.0</v>
      </c>
      <c r="U22" s="14">
        <v>1.0</v>
      </c>
      <c r="V22" s="14">
        <v>1.0</v>
      </c>
      <c r="W22" s="14">
        <v>1.0</v>
      </c>
      <c r="X22" s="14">
        <v>1.0</v>
      </c>
      <c r="Y22" s="14">
        <v>1.0</v>
      </c>
      <c r="Z22" s="14">
        <v>1.0</v>
      </c>
      <c r="AA22" s="14">
        <v>1.0</v>
      </c>
      <c r="AB22" s="14">
        <v>1.0</v>
      </c>
      <c r="AC22" s="14">
        <v>1.0</v>
      </c>
      <c r="AD22" s="14">
        <v>1.0</v>
      </c>
      <c r="AE22" s="14">
        <v>1.0</v>
      </c>
      <c r="AF22" s="14">
        <v>1.0</v>
      </c>
      <c r="AG22" s="14">
        <v>1.0</v>
      </c>
      <c r="AH22" s="14">
        <v>1.0</v>
      </c>
      <c r="AI22" s="14">
        <v>1.0</v>
      </c>
      <c r="AJ22" s="14">
        <f t="shared" si="1"/>
        <v>24</v>
      </c>
      <c r="AK22" s="14">
        <f t="shared" ref="AK22:AK23" si="8">550*AJ22</f>
        <v>13200</v>
      </c>
      <c r="AL22" s="19"/>
      <c r="AM22" s="4"/>
      <c r="AN22" s="1"/>
      <c r="AO22" s="1"/>
      <c r="AP22" s="1"/>
      <c r="AQ22" s="1"/>
      <c r="AR22" s="1"/>
      <c r="AS22" s="1"/>
      <c r="AT22" s="1"/>
      <c r="AU22" s="1"/>
    </row>
    <row r="23" ht="15.75" customHeight="1">
      <c r="A23" s="10"/>
      <c r="B23" s="10"/>
      <c r="C23" s="10"/>
      <c r="D23" s="14" t="s">
        <v>7</v>
      </c>
      <c r="E23" s="14"/>
      <c r="F23" s="14"/>
      <c r="G23" s="14"/>
      <c r="H23" s="14"/>
      <c r="I23" s="14"/>
      <c r="J23" s="14"/>
      <c r="K23" s="14">
        <v>1.0</v>
      </c>
      <c r="L23" s="14">
        <v>1.0</v>
      </c>
      <c r="M23" s="14">
        <v>1.0</v>
      </c>
      <c r="N23" s="14">
        <v>1.0</v>
      </c>
      <c r="O23" s="14">
        <v>1.0</v>
      </c>
      <c r="P23" s="14">
        <v>1.0</v>
      </c>
      <c r="Q23" s="14">
        <v>1.0</v>
      </c>
      <c r="R23" s="14">
        <v>1.0</v>
      </c>
      <c r="S23" s="14">
        <v>1.0</v>
      </c>
      <c r="T23" s="14">
        <v>1.0</v>
      </c>
      <c r="U23" s="14">
        <v>1.0</v>
      </c>
      <c r="V23" s="14">
        <v>1.0</v>
      </c>
      <c r="W23" s="14">
        <v>1.0</v>
      </c>
      <c r="X23" s="14">
        <v>1.0</v>
      </c>
      <c r="Y23" s="14">
        <v>1.0</v>
      </c>
      <c r="Z23" s="14">
        <v>1.0</v>
      </c>
      <c r="AA23" s="14">
        <v>1.0</v>
      </c>
      <c r="AB23" s="14">
        <v>1.0</v>
      </c>
      <c r="AC23" s="14">
        <v>1.0</v>
      </c>
      <c r="AD23" s="14">
        <v>1.0</v>
      </c>
      <c r="AE23" s="14">
        <v>1.0</v>
      </c>
      <c r="AF23" s="14">
        <v>1.0</v>
      </c>
      <c r="AG23" s="14">
        <v>1.0</v>
      </c>
      <c r="AH23" s="14">
        <v>1.0</v>
      </c>
      <c r="AI23" s="14">
        <v>1.0</v>
      </c>
      <c r="AJ23" s="14">
        <f t="shared" si="1"/>
        <v>25</v>
      </c>
      <c r="AK23" s="14">
        <f t="shared" si="8"/>
        <v>13750</v>
      </c>
      <c r="AL23" s="20">
        <f>SUM(AK21:AK23)</f>
        <v>34870</v>
      </c>
      <c r="AM23" s="4" t="s">
        <v>55</v>
      </c>
      <c r="AN23" s="1"/>
      <c r="AO23" s="1"/>
      <c r="AP23" s="1"/>
      <c r="AQ23" s="1"/>
      <c r="AR23" s="1"/>
      <c r="AS23" s="1"/>
      <c r="AT23" s="1"/>
      <c r="AU23" s="1"/>
    </row>
    <row r="24" ht="15.75" customHeight="1">
      <c r="A24" s="12"/>
      <c r="B24" s="12"/>
      <c r="C24" s="12"/>
      <c r="D24" s="13" t="s">
        <v>5</v>
      </c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>
        <f t="shared" si="1"/>
        <v>0</v>
      </c>
      <c r="AK24" s="23">
        <f>330*AJ24</f>
        <v>0</v>
      </c>
      <c r="AL24" s="24"/>
      <c r="AM24" s="4"/>
      <c r="AN24" s="1"/>
      <c r="AO24" s="1"/>
      <c r="AP24" s="1"/>
      <c r="AQ24" s="1"/>
      <c r="AR24" s="1"/>
      <c r="AS24" s="1"/>
      <c r="AT24" s="1"/>
      <c r="AU24" s="1"/>
    </row>
    <row r="25" ht="15.75" customHeight="1">
      <c r="A25" s="16"/>
      <c r="B25" s="16"/>
      <c r="C25" s="16"/>
      <c r="D25" s="13" t="s">
        <v>6</v>
      </c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>
        <f t="shared" si="1"/>
        <v>0</v>
      </c>
      <c r="AK25" s="23">
        <f t="shared" ref="AK25:AK26" si="9">550*AJ25</f>
        <v>0</v>
      </c>
      <c r="AL25" s="24"/>
      <c r="AM25" s="4"/>
      <c r="AN25" s="1"/>
      <c r="AO25" s="1"/>
      <c r="AP25" s="1"/>
      <c r="AQ25" s="1"/>
      <c r="AR25" s="1"/>
      <c r="AS25" s="1"/>
      <c r="AT25" s="1"/>
      <c r="AU25" s="1"/>
    </row>
    <row r="26" ht="15.75" customHeight="1">
      <c r="A26" s="10"/>
      <c r="B26" s="10"/>
      <c r="C26" s="10"/>
      <c r="D26" s="13" t="s">
        <v>7</v>
      </c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>
        <f t="shared" si="1"/>
        <v>0</v>
      </c>
      <c r="AK26" s="23">
        <f t="shared" si="9"/>
        <v>0</v>
      </c>
      <c r="AL26" s="26">
        <f>SUM(AK24:AK26)</f>
        <v>0</v>
      </c>
      <c r="AM26" s="4"/>
      <c r="AN26" s="1"/>
      <c r="AO26" s="1"/>
      <c r="AP26" s="1"/>
      <c r="AQ26" s="1"/>
      <c r="AR26" s="1"/>
      <c r="AS26" s="1"/>
      <c r="AT26" s="1"/>
      <c r="AU26" s="1"/>
    </row>
    <row r="27" ht="15.75" customHeight="1">
      <c r="A27" s="12"/>
      <c r="B27" s="12"/>
      <c r="C27" s="12"/>
      <c r="D27" s="13" t="s">
        <v>5</v>
      </c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>
        <f t="shared" si="1"/>
        <v>0</v>
      </c>
      <c r="AK27" s="14">
        <f>330*AJ27</f>
        <v>0</v>
      </c>
      <c r="AL27" s="19"/>
      <c r="AM27" s="4"/>
      <c r="AN27" s="1"/>
      <c r="AO27" s="1"/>
      <c r="AP27" s="1"/>
      <c r="AQ27" s="1"/>
      <c r="AR27" s="1"/>
      <c r="AS27" s="1"/>
      <c r="AT27" s="1"/>
      <c r="AU27" s="1"/>
    </row>
    <row r="28" ht="15.75" customHeight="1">
      <c r="A28" s="16"/>
      <c r="B28" s="16"/>
      <c r="C28" s="16"/>
      <c r="D28" s="13" t="s">
        <v>6</v>
      </c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>
        <f t="shared" si="1"/>
        <v>0</v>
      </c>
      <c r="AK28" s="14">
        <f t="shared" ref="AK28:AK29" si="10">550*AJ28</f>
        <v>0</v>
      </c>
      <c r="AL28" s="19"/>
      <c r="AM28" s="4"/>
      <c r="AN28" s="1"/>
      <c r="AO28" s="1"/>
      <c r="AP28" s="1"/>
      <c r="AQ28" s="1"/>
      <c r="AR28" s="1"/>
      <c r="AS28" s="1"/>
      <c r="AT28" s="1"/>
      <c r="AU28" s="1"/>
    </row>
    <row r="29" ht="15.75" customHeight="1">
      <c r="A29" s="10"/>
      <c r="B29" s="10"/>
      <c r="C29" s="10"/>
      <c r="D29" s="13" t="s">
        <v>7</v>
      </c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>
        <f t="shared" si="1"/>
        <v>0</v>
      </c>
      <c r="AK29" s="14">
        <f t="shared" si="10"/>
        <v>0</v>
      </c>
      <c r="AL29" s="20">
        <f>SUM(AK27:AK29)</f>
        <v>0</v>
      </c>
      <c r="AM29" s="4"/>
      <c r="AN29" s="1"/>
      <c r="AO29" s="1"/>
      <c r="AP29" s="1"/>
      <c r="AQ29" s="1"/>
      <c r="AR29" s="1"/>
      <c r="AS29" s="1"/>
      <c r="AT29" s="1"/>
      <c r="AU29" s="1"/>
    </row>
    <row r="30" ht="15.75" customHeight="1">
      <c r="A30" s="12"/>
      <c r="B30" s="12"/>
      <c r="C30" s="12"/>
      <c r="D30" s="13" t="s">
        <v>5</v>
      </c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>
        <f t="shared" si="1"/>
        <v>0</v>
      </c>
      <c r="AK30" s="23">
        <f>330*AJ30</f>
        <v>0</v>
      </c>
      <c r="AL30" s="24"/>
      <c r="AM30" s="4"/>
      <c r="AN30" s="1"/>
      <c r="AO30" s="1"/>
      <c r="AP30" s="1"/>
      <c r="AQ30" s="1"/>
      <c r="AR30" s="1"/>
      <c r="AS30" s="1"/>
      <c r="AT30" s="1"/>
      <c r="AU30" s="1"/>
    </row>
    <row r="31" ht="15.75" customHeight="1">
      <c r="A31" s="16"/>
      <c r="B31" s="16"/>
      <c r="C31" s="16"/>
      <c r="D31" s="13" t="s">
        <v>6</v>
      </c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>
        <f t="shared" si="1"/>
        <v>0</v>
      </c>
      <c r="AK31" s="23">
        <f t="shared" ref="AK31:AK32" si="11">550*AJ31</f>
        <v>0</v>
      </c>
      <c r="AL31" s="24"/>
      <c r="AM31" s="4"/>
      <c r="AN31" s="1"/>
      <c r="AO31" s="1"/>
      <c r="AP31" s="1"/>
      <c r="AQ31" s="1"/>
      <c r="AR31" s="1"/>
      <c r="AS31" s="1"/>
      <c r="AT31" s="1"/>
      <c r="AU31" s="1"/>
    </row>
    <row r="32" ht="15.75" customHeight="1">
      <c r="A32" s="10"/>
      <c r="B32" s="10"/>
      <c r="C32" s="10"/>
      <c r="D32" s="13" t="s">
        <v>7</v>
      </c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>
        <f t="shared" si="1"/>
        <v>0</v>
      </c>
      <c r="AK32" s="23">
        <f t="shared" si="11"/>
        <v>0</v>
      </c>
      <c r="AL32" s="26">
        <f>SUM(AK30:AK32)</f>
        <v>0</v>
      </c>
      <c r="AM32" s="4"/>
      <c r="AN32" s="1"/>
      <c r="AO32" s="1"/>
      <c r="AP32" s="1"/>
      <c r="AQ32" s="1"/>
      <c r="AR32" s="1"/>
      <c r="AS32" s="1"/>
      <c r="AT32" s="1"/>
      <c r="AU32" s="1"/>
    </row>
    <row r="33" ht="15.75" customHeight="1">
      <c r="A33" s="12"/>
      <c r="B33" s="12"/>
      <c r="C33" s="12"/>
      <c r="D33" s="13" t="s">
        <v>5</v>
      </c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>
        <f t="shared" si="1"/>
        <v>0</v>
      </c>
      <c r="AK33" s="1"/>
      <c r="AL33" s="1"/>
      <c r="AM33" s="4"/>
      <c r="AN33" s="1"/>
      <c r="AO33" s="1"/>
      <c r="AP33" s="1"/>
      <c r="AQ33" s="1"/>
      <c r="AR33" s="1"/>
      <c r="AS33" s="1"/>
      <c r="AT33" s="1"/>
      <c r="AU33" s="1"/>
    </row>
    <row r="34" ht="15.75" customHeight="1">
      <c r="A34" s="16"/>
      <c r="B34" s="16"/>
      <c r="C34" s="16"/>
      <c r="D34" s="13" t="s">
        <v>6</v>
      </c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>
        <f t="shared" si="1"/>
        <v>0</v>
      </c>
      <c r="AK34" s="1"/>
      <c r="AL34" s="1"/>
      <c r="AM34" s="4"/>
      <c r="AN34" s="1"/>
      <c r="AO34" s="1"/>
      <c r="AP34" s="1"/>
      <c r="AQ34" s="1"/>
      <c r="AR34" s="1"/>
      <c r="AS34" s="1"/>
      <c r="AT34" s="1"/>
      <c r="AU34" s="1"/>
    </row>
    <row r="35" ht="15.75" customHeight="1">
      <c r="A35" s="10"/>
      <c r="B35" s="10"/>
      <c r="C35" s="10"/>
      <c r="D35" s="13" t="s">
        <v>7</v>
      </c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>
        <f t="shared" si="1"/>
        <v>0</v>
      </c>
      <c r="AK35" s="1"/>
      <c r="AL35" s="1"/>
      <c r="AM35" s="4"/>
      <c r="AN35" s="1"/>
      <c r="AO35" s="1"/>
      <c r="AP35" s="1"/>
      <c r="AQ35" s="1"/>
      <c r="AR35" s="1"/>
      <c r="AS35" s="1"/>
      <c r="AT35" s="1"/>
      <c r="AU35" s="1"/>
    </row>
    <row r="36" ht="15.75" customHeight="1">
      <c r="A36" s="12"/>
      <c r="B36" s="12"/>
      <c r="C36" s="12"/>
      <c r="D36" s="13" t="s">
        <v>5</v>
      </c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>
        <f t="shared" si="1"/>
        <v>0</v>
      </c>
      <c r="AK36" s="1"/>
      <c r="AL36" s="1"/>
      <c r="AM36" s="4"/>
      <c r="AN36" s="1"/>
      <c r="AO36" s="1"/>
      <c r="AP36" s="1"/>
      <c r="AQ36" s="1"/>
      <c r="AR36" s="1"/>
      <c r="AS36" s="1"/>
      <c r="AT36" s="1"/>
      <c r="AU36" s="1"/>
    </row>
    <row r="37" ht="15.75" customHeight="1">
      <c r="A37" s="16"/>
      <c r="B37" s="16"/>
      <c r="C37" s="16"/>
      <c r="D37" s="13" t="s">
        <v>6</v>
      </c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>
        <f t="shared" si="1"/>
        <v>0</v>
      </c>
      <c r="AK37" s="1"/>
      <c r="AL37" s="1"/>
      <c r="AM37" s="4"/>
      <c r="AN37" s="1"/>
      <c r="AO37" s="1"/>
      <c r="AP37" s="1"/>
      <c r="AQ37" s="1"/>
      <c r="AR37" s="1"/>
      <c r="AS37" s="1"/>
      <c r="AT37" s="1"/>
      <c r="AU37" s="1"/>
    </row>
    <row r="38" ht="15.75" customHeight="1">
      <c r="A38" s="10"/>
      <c r="B38" s="10"/>
      <c r="C38" s="10"/>
      <c r="D38" s="13" t="s">
        <v>7</v>
      </c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>
        <f t="shared" si="1"/>
        <v>0</v>
      </c>
      <c r="AK38" s="1"/>
      <c r="AL38" s="1"/>
      <c r="AM38" s="4"/>
      <c r="AN38" s="1"/>
      <c r="AO38" s="1"/>
      <c r="AP38" s="1"/>
      <c r="AQ38" s="1"/>
      <c r="AR38" s="1"/>
      <c r="AS38" s="1"/>
      <c r="AT38" s="1"/>
      <c r="AU38" s="1"/>
    </row>
    <row r="39" ht="15.75" customHeight="1">
      <c r="A39" s="12"/>
      <c r="B39" s="12"/>
      <c r="C39" s="12"/>
      <c r="D39" s="13" t="s">
        <v>5</v>
      </c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>
        <f t="shared" si="1"/>
        <v>0</v>
      </c>
      <c r="AK39" s="1"/>
      <c r="AL39" s="1"/>
      <c r="AM39" s="4"/>
      <c r="AN39" s="1"/>
      <c r="AO39" s="1"/>
      <c r="AP39" s="1"/>
      <c r="AQ39" s="1"/>
      <c r="AR39" s="1"/>
      <c r="AS39" s="1"/>
      <c r="AT39" s="1"/>
      <c r="AU39" s="1"/>
    </row>
    <row r="40" ht="15.75" customHeight="1">
      <c r="A40" s="16"/>
      <c r="B40" s="16"/>
      <c r="C40" s="16"/>
      <c r="D40" s="13" t="s">
        <v>6</v>
      </c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>
        <f t="shared" si="1"/>
        <v>0</v>
      </c>
      <c r="AK40" s="1"/>
      <c r="AL40" s="1"/>
      <c r="AM40" s="4"/>
      <c r="AN40" s="1"/>
      <c r="AO40" s="1"/>
      <c r="AP40" s="1"/>
      <c r="AQ40" s="1"/>
      <c r="AR40" s="1"/>
      <c r="AS40" s="1"/>
      <c r="AT40" s="1"/>
      <c r="AU40" s="1"/>
    </row>
    <row r="41" ht="15.75" customHeight="1">
      <c r="A41" s="10"/>
      <c r="B41" s="10"/>
      <c r="C41" s="10"/>
      <c r="D41" s="13" t="s">
        <v>7</v>
      </c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>
        <f t="shared" si="1"/>
        <v>0</v>
      </c>
      <c r="AK41" s="1"/>
      <c r="AL41" s="1"/>
      <c r="AM41" s="4"/>
      <c r="AN41" s="1"/>
      <c r="AO41" s="1"/>
      <c r="AP41" s="1"/>
      <c r="AQ41" s="1"/>
      <c r="AR41" s="1"/>
      <c r="AS41" s="1"/>
      <c r="AT41" s="1"/>
      <c r="AU41" s="1"/>
    </row>
    <row r="42" ht="15.75" customHeight="1">
      <c r="A42" s="12"/>
      <c r="B42" s="12"/>
      <c r="C42" s="12"/>
      <c r="D42" s="13" t="s">
        <v>5</v>
      </c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>
        <f t="shared" si="1"/>
        <v>0</v>
      </c>
      <c r="AK42" s="1"/>
      <c r="AL42" s="1"/>
      <c r="AM42" s="4"/>
      <c r="AN42" s="1"/>
      <c r="AO42" s="1"/>
      <c r="AP42" s="1"/>
      <c r="AQ42" s="1"/>
      <c r="AR42" s="1"/>
      <c r="AS42" s="1"/>
      <c r="AT42" s="1"/>
      <c r="AU42" s="1"/>
    </row>
    <row r="43" ht="15.75" customHeight="1">
      <c r="A43" s="16"/>
      <c r="B43" s="16"/>
      <c r="C43" s="16"/>
      <c r="D43" s="13" t="s">
        <v>6</v>
      </c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>
        <f t="shared" si="1"/>
        <v>0</v>
      </c>
      <c r="AK43" s="1"/>
      <c r="AL43" s="1"/>
      <c r="AM43" s="4"/>
      <c r="AN43" s="1"/>
      <c r="AO43" s="1"/>
      <c r="AP43" s="1"/>
      <c r="AQ43" s="1"/>
      <c r="AR43" s="1"/>
      <c r="AS43" s="1"/>
      <c r="AT43" s="1"/>
      <c r="AU43" s="1"/>
    </row>
    <row r="44" ht="15.75" customHeight="1">
      <c r="A44" s="10"/>
      <c r="B44" s="10"/>
      <c r="C44" s="10"/>
      <c r="D44" s="13" t="s">
        <v>7</v>
      </c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>
        <f t="shared" si="1"/>
        <v>0</v>
      </c>
      <c r="AK44" s="1"/>
      <c r="AL44" s="1"/>
      <c r="AM44" s="4"/>
      <c r="AN44" s="1"/>
      <c r="AO44" s="1"/>
      <c r="AP44" s="1"/>
      <c r="AQ44" s="1"/>
      <c r="AR44" s="1"/>
      <c r="AS44" s="1"/>
      <c r="AT44" s="1"/>
      <c r="AU44" s="1"/>
    </row>
    <row r="45" ht="15.75" customHeight="1">
      <c r="A45" s="12"/>
      <c r="B45" s="12"/>
      <c r="C45" s="12"/>
      <c r="D45" s="13" t="s">
        <v>5</v>
      </c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>
        <f t="shared" si="1"/>
        <v>0</v>
      </c>
      <c r="AK45" s="1"/>
      <c r="AL45" s="1"/>
      <c r="AM45" s="4"/>
      <c r="AN45" s="1"/>
      <c r="AO45" s="1"/>
      <c r="AP45" s="1"/>
      <c r="AQ45" s="1"/>
      <c r="AR45" s="1"/>
      <c r="AS45" s="1"/>
      <c r="AT45" s="1"/>
      <c r="AU45" s="1"/>
    </row>
    <row r="46" ht="15.75" customHeight="1">
      <c r="A46" s="16"/>
      <c r="B46" s="16"/>
      <c r="C46" s="16"/>
      <c r="D46" s="13" t="s">
        <v>6</v>
      </c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>
        <f t="shared" si="1"/>
        <v>0</v>
      </c>
      <c r="AK46" s="1"/>
      <c r="AL46" s="1"/>
      <c r="AM46" s="4"/>
      <c r="AN46" s="1"/>
      <c r="AO46" s="1"/>
      <c r="AP46" s="1"/>
      <c r="AQ46" s="1"/>
      <c r="AR46" s="1"/>
      <c r="AS46" s="1"/>
      <c r="AT46" s="1"/>
      <c r="AU46" s="1"/>
    </row>
    <row r="47" ht="15.75" customHeight="1">
      <c r="A47" s="10"/>
      <c r="B47" s="10"/>
      <c r="C47" s="10"/>
      <c r="D47" s="13" t="s">
        <v>7</v>
      </c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>
        <f t="shared" si="1"/>
        <v>0</v>
      </c>
      <c r="AK47" s="1"/>
      <c r="AL47" s="1"/>
      <c r="AM47" s="4"/>
      <c r="AN47" s="1"/>
      <c r="AO47" s="1"/>
      <c r="AP47" s="1"/>
      <c r="AQ47" s="1"/>
      <c r="AR47" s="1"/>
      <c r="AS47" s="1"/>
      <c r="AT47" s="1"/>
      <c r="AU47" s="1"/>
    </row>
    <row r="48" ht="15.75" customHeight="1">
      <c r="A48" s="12"/>
      <c r="B48" s="12"/>
      <c r="C48" s="12"/>
      <c r="D48" s="13" t="s">
        <v>5</v>
      </c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>
        <f t="shared" si="1"/>
        <v>0</v>
      </c>
      <c r="AK48" s="1"/>
      <c r="AL48" s="1"/>
      <c r="AM48" s="4"/>
      <c r="AN48" s="1"/>
      <c r="AO48" s="1"/>
      <c r="AP48" s="1"/>
      <c r="AQ48" s="1"/>
      <c r="AR48" s="1"/>
      <c r="AS48" s="1"/>
      <c r="AT48" s="1"/>
      <c r="AU48" s="1"/>
    </row>
    <row r="49" ht="15.75" customHeight="1">
      <c r="A49" s="16"/>
      <c r="B49" s="16"/>
      <c r="C49" s="16"/>
      <c r="D49" s="13" t="s">
        <v>6</v>
      </c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>
        <f t="shared" si="1"/>
        <v>0</v>
      </c>
      <c r="AK49" s="1"/>
      <c r="AL49" s="1"/>
      <c r="AM49" s="4"/>
      <c r="AN49" s="1"/>
      <c r="AO49" s="1"/>
      <c r="AP49" s="1"/>
      <c r="AQ49" s="1"/>
      <c r="AR49" s="1"/>
      <c r="AS49" s="1"/>
      <c r="AT49" s="1"/>
      <c r="AU49" s="1"/>
    </row>
    <row r="50" ht="15.75" customHeight="1">
      <c r="A50" s="10"/>
      <c r="B50" s="10"/>
      <c r="C50" s="10"/>
      <c r="D50" s="13" t="s">
        <v>7</v>
      </c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>
        <f t="shared" si="1"/>
        <v>0</v>
      </c>
      <c r="AK50" s="1"/>
      <c r="AL50" s="1"/>
      <c r="AM50" s="4"/>
      <c r="AN50" s="1"/>
      <c r="AO50" s="1"/>
      <c r="AP50" s="1"/>
      <c r="AQ50" s="1"/>
      <c r="AR50" s="1"/>
      <c r="AS50" s="1"/>
      <c r="AT50" s="1"/>
      <c r="AU50" s="1"/>
    </row>
    <row r="51" ht="15.75" customHeight="1">
      <c r="A51" s="12"/>
      <c r="B51" s="12"/>
      <c r="C51" s="12"/>
      <c r="D51" s="13" t="s">
        <v>5</v>
      </c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>
        <f t="shared" si="1"/>
        <v>0</v>
      </c>
      <c r="AK51" s="1"/>
      <c r="AL51" s="1"/>
      <c r="AM51" s="4"/>
      <c r="AN51" s="1"/>
      <c r="AO51" s="1"/>
      <c r="AP51" s="1"/>
      <c r="AQ51" s="1"/>
      <c r="AR51" s="1"/>
      <c r="AS51" s="1"/>
      <c r="AT51" s="1"/>
      <c r="AU51" s="1"/>
    </row>
    <row r="52" ht="15.75" customHeight="1">
      <c r="A52" s="16"/>
      <c r="B52" s="16"/>
      <c r="C52" s="16"/>
      <c r="D52" s="13" t="s">
        <v>6</v>
      </c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>
        <f t="shared" si="1"/>
        <v>0</v>
      </c>
      <c r="AK52" s="1"/>
      <c r="AL52" s="1"/>
      <c r="AM52" s="4"/>
      <c r="AN52" s="1"/>
      <c r="AO52" s="1"/>
      <c r="AP52" s="1"/>
      <c r="AQ52" s="1"/>
      <c r="AR52" s="1"/>
      <c r="AS52" s="1"/>
      <c r="AT52" s="1"/>
      <c r="AU52" s="1"/>
    </row>
    <row r="53" ht="15.75" customHeight="1">
      <c r="A53" s="10"/>
      <c r="B53" s="10"/>
      <c r="C53" s="10"/>
      <c r="D53" s="13" t="s">
        <v>7</v>
      </c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>
        <f t="shared" si="1"/>
        <v>0</v>
      </c>
      <c r="AK53" s="1"/>
      <c r="AL53" s="1"/>
      <c r="AM53" s="4"/>
      <c r="AN53" s="1"/>
      <c r="AO53" s="1"/>
      <c r="AP53" s="1"/>
      <c r="AQ53" s="1"/>
      <c r="AR53" s="1"/>
      <c r="AS53" s="1"/>
      <c r="AT53" s="1"/>
      <c r="AU53" s="1"/>
    </row>
    <row r="54" ht="15.75" customHeight="1">
      <c r="A54" s="12"/>
      <c r="B54" s="12"/>
      <c r="C54" s="12"/>
      <c r="D54" s="13" t="s">
        <v>5</v>
      </c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>
        <f t="shared" si="1"/>
        <v>0</v>
      </c>
      <c r="AK54" s="1"/>
      <c r="AL54" s="1"/>
      <c r="AM54" s="4"/>
      <c r="AN54" s="1"/>
      <c r="AO54" s="1"/>
      <c r="AP54" s="1"/>
      <c r="AQ54" s="1"/>
      <c r="AR54" s="1"/>
      <c r="AS54" s="1"/>
      <c r="AT54" s="1"/>
      <c r="AU54" s="1"/>
    </row>
    <row r="55" ht="15.75" customHeight="1">
      <c r="A55" s="16"/>
      <c r="B55" s="16"/>
      <c r="C55" s="16"/>
      <c r="D55" s="13" t="s">
        <v>6</v>
      </c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>
        <f t="shared" si="1"/>
        <v>0</v>
      </c>
      <c r="AK55" s="1"/>
      <c r="AL55" s="1"/>
      <c r="AM55" s="4"/>
      <c r="AN55" s="1"/>
      <c r="AO55" s="1"/>
      <c r="AP55" s="1"/>
      <c r="AQ55" s="1"/>
      <c r="AR55" s="1"/>
      <c r="AS55" s="1"/>
      <c r="AT55" s="1"/>
      <c r="AU55" s="1"/>
    </row>
    <row r="56" ht="15.75" customHeight="1">
      <c r="A56" s="10"/>
      <c r="B56" s="10"/>
      <c r="C56" s="10"/>
      <c r="D56" s="13" t="s">
        <v>7</v>
      </c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>
        <f t="shared" si="1"/>
        <v>0</v>
      </c>
      <c r="AK56" s="1"/>
      <c r="AL56" s="1"/>
      <c r="AM56" s="4"/>
      <c r="AN56" s="1"/>
      <c r="AO56" s="1"/>
      <c r="AP56" s="1"/>
      <c r="AQ56" s="1"/>
      <c r="AR56" s="1"/>
      <c r="AS56" s="1"/>
      <c r="AT56" s="1"/>
      <c r="AU56" s="1"/>
    </row>
    <row r="57" ht="15.75" customHeight="1">
      <c r="A57" s="12"/>
      <c r="B57" s="12"/>
      <c r="C57" s="12"/>
      <c r="D57" s="13" t="s">
        <v>5</v>
      </c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>
        <f t="shared" si="1"/>
        <v>0</v>
      </c>
      <c r="AK57" s="1"/>
      <c r="AL57" s="1"/>
      <c r="AM57" s="4"/>
      <c r="AN57" s="1"/>
      <c r="AO57" s="1"/>
      <c r="AP57" s="1"/>
      <c r="AQ57" s="1"/>
      <c r="AR57" s="1"/>
      <c r="AS57" s="1"/>
      <c r="AT57" s="1"/>
      <c r="AU57" s="1"/>
    </row>
    <row r="58" ht="15.75" customHeight="1">
      <c r="A58" s="16"/>
      <c r="B58" s="16"/>
      <c r="C58" s="16"/>
      <c r="D58" s="13" t="s">
        <v>6</v>
      </c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>
        <f t="shared" si="1"/>
        <v>0</v>
      </c>
      <c r="AK58" s="1"/>
      <c r="AL58" s="1"/>
      <c r="AM58" s="4"/>
      <c r="AN58" s="1"/>
      <c r="AO58" s="1"/>
      <c r="AP58" s="1"/>
      <c r="AQ58" s="1"/>
      <c r="AR58" s="1"/>
      <c r="AS58" s="1"/>
      <c r="AT58" s="1"/>
      <c r="AU58" s="1"/>
    </row>
    <row r="59" ht="15.75" customHeight="1">
      <c r="A59" s="10"/>
      <c r="B59" s="10"/>
      <c r="C59" s="10"/>
      <c r="D59" s="13" t="s">
        <v>7</v>
      </c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>
        <f t="shared" si="1"/>
        <v>0</v>
      </c>
      <c r="AK59" s="1"/>
      <c r="AL59" s="1"/>
      <c r="AM59" s="4"/>
      <c r="AN59" s="1"/>
      <c r="AO59" s="1"/>
      <c r="AP59" s="1"/>
      <c r="AQ59" s="1"/>
      <c r="AR59" s="1"/>
      <c r="AS59" s="1"/>
      <c r="AT59" s="1"/>
      <c r="AU59" s="1"/>
    </row>
    <row r="60" ht="15.75" customHeight="1">
      <c r="A60" s="12"/>
      <c r="B60" s="12"/>
      <c r="C60" s="12"/>
      <c r="D60" s="13" t="s">
        <v>5</v>
      </c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>
        <f t="shared" si="1"/>
        <v>0</v>
      </c>
      <c r="AK60" s="1"/>
      <c r="AL60" s="1"/>
      <c r="AM60" s="4"/>
      <c r="AN60" s="1"/>
      <c r="AO60" s="1"/>
      <c r="AP60" s="1"/>
      <c r="AQ60" s="1"/>
      <c r="AR60" s="1"/>
      <c r="AS60" s="1"/>
      <c r="AT60" s="1"/>
      <c r="AU60" s="1"/>
    </row>
    <row r="61" ht="15.75" customHeight="1">
      <c r="A61" s="16"/>
      <c r="B61" s="16"/>
      <c r="C61" s="16"/>
      <c r="D61" s="13" t="s">
        <v>6</v>
      </c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>
        <f t="shared" si="1"/>
        <v>0</v>
      </c>
      <c r="AK61" s="1"/>
      <c r="AL61" s="1"/>
      <c r="AM61" s="4"/>
      <c r="AN61" s="1"/>
      <c r="AO61" s="1"/>
      <c r="AP61" s="1"/>
      <c r="AQ61" s="1"/>
      <c r="AR61" s="1"/>
      <c r="AS61" s="1"/>
      <c r="AT61" s="1"/>
      <c r="AU61" s="1"/>
    </row>
    <row r="62" ht="15.75" customHeight="1">
      <c r="A62" s="10"/>
      <c r="B62" s="10"/>
      <c r="C62" s="10"/>
      <c r="D62" s="13" t="s">
        <v>7</v>
      </c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>
        <f t="shared" si="1"/>
        <v>0</v>
      </c>
      <c r="AK62" s="1"/>
      <c r="AL62" s="1"/>
      <c r="AM62" s="4"/>
      <c r="AN62" s="1"/>
      <c r="AO62" s="1"/>
      <c r="AP62" s="1"/>
      <c r="AQ62" s="1"/>
      <c r="AR62" s="1"/>
      <c r="AS62" s="1"/>
      <c r="AT62" s="1"/>
      <c r="AU62" s="1"/>
    </row>
    <row r="63" ht="15.75" customHeight="1">
      <c r="A63" s="12"/>
      <c r="B63" s="12"/>
      <c r="C63" s="12"/>
      <c r="D63" s="13" t="s">
        <v>5</v>
      </c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>
        <f t="shared" si="1"/>
        <v>0</v>
      </c>
      <c r="AK63" s="1"/>
      <c r="AL63" s="1"/>
      <c r="AM63" s="4"/>
      <c r="AN63" s="1"/>
      <c r="AO63" s="1"/>
      <c r="AP63" s="1"/>
      <c r="AQ63" s="1"/>
      <c r="AR63" s="1"/>
      <c r="AS63" s="1"/>
      <c r="AT63" s="1"/>
      <c r="AU63" s="1"/>
    </row>
    <row r="64" ht="15.75" customHeight="1">
      <c r="A64" s="16"/>
      <c r="B64" s="16"/>
      <c r="C64" s="16"/>
      <c r="D64" s="13" t="s">
        <v>6</v>
      </c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>
        <f t="shared" si="1"/>
        <v>0</v>
      </c>
      <c r="AK64" s="1"/>
      <c r="AL64" s="1"/>
      <c r="AM64" s="4"/>
      <c r="AN64" s="1"/>
      <c r="AO64" s="1"/>
      <c r="AP64" s="1"/>
      <c r="AQ64" s="1"/>
      <c r="AR64" s="1"/>
      <c r="AS64" s="1"/>
      <c r="AT64" s="1"/>
      <c r="AU64" s="1"/>
    </row>
    <row r="65" ht="15.75" customHeight="1">
      <c r="A65" s="10"/>
      <c r="B65" s="10"/>
      <c r="C65" s="10"/>
      <c r="D65" s="13" t="s">
        <v>7</v>
      </c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>
        <f t="shared" si="1"/>
        <v>0</v>
      </c>
      <c r="AK65" s="1"/>
      <c r="AL65" s="1"/>
      <c r="AM65" s="4"/>
      <c r="AN65" s="1"/>
      <c r="AO65" s="1"/>
      <c r="AP65" s="1"/>
      <c r="AQ65" s="1"/>
      <c r="AR65" s="1"/>
      <c r="AS65" s="1"/>
      <c r="AT65" s="1"/>
      <c r="AU65" s="1"/>
    </row>
    <row r="66" ht="15.75" customHeight="1">
      <c r="A66" s="12"/>
      <c r="B66" s="12"/>
      <c r="C66" s="12"/>
      <c r="D66" s="13" t="s">
        <v>5</v>
      </c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>
        <f t="shared" si="1"/>
        <v>0</v>
      </c>
      <c r="AK66" s="1"/>
      <c r="AL66" s="1"/>
      <c r="AM66" s="4"/>
      <c r="AN66" s="1"/>
      <c r="AO66" s="1"/>
      <c r="AP66" s="1"/>
      <c r="AQ66" s="1"/>
      <c r="AR66" s="1"/>
      <c r="AS66" s="1"/>
      <c r="AT66" s="1"/>
      <c r="AU66" s="1"/>
    </row>
    <row r="67" ht="15.75" customHeight="1">
      <c r="A67" s="16"/>
      <c r="B67" s="16"/>
      <c r="C67" s="16"/>
      <c r="D67" s="13" t="s">
        <v>6</v>
      </c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>
        <f t="shared" si="1"/>
        <v>0</v>
      </c>
      <c r="AK67" s="1"/>
      <c r="AL67" s="1"/>
      <c r="AM67" s="4"/>
      <c r="AN67" s="1"/>
      <c r="AO67" s="1"/>
      <c r="AP67" s="1"/>
      <c r="AQ67" s="1"/>
      <c r="AR67" s="1"/>
      <c r="AS67" s="1"/>
      <c r="AT67" s="1"/>
      <c r="AU67" s="1"/>
    </row>
    <row r="68" ht="15.75" customHeight="1">
      <c r="A68" s="10"/>
      <c r="B68" s="10"/>
      <c r="C68" s="10"/>
      <c r="D68" s="13" t="s">
        <v>7</v>
      </c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>
        <f t="shared" si="1"/>
        <v>0</v>
      </c>
      <c r="AK68" s="1"/>
      <c r="AL68" s="1"/>
      <c r="AM68" s="4"/>
      <c r="AN68" s="1"/>
      <c r="AO68" s="1"/>
      <c r="AP68" s="1"/>
      <c r="AQ68" s="1"/>
      <c r="AR68" s="1"/>
      <c r="AS68" s="1"/>
      <c r="AT68" s="1"/>
      <c r="AU68" s="1"/>
    </row>
    <row r="69" ht="15.75" customHeight="1">
      <c r="A69" s="12"/>
      <c r="B69" s="12"/>
      <c r="C69" s="12"/>
      <c r="D69" s="13" t="s">
        <v>5</v>
      </c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>
        <f t="shared" si="1"/>
        <v>0</v>
      </c>
      <c r="AK69" s="1"/>
      <c r="AL69" s="1"/>
      <c r="AM69" s="4"/>
      <c r="AN69" s="1"/>
      <c r="AO69" s="1"/>
      <c r="AP69" s="1"/>
      <c r="AQ69" s="1"/>
      <c r="AR69" s="1"/>
      <c r="AS69" s="1"/>
      <c r="AT69" s="1"/>
      <c r="AU69" s="1"/>
    </row>
    <row r="70" ht="15.75" customHeight="1">
      <c r="A70" s="16"/>
      <c r="B70" s="16"/>
      <c r="C70" s="16"/>
      <c r="D70" s="13" t="s">
        <v>6</v>
      </c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>
        <f t="shared" si="1"/>
        <v>0</v>
      </c>
      <c r="AK70" s="1"/>
      <c r="AL70" s="1"/>
      <c r="AM70" s="4"/>
      <c r="AN70" s="1"/>
      <c r="AO70" s="1"/>
      <c r="AP70" s="1"/>
      <c r="AQ70" s="1"/>
      <c r="AR70" s="1"/>
      <c r="AS70" s="1"/>
      <c r="AT70" s="1"/>
      <c r="AU70" s="1"/>
    </row>
    <row r="71" ht="15.75" customHeight="1">
      <c r="A71" s="10"/>
      <c r="B71" s="10"/>
      <c r="C71" s="10"/>
      <c r="D71" s="13" t="s">
        <v>7</v>
      </c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>
        <f t="shared" si="1"/>
        <v>0</v>
      </c>
      <c r="AK71" s="1"/>
      <c r="AL71" s="1"/>
      <c r="AM71" s="4"/>
      <c r="AN71" s="1"/>
      <c r="AO71" s="1"/>
      <c r="AP71" s="1"/>
      <c r="AQ71" s="1"/>
      <c r="AR71" s="1"/>
      <c r="AS71" s="1"/>
      <c r="AT71" s="1"/>
      <c r="AU71" s="1"/>
    </row>
    <row r="72" ht="15.75" customHeight="1">
      <c r="A72" s="31"/>
      <c r="B72" s="31"/>
      <c r="C72" s="3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4"/>
      <c r="AN72" s="1"/>
      <c r="AO72" s="1"/>
      <c r="AP72" s="1"/>
      <c r="AQ72" s="1"/>
      <c r="AR72" s="1"/>
      <c r="AS72" s="1"/>
      <c r="AT72" s="1"/>
      <c r="AU72" s="1"/>
    </row>
    <row r="73" ht="15.75" customHeight="1">
      <c r="A73" s="31"/>
      <c r="B73" s="31"/>
      <c r="C73" s="3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4"/>
      <c r="AN73" s="1"/>
      <c r="AO73" s="1"/>
      <c r="AP73" s="1"/>
      <c r="AQ73" s="1"/>
      <c r="AR73" s="1"/>
      <c r="AS73" s="1"/>
      <c r="AT73" s="1"/>
      <c r="AU73" s="1"/>
    </row>
    <row r="74" ht="15.75" customHeight="1">
      <c r="A74" s="31"/>
      <c r="B74" s="31"/>
      <c r="C74" s="3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4"/>
      <c r="AN74" s="1"/>
      <c r="AO74" s="1"/>
      <c r="AP74" s="1"/>
      <c r="AQ74" s="1"/>
      <c r="AR74" s="1"/>
      <c r="AS74" s="1"/>
      <c r="AT74" s="1"/>
      <c r="AU74" s="1"/>
    </row>
    <row r="75" ht="15.75" customHeight="1">
      <c r="A75" s="31"/>
      <c r="B75" s="31"/>
      <c r="C75" s="3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4"/>
      <c r="AN75" s="1"/>
      <c r="AO75" s="1"/>
      <c r="AP75" s="1"/>
      <c r="AQ75" s="1"/>
      <c r="AR75" s="1"/>
      <c r="AS75" s="1"/>
      <c r="AT75" s="1"/>
      <c r="AU75" s="1"/>
    </row>
    <row r="76" ht="15.75" customHeight="1">
      <c r="A76" s="31"/>
      <c r="B76" s="31"/>
      <c r="C76" s="3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4"/>
      <c r="AN76" s="1"/>
      <c r="AO76" s="1"/>
      <c r="AP76" s="1"/>
      <c r="AQ76" s="1"/>
      <c r="AR76" s="1"/>
      <c r="AS76" s="1"/>
      <c r="AT76" s="1"/>
      <c r="AU76" s="1"/>
    </row>
    <row r="77" ht="15.75" customHeight="1">
      <c r="A77" s="31"/>
      <c r="B77" s="31"/>
      <c r="C77" s="3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4"/>
      <c r="AN77" s="1"/>
      <c r="AO77" s="1"/>
      <c r="AP77" s="1"/>
      <c r="AQ77" s="1"/>
      <c r="AR77" s="1"/>
      <c r="AS77" s="1"/>
      <c r="AT77" s="1"/>
      <c r="AU77" s="1"/>
    </row>
    <row r="78" ht="15.75" customHeight="1">
      <c r="A78" s="31"/>
      <c r="B78" s="31"/>
      <c r="C78" s="3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4"/>
      <c r="AN78" s="1"/>
      <c r="AO78" s="1"/>
      <c r="AP78" s="1"/>
      <c r="AQ78" s="1"/>
      <c r="AR78" s="1"/>
      <c r="AS78" s="1"/>
      <c r="AT78" s="1"/>
      <c r="AU78" s="1"/>
    </row>
    <row r="79" ht="15.75" customHeight="1">
      <c r="A79" s="31"/>
      <c r="B79" s="31"/>
      <c r="C79" s="3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4"/>
      <c r="AN79" s="1"/>
      <c r="AO79" s="1"/>
      <c r="AP79" s="1"/>
      <c r="AQ79" s="1"/>
      <c r="AR79" s="1"/>
      <c r="AS79" s="1"/>
      <c r="AT79" s="1"/>
      <c r="AU79" s="1"/>
    </row>
    <row r="80" ht="15.75" customHeight="1">
      <c r="A80" s="31"/>
      <c r="B80" s="31"/>
      <c r="C80" s="3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4"/>
      <c r="AN80" s="1"/>
      <c r="AO80" s="1"/>
      <c r="AP80" s="1"/>
      <c r="AQ80" s="1"/>
      <c r="AR80" s="1"/>
      <c r="AS80" s="1"/>
      <c r="AT80" s="1"/>
      <c r="AU80" s="1"/>
    </row>
    <row r="81" ht="15.75" customHeight="1">
      <c r="A81" s="31"/>
      <c r="B81" s="31"/>
      <c r="C81" s="3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4"/>
      <c r="AN81" s="1"/>
      <c r="AO81" s="1"/>
      <c r="AP81" s="1"/>
      <c r="AQ81" s="1"/>
      <c r="AR81" s="1"/>
      <c r="AS81" s="1"/>
      <c r="AT81" s="1"/>
      <c r="AU81" s="1"/>
    </row>
    <row r="82" ht="15.75" customHeight="1">
      <c r="A82" s="31"/>
      <c r="B82" s="31"/>
      <c r="C82" s="3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4"/>
      <c r="AN82" s="1"/>
      <c r="AO82" s="1"/>
      <c r="AP82" s="1"/>
      <c r="AQ82" s="1"/>
      <c r="AR82" s="1"/>
      <c r="AS82" s="1"/>
      <c r="AT82" s="1"/>
      <c r="AU82" s="1"/>
    </row>
    <row r="83" ht="15.75" customHeight="1">
      <c r="A83" s="31"/>
      <c r="B83" s="31"/>
      <c r="C83" s="3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4"/>
      <c r="AN83" s="1"/>
      <c r="AO83" s="1"/>
      <c r="AP83" s="1"/>
      <c r="AQ83" s="1"/>
      <c r="AR83" s="1"/>
      <c r="AS83" s="1"/>
      <c r="AT83" s="1"/>
      <c r="AU83" s="1"/>
    </row>
    <row r="84" ht="15.75" customHeight="1">
      <c r="A84" s="31"/>
      <c r="B84" s="31"/>
      <c r="C84" s="3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4"/>
      <c r="AN84" s="1"/>
      <c r="AO84" s="1"/>
      <c r="AP84" s="1"/>
      <c r="AQ84" s="1"/>
      <c r="AR84" s="1"/>
      <c r="AS84" s="1"/>
      <c r="AT84" s="1"/>
      <c r="AU84" s="1"/>
    </row>
    <row r="85" ht="15.75" customHeight="1">
      <c r="A85" s="31"/>
      <c r="B85" s="31"/>
      <c r="C85" s="3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4"/>
      <c r="AN85" s="1"/>
      <c r="AO85" s="1"/>
      <c r="AP85" s="1"/>
      <c r="AQ85" s="1"/>
      <c r="AR85" s="1"/>
      <c r="AS85" s="1"/>
      <c r="AT85" s="1"/>
      <c r="AU85" s="1"/>
    </row>
    <row r="86" ht="15.75" customHeight="1">
      <c r="A86" s="31"/>
      <c r="B86" s="31"/>
      <c r="C86" s="3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4"/>
      <c r="AN86" s="1"/>
      <c r="AO86" s="1"/>
      <c r="AP86" s="1"/>
      <c r="AQ86" s="1"/>
      <c r="AR86" s="1"/>
      <c r="AS86" s="1"/>
      <c r="AT86" s="1"/>
      <c r="AU86" s="1"/>
    </row>
    <row r="87" ht="15.75" customHeight="1">
      <c r="A87" s="31"/>
      <c r="B87" s="31"/>
      <c r="C87" s="3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4"/>
      <c r="AN87" s="1"/>
      <c r="AO87" s="1"/>
      <c r="AP87" s="1"/>
      <c r="AQ87" s="1"/>
      <c r="AR87" s="1"/>
      <c r="AS87" s="1"/>
      <c r="AT87" s="1"/>
      <c r="AU87" s="1"/>
    </row>
    <row r="88" ht="15.75" customHeight="1">
      <c r="A88" s="31"/>
      <c r="B88" s="31"/>
      <c r="C88" s="3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4"/>
      <c r="AN88" s="1"/>
      <c r="AO88" s="1"/>
      <c r="AP88" s="1"/>
      <c r="AQ88" s="1"/>
      <c r="AR88" s="1"/>
      <c r="AS88" s="1"/>
      <c r="AT88" s="1"/>
      <c r="AU88" s="1"/>
    </row>
    <row r="89" ht="15.75" customHeight="1">
      <c r="A89" s="31"/>
      <c r="B89" s="31"/>
      <c r="C89" s="3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4"/>
      <c r="AN89" s="1"/>
      <c r="AO89" s="1"/>
      <c r="AP89" s="1"/>
      <c r="AQ89" s="1"/>
      <c r="AR89" s="1"/>
      <c r="AS89" s="1"/>
      <c r="AT89" s="1"/>
      <c r="AU89" s="1"/>
    </row>
    <row r="90" ht="15.75" customHeight="1">
      <c r="A90" s="31"/>
      <c r="B90" s="31"/>
      <c r="C90" s="3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4"/>
      <c r="AN90" s="1"/>
      <c r="AO90" s="1"/>
      <c r="AP90" s="1"/>
      <c r="AQ90" s="1"/>
      <c r="AR90" s="1"/>
      <c r="AS90" s="1"/>
      <c r="AT90" s="1"/>
      <c r="AU90" s="1"/>
    </row>
    <row r="91" ht="15.75" customHeight="1">
      <c r="A91" s="31"/>
      <c r="B91" s="31"/>
      <c r="C91" s="3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4"/>
      <c r="AN91" s="1"/>
      <c r="AO91" s="1"/>
      <c r="AP91" s="1"/>
      <c r="AQ91" s="1"/>
      <c r="AR91" s="1"/>
      <c r="AS91" s="1"/>
      <c r="AT91" s="1"/>
      <c r="AU91" s="1"/>
    </row>
    <row r="92" ht="15.75" customHeight="1">
      <c r="A92" s="31"/>
      <c r="B92" s="31"/>
      <c r="C92" s="3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4"/>
      <c r="AN92" s="1"/>
      <c r="AO92" s="1"/>
      <c r="AP92" s="1"/>
      <c r="AQ92" s="1"/>
      <c r="AR92" s="1"/>
      <c r="AS92" s="1"/>
      <c r="AT92" s="1"/>
      <c r="AU92" s="1"/>
    </row>
    <row r="93" ht="15.75" customHeight="1">
      <c r="A93" s="31"/>
      <c r="B93" s="31"/>
      <c r="C93" s="3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4"/>
      <c r="AN93" s="1"/>
      <c r="AO93" s="1"/>
      <c r="AP93" s="1"/>
      <c r="AQ93" s="1"/>
      <c r="AR93" s="1"/>
      <c r="AS93" s="1"/>
      <c r="AT93" s="1"/>
      <c r="AU93" s="1"/>
    </row>
    <row r="94" ht="15.75" customHeight="1">
      <c r="A94" s="31"/>
      <c r="B94" s="31"/>
      <c r="C94" s="3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4"/>
      <c r="AN94" s="1"/>
      <c r="AO94" s="1"/>
      <c r="AP94" s="1"/>
      <c r="AQ94" s="1"/>
      <c r="AR94" s="1"/>
      <c r="AS94" s="1"/>
      <c r="AT94" s="1"/>
      <c r="AU94" s="1"/>
    </row>
    <row r="95" ht="15.75" customHeight="1">
      <c r="A95" s="31"/>
      <c r="B95" s="31"/>
      <c r="C95" s="3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4"/>
      <c r="AN95" s="1"/>
      <c r="AO95" s="1"/>
      <c r="AP95" s="1"/>
      <c r="AQ95" s="1"/>
      <c r="AR95" s="1"/>
      <c r="AS95" s="1"/>
      <c r="AT95" s="1"/>
      <c r="AU95" s="1"/>
    </row>
    <row r="96" ht="15.75" customHeight="1">
      <c r="A96" s="31"/>
      <c r="B96" s="31"/>
      <c r="C96" s="3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4"/>
      <c r="AN96" s="1"/>
      <c r="AO96" s="1"/>
      <c r="AP96" s="1"/>
      <c r="AQ96" s="1"/>
      <c r="AR96" s="1"/>
      <c r="AS96" s="1"/>
      <c r="AT96" s="1"/>
      <c r="AU96" s="1"/>
    </row>
    <row r="97" ht="15.75" customHeight="1">
      <c r="A97" s="31"/>
      <c r="B97" s="31"/>
      <c r="C97" s="3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4"/>
      <c r="AN97" s="1"/>
      <c r="AO97" s="1"/>
      <c r="AP97" s="1"/>
      <c r="AQ97" s="1"/>
      <c r="AR97" s="1"/>
      <c r="AS97" s="1"/>
      <c r="AT97" s="1"/>
      <c r="AU97" s="1"/>
    </row>
    <row r="98" ht="15.75" customHeight="1">
      <c r="A98" s="31"/>
      <c r="B98" s="31"/>
      <c r="C98" s="3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4"/>
      <c r="AN98" s="1"/>
      <c r="AO98" s="1"/>
      <c r="AP98" s="1"/>
      <c r="AQ98" s="1"/>
      <c r="AR98" s="1"/>
      <c r="AS98" s="1"/>
      <c r="AT98" s="1"/>
      <c r="AU98" s="1"/>
    </row>
    <row r="99" ht="15.75" customHeight="1">
      <c r="A99" s="31"/>
      <c r="B99" s="31"/>
      <c r="C99" s="3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4"/>
      <c r="AN99" s="1"/>
      <c r="AO99" s="1"/>
      <c r="AP99" s="1"/>
      <c r="AQ99" s="1"/>
      <c r="AR99" s="1"/>
      <c r="AS99" s="1"/>
      <c r="AT99" s="1"/>
      <c r="AU99" s="1"/>
    </row>
    <row r="100" ht="15.75" customHeight="1">
      <c r="A100" s="31"/>
      <c r="B100" s="31"/>
      <c r="C100" s="3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4"/>
      <c r="AN100" s="1"/>
      <c r="AO100" s="1"/>
      <c r="AP100" s="1"/>
      <c r="AQ100" s="1"/>
      <c r="AR100" s="1"/>
      <c r="AS100" s="1"/>
      <c r="AT100" s="1"/>
      <c r="AU100" s="1"/>
    </row>
    <row r="101" ht="15.75" customHeight="1">
      <c r="A101" s="31"/>
      <c r="B101" s="31"/>
      <c r="C101" s="3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4"/>
      <c r="AN101" s="1"/>
      <c r="AO101" s="1"/>
      <c r="AP101" s="1"/>
      <c r="AQ101" s="1"/>
      <c r="AR101" s="1"/>
      <c r="AS101" s="1"/>
      <c r="AT101" s="1"/>
      <c r="AU101" s="1"/>
    </row>
    <row r="102" ht="15.75" customHeight="1">
      <c r="A102" s="31"/>
      <c r="B102" s="31"/>
      <c r="C102" s="3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4"/>
      <c r="AN102" s="1"/>
      <c r="AO102" s="1"/>
      <c r="AP102" s="1"/>
      <c r="AQ102" s="1"/>
      <c r="AR102" s="1"/>
      <c r="AS102" s="1"/>
      <c r="AT102" s="1"/>
      <c r="AU102" s="1"/>
    </row>
    <row r="103" ht="15.75" customHeight="1">
      <c r="A103" s="31"/>
      <c r="B103" s="31"/>
      <c r="C103" s="3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4"/>
      <c r="AN103" s="1"/>
      <c r="AO103" s="1"/>
      <c r="AP103" s="1"/>
      <c r="AQ103" s="1"/>
      <c r="AR103" s="1"/>
      <c r="AS103" s="1"/>
      <c r="AT103" s="1"/>
      <c r="AU103" s="1"/>
    </row>
    <row r="104" ht="15.75" customHeight="1">
      <c r="A104" s="31"/>
      <c r="B104" s="31"/>
      <c r="C104" s="3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4"/>
      <c r="AN104" s="1"/>
      <c r="AO104" s="1"/>
      <c r="AP104" s="1"/>
      <c r="AQ104" s="1"/>
      <c r="AR104" s="1"/>
      <c r="AS104" s="1"/>
      <c r="AT104" s="1"/>
      <c r="AU104" s="1"/>
    </row>
    <row r="105" ht="15.75" customHeight="1">
      <c r="A105" s="31"/>
      <c r="B105" s="31"/>
      <c r="C105" s="3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4"/>
      <c r="AN105" s="1"/>
      <c r="AO105" s="1"/>
      <c r="AP105" s="1"/>
      <c r="AQ105" s="1"/>
      <c r="AR105" s="1"/>
      <c r="AS105" s="1"/>
      <c r="AT105" s="1"/>
      <c r="AU105" s="1"/>
    </row>
    <row r="106" ht="15.75" customHeight="1">
      <c r="A106" s="31"/>
      <c r="B106" s="31"/>
      <c r="C106" s="3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4"/>
      <c r="AN106" s="1"/>
      <c r="AO106" s="1"/>
      <c r="AP106" s="1"/>
      <c r="AQ106" s="1"/>
      <c r="AR106" s="1"/>
      <c r="AS106" s="1"/>
      <c r="AT106" s="1"/>
      <c r="AU106" s="1"/>
    </row>
    <row r="107" ht="15.75" customHeight="1">
      <c r="A107" s="31"/>
      <c r="B107" s="31"/>
      <c r="C107" s="3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4"/>
      <c r="AN107" s="1"/>
      <c r="AO107" s="1"/>
      <c r="AP107" s="1"/>
      <c r="AQ107" s="1"/>
      <c r="AR107" s="1"/>
      <c r="AS107" s="1"/>
      <c r="AT107" s="1"/>
      <c r="AU107" s="1"/>
    </row>
    <row r="108" ht="15.75" customHeight="1">
      <c r="A108" s="31"/>
      <c r="B108" s="31"/>
      <c r="C108" s="3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4"/>
      <c r="AN108" s="1"/>
      <c r="AO108" s="1"/>
      <c r="AP108" s="1"/>
      <c r="AQ108" s="1"/>
      <c r="AR108" s="1"/>
      <c r="AS108" s="1"/>
      <c r="AT108" s="1"/>
      <c r="AU108" s="1"/>
    </row>
    <row r="109" ht="15.75" customHeight="1">
      <c r="A109" s="31"/>
      <c r="B109" s="31"/>
      <c r="C109" s="3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4"/>
      <c r="AN109" s="1"/>
      <c r="AO109" s="1"/>
      <c r="AP109" s="1"/>
      <c r="AQ109" s="1"/>
      <c r="AR109" s="1"/>
      <c r="AS109" s="1"/>
      <c r="AT109" s="1"/>
      <c r="AU109" s="1"/>
    </row>
    <row r="110" ht="15.75" customHeight="1">
      <c r="A110" s="31"/>
      <c r="B110" s="31"/>
      <c r="C110" s="3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4"/>
      <c r="AN110" s="1"/>
      <c r="AO110" s="1"/>
      <c r="AP110" s="1"/>
      <c r="AQ110" s="1"/>
      <c r="AR110" s="1"/>
      <c r="AS110" s="1"/>
      <c r="AT110" s="1"/>
      <c r="AU110" s="1"/>
    </row>
    <row r="111" ht="15.75" customHeight="1">
      <c r="A111" s="31"/>
      <c r="B111" s="31"/>
      <c r="C111" s="3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4"/>
      <c r="AN111" s="1"/>
      <c r="AO111" s="1"/>
      <c r="AP111" s="1"/>
      <c r="AQ111" s="1"/>
      <c r="AR111" s="1"/>
      <c r="AS111" s="1"/>
      <c r="AT111" s="1"/>
      <c r="AU111" s="1"/>
    </row>
    <row r="112" ht="15.75" customHeight="1">
      <c r="A112" s="31"/>
      <c r="B112" s="31"/>
      <c r="C112" s="3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4"/>
      <c r="AN112" s="1"/>
      <c r="AO112" s="1"/>
      <c r="AP112" s="1"/>
      <c r="AQ112" s="1"/>
      <c r="AR112" s="1"/>
      <c r="AS112" s="1"/>
      <c r="AT112" s="1"/>
      <c r="AU112" s="1"/>
    </row>
    <row r="113" ht="15.75" customHeight="1">
      <c r="A113" s="31"/>
      <c r="B113" s="31"/>
      <c r="C113" s="3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4"/>
      <c r="AN113" s="1"/>
      <c r="AO113" s="1"/>
      <c r="AP113" s="1"/>
      <c r="AQ113" s="1"/>
      <c r="AR113" s="1"/>
      <c r="AS113" s="1"/>
      <c r="AT113" s="1"/>
      <c r="AU113" s="1"/>
    </row>
    <row r="114" ht="15.75" customHeight="1">
      <c r="A114" s="31"/>
      <c r="B114" s="31"/>
      <c r="C114" s="3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4"/>
      <c r="AN114" s="1"/>
      <c r="AO114" s="1"/>
      <c r="AP114" s="1"/>
      <c r="AQ114" s="1"/>
      <c r="AR114" s="1"/>
      <c r="AS114" s="1"/>
      <c r="AT114" s="1"/>
      <c r="AU114" s="1"/>
    </row>
    <row r="115" ht="15.75" customHeight="1">
      <c r="A115" s="31"/>
      <c r="B115" s="31"/>
      <c r="C115" s="3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4"/>
      <c r="AN115" s="1"/>
      <c r="AO115" s="1"/>
      <c r="AP115" s="1"/>
      <c r="AQ115" s="1"/>
      <c r="AR115" s="1"/>
      <c r="AS115" s="1"/>
      <c r="AT115" s="1"/>
      <c r="AU115" s="1"/>
    </row>
    <row r="116" ht="15.75" customHeight="1">
      <c r="A116" s="31"/>
      <c r="B116" s="31"/>
      <c r="C116" s="3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4"/>
      <c r="AN116" s="1"/>
      <c r="AO116" s="1"/>
      <c r="AP116" s="1"/>
      <c r="AQ116" s="1"/>
      <c r="AR116" s="1"/>
      <c r="AS116" s="1"/>
      <c r="AT116" s="1"/>
      <c r="AU116" s="1"/>
    </row>
    <row r="117" ht="15.75" customHeight="1">
      <c r="A117" s="31"/>
      <c r="B117" s="31"/>
      <c r="C117" s="3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4"/>
      <c r="AN117" s="1"/>
      <c r="AO117" s="1"/>
      <c r="AP117" s="1"/>
      <c r="AQ117" s="1"/>
      <c r="AR117" s="1"/>
      <c r="AS117" s="1"/>
      <c r="AT117" s="1"/>
      <c r="AU117" s="1"/>
    </row>
    <row r="118" ht="15.75" customHeight="1">
      <c r="A118" s="31"/>
      <c r="B118" s="31"/>
      <c r="C118" s="3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4"/>
      <c r="AN118" s="1"/>
      <c r="AO118" s="1"/>
      <c r="AP118" s="1"/>
      <c r="AQ118" s="1"/>
      <c r="AR118" s="1"/>
      <c r="AS118" s="1"/>
      <c r="AT118" s="1"/>
      <c r="AU118" s="1"/>
    </row>
    <row r="119" ht="15.75" customHeight="1">
      <c r="A119" s="31"/>
      <c r="B119" s="31"/>
      <c r="C119" s="3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4"/>
      <c r="AN119" s="1"/>
      <c r="AO119" s="1"/>
      <c r="AP119" s="1"/>
      <c r="AQ119" s="1"/>
      <c r="AR119" s="1"/>
      <c r="AS119" s="1"/>
      <c r="AT119" s="1"/>
      <c r="AU119" s="1"/>
    </row>
    <row r="120" ht="15.75" customHeight="1">
      <c r="A120" s="31"/>
      <c r="B120" s="31"/>
      <c r="C120" s="3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4"/>
      <c r="AN120" s="1"/>
      <c r="AO120" s="1"/>
      <c r="AP120" s="1"/>
      <c r="AQ120" s="1"/>
      <c r="AR120" s="1"/>
      <c r="AS120" s="1"/>
      <c r="AT120" s="1"/>
      <c r="AU120" s="1"/>
    </row>
    <row r="121" ht="15.75" customHeight="1">
      <c r="A121" s="31"/>
      <c r="B121" s="31"/>
      <c r="C121" s="3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4"/>
      <c r="AN121" s="1"/>
      <c r="AO121" s="1"/>
      <c r="AP121" s="1"/>
      <c r="AQ121" s="1"/>
      <c r="AR121" s="1"/>
      <c r="AS121" s="1"/>
      <c r="AT121" s="1"/>
      <c r="AU121" s="1"/>
    </row>
    <row r="122" ht="15.75" customHeight="1">
      <c r="A122" s="31"/>
      <c r="B122" s="31"/>
      <c r="C122" s="3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4"/>
      <c r="AN122" s="1"/>
      <c r="AO122" s="1"/>
      <c r="AP122" s="1"/>
      <c r="AQ122" s="1"/>
      <c r="AR122" s="1"/>
      <c r="AS122" s="1"/>
      <c r="AT122" s="1"/>
      <c r="AU122" s="1"/>
    </row>
    <row r="123" ht="15.75" customHeight="1">
      <c r="A123" s="31"/>
      <c r="B123" s="31"/>
      <c r="C123" s="3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4"/>
      <c r="AN123" s="1"/>
      <c r="AO123" s="1"/>
      <c r="AP123" s="1"/>
      <c r="AQ123" s="1"/>
      <c r="AR123" s="1"/>
      <c r="AS123" s="1"/>
      <c r="AT123" s="1"/>
      <c r="AU123" s="1"/>
    </row>
    <row r="124" ht="15.75" customHeight="1">
      <c r="A124" s="31"/>
      <c r="B124" s="31"/>
      <c r="C124" s="3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4"/>
      <c r="AN124" s="1"/>
      <c r="AO124" s="1"/>
      <c r="AP124" s="1"/>
      <c r="AQ124" s="1"/>
      <c r="AR124" s="1"/>
      <c r="AS124" s="1"/>
      <c r="AT124" s="1"/>
      <c r="AU124" s="1"/>
    </row>
    <row r="125" ht="15.75" customHeight="1">
      <c r="A125" s="31"/>
      <c r="B125" s="31"/>
      <c r="C125" s="3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4"/>
      <c r="AN125" s="1"/>
      <c r="AO125" s="1"/>
      <c r="AP125" s="1"/>
      <c r="AQ125" s="1"/>
      <c r="AR125" s="1"/>
      <c r="AS125" s="1"/>
      <c r="AT125" s="1"/>
      <c r="AU125" s="1"/>
    </row>
    <row r="126" ht="15.75" customHeight="1">
      <c r="A126" s="31"/>
      <c r="B126" s="31"/>
      <c r="C126" s="3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4"/>
      <c r="AN126" s="1"/>
      <c r="AO126" s="1"/>
      <c r="AP126" s="1"/>
      <c r="AQ126" s="1"/>
      <c r="AR126" s="1"/>
      <c r="AS126" s="1"/>
      <c r="AT126" s="1"/>
      <c r="AU126" s="1"/>
    </row>
    <row r="127" ht="15.75" customHeight="1">
      <c r="A127" s="31"/>
      <c r="B127" s="31"/>
      <c r="C127" s="3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4"/>
      <c r="AN127" s="1"/>
      <c r="AO127" s="1"/>
      <c r="AP127" s="1"/>
      <c r="AQ127" s="1"/>
      <c r="AR127" s="1"/>
      <c r="AS127" s="1"/>
      <c r="AT127" s="1"/>
      <c r="AU127" s="1"/>
    </row>
    <row r="128" ht="15.75" customHeight="1">
      <c r="A128" s="31"/>
      <c r="B128" s="31"/>
      <c r="C128" s="3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4"/>
      <c r="AN128" s="1"/>
      <c r="AO128" s="1"/>
      <c r="AP128" s="1"/>
      <c r="AQ128" s="1"/>
      <c r="AR128" s="1"/>
      <c r="AS128" s="1"/>
      <c r="AT128" s="1"/>
      <c r="AU128" s="1"/>
    </row>
    <row r="129" ht="15.75" customHeight="1">
      <c r="A129" s="31"/>
      <c r="B129" s="31"/>
      <c r="C129" s="3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4"/>
      <c r="AN129" s="1"/>
      <c r="AO129" s="1"/>
      <c r="AP129" s="1"/>
      <c r="AQ129" s="1"/>
      <c r="AR129" s="1"/>
      <c r="AS129" s="1"/>
      <c r="AT129" s="1"/>
      <c r="AU129" s="1"/>
    </row>
    <row r="130" ht="15.75" customHeight="1">
      <c r="A130" s="31"/>
      <c r="B130" s="31"/>
      <c r="C130" s="3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4"/>
      <c r="AN130" s="1"/>
      <c r="AO130" s="1"/>
      <c r="AP130" s="1"/>
      <c r="AQ130" s="1"/>
      <c r="AR130" s="1"/>
      <c r="AS130" s="1"/>
      <c r="AT130" s="1"/>
      <c r="AU130" s="1"/>
    </row>
    <row r="131" ht="15.75" customHeight="1">
      <c r="A131" s="31"/>
      <c r="B131" s="31"/>
      <c r="C131" s="3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4"/>
      <c r="AN131" s="1"/>
      <c r="AO131" s="1"/>
      <c r="AP131" s="1"/>
      <c r="AQ131" s="1"/>
      <c r="AR131" s="1"/>
      <c r="AS131" s="1"/>
      <c r="AT131" s="1"/>
      <c r="AU131" s="1"/>
    </row>
    <row r="132" ht="15.75" customHeight="1">
      <c r="A132" s="31"/>
      <c r="B132" s="31"/>
      <c r="C132" s="3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4"/>
      <c r="AN132" s="1"/>
      <c r="AO132" s="1"/>
      <c r="AP132" s="1"/>
      <c r="AQ132" s="1"/>
      <c r="AR132" s="1"/>
      <c r="AS132" s="1"/>
      <c r="AT132" s="1"/>
      <c r="AU132" s="1"/>
    </row>
    <row r="133" ht="15.75" customHeight="1">
      <c r="A133" s="31"/>
      <c r="B133" s="31"/>
      <c r="C133" s="3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4"/>
      <c r="AN133" s="1"/>
      <c r="AO133" s="1"/>
      <c r="AP133" s="1"/>
      <c r="AQ133" s="1"/>
      <c r="AR133" s="1"/>
      <c r="AS133" s="1"/>
      <c r="AT133" s="1"/>
      <c r="AU133" s="1"/>
    </row>
    <row r="134" ht="15.75" customHeight="1">
      <c r="A134" s="31"/>
      <c r="B134" s="31"/>
      <c r="C134" s="3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4"/>
      <c r="AN134" s="1"/>
      <c r="AO134" s="1"/>
      <c r="AP134" s="1"/>
      <c r="AQ134" s="1"/>
      <c r="AR134" s="1"/>
      <c r="AS134" s="1"/>
      <c r="AT134" s="1"/>
      <c r="AU134" s="1"/>
    </row>
    <row r="135" ht="15.75" customHeight="1">
      <c r="A135" s="31"/>
      <c r="B135" s="31"/>
      <c r="C135" s="3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4"/>
      <c r="AN135" s="1"/>
      <c r="AO135" s="1"/>
      <c r="AP135" s="1"/>
      <c r="AQ135" s="1"/>
      <c r="AR135" s="1"/>
      <c r="AS135" s="1"/>
      <c r="AT135" s="1"/>
      <c r="AU135" s="1"/>
    </row>
    <row r="136" ht="15.75" customHeight="1">
      <c r="A136" s="31"/>
      <c r="B136" s="31"/>
      <c r="C136" s="3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4"/>
      <c r="AN136" s="1"/>
      <c r="AO136" s="1"/>
      <c r="AP136" s="1"/>
      <c r="AQ136" s="1"/>
      <c r="AR136" s="1"/>
      <c r="AS136" s="1"/>
      <c r="AT136" s="1"/>
      <c r="AU136" s="1"/>
    </row>
    <row r="137" ht="15.75" customHeight="1">
      <c r="A137" s="31"/>
      <c r="B137" s="31"/>
      <c r="C137" s="3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4"/>
      <c r="AN137" s="1"/>
      <c r="AO137" s="1"/>
      <c r="AP137" s="1"/>
      <c r="AQ137" s="1"/>
      <c r="AR137" s="1"/>
      <c r="AS137" s="1"/>
      <c r="AT137" s="1"/>
      <c r="AU137" s="1"/>
    </row>
    <row r="138" ht="15.75" customHeight="1">
      <c r="A138" s="31"/>
      <c r="B138" s="31"/>
      <c r="C138" s="3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4"/>
      <c r="AN138" s="1"/>
      <c r="AO138" s="1"/>
      <c r="AP138" s="1"/>
      <c r="AQ138" s="1"/>
      <c r="AR138" s="1"/>
      <c r="AS138" s="1"/>
      <c r="AT138" s="1"/>
      <c r="AU138" s="1"/>
    </row>
    <row r="139" ht="15.75" customHeight="1">
      <c r="A139" s="31"/>
      <c r="B139" s="31"/>
      <c r="C139" s="3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4"/>
      <c r="AN139" s="1"/>
      <c r="AO139" s="1"/>
      <c r="AP139" s="1"/>
      <c r="AQ139" s="1"/>
      <c r="AR139" s="1"/>
      <c r="AS139" s="1"/>
      <c r="AT139" s="1"/>
      <c r="AU139" s="1"/>
    </row>
    <row r="140" ht="15.75" customHeight="1">
      <c r="A140" s="31"/>
      <c r="B140" s="31"/>
      <c r="C140" s="3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4"/>
      <c r="AN140" s="1"/>
      <c r="AO140" s="1"/>
      <c r="AP140" s="1"/>
      <c r="AQ140" s="1"/>
      <c r="AR140" s="1"/>
      <c r="AS140" s="1"/>
      <c r="AT140" s="1"/>
      <c r="AU140" s="1"/>
    </row>
    <row r="141" ht="15.75" customHeight="1">
      <c r="A141" s="31"/>
      <c r="B141" s="31"/>
      <c r="C141" s="3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4"/>
      <c r="AN141" s="1"/>
      <c r="AO141" s="1"/>
      <c r="AP141" s="1"/>
      <c r="AQ141" s="1"/>
      <c r="AR141" s="1"/>
      <c r="AS141" s="1"/>
      <c r="AT141" s="1"/>
      <c r="AU141" s="1"/>
    </row>
    <row r="142" ht="15.75" customHeight="1">
      <c r="A142" s="31"/>
      <c r="B142" s="31"/>
      <c r="C142" s="3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4"/>
      <c r="AN142" s="1"/>
      <c r="AO142" s="1"/>
      <c r="AP142" s="1"/>
      <c r="AQ142" s="1"/>
      <c r="AR142" s="1"/>
      <c r="AS142" s="1"/>
      <c r="AT142" s="1"/>
      <c r="AU142" s="1"/>
    </row>
    <row r="143" ht="15.75" customHeight="1">
      <c r="A143" s="31"/>
      <c r="B143" s="31"/>
      <c r="C143" s="3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4"/>
      <c r="AN143" s="1"/>
      <c r="AO143" s="1"/>
      <c r="AP143" s="1"/>
      <c r="AQ143" s="1"/>
      <c r="AR143" s="1"/>
      <c r="AS143" s="1"/>
      <c r="AT143" s="1"/>
      <c r="AU143" s="1"/>
    </row>
    <row r="144" ht="15.75" customHeight="1">
      <c r="A144" s="31"/>
      <c r="B144" s="31"/>
      <c r="C144" s="3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4"/>
      <c r="AN144" s="1"/>
      <c r="AO144" s="1"/>
      <c r="AP144" s="1"/>
      <c r="AQ144" s="1"/>
      <c r="AR144" s="1"/>
      <c r="AS144" s="1"/>
      <c r="AT144" s="1"/>
      <c r="AU144" s="1"/>
    </row>
    <row r="145" ht="15.75" customHeight="1">
      <c r="A145" s="31"/>
      <c r="B145" s="31"/>
      <c r="C145" s="3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4"/>
      <c r="AN145" s="1"/>
      <c r="AO145" s="1"/>
      <c r="AP145" s="1"/>
      <c r="AQ145" s="1"/>
      <c r="AR145" s="1"/>
      <c r="AS145" s="1"/>
      <c r="AT145" s="1"/>
      <c r="AU145" s="1"/>
    </row>
    <row r="146" ht="15.75" customHeight="1">
      <c r="A146" s="31"/>
      <c r="B146" s="31"/>
      <c r="C146" s="3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4"/>
      <c r="AN146" s="1"/>
      <c r="AO146" s="1"/>
      <c r="AP146" s="1"/>
      <c r="AQ146" s="1"/>
      <c r="AR146" s="1"/>
      <c r="AS146" s="1"/>
      <c r="AT146" s="1"/>
      <c r="AU146" s="1"/>
    </row>
    <row r="147" ht="15.75" customHeight="1">
      <c r="A147" s="31"/>
      <c r="B147" s="31"/>
      <c r="C147" s="3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4"/>
      <c r="AN147" s="1"/>
      <c r="AO147" s="1"/>
      <c r="AP147" s="1"/>
      <c r="AQ147" s="1"/>
      <c r="AR147" s="1"/>
      <c r="AS147" s="1"/>
      <c r="AT147" s="1"/>
      <c r="AU147" s="1"/>
    </row>
    <row r="148" ht="15.75" customHeight="1">
      <c r="A148" s="31"/>
      <c r="B148" s="31"/>
      <c r="C148" s="3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4"/>
      <c r="AN148" s="1"/>
      <c r="AO148" s="1"/>
      <c r="AP148" s="1"/>
      <c r="AQ148" s="1"/>
      <c r="AR148" s="1"/>
      <c r="AS148" s="1"/>
      <c r="AT148" s="1"/>
      <c r="AU148" s="1"/>
    </row>
    <row r="149" ht="15.75" customHeight="1">
      <c r="A149" s="31"/>
      <c r="B149" s="31"/>
      <c r="C149" s="3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4"/>
      <c r="AN149" s="1"/>
      <c r="AO149" s="1"/>
      <c r="AP149" s="1"/>
      <c r="AQ149" s="1"/>
      <c r="AR149" s="1"/>
      <c r="AS149" s="1"/>
      <c r="AT149" s="1"/>
      <c r="AU149" s="1"/>
    </row>
    <row r="150" ht="15.75" customHeight="1">
      <c r="A150" s="31"/>
      <c r="B150" s="31"/>
      <c r="C150" s="3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4"/>
      <c r="AN150" s="1"/>
      <c r="AO150" s="1"/>
      <c r="AP150" s="1"/>
      <c r="AQ150" s="1"/>
      <c r="AR150" s="1"/>
      <c r="AS150" s="1"/>
      <c r="AT150" s="1"/>
      <c r="AU150" s="1"/>
    </row>
    <row r="151" ht="15.75" customHeight="1">
      <c r="A151" s="31"/>
      <c r="B151" s="31"/>
      <c r="C151" s="3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4"/>
      <c r="AN151" s="1"/>
      <c r="AO151" s="1"/>
      <c r="AP151" s="1"/>
      <c r="AQ151" s="1"/>
      <c r="AR151" s="1"/>
      <c r="AS151" s="1"/>
      <c r="AT151" s="1"/>
      <c r="AU151" s="1"/>
    </row>
    <row r="152" ht="15.75" customHeight="1">
      <c r="A152" s="31"/>
      <c r="B152" s="31"/>
      <c r="C152" s="3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4"/>
      <c r="AN152" s="1"/>
      <c r="AO152" s="1"/>
      <c r="AP152" s="1"/>
      <c r="AQ152" s="1"/>
      <c r="AR152" s="1"/>
      <c r="AS152" s="1"/>
      <c r="AT152" s="1"/>
      <c r="AU152" s="1"/>
    </row>
    <row r="153" ht="15.75" customHeight="1">
      <c r="A153" s="31"/>
      <c r="B153" s="31"/>
      <c r="C153" s="3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4"/>
      <c r="AN153" s="1"/>
      <c r="AO153" s="1"/>
      <c r="AP153" s="1"/>
      <c r="AQ153" s="1"/>
      <c r="AR153" s="1"/>
      <c r="AS153" s="1"/>
      <c r="AT153" s="1"/>
      <c r="AU153" s="1"/>
    </row>
    <row r="154" ht="15.75" customHeight="1">
      <c r="A154" s="31"/>
      <c r="B154" s="31"/>
      <c r="C154" s="3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4"/>
      <c r="AN154" s="1"/>
      <c r="AO154" s="1"/>
      <c r="AP154" s="1"/>
      <c r="AQ154" s="1"/>
      <c r="AR154" s="1"/>
      <c r="AS154" s="1"/>
      <c r="AT154" s="1"/>
      <c r="AU154" s="1"/>
    </row>
    <row r="155" ht="15.75" customHeight="1">
      <c r="A155" s="31"/>
      <c r="B155" s="31"/>
      <c r="C155" s="3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4"/>
      <c r="AN155" s="1"/>
      <c r="AO155" s="1"/>
      <c r="AP155" s="1"/>
      <c r="AQ155" s="1"/>
      <c r="AR155" s="1"/>
      <c r="AS155" s="1"/>
      <c r="AT155" s="1"/>
      <c r="AU155" s="1"/>
    </row>
    <row r="156" ht="15.75" customHeight="1">
      <c r="A156" s="31"/>
      <c r="B156" s="31"/>
      <c r="C156" s="3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4"/>
      <c r="AN156" s="1"/>
      <c r="AO156" s="1"/>
      <c r="AP156" s="1"/>
      <c r="AQ156" s="1"/>
      <c r="AR156" s="1"/>
      <c r="AS156" s="1"/>
      <c r="AT156" s="1"/>
      <c r="AU156" s="1"/>
    </row>
    <row r="157" ht="15.75" customHeight="1">
      <c r="A157" s="31"/>
      <c r="B157" s="31"/>
      <c r="C157" s="3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4"/>
      <c r="AN157" s="1"/>
      <c r="AO157" s="1"/>
      <c r="AP157" s="1"/>
      <c r="AQ157" s="1"/>
      <c r="AR157" s="1"/>
      <c r="AS157" s="1"/>
      <c r="AT157" s="1"/>
      <c r="AU157" s="1"/>
    </row>
    <row r="158" ht="15.75" customHeight="1">
      <c r="A158" s="31"/>
      <c r="B158" s="31"/>
      <c r="C158" s="3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4"/>
      <c r="AN158" s="1"/>
      <c r="AO158" s="1"/>
      <c r="AP158" s="1"/>
      <c r="AQ158" s="1"/>
      <c r="AR158" s="1"/>
      <c r="AS158" s="1"/>
      <c r="AT158" s="1"/>
      <c r="AU158" s="1"/>
    </row>
    <row r="159" ht="15.75" customHeight="1">
      <c r="A159" s="31"/>
      <c r="B159" s="31"/>
      <c r="C159" s="3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4"/>
      <c r="AN159" s="1"/>
      <c r="AO159" s="1"/>
      <c r="AP159" s="1"/>
      <c r="AQ159" s="1"/>
      <c r="AR159" s="1"/>
      <c r="AS159" s="1"/>
      <c r="AT159" s="1"/>
      <c r="AU159" s="1"/>
    </row>
    <row r="160" ht="15.75" customHeight="1">
      <c r="A160" s="31"/>
      <c r="B160" s="31"/>
      <c r="C160" s="3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4"/>
      <c r="AN160" s="1"/>
      <c r="AO160" s="1"/>
      <c r="AP160" s="1"/>
      <c r="AQ160" s="1"/>
      <c r="AR160" s="1"/>
      <c r="AS160" s="1"/>
      <c r="AT160" s="1"/>
      <c r="AU160" s="1"/>
    </row>
    <row r="161" ht="15.75" customHeight="1">
      <c r="A161" s="31"/>
      <c r="B161" s="31"/>
      <c r="C161" s="3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4"/>
      <c r="AN161" s="1"/>
      <c r="AO161" s="1"/>
      <c r="AP161" s="1"/>
      <c r="AQ161" s="1"/>
      <c r="AR161" s="1"/>
      <c r="AS161" s="1"/>
      <c r="AT161" s="1"/>
      <c r="AU161" s="1"/>
    </row>
    <row r="162" ht="15.75" customHeight="1">
      <c r="A162" s="31"/>
      <c r="B162" s="31"/>
      <c r="C162" s="3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4"/>
      <c r="AN162" s="1"/>
      <c r="AO162" s="1"/>
      <c r="AP162" s="1"/>
      <c r="AQ162" s="1"/>
      <c r="AR162" s="1"/>
      <c r="AS162" s="1"/>
      <c r="AT162" s="1"/>
      <c r="AU162" s="1"/>
    </row>
    <row r="163" ht="15.75" customHeight="1">
      <c r="A163" s="31"/>
      <c r="B163" s="31"/>
      <c r="C163" s="3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4"/>
      <c r="AN163" s="1"/>
      <c r="AO163" s="1"/>
      <c r="AP163" s="1"/>
      <c r="AQ163" s="1"/>
      <c r="AR163" s="1"/>
      <c r="AS163" s="1"/>
      <c r="AT163" s="1"/>
      <c r="AU163" s="1"/>
    </row>
    <row r="164" ht="15.75" customHeight="1">
      <c r="A164" s="31"/>
      <c r="B164" s="31"/>
      <c r="C164" s="3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4"/>
      <c r="AN164" s="1"/>
      <c r="AO164" s="1"/>
      <c r="AP164" s="1"/>
      <c r="AQ164" s="1"/>
      <c r="AR164" s="1"/>
      <c r="AS164" s="1"/>
      <c r="AT164" s="1"/>
      <c r="AU164" s="1"/>
    </row>
    <row r="165" ht="15.75" customHeight="1">
      <c r="A165" s="31"/>
      <c r="B165" s="31"/>
      <c r="C165" s="3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4"/>
      <c r="AN165" s="1"/>
      <c r="AO165" s="1"/>
      <c r="AP165" s="1"/>
      <c r="AQ165" s="1"/>
      <c r="AR165" s="1"/>
      <c r="AS165" s="1"/>
      <c r="AT165" s="1"/>
      <c r="AU165" s="1"/>
    </row>
    <row r="166" ht="15.75" customHeight="1">
      <c r="A166" s="31"/>
      <c r="B166" s="31"/>
      <c r="C166" s="3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4"/>
      <c r="AN166" s="1"/>
      <c r="AO166" s="1"/>
      <c r="AP166" s="1"/>
      <c r="AQ166" s="1"/>
      <c r="AR166" s="1"/>
      <c r="AS166" s="1"/>
      <c r="AT166" s="1"/>
      <c r="AU166" s="1"/>
    </row>
    <row r="167" ht="15.75" customHeight="1">
      <c r="A167" s="31"/>
      <c r="B167" s="31"/>
      <c r="C167" s="3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4"/>
      <c r="AN167" s="1"/>
      <c r="AO167" s="1"/>
      <c r="AP167" s="1"/>
      <c r="AQ167" s="1"/>
      <c r="AR167" s="1"/>
      <c r="AS167" s="1"/>
      <c r="AT167" s="1"/>
      <c r="AU167" s="1"/>
    </row>
    <row r="168" ht="15.75" customHeight="1">
      <c r="A168" s="31"/>
      <c r="B168" s="31"/>
      <c r="C168" s="3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4"/>
      <c r="AN168" s="1"/>
      <c r="AO168" s="1"/>
      <c r="AP168" s="1"/>
      <c r="AQ168" s="1"/>
      <c r="AR168" s="1"/>
      <c r="AS168" s="1"/>
      <c r="AT168" s="1"/>
      <c r="AU168" s="1"/>
    </row>
    <row r="169" ht="15.75" customHeight="1">
      <c r="A169" s="31"/>
      <c r="B169" s="31"/>
      <c r="C169" s="3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4"/>
      <c r="AN169" s="1"/>
      <c r="AO169" s="1"/>
      <c r="AP169" s="1"/>
      <c r="AQ169" s="1"/>
      <c r="AR169" s="1"/>
      <c r="AS169" s="1"/>
      <c r="AT169" s="1"/>
      <c r="AU169" s="1"/>
    </row>
    <row r="170" ht="15.75" customHeight="1">
      <c r="A170" s="31"/>
      <c r="B170" s="31"/>
      <c r="C170" s="3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4"/>
      <c r="AN170" s="1"/>
      <c r="AO170" s="1"/>
      <c r="AP170" s="1"/>
      <c r="AQ170" s="1"/>
      <c r="AR170" s="1"/>
      <c r="AS170" s="1"/>
      <c r="AT170" s="1"/>
      <c r="AU170" s="1"/>
    </row>
    <row r="171" ht="15.75" customHeight="1">
      <c r="A171" s="31"/>
      <c r="B171" s="31"/>
      <c r="C171" s="3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4"/>
      <c r="AN171" s="1"/>
      <c r="AO171" s="1"/>
      <c r="AP171" s="1"/>
      <c r="AQ171" s="1"/>
      <c r="AR171" s="1"/>
      <c r="AS171" s="1"/>
      <c r="AT171" s="1"/>
      <c r="AU171" s="1"/>
    </row>
    <row r="172" ht="15.75" customHeight="1">
      <c r="A172" s="31"/>
      <c r="B172" s="31"/>
      <c r="C172" s="3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4"/>
      <c r="AN172" s="1"/>
      <c r="AO172" s="1"/>
      <c r="AP172" s="1"/>
      <c r="AQ172" s="1"/>
      <c r="AR172" s="1"/>
      <c r="AS172" s="1"/>
      <c r="AT172" s="1"/>
      <c r="AU172" s="1"/>
    </row>
    <row r="173" ht="15.75" customHeight="1">
      <c r="A173" s="31"/>
      <c r="B173" s="31"/>
      <c r="C173" s="3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4"/>
      <c r="AN173" s="1"/>
      <c r="AO173" s="1"/>
      <c r="AP173" s="1"/>
      <c r="AQ173" s="1"/>
      <c r="AR173" s="1"/>
      <c r="AS173" s="1"/>
      <c r="AT173" s="1"/>
      <c r="AU173" s="1"/>
    </row>
    <row r="174" ht="15.75" customHeight="1">
      <c r="A174" s="31"/>
      <c r="B174" s="31"/>
      <c r="C174" s="3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4"/>
      <c r="AN174" s="1"/>
      <c r="AO174" s="1"/>
      <c r="AP174" s="1"/>
      <c r="AQ174" s="1"/>
      <c r="AR174" s="1"/>
      <c r="AS174" s="1"/>
      <c r="AT174" s="1"/>
      <c r="AU174" s="1"/>
    </row>
    <row r="175" ht="15.75" customHeight="1">
      <c r="A175" s="31"/>
      <c r="B175" s="31"/>
      <c r="C175" s="3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4"/>
      <c r="AN175" s="1"/>
      <c r="AO175" s="1"/>
      <c r="AP175" s="1"/>
      <c r="AQ175" s="1"/>
      <c r="AR175" s="1"/>
      <c r="AS175" s="1"/>
      <c r="AT175" s="1"/>
      <c r="AU175" s="1"/>
    </row>
    <row r="176" ht="15.75" customHeight="1">
      <c r="A176" s="31"/>
      <c r="B176" s="31"/>
      <c r="C176" s="3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4"/>
      <c r="AN176" s="1"/>
      <c r="AO176" s="1"/>
      <c r="AP176" s="1"/>
      <c r="AQ176" s="1"/>
      <c r="AR176" s="1"/>
      <c r="AS176" s="1"/>
      <c r="AT176" s="1"/>
      <c r="AU176" s="1"/>
    </row>
    <row r="177" ht="15.75" customHeight="1">
      <c r="A177" s="31"/>
      <c r="B177" s="31"/>
      <c r="C177" s="3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4"/>
      <c r="AN177" s="1"/>
      <c r="AO177" s="1"/>
      <c r="AP177" s="1"/>
      <c r="AQ177" s="1"/>
      <c r="AR177" s="1"/>
      <c r="AS177" s="1"/>
      <c r="AT177" s="1"/>
      <c r="AU177" s="1"/>
    </row>
    <row r="178" ht="15.75" customHeight="1">
      <c r="A178" s="31"/>
      <c r="B178" s="31"/>
      <c r="C178" s="3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4"/>
      <c r="AN178" s="1"/>
      <c r="AO178" s="1"/>
      <c r="AP178" s="1"/>
      <c r="AQ178" s="1"/>
      <c r="AR178" s="1"/>
      <c r="AS178" s="1"/>
      <c r="AT178" s="1"/>
      <c r="AU178" s="1"/>
    </row>
    <row r="179" ht="15.75" customHeight="1">
      <c r="A179" s="31"/>
      <c r="B179" s="31"/>
      <c r="C179" s="3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4"/>
      <c r="AN179" s="1"/>
      <c r="AO179" s="1"/>
      <c r="AP179" s="1"/>
      <c r="AQ179" s="1"/>
      <c r="AR179" s="1"/>
      <c r="AS179" s="1"/>
      <c r="AT179" s="1"/>
      <c r="AU179" s="1"/>
    </row>
    <row r="180" ht="15.75" customHeight="1">
      <c r="A180" s="31"/>
      <c r="B180" s="31"/>
      <c r="C180" s="3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4"/>
      <c r="AN180" s="1"/>
      <c r="AO180" s="1"/>
      <c r="AP180" s="1"/>
      <c r="AQ180" s="1"/>
      <c r="AR180" s="1"/>
      <c r="AS180" s="1"/>
      <c r="AT180" s="1"/>
      <c r="AU180" s="1"/>
    </row>
    <row r="181" ht="15.75" customHeight="1">
      <c r="A181" s="31"/>
      <c r="B181" s="31"/>
      <c r="C181" s="3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4"/>
      <c r="AN181" s="1"/>
      <c r="AO181" s="1"/>
      <c r="AP181" s="1"/>
      <c r="AQ181" s="1"/>
      <c r="AR181" s="1"/>
      <c r="AS181" s="1"/>
      <c r="AT181" s="1"/>
      <c r="AU181" s="1"/>
    </row>
    <row r="182" ht="15.75" customHeight="1">
      <c r="A182" s="31"/>
      <c r="B182" s="31"/>
      <c r="C182" s="3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4"/>
      <c r="AN182" s="1"/>
      <c r="AO182" s="1"/>
      <c r="AP182" s="1"/>
      <c r="AQ182" s="1"/>
      <c r="AR182" s="1"/>
      <c r="AS182" s="1"/>
      <c r="AT182" s="1"/>
      <c r="AU182" s="1"/>
    </row>
    <row r="183" ht="15.75" customHeight="1">
      <c r="A183" s="31"/>
      <c r="B183" s="31"/>
      <c r="C183" s="3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4"/>
      <c r="AN183" s="1"/>
      <c r="AO183" s="1"/>
      <c r="AP183" s="1"/>
      <c r="AQ183" s="1"/>
      <c r="AR183" s="1"/>
      <c r="AS183" s="1"/>
      <c r="AT183" s="1"/>
      <c r="AU183" s="1"/>
    </row>
    <row r="184" ht="15.75" customHeight="1">
      <c r="A184" s="31"/>
      <c r="B184" s="31"/>
      <c r="C184" s="3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4"/>
      <c r="AN184" s="1"/>
      <c r="AO184" s="1"/>
      <c r="AP184" s="1"/>
      <c r="AQ184" s="1"/>
      <c r="AR184" s="1"/>
      <c r="AS184" s="1"/>
      <c r="AT184" s="1"/>
      <c r="AU184" s="1"/>
    </row>
    <row r="185" ht="15.75" customHeight="1">
      <c r="A185" s="31"/>
      <c r="B185" s="31"/>
      <c r="C185" s="3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4"/>
      <c r="AN185" s="1"/>
      <c r="AO185" s="1"/>
      <c r="AP185" s="1"/>
      <c r="AQ185" s="1"/>
      <c r="AR185" s="1"/>
      <c r="AS185" s="1"/>
      <c r="AT185" s="1"/>
      <c r="AU185" s="1"/>
    </row>
    <row r="186" ht="15.75" customHeight="1">
      <c r="A186" s="31"/>
      <c r="B186" s="31"/>
      <c r="C186" s="3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4"/>
      <c r="AN186" s="1"/>
      <c r="AO186" s="1"/>
      <c r="AP186" s="1"/>
      <c r="AQ186" s="1"/>
      <c r="AR186" s="1"/>
      <c r="AS186" s="1"/>
      <c r="AT186" s="1"/>
      <c r="AU186" s="1"/>
    </row>
    <row r="187" ht="15.75" customHeight="1">
      <c r="A187" s="31"/>
      <c r="B187" s="31"/>
      <c r="C187" s="3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4"/>
      <c r="AN187" s="1"/>
      <c r="AO187" s="1"/>
      <c r="AP187" s="1"/>
      <c r="AQ187" s="1"/>
      <c r="AR187" s="1"/>
      <c r="AS187" s="1"/>
      <c r="AT187" s="1"/>
      <c r="AU187" s="1"/>
    </row>
    <row r="188" ht="15.75" customHeight="1">
      <c r="A188" s="31"/>
      <c r="B188" s="31"/>
      <c r="C188" s="3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4"/>
      <c r="AN188" s="1"/>
      <c r="AO188" s="1"/>
      <c r="AP188" s="1"/>
      <c r="AQ188" s="1"/>
      <c r="AR188" s="1"/>
      <c r="AS188" s="1"/>
      <c r="AT188" s="1"/>
      <c r="AU188" s="1"/>
    </row>
    <row r="189" ht="15.75" customHeight="1">
      <c r="A189" s="31"/>
      <c r="B189" s="31"/>
      <c r="C189" s="3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4"/>
      <c r="AN189" s="1"/>
      <c r="AO189" s="1"/>
      <c r="AP189" s="1"/>
      <c r="AQ189" s="1"/>
      <c r="AR189" s="1"/>
      <c r="AS189" s="1"/>
      <c r="AT189" s="1"/>
      <c r="AU189" s="1"/>
    </row>
    <row r="190" ht="15.75" customHeight="1">
      <c r="A190" s="31"/>
      <c r="B190" s="31"/>
      <c r="C190" s="3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4"/>
      <c r="AN190" s="1"/>
      <c r="AO190" s="1"/>
      <c r="AP190" s="1"/>
      <c r="AQ190" s="1"/>
      <c r="AR190" s="1"/>
      <c r="AS190" s="1"/>
      <c r="AT190" s="1"/>
      <c r="AU190" s="1"/>
    </row>
    <row r="191" ht="15.75" customHeight="1">
      <c r="A191" s="31"/>
      <c r="B191" s="31"/>
      <c r="C191" s="3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4"/>
      <c r="AN191" s="1"/>
      <c r="AO191" s="1"/>
      <c r="AP191" s="1"/>
      <c r="AQ191" s="1"/>
      <c r="AR191" s="1"/>
      <c r="AS191" s="1"/>
      <c r="AT191" s="1"/>
      <c r="AU191" s="1"/>
    </row>
    <row r="192" ht="15.75" customHeight="1">
      <c r="A192" s="31"/>
      <c r="B192" s="31"/>
      <c r="C192" s="3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4"/>
      <c r="AN192" s="1"/>
      <c r="AO192" s="1"/>
      <c r="AP192" s="1"/>
      <c r="AQ192" s="1"/>
      <c r="AR192" s="1"/>
      <c r="AS192" s="1"/>
      <c r="AT192" s="1"/>
      <c r="AU192" s="1"/>
    </row>
    <row r="193" ht="15.75" customHeight="1">
      <c r="A193" s="31"/>
      <c r="B193" s="31"/>
      <c r="C193" s="3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4"/>
      <c r="AN193" s="1"/>
      <c r="AO193" s="1"/>
      <c r="AP193" s="1"/>
      <c r="AQ193" s="1"/>
      <c r="AR193" s="1"/>
      <c r="AS193" s="1"/>
      <c r="AT193" s="1"/>
      <c r="AU193" s="1"/>
    </row>
    <row r="194" ht="15.75" customHeight="1">
      <c r="A194" s="31"/>
      <c r="B194" s="31"/>
      <c r="C194" s="3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4"/>
      <c r="AN194" s="1"/>
      <c r="AO194" s="1"/>
      <c r="AP194" s="1"/>
      <c r="AQ194" s="1"/>
      <c r="AR194" s="1"/>
      <c r="AS194" s="1"/>
      <c r="AT194" s="1"/>
      <c r="AU194" s="1"/>
    </row>
    <row r="195" ht="15.75" customHeight="1">
      <c r="A195" s="31"/>
      <c r="B195" s="31"/>
      <c r="C195" s="3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4"/>
      <c r="AN195" s="1"/>
      <c r="AO195" s="1"/>
      <c r="AP195" s="1"/>
      <c r="AQ195" s="1"/>
      <c r="AR195" s="1"/>
      <c r="AS195" s="1"/>
      <c r="AT195" s="1"/>
      <c r="AU195" s="1"/>
    </row>
    <row r="196" ht="15.75" customHeight="1">
      <c r="A196" s="31"/>
      <c r="B196" s="31"/>
      <c r="C196" s="3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4"/>
      <c r="AN196" s="1"/>
      <c r="AO196" s="1"/>
      <c r="AP196" s="1"/>
      <c r="AQ196" s="1"/>
      <c r="AR196" s="1"/>
      <c r="AS196" s="1"/>
      <c r="AT196" s="1"/>
      <c r="AU196" s="1"/>
    </row>
    <row r="197" ht="15.75" customHeight="1">
      <c r="A197" s="31"/>
      <c r="B197" s="31"/>
      <c r="C197" s="3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4"/>
      <c r="AN197" s="1"/>
      <c r="AO197" s="1"/>
      <c r="AP197" s="1"/>
      <c r="AQ197" s="1"/>
      <c r="AR197" s="1"/>
      <c r="AS197" s="1"/>
      <c r="AT197" s="1"/>
      <c r="AU197" s="1"/>
    </row>
    <row r="198" ht="15.75" customHeight="1">
      <c r="A198" s="31"/>
      <c r="B198" s="31"/>
      <c r="C198" s="3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4"/>
      <c r="AN198" s="1"/>
      <c r="AO198" s="1"/>
      <c r="AP198" s="1"/>
      <c r="AQ198" s="1"/>
      <c r="AR198" s="1"/>
      <c r="AS198" s="1"/>
      <c r="AT198" s="1"/>
      <c r="AU198" s="1"/>
    </row>
    <row r="199" ht="15.75" customHeight="1">
      <c r="A199" s="31"/>
      <c r="B199" s="31"/>
      <c r="C199" s="3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4"/>
      <c r="AN199" s="1"/>
      <c r="AO199" s="1"/>
      <c r="AP199" s="1"/>
      <c r="AQ199" s="1"/>
      <c r="AR199" s="1"/>
      <c r="AS199" s="1"/>
      <c r="AT199" s="1"/>
      <c r="AU199" s="1"/>
    </row>
    <row r="200" ht="15.75" customHeight="1">
      <c r="A200" s="31"/>
      <c r="B200" s="31"/>
      <c r="C200" s="3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4"/>
      <c r="AN200" s="1"/>
      <c r="AO200" s="1"/>
      <c r="AP200" s="1"/>
      <c r="AQ200" s="1"/>
      <c r="AR200" s="1"/>
      <c r="AS200" s="1"/>
      <c r="AT200" s="1"/>
      <c r="AU200" s="1"/>
    </row>
    <row r="201" ht="15.75" customHeight="1">
      <c r="A201" s="31"/>
      <c r="B201" s="31"/>
      <c r="C201" s="3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4"/>
      <c r="AN201" s="1"/>
      <c r="AO201" s="1"/>
      <c r="AP201" s="1"/>
      <c r="AQ201" s="1"/>
      <c r="AR201" s="1"/>
      <c r="AS201" s="1"/>
      <c r="AT201" s="1"/>
      <c r="AU201" s="1"/>
    </row>
    <row r="202" ht="15.75" customHeight="1">
      <c r="A202" s="31"/>
      <c r="B202" s="31"/>
      <c r="C202" s="3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4"/>
      <c r="AN202" s="1"/>
      <c r="AO202" s="1"/>
      <c r="AP202" s="1"/>
      <c r="AQ202" s="1"/>
      <c r="AR202" s="1"/>
      <c r="AS202" s="1"/>
      <c r="AT202" s="1"/>
      <c r="AU202" s="1"/>
    </row>
    <row r="203" ht="15.75" customHeight="1">
      <c r="A203" s="31"/>
      <c r="B203" s="31"/>
      <c r="C203" s="3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4"/>
      <c r="AN203" s="1"/>
      <c r="AO203" s="1"/>
      <c r="AP203" s="1"/>
      <c r="AQ203" s="1"/>
      <c r="AR203" s="1"/>
      <c r="AS203" s="1"/>
      <c r="AT203" s="1"/>
      <c r="AU203" s="1"/>
    </row>
    <row r="204" ht="15.75" customHeight="1">
      <c r="A204" s="31"/>
      <c r="B204" s="31"/>
      <c r="C204" s="3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4"/>
      <c r="AN204" s="1"/>
      <c r="AO204" s="1"/>
      <c r="AP204" s="1"/>
      <c r="AQ204" s="1"/>
      <c r="AR204" s="1"/>
      <c r="AS204" s="1"/>
      <c r="AT204" s="1"/>
      <c r="AU204" s="1"/>
    </row>
    <row r="205" ht="15.75" customHeight="1">
      <c r="A205" s="31"/>
      <c r="B205" s="31"/>
      <c r="C205" s="3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4"/>
      <c r="AN205" s="1"/>
      <c r="AO205" s="1"/>
      <c r="AP205" s="1"/>
      <c r="AQ205" s="1"/>
      <c r="AR205" s="1"/>
      <c r="AS205" s="1"/>
      <c r="AT205" s="1"/>
      <c r="AU205" s="1"/>
    </row>
    <row r="206" ht="15.75" customHeight="1">
      <c r="A206" s="31"/>
      <c r="B206" s="31"/>
      <c r="C206" s="3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4"/>
      <c r="AN206" s="1"/>
      <c r="AO206" s="1"/>
      <c r="AP206" s="1"/>
      <c r="AQ206" s="1"/>
      <c r="AR206" s="1"/>
      <c r="AS206" s="1"/>
      <c r="AT206" s="1"/>
      <c r="AU206" s="1"/>
    </row>
    <row r="207" ht="15.75" customHeight="1">
      <c r="A207" s="31"/>
      <c r="B207" s="31"/>
      <c r="C207" s="3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4"/>
      <c r="AN207" s="1"/>
      <c r="AO207" s="1"/>
      <c r="AP207" s="1"/>
      <c r="AQ207" s="1"/>
      <c r="AR207" s="1"/>
      <c r="AS207" s="1"/>
      <c r="AT207" s="1"/>
      <c r="AU207" s="1"/>
    </row>
    <row r="208" ht="15.75" customHeight="1">
      <c r="A208" s="31"/>
      <c r="B208" s="31"/>
      <c r="C208" s="3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4"/>
      <c r="AN208" s="1"/>
      <c r="AO208" s="1"/>
      <c r="AP208" s="1"/>
      <c r="AQ208" s="1"/>
      <c r="AR208" s="1"/>
      <c r="AS208" s="1"/>
      <c r="AT208" s="1"/>
      <c r="AU208" s="1"/>
    </row>
    <row r="209" ht="15.75" customHeight="1">
      <c r="A209" s="31"/>
      <c r="B209" s="31"/>
      <c r="C209" s="3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4"/>
      <c r="AN209" s="1"/>
      <c r="AO209" s="1"/>
      <c r="AP209" s="1"/>
      <c r="AQ209" s="1"/>
      <c r="AR209" s="1"/>
      <c r="AS209" s="1"/>
      <c r="AT209" s="1"/>
      <c r="AU209" s="1"/>
    </row>
    <row r="210" ht="15.75" customHeight="1">
      <c r="A210" s="31"/>
      <c r="B210" s="31"/>
      <c r="C210" s="3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4"/>
      <c r="AN210" s="1"/>
      <c r="AO210" s="1"/>
      <c r="AP210" s="1"/>
      <c r="AQ210" s="1"/>
      <c r="AR210" s="1"/>
      <c r="AS210" s="1"/>
      <c r="AT210" s="1"/>
      <c r="AU210" s="1"/>
    </row>
    <row r="211" ht="15.75" customHeight="1">
      <c r="A211" s="31"/>
      <c r="B211" s="31"/>
      <c r="C211" s="3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4"/>
      <c r="AN211" s="1"/>
      <c r="AO211" s="1"/>
      <c r="AP211" s="1"/>
      <c r="AQ211" s="1"/>
      <c r="AR211" s="1"/>
      <c r="AS211" s="1"/>
      <c r="AT211" s="1"/>
      <c r="AU211" s="1"/>
    </row>
    <row r="212" ht="15.75" customHeight="1">
      <c r="A212" s="31"/>
      <c r="B212" s="31"/>
      <c r="C212" s="3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4"/>
      <c r="AN212" s="1"/>
      <c r="AO212" s="1"/>
      <c r="AP212" s="1"/>
      <c r="AQ212" s="1"/>
      <c r="AR212" s="1"/>
      <c r="AS212" s="1"/>
      <c r="AT212" s="1"/>
      <c r="AU212" s="1"/>
    </row>
    <row r="213" ht="15.75" customHeight="1">
      <c r="A213" s="31"/>
      <c r="B213" s="31"/>
      <c r="C213" s="3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4"/>
      <c r="AN213" s="1"/>
      <c r="AO213" s="1"/>
      <c r="AP213" s="1"/>
      <c r="AQ213" s="1"/>
      <c r="AR213" s="1"/>
      <c r="AS213" s="1"/>
      <c r="AT213" s="1"/>
      <c r="AU213" s="1"/>
    </row>
    <row r="214" ht="15.75" customHeight="1">
      <c r="A214" s="31"/>
      <c r="B214" s="31"/>
      <c r="C214" s="3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4"/>
      <c r="AN214" s="1"/>
      <c r="AO214" s="1"/>
      <c r="AP214" s="1"/>
      <c r="AQ214" s="1"/>
      <c r="AR214" s="1"/>
      <c r="AS214" s="1"/>
      <c r="AT214" s="1"/>
      <c r="AU214" s="1"/>
    </row>
    <row r="215" ht="15.75" customHeight="1">
      <c r="A215" s="31"/>
      <c r="B215" s="31"/>
      <c r="C215" s="3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4"/>
      <c r="AN215" s="1"/>
      <c r="AO215" s="1"/>
      <c r="AP215" s="1"/>
      <c r="AQ215" s="1"/>
      <c r="AR215" s="1"/>
      <c r="AS215" s="1"/>
      <c r="AT215" s="1"/>
      <c r="AU215" s="1"/>
    </row>
    <row r="216" ht="15.75" customHeight="1">
      <c r="A216" s="31"/>
      <c r="B216" s="31"/>
      <c r="C216" s="3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4"/>
      <c r="AN216" s="1"/>
      <c r="AO216" s="1"/>
      <c r="AP216" s="1"/>
      <c r="AQ216" s="1"/>
      <c r="AR216" s="1"/>
      <c r="AS216" s="1"/>
      <c r="AT216" s="1"/>
      <c r="AU216" s="1"/>
    </row>
    <row r="217" ht="15.75" customHeight="1">
      <c r="A217" s="31"/>
      <c r="B217" s="31"/>
      <c r="C217" s="3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4"/>
      <c r="AN217" s="1"/>
      <c r="AO217" s="1"/>
      <c r="AP217" s="1"/>
      <c r="AQ217" s="1"/>
      <c r="AR217" s="1"/>
      <c r="AS217" s="1"/>
      <c r="AT217" s="1"/>
      <c r="AU217" s="1"/>
    </row>
    <row r="218" ht="15.75" customHeight="1">
      <c r="A218" s="31"/>
      <c r="B218" s="31"/>
      <c r="C218" s="3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4"/>
      <c r="AN218" s="1"/>
      <c r="AO218" s="1"/>
      <c r="AP218" s="1"/>
      <c r="AQ218" s="1"/>
      <c r="AR218" s="1"/>
      <c r="AS218" s="1"/>
      <c r="AT218" s="1"/>
      <c r="AU218" s="1"/>
    </row>
    <row r="219" ht="15.75" customHeight="1">
      <c r="A219" s="31"/>
      <c r="B219" s="31"/>
      <c r="C219" s="3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4"/>
      <c r="AN219" s="1"/>
      <c r="AO219" s="1"/>
      <c r="AP219" s="1"/>
      <c r="AQ219" s="1"/>
      <c r="AR219" s="1"/>
      <c r="AS219" s="1"/>
      <c r="AT219" s="1"/>
      <c r="AU219" s="1"/>
    </row>
    <row r="220" ht="15.75" customHeight="1">
      <c r="A220" s="31"/>
      <c r="B220" s="31"/>
      <c r="C220" s="3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4"/>
      <c r="AN220" s="1"/>
      <c r="AO220" s="1"/>
      <c r="AP220" s="1"/>
      <c r="AQ220" s="1"/>
      <c r="AR220" s="1"/>
      <c r="AS220" s="1"/>
      <c r="AT220" s="1"/>
      <c r="AU220" s="1"/>
    </row>
    <row r="221" ht="15.75" customHeight="1">
      <c r="A221" s="31"/>
      <c r="B221" s="31"/>
      <c r="C221" s="3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4"/>
      <c r="AN221" s="1"/>
      <c r="AO221" s="1"/>
      <c r="AP221" s="1"/>
      <c r="AQ221" s="1"/>
      <c r="AR221" s="1"/>
      <c r="AS221" s="1"/>
      <c r="AT221" s="1"/>
      <c r="AU221" s="1"/>
    </row>
    <row r="222" ht="15.75" customHeight="1">
      <c r="A222" s="31"/>
      <c r="B222" s="31"/>
      <c r="C222" s="3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4"/>
      <c r="AN222" s="1"/>
      <c r="AO222" s="1"/>
      <c r="AP222" s="1"/>
      <c r="AQ222" s="1"/>
      <c r="AR222" s="1"/>
      <c r="AS222" s="1"/>
      <c r="AT222" s="1"/>
      <c r="AU222" s="1"/>
    </row>
    <row r="223" ht="15.75" customHeight="1">
      <c r="A223" s="31"/>
      <c r="B223" s="31"/>
      <c r="C223" s="3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4"/>
      <c r="AN223" s="1"/>
      <c r="AO223" s="1"/>
      <c r="AP223" s="1"/>
      <c r="AQ223" s="1"/>
      <c r="AR223" s="1"/>
      <c r="AS223" s="1"/>
      <c r="AT223" s="1"/>
      <c r="AU223" s="1"/>
    </row>
    <row r="224" ht="15.75" customHeight="1">
      <c r="A224" s="31"/>
      <c r="B224" s="31"/>
      <c r="C224" s="3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4"/>
      <c r="AN224" s="1"/>
      <c r="AO224" s="1"/>
      <c r="AP224" s="1"/>
      <c r="AQ224" s="1"/>
      <c r="AR224" s="1"/>
      <c r="AS224" s="1"/>
      <c r="AT224" s="1"/>
      <c r="AU224" s="1"/>
    </row>
    <row r="225" ht="15.75" customHeight="1">
      <c r="A225" s="31"/>
      <c r="B225" s="31"/>
      <c r="C225" s="3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4"/>
      <c r="AN225" s="1"/>
      <c r="AO225" s="1"/>
      <c r="AP225" s="1"/>
      <c r="AQ225" s="1"/>
      <c r="AR225" s="1"/>
      <c r="AS225" s="1"/>
      <c r="AT225" s="1"/>
      <c r="AU225" s="1"/>
    </row>
    <row r="226" ht="15.75" customHeight="1">
      <c r="A226" s="31"/>
      <c r="B226" s="31"/>
      <c r="C226" s="3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4"/>
      <c r="AN226" s="1"/>
      <c r="AO226" s="1"/>
      <c r="AP226" s="1"/>
      <c r="AQ226" s="1"/>
      <c r="AR226" s="1"/>
      <c r="AS226" s="1"/>
      <c r="AT226" s="1"/>
      <c r="AU226" s="1"/>
    </row>
    <row r="227" ht="15.75" customHeight="1">
      <c r="A227" s="31"/>
      <c r="B227" s="31"/>
      <c r="C227" s="3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4"/>
      <c r="AN227" s="1"/>
      <c r="AO227" s="1"/>
      <c r="AP227" s="1"/>
      <c r="AQ227" s="1"/>
      <c r="AR227" s="1"/>
      <c r="AS227" s="1"/>
      <c r="AT227" s="1"/>
      <c r="AU227" s="1"/>
    </row>
    <row r="228" ht="15.75" customHeight="1">
      <c r="A228" s="31"/>
      <c r="B228" s="31"/>
      <c r="C228" s="3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4"/>
      <c r="AN228" s="1"/>
      <c r="AO228" s="1"/>
      <c r="AP228" s="1"/>
      <c r="AQ228" s="1"/>
      <c r="AR228" s="1"/>
      <c r="AS228" s="1"/>
      <c r="AT228" s="1"/>
      <c r="AU228" s="1"/>
    </row>
    <row r="229" ht="15.75" customHeight="1">
      <c r="A229" s="31"/>
      <c r="B229" s="31"/>
      <c r="C229" s="3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4"/>
      <c r="AN229" s="1"/>
      <c r="AO229" s="1"/>
      <c r="AP229" s="1"/>
      <c r="AQ229" s="1"/>
      <c r="AR229" s="1"/>
      <c r="AS229" s="1"/>
      <c r="AT229" s="1"/>
      <c r="AU229" s="1"/>
    </row>
    <row r="230" ht="15.75" customHeight="1">
      <c r="A230" s="31"/>
      <c r="B230" s="31"/>
      <c r="C230" s="3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4"/>
      <c r="AN230" s="1"/>
      <c r="AO230" s="1"/>
      <c r="AP230" s="1"/>
      <c r="AQ230" s="1"/>
      <c r="AR230" s="1"/>
      <c r="AS230" s="1"/>
      <c r="AT230" s="1"/>
      <c r="AU230" s="1"/>
    </row>
    <row r="231" ht="15.75" customHeight="1">
      <c r="A231" s="31"/>
      <c r="B231" s="31"/>
      <c r="C231" s="3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4"/>
      <c r="AN231" s="1"/>
      <c r="AO231" s="1"/>
      <c r="AP231" s="1"/>
      <c r="AQ231" s="1"/>
      <c r="AR231" s="1"/>
      <c r="AS231" s="1"/>
      <c r="AT231" s="1"/>
      <c r="AU231" s="1"/>
    </row>
    <row r="232" ht="15.75" customHeight="1">
      <c r="A232" s="31"/>
      <c r="B232" s="31"/>
      <c r="C232" s="3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4"/>
      <c r="AN232" s="1"/>
      <c r="AO232" s="1"/>
      <c r="AP232" s="1"/>
      <c r="AQ232" s="1"/>
      <c r="AR232" s="1"/>
      <c r="AS232" s="1"/>
      <c r="AT232" s="1"/>
      <c r="AU232" s="1"/>
    </row>
    <row r="233" ht="15.75" customHeight="1">
      <c r="A233" s="31"/>
      <c r="B233" s="31"/>
      <c r="C233" s="3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4"/>
      <c r="AN233" s="1"/>
      <c r="AO233" s="1"/>
      <c r="AP233" s="1"/>
      <c r="AQ233" s="1"/>
      <c r="AR233" s="1"/>
      <c r="AS233" s="1"/>
      <c r="AT233" s="1"/>
      <c r="AU233" s="1"/>
    </row>
    <row r="234" ht="15.75" customHeight="1">
      <c r="A234" s="31"/>
      <c r="B234" s="31"/>
      <c r="C234" s="3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4"/>
      <c r="AN234" s="1"/>
      <c r="AO234" s="1"/>
      <c r="AP234" s="1"/>
      <c r="AQ234" s="1"/>
      <c r="AR234" s="1"/>
      <c r="AS234" s="1"/>
      <c r="AT234" s="1"/>
      <c r="AU234" s="1"/>
    </row>
    <row r="235" ht="15.75" customHeight="1">
      <c r="A235" s="31"/>
      <c r="B235" s="31"/>
      <c r="C235" s="3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4"/>
      <c r="AN235" s="1"/>
      <c r="AO235" s="1"/>
      <c r="AP235" s="1"/>
      <c r="AQ235" s="1"/>
      <c r="AR235" s="1"/>
      <c r="AS235" s="1"/>
      <c r="AT235" s="1"/>
      <c r="AU235" s="1"/>
    </row>
    <row r="236" ht="15.75" customHeight="1">
      <c r="A236" s="31"/>
      <c r="B236" s="31"/>
      <c r="C236" s="3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4"/>
      <c r="AN236" s="1"/>
      <c r="AO236" s="1"/>
      <c r="AP236" s="1"/>
      <c r="AQ236" s="1"/>
      <c r="AR236" s="1"/>
      <c r="AS236" s="1"/>
      <c r="AT236" s="1"/>
      <c r="AU236" s="1"/>
    </row>
    <row r="237" ht="15.75" customHeight="1">
      <c r="A237" s="31"/>
      <c r="B237" s="31"/>
      <c r="C237" s="3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4"/>
      <c r="AN237" s="1"/>
      <c r="AO237" s="1"/>
      <c r="AP237" s="1"/>
      <c r="AQ237" s="1"/>
      <c r="AR237" s="1"/>
      <c r="AS237" s="1"/>
      <c r="AT237" s="1"/>
      <c r="AU237" s="1"/>
    </row>
    <row r="238" ht="15.75" customHeight="1">
      <c r="A238" s="31"/>
      <c r="B238" s="31"/>
      <c r="C238" s="3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4"/>
      <c r="AN238" s="1"/>
      <c r="AO238" s="1"/>
      <c r="AP238" s="1"/>
      <c r="AQ238" s="1"/>
      <c r="AR238" s="1"/>
      <c r="AS238" s="1"/>
      <c r="AT238" s="1"/>
      <c r="AU238" s="1"/>
    </row>
    <row r="239" ht="15.75" customHeight="1">
      <c r="A239" s="31"/>
      <c r="B239" s="31"/>
      <c r="C239" s="3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4"/>
      <c r="AN239" s="1"/>
      <c r="AO239" s="1"/>
      <c r="AP239" s="1"/>
      <c r="AQ239" s="1"/>
      <c r="AR239" s="1"/>
      <c r="AS239" s="1"/>
      <c r="AT239" s="1"/>
      <c r="AU239" s="1"/>
    </row>
    <row r="240" ht="15.75" customHeight="1">
      <c r="A240" s="31"/>
      <c r="B240" s="31"/>
      <c r="C240" s="3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4"/>
      <c r="AN240" s="1"/>
      <c r="AO240" s="1"/>
      <c r="AP240" s="1"/>
      <c r="AQ240" s="1"/>
      <c r="AR240" s="1"/>
      <c r="AS240" s="1"/>
      <c r="AT240" s="1"/>
      <c r="AU240" s="1"/>
    </row>
    <row r="241" ht="15.75" customHeight="1">
      <c r="A241" s="31"/>
      <c r="B241" s="31"/>
      <c r="C241" s="3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4"/>
      <c r="AN241" s="1"/>
      <c r="AO241" s="1"/>
      <c r="AP241" s="1"/>
      <c r="AQ241" s="1"/>
      <c r="AR241" s="1"/>
      <c r="AS241" s="1"/>
      <c r="AT241" s="1"/>
      <c r="AU241" s="1"/>
    </row>
    <row r="242" ht="15.75" customHeight="1">
      <c r="A242" s="31"/>
      <c r="B242" s="31"/>
      <c r="C242" s="3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4"/>
      <c r="AN242" s="1"/>
      <c r="AO242" s="1"/>
      <c r="AP242" s="1"/>
      <c r="AQ242" s="1"/>
      <c r="AR242" s="1"/>
      <c r="AS242" s="1"/>
      <c r="AT242" s="1"/>
      <c r="AU242" s="1"/>
    </row>
    <row r="243" ht="15.75" customHeight="1">
      <c r="A243" s="31"/>
      <c r="B243" s="31"/>
      <c r="C243" s="3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4"/>
      <c r="AN243" s="1"/>
      <c r="AO243" s="1"/>
      <c r="AP243" s="1"/>
      <c r="AQ243" s="1"/>
      <c r="AR243" s="1"/>
      <c r="AS243" s="1"/>
      <c r="AT243" s="1"/>
      <c r="AU243" s="1"/>
    </row>
    <row r="244" ht="15.75" customHeight="1">
      <c r="A244" s="31"/>
      <c r="B244" s="31"/>
      <c r="C244" s="3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4"/>
      <c r="AN244" s="1"/>
      <c r="AO244" s="1"/>
      <c r="AP244" s="1"/>
      <c r="AQ244" s="1"/>
      <c r="AR244" s="1"/>
      <c r="AS244" s="1"/>
      <c r="AT244" s="1"/>
      <c r="AU244" s="1"/>
    </row>
    <row r="245" ht="15.75" customHeight="1">
      <c r="A245" s="31"/>
      <c r="B245" s="31"/>
      <c r="C245" s="3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4"/>
      <c r="AN245" s="1"/>
      <c r="AO245" s="1"/>
      <c r="AP245" s="1"/>
      <c r="AQ245" s="1"/>
      <c r="AR245" s="1"/>
      <c r="AS245" s="1"/>
      <c r="AT245" s="1"/>
      <c r="AU245" s="1"/>
    </row>
    <row r="246" ht="15.75" customHeight="1">
      <c r="A246" s="31"/>
      <c r="B246" s="31"/>
      <c r="C246" s="3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4"/>
      <c r="AN246" s="1"/>
      <c r="AO246" s="1"/>
      <c r="AP246" s="1"/>
      <c r="AQ246" s="1"/>
      <c r="AR246" s="1"/>
      <c r="AS246" s="1"/>
      <c r="AT246" s="1"/>
      <c r="AU246" s="1"/>
    </row>
    <row r="247" ht="15.75" customHeight="1">
      <c r="A247" s="31"/>
      <c r="B247" s="31"/>
      <c r="C247" s="3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4"/>
      <c r="AN247" s="1"/>
      <c r="AO247" s="1"/>
      <c r="AP247" s="1"/>
      <c r="AQ247" s="1"/>
      <c r="AR247" s="1"/>
      <c r="AS247" s="1"/>
      <c r="AT247" s="1"/>
      <c r="AU247" s="1"/>
    </row>
    <row r="248" ht="15.75" customHeight="1">
      <c r="A248" s="31"/>
      <c r="B248" s="31"/>
      <c r="C248" s="3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4"/>
      <c r="AN248" s="1"/>
      <c r="AO248" s="1"/>
      <c r="AP248" s="1"/>
      <c r="AQ248" s="1"/>
      <c r="AR248" s="1"/>
      <c r="AS248" s="1"/>
      <c r="AT248" s="1"/>
      <c r="AU248" s="1"/>
    </row>
    <row r="249" ht="15.75" customHeight="1">
      <c r="A249" s="31"/>
      <c r="B249" s="31"/>
      <c r="C249" s="3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4"/>
      <c r="AN249" s="1"/>
      <c r="AO249" s="1"/>
      <c r="AP249" s="1"/>
      <c r="AQ249" s="1"/>
      <c r="AR249" s="1"/>
      <c r="AS249" s="1"/>
      <c r="AT249" s="1"/>
      <c r="AU249" s="1"/>
    </row>
    <row r="250" ht="15.75" customHeight="1">
      <c r="A250" s="31"/>
      <c r="B250" s="31"/>
      <c r="C250" s="3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4"/>
      <c r="AN250" s="1"/>
      <c r="AO250" s="1"/>
      <c r="AP250" s="1"/>
      <c r="AQ250" s="1"/>
      <c r="AR250" s="1"/>
      <c r="AS250" s="1"/>
      <c r="AT250" s="1"/>
      <c r="AU250" s="1"/>
    </row>
    <row r="251" ht="15.75" customHeight="1">
      <c r="A251" s="31"/>
      <c r="B251" s="31"/>
      <c r="C251" s="3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4"/>
      <c r="AN251" s="1"/>
      <c r="AO251" s="1"/>
      <c r="AP251" s="1"/>
      <c r="AQ251" s="1"/>
      <c r="AR251" s="1"/>
      <c r="AS251" s="1"/>
      <c r="AT251" s="1"/>
      <c r="AU251" s="1"/>
    </row>
    <row r="252" ht="15.75" customHeight="1">
      <c r="A252" s="31"/>
      <c r="B252" s="31"/>
      <c r="C252" s="3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4"/>
      <c r="AN252" s="1"/>
      <c r="AO252" s="1"/>
      <c r="AP252" s="1"/>
      <c r="AQ252" s="1"/>
      <c r="AR252" s="1"/>
      <c r="AS252" s="1"/>
      <c r="AT252" s="1"/>
      <c r="AU252" s="1"/>
    </row>
    <row r="253" ht="15.75" customHeight="1">
      <c r="A253" s="31"/>
      <c r="B253" s="31"/>
      <c r="C253" s="3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4"/>
      <c r="AN253" s="1"/>
      <c r="AO253" s="1"/>
      <c r="AP253" s="1"/>
      <c r="AQ253" s="1"/>
      <c r="AR253" s="1"/>
      <c r="AS253" s="1"/>
      <c r="AT253" s="1"/>
      <c r="AU253" s="1"/>
    </row>
    <row r="254" ht="15.75" customHeight="1">
      <c r="A254" s="31"/>
      <c r="B254" s="31"/>
      <c r="C254" s="3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4"/>
      <c r="AN254" s="1"/>
      <c r="AO254" s="1"/>
      <c r="AP254" s="1"/>
      <c r="AQ254" s="1"/>
      <c r="AR254" s="1"/>
      <c r="AS254" s="1"/>
      <c r="AT254" s="1"/>
      <c r="AU254" s="1"/>
    </row>
    <row r="255" ht="15.75" customHeight="1">
      <c r="A255" s="31"/>
      <c r="B255" s="31"/>
      <c r="C255" s="3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4"/>
      <c r="AN255" s="1"/>
      <c r="AO255" s="1"/>
      <c r="AP255" s="1"/>
      <c r="AQ255" s="1"/>
      <c r="AR255" s="1"/>
      <c r="AS255" s="1"/>
      <c r="AT255" s="1"/>
      <c r="AU255" s="1"/>
    </row>
    <row r="256" ht="15.75" customHeight="1">
      <c r="A256" s="31"/>
      <c r="B256" s="31"/>
      <c r="C256" s="3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4"/>
      <c r="AN256" s="1"/>
      <c r="AO256" s="1"/>
      <c r="AP256" s="1"/>
      <c r="AQ256" s="1"/>
      <c r="AR256" s="1"/>
      <c r="AS256" s="1"/>
      <c r="AT256" s="1"/>
      <c r="AU256" s="1"/>
    </row>
    <row r="257" ht="15.75" customHeight="1">
      <c r="A257" s="31"/>
      <c r="B257" s="31"/>
      <c r="C257" s="3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4"/>
      <c r="AN257" s="1"/>
      <c r="AO257" s="1"/>
      <c r="AP257" s="1"/>
      <c r="AQ257" s="1"/>
      <c r="AR257" s="1"/>
      <c r="AS257" s="1"/>
      <c r="AT257" s="1"/>
      <c r="AU257" s="1"/>
    </row>
    <row r="258" ht="15.75" customHeight="1">
      <c r="A258" s="31"/>
      <c r="B258" s="31"/>
      <c r="C258" s="3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4"/>
      <c r="AN258" s="1"/>
      <c r="AO258" s="1"/>
      <c r="AP258" s="1"/>
      <c r="AQ258" s="1"/>
      <c r="AR258" s="1"/>
      <c r="AS258" s="1"/>
      <c r="AT258" s="1"/>
      <c r="AU258" s="1"/>
    </row>
    <row r="259" ht="15.75" customHeight="1">
      <c r="A259" s="31"/>
      <c r="B259" s="31"/>
      <c r="C259" s="3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4"/>
      <c r="AN259" s="1"/>
      <c r="AO259" s="1"/>
      <c r="AP259" s="1"/>
      <c r="AQ259" s="1"/>
      <c r="AR259" s="1"/>
      <c r="AS259" s="1"/>
      <c r="AT259" s="1"/>
      <c r="AU259" s="1"/>
    </row>
    <row r="260" ht="15.75" customHeight="1">
      <c r="A260" s="31"/>
      <c r="B260" s="31"/>
      <c r="C260" s="3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4"/>
      <c r="AN260" s="1"/>
      <c r="AO260" s="1"/>
      <c r="AP260" s="1"/>
      <c r="AQ260" s="1"/>
      <c r="AR260" s="1"/>
      <c r="AS260" s="1"/>
      <c r="AT260" s="1"/>
      <c r="AU260" s="1"/>
    </row>
    <row r="261" ht="15.75" customHeight="1">
      <c r="A261" s="31"/>
      <c r="B261" s="31"/>
      <c r="C261" s="3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4"/>
      <c r="AN261" s="1"/>
      <c r="AO261" s="1"/>
      <c r="AP261" s="1"/>
      <c r="AQ261" s="1"/>
      <c r="AR261" s="1"/>
      <c r="AS261" s="1"/>
      <c r="AT261" s="1"/>
      <c r="AU261" s="1"/>
    </row>
    <row r="262" ht="15.75" customHeight="1">
      <c r="A262" s="31"/>
      <c r="B262" s="31"/>
      <c r="C262" s="3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4"/>
      <c r="AN262" s="1"/>
      <c r="AO262" s="1"/>
      <c r="AP262" s="1"/>
      <c r="AQ262" s="1"/>
      <c r="AR262" s="1"/>
      <c r="AS262" s="1"/>
      <c r="AT262" s="1"/>
      <c r="AU262" s="1"/>
    </row>
    <row r="263" ht="15.75" customHeight="1">
      <c r="A263" s="31"/>
      <c r="B263" s="31"/>
      <c r="C263" s="3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4"/>
      <c r="AN263" s="1"/>
      <c r="AO263" s="1"/>
      <c r="AP263" s="1"/>
      <c r="AQ263" s="1"/>
      <c r="AR263" s="1"/>
      <c r="AS263" s="1"/>
      <c r="AT263" s="1"/>
      <c r="AU263" s="1"/>
    </row>
    <row r="264" ht="15.75" customHeight="1">
      <c r="A264" s="31"/>
      <c r="B264" s="31"/>
      <c r="C264" s="3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4"/>
      <c r="AN264" s="1"/>
      <c r="AO264" s="1"/>
      <c r="AP264" s="1"/>
      <c r="AQ264" s="1"/>
      <c r="AR264" s="1"/>
      <c r="AS264" s="1"/>
      <c r="AT264" s="1"/>
      <c r="AU264" s="1"/>
    </row>
    <row r="265" ht="15.75" customHeight="1">
      <c r="A265" s="31"/>
      <c r="B265" s="31"/>
      <c r="C265" s="3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4"/>
      <c r="AN265" s="1"/>
      <c r="AO265" s="1"/>
      <c r="AP265" s="1"/>
      <c r="AQ265" s="1"/>
      <c r="AR265" s="1"/>
      <c r="AS265" s="1"/>
      <c r="AT265" s="1"/>
      <c r="AU265" s="1"/>
    </row>
    <row r="266" ht="15.75" customHeight="1">
      <c r="A266" s="31"/>
      <c r="B266" s="31"/>
      <c r="C266" s="3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4"/>
      <c r="AN266" s="1"/>
      <c r="AO266" s="1"/>
      <c r="AP266" s="1"/>
      <c r="AQ266" s="1"/>
      <c r="AR266" s="1"/>
      <c r="AS266" s="1"/>
      <c r="AT266" s="1"/>
      <c r="AU266" s="1"/>
    </row>
    <row r="267" ht="15.75" customHeight="1">
      <c r="A267" s="31"/>
      <c r="B267" s="31"/>
      <c r="C267" s="3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4"/>
      <c r="AN267" s="1"/>
      <c r="AO267" s="1"/>
      <c r="AP267" s="1"/>
      <c r="AQ267" s="1"/>
      <c r="AR267" s="1"/>
      <c r="AS267" s="1"/>
      <c r="AT267" s="1"/>
      <c r="AU267" s="1"/>
    </row>
    <row r="268" ht="15.75" customHeight="1">
      <c r="A268" s="31"/>
      <c r="B268" s="31"/>
      <c r="C268" s="3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4"/>
      <c r="AN268" s="1"/>
      <c r="AO268" s="1"/>
      <c r="AP268" s="1"/>
      <c r="AQ268" s="1"/>
      <c r="AR268" s="1"/>
      <c r="AS268" s="1"/>
      <c r="AT268" s="1"/>
      <c r="AU268" s="1"/>
    </row>
    <row r="269" ht="15.75" customHeight="1">
      <c r="A269" s="31"/>
      <c r="B269" s="31"/>
      <c r="C269" s="3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4"/>
      <c r="AN269" s="1"/>
      <c r="AO269" s="1"/>
      <c r="AP269" s="1"/>
      <c r="AQ269" s="1"/>
      <c r="AR269" s="1"/>
      <c r="AS269" s="1"/>
      <c r="AT269" s="1"/>
      <c r="AU269" s="1"/>
    </row>
    <row r="270" ht="15.75" customHeight="1">
      <c r="A270" s="31"/>
      <c r="B270" s="31"/>
      <c r="C270" s="3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4"/>
      <c r="AN270" s="1"/>
      <c r="AO270" s="1"/>
      <c r="AP270" s="1"/>
      <c r="AQ270" s="1"/>
      <c r="AR270" s="1"/>
      <c r="AS270" s="1"/>
      <c r="AT270" s="1"/>
      <c r="AU270" s="1"/>
    </row>
    <row r="271" ht="15.75" customHeight="1">
      <c r="A271" s="31"/>
      <c r="B271" s="31"/>
      <c r="C271" s="3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4"/>
      <c r="AN271" s="1"/>
      <c r="AO271" s="1"/>
      <c r="AP271" s="1"/>
      <c r="AQ271" s="1"/>
      <c r="AR271" s="1"/>
      <c r="AS271" s="1"/>
      <c r="AT271" s="1"/>
      <c r="AU271" s="1"/>
    </row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1">
    <mergeCell ref="B42:B44"/>
    <mergeCell ref="C42:C44"/>
    <mergeCell ref="A36:A38"/>
    <mergeCell ref="B36:B38"/>
    <mergeCell ref="C36:C38"/>
    <mergeCell ref="A39:A41"/>
    <mergeCell ref="B39:B41"/>
    <mergeCell ref="C39:C41"/>
    <mergeCell ref="A42:A44"/>
    <mergeCell ref="B51:B53"/>
    <mergeCell ref="C51:C53"/>
    <mergeCell ref="A45:A47"/>
    <mergeCell ref="B45:B47"/>
    <mergeCell ref="C45:C47"/>
    <mergeCell ref="A48:A50"/>
    <mergeCell ref="B48:B50"/>
    <mergeCell ref="C48:C50"/>
    <mergeCell ref="A51:A53"/>
    <mergeCell ref="B60:B62"/>
    <mergeCell ref="C60:C62"/>
    <mergeCell ref="A54:A56"/>
    <mergeCell ref="B54:B56"/>
    <mergeCell ref="C54:C56"/>
    <mergeCell ref="A57:A59"/>
    <mergeCell ref="B57:B59"/>
    <mergeCell ref="C57:C59"/>
    <mergeCell ref="A60:A62"/>
    <mergeCell ref="B69:B71"/>
    <mergeCell ref="C69:C71"/>
    <mergeCell ref="A63:A65"/>
    <mergeCell ref="B63:B65"/>
    <mergeCell ref="C63:C65"/>
    <mergeCell ref="A66:A68"/>
    <mergeCell ref="B66:B68"/>
    <mergeCell ref="C66:C68"/>
    <mergeCell ref="A69:A71"/>
    <mergeCell ref="A3:A5"/>
    <mergeCell ref="B3:B5"/>
    <mergeCell ref="C3:C5"/>
    <mergeCell ref="A6:A8"/>
    <mergeCell ref="B6:B8"/>
    <mergeCell ref="C6:C8"/>
    <mergeCell ref="AM6:AM8"/>
    <mergeCell ref="B15:B17"/>
    <mergeCell ref="C15:C17"/>
    <mergeCell ref="AM15:AM17"/>
    <mergeCell ref="A9:A11"/>
    <mergeCell ref="B9:B11"/>
    <mergeCell ref="C9:C11"/>
    <mergeCell ref="A12:A14"/>
    <mergeCell ref="B12:B14"/>
    <mergeCell ref="C12:C14"/>
    <mergeCell ref="A15:A17"/>
    <mergeCell ref="B24:B26"/>
    <mergeCell ref="C24:C26"/>
    <mergeCell ref="A18:A20"/>
    <mergeCell ref="B18:B20"/>
    <mergeCell ref="C18:C20"/>
    <mergeCell ref="A21:A23"/>
    <mergeCell ref="B21:B23"/>
    <mergeCell ref="C21:C23"/>
    <mergeCell ref="A24:A26"/>
    <mergeCell ref="B33:B35"/>
    <mergeCell ref="C33:C35"/>
    <mergeCell ref="A27:A29"/>
    <mergeCell ref="B27:B29"/>
    <mergeCell ref="C27:C29"/>
    <mergeCell ref="A30:A32"/>
    <mergeCell ref="B30:B32"/>
    <mergeCell ref="C30:C32"/>
    <mergeCell ref="A33:A35"/>
  </mergeCells>
  <drawing r:id="rId4"/>
  <legacyDrawing r:id="rId5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4" width="12.63"/>
    <col customWidth="1" min="5" max="35" width="2.63"/>
    <col customWidth="1" min="36" max="36" width="5.25"/>
    <col customWidth="1" min="37" max="37" width="5.63"/>
    <col customWidth="1" min="38" max="38" width="7.63"/>
    <col customWidth="1" min="39" max="39" width="25.75"/>
    <col customWidth="1" min="40" max="47" width="2.63"/>
  </cols>
  <sheetData>
    <row r="1" ht="15.75" customHeight="1">
      <c r="A1" s="31" t="s">
        <v>56</v>
      </c>
      <c r="B1" s="31"/>
      <c r="C1" s="3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4"/>
      <c r="AN1" s="1"/>
      <c r="AO1" s="1"/>
      <c r="AP1" s="1"/>
      <c r="AQ1" s="1"/>
      <c r="AR1" s="1"/>
      <c r="AS1" s="1"/>
      <c r="AT1" s="1"/>
      <c r="AU1" s="1"/>
    </row>
    <row r="2" ht="15.75" customHeight="1">
      <c r="A2" s="42" t="s">
        <v>0</v>
      </c>
      <c r="B2" s="42" t="s">
        <v>1</v>
      </c>
      <c r="C2" s="42" t="s">
        <v>2</v>
      </c>
      <c r="D2" s="43"/>
      <c r="E2" s="13">
        <v>1.0</v>
      </c>
      <c r="F2" s="13">
        <v>2.0</v>
      </c>
      <c r="G2" s="13">
        <v>3.0</v>
      </c>
      <c r="H2" s="13">
        <v>4.0</v>
      </c>
      <c r="I2" s="13">
        <v>5.0</v>
      </c>
      <c r="J2" s="13">
        <v>6.0</v>
      </c>
      <c r="K2" s="13">
        <v>7.0</v>
      </c>
      <c r="L2" s="13">
        <v>8.0</v>
      </c>
      <c r="M2" s="13">
        <v>9.0</v>
      </c>
      <c r="N2" s="13">
        <v>10.0</v>
      </c>
      <c r="O2" s="13">
        <v>11.0</v>
      </c>
      <c r="P2" s="13">
        <v>12.0</v>
      </c>
      <c r="Q2" s="13">
        <v>13.0</v>
      </c>
      <c r="R2" s="13">
        <v>14.0</v>
      </c>
      <c r="S2" s="13">
        <v>15.0</v>
      </c>
      <c r="T2" s="13">
        <v>16.0</v>
      </c>
      <c r="U2" s="13">
        <v>17.0</v>
      </c>
      <c r="V2" s="13">
        <v>18.0</v>
      </c>
      <c r="W2" s="13">
        <v>19.0</v>
      </c>
      <c r="X2" s="13">
        <v>20.0</v>
      </c>
      <c r="Y2" s="13">
        <v>21.0</v>
      </c>
      <c r="Z2" s="13">
        <v>22.0</v>
      </c>
      <c r="AA2" s="13">
        <v>23.0</v>
      </c>
      <c r="AB2" s="13">
        <v>24.0</v>
      </c>
      <c r="AC2" s="13">
        <v>25.0</v>
      </c>
      <c r="AD2" s="13">
        <v>26.0</v>
      </c>
      <c r="AE2" s="13">
        <v>27.0</v>
      </c>
      <c r="AF2" s="13">
        <v>28.0</v>
      </c>
      <c r="AG2" s="13"/>
      <c r="AH2" s="13"/>
      <c r="AI2" s="13"/>
      <c r="AJ2" s="13" t="s">
        <v>3</v>
      </c>
      <c r="AK2" s="9"/>
      <c r="AL2" s="8" t="s">
        <v>4</v>
      </c>
      <c r="AM2" s="4"/>
      <c r="AN2" s="1"/>
      <c r="AO2" s="1"/>
      <c r="AP2" s="1"/>
      <c r="AQ2" s="1"/>
      <c r="AR2" s="1"/>
      <c r="AS2" s="1"/>
      <c r="AT2" s="1"/>
      <c r="AU2" s="1"/>
    </row>
    <row r="3" ht="15.75" customHeight="1">
      <c r="A3" s="12" t="s">
        <v>30</v>
      </c>
      <c r="B3" s="12" t="s">
        <v>31</v>
      </c>
      <c r="C3" s="12"/>
      <c r="D3" s="13" t="s">
        <v>5</v>
      </c>
      <c r="E3" s="13">
        <v>1.0</v>
      </c>
      <c r="F3" s="13">
        <v>1.0</v>
      </c>
      <c r="G3" s="13">
        <v>1.0</v>
      </c>
      <c r="H3" s="13">
        <v>1.0</v>
      </c>
      <c r="I3" s="13">
        <v>1.0</v>
      </c>
      <c r="J3" s="13">
        <v>1.0</v>
      </c>
      <c r="K3" s="13">
        <v>1.0</v>
      </c>
      <c r="L3" s="13">
        <v>1.0</v>
      </c>
      <c r="M3" s="13">
        <v>1.0</v>
      </c>
      <c r="N3" s="13">
        <v>1.0</v>
      </c>
      <c r="O3" s="13">
        <v>1.0</v>
      </c>
      <c r="P3" s="13">
        <v>1.0</v>
      </c>
      <c r="Q3" s="13">
        <v>1.0</v>
      </c>
      <c r="R3" s="13">
        <v>1.0</v>
      </c>
      <c r="S3" s="13">
        <v>1.0</v>
      </c>
      <c r="T3" s="13">
        <v>1.0</v>
      </c>
      <c r="U3" s="13">
        <v>1.0</v>
      </c>
      <c r="V3" s="13">
        <v>1.0</v>
      </c>
      <c r="W3" s="13">
        <v>1.0</v>
      </c>
      <c r="X3" s="13">
        <v>1.0</v>
      </c>
      <c r="Y3" s="13">
        <v>1.0</v>
      </c>
      <c r="Z3" s="13">
        <v>1.0</v>
      </c>
      <c r="AA3" s="13">
        <v>1.0</v>
      </c>
      <c r="AB3" s="13">
        <v>1.0</v>
      </c>
      <c r="AC3" s="13">
        <v>1.0</v>
      </c>
      <c r="AD3" s="13">
        <v>1.0</v>
      </c>
      <c r="AE3" s="13">
        <v>1.0</v>
      </c>
      <c r="AF3" s="13">
        <v>1.0</v>
      </c>
      <c r="AG3" s="13"/>
      <c r="AH3" s="13"/>
      <c r="AI3" s="13"/>
      <c r="AJ3" s="13">
        <f t="shared" ref="AJ3:AJ71" si="1">SUM(E3:AI3)</f>
        <v>28</v>
      </c>
      <c r="AK3" s="14">
        <f>330*AJ3</f>
        <v>9240</v>
      </c>
      <c r="AL3" s="15"/>
      <c r="AM3" s="4"/>
      <c r="AN3" s="1"/>
      <c r="AO3" s="1"/>
      <c r="AP3" s="1"/>
      <c r="AQ3" s="1"/>
      <c r="AR3" s="1"/>
      <c r="AS3" s="1"/>
      <c r="AT3" s="1"/>
      <c r="AU3" s="1"/>
    </row>
    <row r="4" ht="15.75" customHeight="1">
      <c r="A4" s="16"/>
      <c r="B4" s="16"/>
      <c r="C4" s="16"/>
      <c r="D4" s="13" t="s">
        <v>6</v>
      </c>
      <c r="E4" s="13">
        <v>1.0</v>
      </c>
      <c r="F4" s="13">
        <v>1.0</v>
      </c>
      <c r="G4" s="13">
        <v>1.0</v>
      </c>
      <c r="H4" s="13">
        <v>1.0</v>
      </c>
      <c r="I4" s="13">
        <v>1.0</v>
      </c>
      <c r="J4" s="13">
        <v>1.0</v>
      </c>
      <c r="K4" s="13">
        <v>1.0</v>
      </c>
      <c r="L4" s="13">
        <v>1.0</v>
      </c>
      <c r="M4" s="13">
        <v>1.0</v>
      </c>
      <c r="N4" s="13">
        <v>1.0</v>
      </c>
      <c r="O4" s="13">
        <v>1.0</v>
      </c>
      <c r="P4" s="13">
        <v>1.0</v>
      </c>
      <c r="Q4" s="13">
        <v>1.0</v>
      </c>
      <c r="R4" s="13">
        <v>1.0</v>
      </c>
      <c r="S4" s="13">
        <v>1.0</v>
      </c>
      <c r="T4" s="13">
        <v>1.0</v>
      </c>
      <c r="U4" s="13">
        <v>1.0</v>
      </c>
      <c r="V4" s="13">
        <v>1.0</v>
      </c>
      <c r="W4" s="13">
        <v>1.0</v>
      </c>
      <c r="X4" s="13">
        <v>1.0</v>
      </c>
      <c r="Y4" s="13">
        <v>1.0</v>
      </c>
      <c r="Z4" s="13">
        <v>1.0</v>
      </c>
      <c r="AA4" s="13">
        <v>1.0</v>
      </c>
      <c r="AB4" s="13">
        <v>1.0</v>
      </c>
      <c r="AC4" s="13">
        <v>1.0</v>
      </c>
      <c r="AD4" s="13">
        <v>1.0</v>
      </c>
      <c r="AE4" s="13">
        <v>1.0</v>
      </c>
      <c r="AF4" s="13">
        <v>1.0</v>
      </c>
      <c r="AG4" s="13"/>
      <c r="AH4" s="13"/>
      <c r="AI4" s="13"/>
      <c r="AJ4" s="13">
        <f t="shared" si="1"/>
        <v>28</v>
      </c>
      <c r="AK4" s="14">
        <f t="shared" ref="AK4:AK5" si="2">550*AJ4</f>
        <v>15400</v>
      </c>
      <c r="AL4" s="19"/>
      <c r="AM4" s="4"/>
      <c r="AN4" s="1"/>
      <c r="AO4" s="1"/>
      <c r="AP4" s="1"/>
      <c r="AQ4" s="1"/>
      <c r="AR4" s="1"/>
      <c r="AS4" s="1"/>
      <c r="AT4" s="1"/>
      <c r="AU4" s="1"/>
    </row>
    <row r="5" ht="15.75" customHeight="1">
      <c r="A5" s="10"/>
      <c r="B5" s="10"/>
      <c r="C5" s="10"/>
      <c r="D5" s="13" t="s">
        <v>7</v>
      </c>
      <c r="E5" s="13">
        <v>1.0</v>
      </c>
      <c r="F5" s="13">
        <v>1.0</v>
      </c>
      <c r="G5" s="13">
        <v>1.0</v>
      </c>
      <c r="H5" s="13">
        <v>1.0</v>
      </c>
      <c r="I5" s="13">
        <v>1.0</v>
      </c>
      <c r="J5" s="13">
        <v>1.0</v>
      </c>
      <c r="K5" s="13">
        <v>1.0</v>
      </c>
      <c r="L5" s="13">
        <v>1.0</v>
      </c>
      <c r="M5" s="13">
        <v>1.0</v>
      </c>
      <c r="N5" s="13">
        <v>1.0</v>
      </c>
      <c r="O5" s="13">
        <v>1.0</v>
      </c>
      <c r="P5" s="13">
        <v>1.0</v>
      </c>
      <c r="Q5" s="13">
        <v>1.0</v>
      </c>
      <c r="R5" s="13">
        <v>1.0</v>
      </c>
      <c r="S5" s="13">
        <v>1.0</v>
      </c>
      <c r="T5" s="13">
        <v>1.0</v>
      </c>
      <c r="U5" s="13">
        <v>1.0</v>
      </c>
      <c r="V5" s="13">
        <v>1.0</v>
      </c>
      <c r="W5" s="13">
        <v>1.0</v>
      </c>
      <c r="X5" s="13">
        <v>1.0</v>
      </c>
      <c r="Y5" s="13">
        <v>1.0</v>
      </c>
      <c r="Z5" s="13">
        <v>1.0</v>
      </c>
      <c r="AA5" s="13">
        <v>1.0</v>
      </c>
      <c r="AB5" s="13">
        <v>1.0</v>
      </c>
      <c r="AC5" s="13">
        <v>1.0</v>
      </c>
      <c r="AD5" s="13">
        <v>1.0</v>
      </c>
      <c r="AE5" s="13">
        <v>1.0</v>
      </c>
      <c r="AF5" s="13">
        <v>1.0</v>
      </c>
      <c r="AG5" s="13"/>
      <c r="AH5" s="13"/>
      <c r="AI5" s="13"/>
      <c r="AJ5" s="13">
        <f t="shared" si="1"/>
        <v>28</v>
      </c>
      <c r="AK5" s="14">
        <f t="shared" si="2"/>
        <v>15400</v>
      </c>
      <c r="AL5" s="20">
        <f>SUM(AK3:AK5)</f>
        <v>40040</v>
      </c>
      <c r="AM5" s="4"/>
      <c r="AN5" s="1"/>
      <c r="AO5" s="1"/>
      <c r="AP5" s="1"/>
      <c r="AQ5" s="1"/>
      <c r="AR5" s="1"/>
      <c r="AS5" s="1"/>
      <c r="AT5" s="1"/>
      <c r="AU5" s="1"/>
    </row>
    <row r="6" ht="15.75" customHeight="1">
      <c r="A6" s="21" t="s">
        <v>8</v>
      </c>
      <c r="B6" s="21" t="s">
        <v>9</v>
      </c>
      <c r="C6" s="21"/>
      <c r="D6" s="22" t="s">
        <v>5</v>
      </c>
      <c r="E6" s="22">
        <v>1.0</v>
      </c>
      <c r="F6" s="22">
        <v>1.0</v>
      </c>
      <c r="G6" s="22">
        <v>1.0</v>
      </c>
      <c r="H6" s="22">
        <v>1.0</v>
      </c>
      <c r="I6" s="22">
        <v>1.0</v>
      </c>
      <c r="J6" s="22">
        <v>1.0</v>
      </c>
      <c r="K6" s="22">
        <v>1.0</v>
      </c>
      <c r="L6" s="22">
        <v>1.0</v>
      </c>
      <c r="M6" s="22">
        <v>1.0</v>
      </c>
      <c r="N6" s="22">
        <v>1.0</v>
      </c>
      <c r="O6" s="22">
        <v>1.0</v>
      </c>
      <c r="P6" s="22">
        <v>1.0</v>
      </c>
      <c r="Q6" s="22">
        <v>1.0</v>
      </c>
      <c r="R6" s="22">
        <v>1.0</v>
      </c>
      <c r="S6" s="22">
        <v>1.0</v>
      </c>
      <c r="T6" s="22">
        <v>1.0</v>
      </c>
      <c r="U6" s="22">
        <v>1.0</v>
      </c>
      <c r="V6" s="22">
        <v>1.0</v>
      </c>
      <c r="W6" s="22">
        <v>1.0</v>
      </c>
      <c r="X6" s="22">
        <v>1.0</v>
      </c>
      <c r="Y6" s="22">
        <v>1.0</v>
      </c>
      <c r="Z6" s="22">
        <v>1.0</v>
      </c>
      <c r="AA6" s="22">
        <v>1.0</v>
      </c>
      <c r="AB6" s="22">
        <v>1.0</v>
      </c>
      <c r="AC6" s="22">
        <v>1.0</v>
      </c>
      <c r="AD6" s="22">
        <v>1.0</v>
      </c>
      <c r="AE6" s="22">
        <v>1.0</v>
      </c>
      <c r="AF6" s="22">
        <v>1.0</v>
      </c>
      <c r="AG6" s="22"/>
      <c r="AH6" s="22"/>
      <c r="AI6" s="22"/>
      <c r="AJ6" s="22">
        <f t="shared" si="1"/>
        <v>28</v>
      </c>
      <c r="AK6" s="23">
        <f>330*AJ6</f>
        <v>9240</v>
      </c>
      <c r="AL6" s="24"/>
      <c r="AM6" s="4"/>
      <c r="AN6" s="1"/>
      <c r="AO6" s="1"/>
      <c r="AP6" s="1"/>
      <c r="AQ6" s="1"/>
      <c r="AR6" s="1"/>
      <c r="AS6" s="1"/>
      <c r="AT6" s="1"/>
      <c r="AU6" s="1"/>
    </row>
    <row r="7" ht="15.75" customHeight="1">
      <c r="A7" s="16"/>
      <c r="B7" s="16"/>
      <c r="C7" s="16"/>
      <c r="D7" s="22" t="s">
        <v>6</v>
      </c>
      <c r="E7" s="22">
        <v>1.0</v>
      </c>
      <c r="F7" s="22">
        <v>1.0</v>
      </c>
      <c r="G7" s="22">
        <v>1.0</v>
      </c>
      <c r="H7" s="22">
        <v>1.0</v>
      </c>
      <c r="I7" s="22">
        <v>1.0</v>
      </c>
      <c r="J7" s="22">
        <v>1.0</v>
      </c>
      <c r="K7" s="22">
        <v>1.0</v>
      </c>
      <c r="L7" s="22">
        <v>1.0</v>
      </c>
      <c r="M7" s="22">
        <v>1.0</v>
      </c>
      <c r="N7" s="22">
        <v>1.0</v>
      </c>
      <c r="O7" s="22">
        <v>1.0</v>
      </c>
      <c r="P7" s="22">
        <v>1.0</v>
      </c>
      <c r="Q7" s="22">
        <v>1.0</v>
      </c>
      <c r="R7" s="22">
        <v>1.0</v>
      </c>
      <c r="S7" s="22">
        <v>1.0</v>
      </c>
      <c r="T7" s="22">
        <v>1.0</v>
      </c>
      <c r="U7" s="22">
        <v>1.0</v>
      </c>
      <c r="V7" s="22">
        <v>1.0</v>
      </c>
      <c r="W7" s="22">
        <v>1.0</v>
      </c>
      <c r="X7" s="22">
        <v>1.0</v>
      </c>
      <c r="Y7" s="22">
        <v>1.0</v>
      </c>
      <c r="Z7" s="22">
        <v>1.0</v>
      </c>
      <c r="AA7" s="22">
        <v>1.0</v>
      </c>
      <c r="AB7" s="22">
        <v>1.0</v>
      </c>
      <c r="AC7" s="22">
        <v>1.0</v>
      </c>
      <c r="AD7" s="22">
        <v>1.0</v>
      </c>
      <c r="AE7" s="22">
        <v>1.0</v>
      </c>
      <c r="AF7" s="22">
        <v>1.0</v>
      </c>
      <c r="AG7" s="22"/>
      <c r="AH7" s="22"/>
      <c r="AI7" s="22"/>
      <c r="AJ7" s="22">
        <f t="shared" si="1"/>
        <v>28</v>
      </c>
      <c r="AK7" s="23">
        <f t="shared" ref="AK7:AK8" si="3">550*AJ7</f>
        <v>15400</v>
      </c>
      <c r="AL7" s="24"/>
      <c r="AM7" s="4"/>
      <c r="AN7" s="1"/>
      <c r="AO7" s="1"/>
      <c r="AP7" s="1"/>
      <c r="AQ7" s="1"/>
      <c r="AR7" s="1"/>
      <c r="AS7" s="1"/>
      <c r="AT7" s="1"/>
      <c r="AU7" s="1"/>
    </row>
    <row r="8" ht="15.75" customHeight="1">
      <c r="A8" s="10"/>
      <c r="B8" s="10"/>
      <c r="C8" s="10"/>
      <c r="D8" s="22" t="s">
        <v>7</v>
      </c>
      <c r="E8" s="22">
        <v>1.0</v>
      </c>
      <c r="F8" s="22">
        <v>1.0</v>
      </c>
      <c r="G8" s="22">
        <v>1.0</v>
      </c>
      <c r="H8" s="22">
        <v>1.0</v>
      </c>
      <c r="I8" s="22">
        <v>1.0</v>
      </c>
      <c r="J8" s="22">
        <v>1.0</v>
      </c>
      <c r="K8" s="22">
        <v>1.0</v>
      </c>
      <c r="L8" s="22">
        <v>1.0</v>
      </c>
      <c r="M8" s="22">
        <v>1.0</v>
      </c>
      <c r="N8" s="22">
        <v>1.0</v>
      </c>
      <c r="O8" s="22">
        <v>1.0</v>
      </c>
      <c r="P8" s="22">
        <v>1.0</v>
      </c>
      <c r="Q8" s="22">
        <v>1.0</v>
      </c>
      <c r="R8" s="22">
        <v>1.0</v>
      </c>
      <c r="S8" s="22">
        <v>1.0</v>
      </c>
      <c r="T8" s="22">
        <v>1.0</v>
      </c>
      <c r="U8" s="22">
        <v>1.0</v>
      </c>
      <c r="V8" s="22">
        <v>1.0</v>
      </c>
      <c r="W8" s="22">
        <v>1.0</v>
      </c>
      <c r="X8" s="22">
        <v>1.0</v>
      </c>
      <c r="Y8" s="22">
        <v>1.0</v>
      </c>
      <c r="Z8" s="22">
        <v>1.0</v>
      </c>
      <c r="AA8" s="22">
        <v>1.0</v>
      </c>
      <c r="AB8" s="22">
        <v>1.0</v>
      </c>
      <c r="AC8" s="22">
        <v>1.0</v>
      </c>
      <c r="AD8" s="22">
        <v>1.0</v>
      </c>
      <c r="AE8" s="22">
        <v>1.0</v>
      </c>
      <c r="AF8" s="22">
        <v>1.0</v>
      </c>
      <c r="AG8" s="22"/>
      <c r="AH8" s="22"/>
      <c r="AI8" s="22"/>
      <c r="AJ8" s="22">
        <f t="shared" si="1"/>
        <v>28</v>
      </c>
      <c r="AK8" s="23">
        <f t="shared" si="3"/>
        <v>15400</v>
      </c>
      <c r="AL8" s="26">
        <f>SUM(AK6:AK8)</f>
        <v>40040</v>
      </c>
      <c r="AM8" s="4"/>
      <c r="AN8" s="1"/>
      <c r="AO8" s="1"/>
      <c r="AP8" s="1"/>
      <c r="AQ8" s="1"/>
      <c r="AR8" s="1"/>
      <c r="AS8" s="1"/>
      <c r="AT8" s="1"/>
      <c r="AU8" s="1"/>
    </row>
    <row r="9" ht="15.75" customHeight="1">
      <c r="A9" s="12" t="s">
        <v>11</v>
      </c>
      <c r="B9" s="12" t="s">
        <v>12</v>
      </c>
      <c r="C9" s="12" t="s">
        <v>57</v>
      </c>
      <c r="D9" s="13" t="s">
        <v>5</v>
      </c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>
        <f t="shared" si="1"/>
        <v>0</v>
      </c>
      <c r="AK9" s="14">
        <f>330*AJ9</f>
        <v>0</v>
      </c>
      <c r="AL9" s="19"/>
      <c r="AM9" s="4"/>
      <c r="AN9" s="1"/>
      <c r="AO9" s="1"/>
      <c r="AP9" s="1"/>
      <c r="AQ9" s="1"/>
      <c r="AR9" s="1"/>
      <c r="AS9" s="1"/>
      <c r="AT9" s="1"/>
      <c r="AU9" s="1"/>
    </row>
    <row r="10" ht="15.75" customHeight="1">
      <c r="A10" s="16"/>
      <c r="B10" s="16"/>
      <c r="C10" s="16"/>
      <c r="D10" s="13" t="s">
        <v>6</v>
      </c>
      <c r="E10" s="13">
        <v>1.0</v>
      </c>
      <c r="F10" s="13">
        <v>1.0</v>
      </c>
      <c r="G10" s="13">
        <v>1.0</v>
      </c>
      <c r="H10" s="13">
        <v>1.0</v>
      </c>
      <c r="I10" s="13">
        <v>1.0</v>
      </c>
      <c r="J10" s="13">
        <v>1.0</v>
      </c>
      <c r="K10" s="13">
        <v>1.0</v>
      </c>
      <c r="L10" s="13">
        <v>1.0</v>
      </c>
      <c r="M10" s="13">
        <v>1.0</v>
      </c>
      <c r="N10" s="13"/>
      <c r="O10" s="13">
        <v>1.0</v>
      </c>
      <c r="P10" s="13"/>
      <c r="Q10" s="13"/>
      <c r="R10" s="13"/>
      <c r="S10" s="13"/>
      <c r="T10" s="13">
        <v>1.0</v>
      </c>
      <c r="U10" s="13">
        <v>1.0</v>
      </c>
      <c r="V10" s="13">
        <v>1.0</v>
      </c>
      <c r="W10" s="13">
        <v>1.0</v>
      </c>
      <c r="X10" s="13">
        <v>1.0</v>
      </c>
      <c r="Y10" s="13">
        <v>1.0</v>
      </c>
      <c r="Z10" s="13">
        <v>1.0</v>
      </c>
      <c r="AA10" s="13">
        <v>1.0</v>
      </c>
      <c r="AB10" s="13">
        <v>1.0</v>
      </c>
      <c r="AC10" s="13">
        <v>1.0</v>
      </c>
      <c r="AD10" s="13">
        <v>1.0</v>
      </c>
      <c r="AE10" s="13">
        <v>1.0</v>
      </c>
      <c r="AF10" s="13">
        <v>1.0</v>
      </c>
      <c r="AG10" s="13"/>
      <c r="AH10" s="13"/>
      <c r="AI10" s="13"/>
      <c r="AJ10" s="13">
        <f t="shared" si="1"/>
        <v>23</v>
      </c>
      <c r="AK10" s="14">
        <f t="shared" ref="AK10:AK11" si="4">550*AJ10</f>
        <v>12650</v>
      </c>
      <c r="AL10" s="19"/>
      <c r="AM10" s="27"/>
      <c r="AN10" s="1"/>
      <c r="AO10" s="1"/>
      <c r="AP10" s="1"/>
      <c r="AQ10" s="1"/>
      <c r="AR10" s="1"/>
      <c r="AS10" s="1"/>
      <c r="AT10" s="1"/>
      <c r="AU10" s="1"/>
    </row>
    <row r="11" ht="15.75" customHeight="1">
      <c r="A11" s="10"/>
      <c r="B11" s="10"/>
      <c r="C11" s="10"/>
      <c r="D11" s="13" t="s">
        <v>7</v>
      </c>
      <c r="E11" s="13">
        <v>1.0</v>
      </c>
      <c r="F11" s="13">
        <v>1.0</v>
      </c>
      <c r="G11" s="13">
        <v>1.0</v>
      </c>
      <c r="H11" s="13">
        <v>1.0</v>
      </c>
      <c r="I11" s="13">
        <v>1.0</v>
      </c>
      <c r="J11" s="13">
        <v>1.0</v>
      </c>
      <c r="K11" s="13">
        <v>1.0</v>
      </c>
      <c r="L11" s="13">
        <v>1.0</v>
      </c>
      <c r="M11" s="13">
        <v>1.0</v>
      </c>
      <c r="N11" s="13">
        <v>1.0</v>
      </c>
      <c r="O11" s="13">
        <v>1.0</v>
      </c>
      <c r="P11" s="13"/>
      <c r="Q11" s="13"/>
      <c r="R11" s="13"/>
      <c r="S11" s="13">
        <v>1.0</v>
      </c>
      <c r="T11" s="13">
        <v>1.0</v>
      </c>
      <c r="U11" s="13">
        <v>1.0</v>
      </c>
      <c r="V11" s="13">
        <v>1.0</v>
      </c>
      <c r="W11" s="13">
        <v>1.0</v>
      </c>
      <c r="X11" s="13">
        <v>1.0</v>
      </c>
      <c r="Y11" s="13">
        <v>1.0</v>
      </c>
      <c r="Z11" s="13">
        <v>1.0</v>
      </c>
      <c r="AA11" s="13">
        <v>1.0</v>
      </c>
      <c r="AB11" s="13">
        <v>1.0</v>
      </c>
      <c r="AC11" s="13">
        <v>1.0</v>
      </c>
      <c r="AD11" s="13">
        <v>1.0</v>
      </c>
      <c r="AE11" s="13">
        <v>1.0</v>
      </c>
      <c r="AF11" s="13">
        <v>1.0</v>
      </c>
      <c r="AG11" s="13"/>
      <c r="AH11" s="13"/>
      <c r="AI11" s="13"/>
      <c r="AJ11" s="13">
        <f t="shared" si="1"/>
        <v>25</v>
      </c>
      <c r="AK11" s="14">
        <f t="shared" si="4"/>
        <v>13750</v>
      </c>
      <c r="AL11" s="20">
        <f>SUM(AK9:AK11)</f>
        <v>26400</v>
      </c>
      <c r="AM11" s="4" t="s">
        <v>44</v>
      </c>
      <c r="AN11" s="1"/>
      <c r="AO11" s="1"/>
      <c r="AP11" s="1"/>
      <c r="AQ11" s="1"/>
      <c r="AR11" s="1"/>
      <c r="AS11" s="1"/>
      <c r="AT11" s="1"/>
      <c r="AU11" s="1"/>
    </row>
    <row r="12" ht="15.75" customHeight="1">
      <c r="A12" s="21" t="s">
        <v>14</v>
      </c>
      <c r="B12" s="21" t="s">
        <v>15</v>
      </c>
      <c r="C12" s="21"/>
      <c r="D12" s="22" t="s">
        <v>5</v>
      </c>
      <c r="E12" s="22">
        <v>1.0</v>
      </c>
      <c r="F12" s="22">
        <v>1.0</v>
      </c>
      <c r="G12" s="22">
        <v>1.0</v>
      </c>
      <c r="H12" s="22">
        <v>1.0</v>
      </c>
      <c r="I12" s="22">
        <v>1.0</v>
      </c>
      <c r="J12" s="22">
        <v>1.0</v>
      </c>
      <c r="K12" s="22">
        <v>1.0</v>
      </c>
      <c r="L12" s="22">
        <v>1.0</v>
      </c>
      <c r="M12" s="22">
        <v>1.0</v>
      </c>
      <c r="N12" s="22">
        <v>1.0</v>
      </c>
      <c r="O12" s="22">
        <v>1.0</v>
      </c>
      <c r="P12" s="22">
        <v>1.0</v>
      </c>
      <c r="Q12" s="22">
        <v>1.0</v>
      </c>
      <c r="R12" s="22">
        <v>1.0</v>
      </c>
      <c r="S12" s="22">
        <v>1.0</v>
      </c>
      <c r="T12" s="22">
        <v>1.0</v>
      </c>
      <c r="U12" s="22">
        <v>1.0</v>
      </c>
      <c r="V12" s="22">
        <v>1.0</v>
      </c>
      <c r="W12" s="22">
        <v>1.0</v>
      </c>
      <c r="X12" s="22">
        <v>1.0</v>
      </c>
      <c r="Y12" s="22">
        <v>1.0</v>
      </c>
      <c r="Z12" s="22">
        <v>1.0</v>
      </c>
      <c r="AA12" s="22">
        <v>1.0</v>
      </c>
      <c r="AB12" s="22">
        <v>1.0</v>
      </c>
      <c r="AC12" s="22">
        <v>1.0</v>
      </c>
      <c r="AD12" s="22">
        <v>1.0</v>
      </c>
      <c r="AE12" s="22">
        <v>1.0</v>
      </c>
      <c r="AF12" s="22">
        <v>1.0</v>
      </c>
      <c r="AG12" s="22"/>
      <c r="AH12" s="22"/>
      <c r="AI12" s="22"/>
      <c r="AJ12" s="22">
        <f t="shared" si="1"/>
        <v>28</v>
      </c>
      <c r="AK12" s="23">
        <f>330*AJ12</f>
        <v>9240</v>
      </c>
      <c r="AL12" s="24"/>
      <c r="AM12" s="4"/>
      <c r="AN12" s="1"/>
      <c r="AO12" s="1"/>
      <c r="AP12" s="1"/>
      <c r="AQ12" s="1"/>
      <c r="AR12" s="1"/>
      <c r="AS12" s="1"/>
      <c r="AT12" s="1"/>
      <c r="AU12" s="1"/>
    </row>
    <row r="13" ht="15.75" customHeight="1">
      <c r="A13" s="16"/>
      <c r="B13" s="16"/>
      <c r="C13" s="16"/>
      <c r="D13" s="22" t="s">
        <v>6</v>
      </c>
      <c r="E13" s="22">
        <v>1.0</v>
      </c>
      <c r="F13" s="22">
        <v>1.0</v>
      </c>
      <c r="G13" s="22">
        <v>1.0</v>
      </c>
      <c r="H13" s="22">
        <v>1.0</v>
      </c>
      <c r="I13" s="22">
        <v>1.0</v>
      </c>
      <c r="J13" s="22">
        <v>1.0</v>
      </c>
      <c r="K13" s="22">
        <v>1.0</v>
      </c>
      <c r="L13" s="22">
        <v>1.0</v>
      </c>
      <c r="M13" s="22">
        <v>1.0</v>
      </c>
      <c r="N13" s="22">
        <v>1.0</v>
      </c>
      <c r="O13" s="22">
        <v>1.0</v>
      </c>
      <c r="P13" s="22">
        <v>1.0</v>
      </c>
      <c r="Q13" s="22">
        <v>1.0</v>
      </c>
      <c r="R13" s="22">
        <v>1.0</v>
      </c>
      <c r="S13" s="22">
        <v>1.0</v>
      </c>
      <c r="T13" s="22">
        <v>1.0</v>
      </c>
      <c r="U13" s="22">
        <v>1.0</v>
      </c>
      <c r="V13" s="22">
        <v>1.0</v>
      </c>
      <c r="W13" s="22">
        <v>1.0</v>
      </c>
      <c r="X13" s="22">
        <v>1.0</v>
      </c>
      <c r="Y13" s="22">
        <v>1.0</v>
      </c>
      <c r="Z13" s="22">
        <v>1.0</v>
      </c>
      <c r="AA13" s="22">
        <v>1.0</v>
      </c>
      <c r="AB13" s="22">
        <v>1.0</v>
      </c>
      <c r="AC13" s="22">
        <v>1.0</v>
      </c>
      <c r="AD13" s="22">
        <v>1.0</v>
      </c>
      <c r="AE13" s="22">
        <v>1.0</v>
      </c>
      <c r="AF13" s="22">
        <v>1.0</v>
      </c>
      <c r="AG13" s="22"/>
      <c r="AH13" s="22"/>
      <c r="AI13" s="22"/>
      <c r="AJ13" s="22">
        <f t="shared" si="1"/>
        <v>28</v>
      </c>
      <c r="AK13" s="23">
        <f t="shared" ref="AK13:AK14" si="5">550*AJ13</f>
        <v>15400</v>
      </c>
      <c r="AL13" s="24"/>
      <c r="AM13" s="4"/>
      <c r="AN13" s="1"/>
      <c r="AO13" s="1"/>
      <c r="AP13" s="1"/>
      <c r="AQ13" s="1"/>
      <c r="AR13" s="1"/>
      <c r="AS13" s="1"/>
      <c r="AT13" s="1"/>
      <c r="AU13" s="1"/>
    </row>
    <row r="14" ht="15.75" customHeight="1">
      <c r="A14" s="10"/>
      <c r="B14" s="10"/>
      <c r="C14" s="10"/>
      <c r="D14" s="22" t="s">
        <v>7</v>
      </c>
      <c r="E14" s="22">
        <v>1.0</v>
      </c>
      <c r="F14" s="22">
        <v>1.0</v>
      </c>
      <c r="G14" s="22">
        <v>1.0</v>
      </c>
      <c r="H14" s="22">
        <v>1.0</v>
      </c>
      <c r="I14" s="22">
        <v>1.0</v>
      </c>
      <c r="J14" s="22">
        <v>1.0</v>
      </c>
      <c r="K14" s="22">
        <v>1.0</v>
      </c>
      <c r="L14" s="22">
        <v>1.0</v>
      </c>
      <c r="M14" s="22">
        <v>1.0</v>
      </c>
      <c r="N14" s="22">
        <v>1.0</v>
      </c>
      <c r="O14" s="22">
        <v>1.0</v>
      </c>
      <c r="P14" s="22">
        <v>1.0</v>
      </c>
      <c r="Q14" s="22">
        <v>1.0</v>
      </c>
      <c r="R14" s="22">
        <v>1.0</v>
      </c>
      <c r="S14" s="22">
        <v>1.0</v>
      </c>
      <c r="T14" s="22">
        <v>1.0</v>
      </c>
      <c r="U14" s="22">
        <v>1.0</v>
      </c>
      <c r="V14" s="22">
        <v>1.0</v>
      </c>
      <c r="W14" s="22">
        <v>1.0</v>
      </c>
      <c r="X14" s="22">
        <v>1.0</v>
      </c>
      <c r="Y14" s="22">
        <v>1.0</v>
      </c>
      <c r="Z14" s="22">
        <v>1.0</v>
      </c>
      <c r="AA14" s="22">
        <v>1.0</v>
      </c>
      <c r="AB14" s="22">
        <v>1.0</v>
      </c>
      <c r="AC14" s="22">
        <v>1.0</v>
      </c>
      <c r="AD14" s="22">
        <v>1.0</v>
      </c>
      <c r="AE14" s="22">
        <v>1.0</v>
      </c>
      <c r="AF14" s="22">
        <v>1.0</v>
      </c>
      <c r="AG14" s="22"/>
      <c r="AH14" s="22"/>
      <c r="AI14" s="22"/>
      <c r="AJ14" s="22">
        <f t="shared" si="1"/>
        <v>28</v>
      </c>
      <c r="AK14" s="23">
        <f t="shared" si="5"/>
        <v>15400</v>
      </c>
      <c r="AL14" s="26">
        <f>SUM(AK12:AK14)</f>
        <v>40040</v>
      </c>
      <c r="AM14" s="4"/>
      <c r="AN14" s="1"/>
      <c r="AO14" s="1"/>
      <c r="AP14" s="1"/>
      <c r="AQ14" s="1"/>
      <c r="AR14" s="1"/>
      <c r="AS14" s="1"/>
      <c r="AT14" s="1"/>
      <c r="AU14" s="1"/>
    </row>
    <row r="15" ht="15.75" customHeight="1">
      <c r="A15" s="12" t="s">
        <v>16</v>
      </c>
      <c r="B15" s="12" t="s">
        <v>17</v>
      </c>
      <c r="C15" s="12"/>
      <c r="D15" s="13" t="s">
        <v>5</v>
      </c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>
        <f t="shared" si="1"/>
        <v>0</v>
      </c>
      <c r="AK15" s="14">
        <f>330*AJ15</f>
        <v>0</v>
      </c>
      <c r="AL15" s="19"/>
      <c r="AM15" s="4"/>
      <c r="AN15" s="1"/>
      <c r="AO15" s="1"/>
      <c r="AP15" s="1"/>
      <c r="AQ15" s="1"/>
      <c r="AR15" s="1"/>
      <c r="AS15" s="1"/>
      <c r="AT15" s="1"/>
      <c r="AU15" s="1"/>
    </row>
    <row r="16" ht="15.75" customHeight="1">
      <c r="A16" s="16"/>
      <c r="B16" s="16"/>
      <c r="C16" s="16"/>
      <c r="D16" s="13" t="s">
        <v>6</v>
      </c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>
        <f t="shared" si="1"/>
        <v>0</v>
      </c>
      <c r="AK16" s="14">
        <f t="shared" ref="AK16:AK17" si="6">550*AJ16</f>
        <v>0</v>
      </c>
      <c r="AL16" s="19"/>
      <c r="AM16" s="4"/>
      <c r="AN16" s="1"/>
      <c r="AO16" s="1"/>
      <c r="AP16" s="1"/>
      <c r="AQ16" s="1"/>
      <c r="AR16" s="1"/>
      <c r="AS16" s="1"/>
      <c r="AT16" s="1"/>
      <c r="AU16" s="1"/>
    </row>
    <row r="17" ht="15.75" customHeight="1">
      <c r="A17" s="10"/>
      <c r="B17" s="10"/>
      <c r="C17" s="10"/>
      <c r="D17" s="13" t="s">
        <v>7</v>
      </c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>
        <f t="shared" si="1"/>
        <v>0</v>
      </c>
      <c r="AK17" s="14">
        <f t="shared" si="6"/>
        <v>0</v>
      </c>
      <c r="AL17" s="20">
        <f>SUM(AK15:AK17)</f>
        <v>0</v>
      </c>
      <c r="AM17" s="4" t="s">
        <v>58</v>
      </c>
      <c r="AN17" s="1"/>
      <c r="AO17" s="1"/>
      <c r="AP17" s="1"/>
      <c r="AQ17" s="1"/>
      <c r="AR17" s="1"/>
      <c r="AS17" s="1"/>
      <c r="AT17" s="1"/>
      <c r="AU17" s="1"/>
    </row>
    <row r="18" ht="15.75" customHeight="1">
      <c r="A18" s="29"/>
      <c r="B18" s="29" t="s">
        <v>19</v>
      </c>
      <c r="C18" s="29" t="s">
        <v>46</v>
      </c>
      <c r="D18" s="28" t="s">
        <v>5</v>
      </c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28"/>
      <c r="AH18" s="28"/>
      <c r="AI18" s="28"/>
      <c r="AJ18" s="28">
        <f t="shared" si="1"/>
        <v>0</v>
      </c>
      <c r="AK18" s="23">
        <f>330*AJ18</f>
        <v>0</v>
      </c>
      <c r="AL18" s="24"/>
      <c r="AM18" s="4"/>
      <c r="AN18" s="1"/>
      <c r="AO18" s="1"/>
      <c r="AP18" s="1"/>
      <c r="AQ18" s="1"/>
      <c r="AR18" s="1"/>
      <c r="AS18" s="1"/>
      <c r="AT18" s="1"/>
      <c r="AU18" s="1"/>
    </row>
    <row r="19" ht="15.75" customHeight="1">
      <c r="A19" s="16"/>
      <c r="B19" s="16"/>
      <c r="C19" s="16"/>
      <c r="D19" s="28" t="s">
        <v>6</v>
      </c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>
        <v>1.0</v>
      </c>
      <c r="Q19" s="8">
        <v>1.0</v>
      </c>
      <c r="R19" s="8">
        <v>1.0</v>
      </c>
      <c r="S19" s="8">
        <v>1.0</v>
      </c>
      <c r="T19" s="8">
        <v>1.0</v>
      </c>
      <c r="U19" s="8">
        <v>1.0</v>
      </c>
      <c r="V19" s="8">
        <v>1.0</v>
      </c>
      <c r="W19" s="8">
        <v>1.0</v>
      </c>
      <c r="X19" s="8">
        <v>1.0</v>
      </c>
      <c r="Y19" s="8">
        <v>1.0</v>
      </c>
      <c r="Z19" s="8">
        <v>1.0</v>
      </c>
      <c r="AA19" s="8">
        <v>1.0</v>
      </c>
      <c r="AB19" s="8">
        <v>1.0</v>
      </c>
      <c r="AC19" s="8">
        <v>1.0</v>
      </c>
      <c r="AD19" s="8">
        <v>1.0</v>
      </c>
      <c r="AE19" s="8">
        <v>1.0</v>
      </c>
      <c r="AF19" s="8">
        <v>1.0</v>
      </c>
      <c r="AG19" s="28"/>
      <c r="AH19" s="28"/>
      <c r="AI19" s="28"/>
      <c r="AJ19" s="28">
        <f t="shared" si="1"/>
        <v>17</v>
      </c>
      <c r="AK19" s="23">
        <f t="shared" ref="AK19:AK20" si="7">550*AJ19</f>
        <v>9350</v>
      </c>
      <c r="AL19" s="24"/>
      <c r="AM19" s="4" t="s">
        <v>59</v>
      </c>
      <c r="AN19" s="1"/>
      <c r="AO19" s="1"/>
      <c r="AP19" s="1"/>
      <c r="AQ19" s="1"/>
      <c r="AR19" s="1"/>
      <c r="AS19" s="1"/>
      <c r="AT19" s="1"/>
      <c r="AU19" s="1"/>
    </row>
    <row r="20" ht="15.75" customHeight="1">
      <c r="A20" s="10"/>
      <c r="B20" s="10"/>
      <c r="C20" s="10"/>
      <c r="D20" s="28" t="s">
        <v>7</v>
      </c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>
        <v>1.0</v>
      </c>
      <c r="Q20" s="8">
        <v>1.0</v>
      </c>
      <c r="R20" s="8">
        <v>1.0</v>
      </c>
      <c r="S20" s="8">
        <v>1.0</v>
      </c>
      <c r="T20" s="8">
        <v>1.0</v>
      </c>
      <c r="U20" s="8">
        <v>1.0</v>
      </c>
      <c r="V20" s="8">
        <v>1.0</v>
      </c>
      <c r="W20" s="8">
        <v>1.0</v>
      </c>
      <c r="X20" s="8">
        <v>1.0</v>
      </c>
      <c r="Y20" s="8">
        <v>1.0</v>
      </c>
      <c r="Z20" s="8">
        <v>1.0</v>
      </c>
      <c r="AA20" s="8">
        <v>1.0</v>
      </c>
      <c r="AB20" s="8">
        <v>1.0</v>
      </c>
      <c r="AC20" s="8">
        <v>1.0</v>
      </c>
      <c r="AD20" s="8">
        <v>1.0</v>
      </c>
      <c r="AE20" s="8">
        <v>1.0</v>
      </c>
      <c r="AF20" s="8">
        <v>1.0</v>
      </c>
      <c r="AG20" s="28"/>
      <c r="AH20" s="28"/>
      <c r="AI20" s="28"/>
      <c r="AJ20" s="28">
        <f t="shared" si="1"/>
        <v>17</v>
      </c>
      <c r="AK20" s="23">
        <f t="shared" si="7"/>
        <v>9350</v>
      </c>
      <c r="AL20" s="26">
        <f>SUM(AK18:AK20)</f>
        <v>18700</v>
      </c>
      <c r="AM20" s="4" t="s">
        <v>54</v>
      </c>
      <c r="AN20" s="1"/>
      <c r="AO20" s="1"/>
      <c r="AP20" s="1"/>
      <c r="AQ20" s="1"/>
      <c r="AR20" s="1"/>
      <c r="AS20" s="1"/>
      <c r="AT20" s="1"/>
      <c r="AU20" s="1"/>
    </row>
    <row r="21" ht="15.75" customHeight="1">
      <c r="A21" s="12"/>
      <c r="B21" s="12"/>
      <c r="C21" s="12"/>
      <c r="D21" s="13" t="s">
        <v>5</v>
      </c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>
        <f t="shared" si="1"/>
        <v>0</v>
      </c>
      <c r="AK21" s="14">
        <f>330*AJ21</f>
        <v>0</v>
      </c>
      <c r="AL21" s="19"/>
      <c r="AM21" s="4"/>
      <c r="AN21" s="1"/>
      <c r="AO21" s="1"/>
      <c r="AP21" s="1"/>
      <c r="AQ21" s="1"/>
      <c r="AR21" s="1"/>
      <c r="AS21" s="1"/>
      <c r="AT21" s="1"/>
      <c r="AU21" s="1"/>
    </row>
    <row r="22" ht="15.75" customHeight="1">
      <c r="A22" s="16"/>
      <c r="B22" s="16"/>
      <c r="C22" s="16"/>
      <c r="D22" s="13" t="s">
        <v>6</v>
      </c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>
        <f t="shared" si="1"/>
        <v>0</v>
      </c>
      <c r="AK22" s="14">
        <f t="shared" ref="AK22:AK23" si="8">550*AJ22</f>
        <v>0</v>
      </c>
      <c r="AL22" s="19"/>
      <c r="AM22" s="4"/>
      <c r="AN22" s="1"/>
      <c r="AO22" s="1"/>
      <c r="AP22" s="1"/>
      <c r="AQ22" s="1"/>
      <c r="AR22" s="1"/>
      <c r="AS22" s="1"/>
      <c r="AT22" s="1"/>
      <c r="AU22" s="1"/>
    </row>
    <row r="23" ht="15.75" customHeight="1">
      <c r="A23" s="10"/>
      <c r="B23" s="10"/>
      <c r="C23" s="10"/>
      <c r="D23" s="13" t="s">
        <v>7</v>
      </c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>
        <f t="shared" si="1"/>
        <v>0</v>
      </c>
      <c r="AK23" s="14">
        <f t="shared" si="8"/>
        <v>0</v>
      </c>
      <c r="AL23" s="20">
        <f>SUM(AK21:AK23)</f>
        <v>0</v>
      </c>
      <c r="AM23" s="4"/>
      <c r="AN23" s="1"/>
      <c r="AO23" s="1"/>
      <c r="AP23" s="1"/>
      <c r="AQ23" s="1"/>
      <c r="AR23" s="1"/>
      <c r="AS23" s="1"/>
      <c r="AT23" s="1"/>
      <c r="AU23" s="1"/>
    </row>
    <row r="24" ht="15.75" customHeight="1">
      <c r="A24" s="12"/>
      <c r="B24" s="12"/>
      <c r="C24" s="12"/>
      <c r="D24" s="13" t="s">
        <v>5</v>
      </c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>
        <f t="shared" si="1"/>
        <v>0</v>
      </c>
      <c r="AK24" s="23">
        <f>330*AJ24</f>
        <v>0</v>
      </c>
      <c r="AL24" s="24"/>
      <c r="AM24" s="4"/>
      <c r="AN24" s="1"/>
      <c r="AO24" s="1"/>
      <c r="AP24" s="1"/>
      <c r="AQ24" s="1"/>
      <c r="AR24" s="1"/>
      <c r="AS24" s="1"/>
      <c r="AT24" s="1"/>
      <c r="AU24" s="1"/>
    </row>
    <row r="25" ht="15.75" customHeight="1">
      <c r="A25" s="16"/>
      <c r="B25" s="16"/>
      <c r="C25" s="16"/>
      <c r="D25" s="13" t="s">
        <v>6</v>
      </c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>
        <f t="shared" si="1"/>
        <v>0</v>
      </c>
      <c r="AK25" s="23">
        <f t="shared" ref="AK25:AK26" si="9">550*AJ25</f>
        <v>0</v>
      </c>
      <c r="AL25" s="24"/>
      <c r="AM25" s="4">
        <f>330*18</f>
        <v>5940</v>
      </c>
      <c r="AN25" s="1"/>
      <c r="AO25" s="1"/>
      <c r="AP25" s="1"/>
      <c r="AQ25" s="1"/>
      <c r="AR25" s="1"/>
      <c r="AS25" s="1"/>
      <c r="AT25" s="1"/>
      <c r="AU25" s="1"/>
    </row>
    <row r="26" ht="15.75" customHeight="1">
      <c r="A26" s="10"/>
      <c r="B26" s="10"/>
      <c r="C26" s="10"/>
      <c r="D26" s="13" t="s">
        <v>7</v>
      </c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>
        <f t="shared" si="1"/>
        <v>0</v>
      </c>
      <c r="AK26" s="23">
        <f t="shared" si="9"/>
        <v>0</v>
      </c>
      <c r="AL26" s="26">
        <f>SUM(AK24:AK26)</f>
        <v>0</v>
      </c>
      <c r="AM26" s="4"/>
      <c r="AN26" s="1"/>
      <c r="AO26" s="1"/>
      <c r="AP26" s="1"/>
      <c r="AQ26" s="1"/>
      <c r="AR26" s="1"/>
      <c r="AS26" s="1"/>
      <c r="AT26" s="1"/>
      <c r="AU26" s="1"/>
    </row>
    <row r="27" ht="15.75" customHeight="1">
      <c r="A27" s="12"/>
      <c r="B27" s="12"/>
      <c r="C27" s="12"/>
      <c r="D27" s="13" t="s">
        <v>5</v>
      </c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>
        <f t="shared" si="1"/>
        <v>0</v>
      </c>
      <c r="AK27" s="14">
        <f>330*AJ27</f>
        <v>0</v>
      </c>
      <c r="AL27" s="19"/>
      <c r="AM27" s="4"/>
      <c r="AN27" s="1"/>
      <c r="AO27" s="1"/>
      <c r="AP27" s="1"/>
      <c r="AQ27" s="1"/>
      <c r="AR27" s="1"/>
      <c r="AS27" s="1"/>
      <c r="AT27" s="1"/>
      <c r="AU27" s="1"/>
    </row>
    <row r="28" ht="15.75" customHeight="1">
      <c r="A28" s="16"/>
      <c r="B28" s="16"/>
      <c r="C28" s="16"/>
      <c r="D28" s="13" t="s">
        <v>6</v>
      </c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>
        <f t="shared" si="1"/>
        <v>0</v>
      </c>
      <c r="AK28" s="14">
        <f t="shared" ref="AK28:AK29" si="10">550*AJ28</f>
        <v>0</v>
      </c>
      <c r="AL28" s="19"/>
      <c r="AM28" s="4"/>
      <c r="AN28" s="1"/>
      <c r="AO28" s="1"/>
      <c r="AP28" s="1"/>
      <c r="AQ28" s="1"/>
      <c r="AR28" s="1"/>
      <c r="AS28" s="1"/>
      <c r="AT28" s="1"/>
      <c r="AU28" s="1"/>
    </row>
    <row r="29" ht="15.75" customHeight="1">
      <c r="A29" s="10"/>
      <c r="B29" s="10"/>
      <c r="C29" s="10"/>
      <c r="D29" s="13" t="s">
        <v>7</v>
      </c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>
        <f t="shared" si="1"/>
        <v>0</v>
      </c>
      <c r="AK29" s="14">
        <f t="shared" si="10"/>
        <v>0</v>
      </c>
      <c r="AL29" s="20">
        <f>SUM(AK27:AK29)</f>
        <v>0</v>
      </c>
      <c r="AM29" s="4"/>
      <c r="AN29" s="1"/>
      <c r="AO29" s="1"/>
      <c r="AP29" s="1"/>
      <c r="AQ29" s="1"/>
      <c r="AR29" s="1"/>
      <c r="AS29" s="1"/>
      <c r="AT29" s="1"/>
      <c r="AU29" s="1"/>
    </row>
    <row r="30" ht="15.75" customHeight="1">
      <c r="A30" s="12"/>
      <c r="B30" s="12"/>
      <c r="C30" s="12"/>
      <c r="D30" s="13" t="s">
        <v>5</v>
      </c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>
        <f t="shared" si="1"/>
        <v>0</v>
      </c>
      <c r="AK30" s="23">
        <f>330*AJ30</f>
        <v>0</v>
      </c>
      <c r="AL30" s="24"/>
      <c r="AM30" s="4"/>
      <c r="AN30" s="1"/>
      <c r="AO30" s="1"/>
      <c r="AP30" s="1"/>
      <c r="AQ30" s="1"/>
      <c r="AR30" s="1"/>
      <c r="AS30" s="1"/>
      <c r="AT30" s="1"/>
      <c r="AU30" s="1"/>
    </row>
    <row r="31" ht="15.75" customHeight="1">
      <c r="A31" s="16"/>
      <c r="B31" s="16"/>
      <c r="C31" s="16"/>
      <c r="D31" s="13" t="s">
        <v>6</v>
      </c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>
        <f t="shared" si="1"/>
        <v>0</v>
      </c>
      <c r="AK31" s="23">
        <f t="shared" ref="AK31:AK32" si="11">550*AJ31</f>
        <v>0</v>
      </c>
      <c r="AL31" s="24"/>
      <c r="AM31" s="4"/>
      <c r="AN31" s="1"/>
      <c r="AO31" s="1"/>
      <c r="AP31" s="1"/>
      <c r="AQ31" s="1"/>
      <c r="AR31" s="1"/>
      <c r="AS31" s="1"/>
      <c r="AT31" s="1"/>
      <c r="AU31" s="1"/>
    </row>
    <row r="32" ht="15.75" customHeight="1">
      <c r="A32" s="10"/>
      <c r="B32" s="10"/>
      <c r="C32" s="10"/>
      <c r="D32" s="13" t="s">
        <v>7</v>
      </c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>
        <f t="shared" si="1"/>
        <v>0</v>
      </c>
      <c r="AK32" s="23">
        <f t="shared" si="11"/>
        <v>0</v>
      </c>
      <c r="AL32" s="26">
        <f>SUM(AK30:AK32)</f>
        <v>0</v>
      </c>
      <c r="AM32" s="4"/>
      <c r="AN32" s="1"/>
      <c r="AO32" s="1"/>
      <c r="AP32" s="1"/>
      <c r="AQ32" s="1"/>
      <c r="AR32" s="1"/>
      <c r="AS32" s="1"/>
      <c r="AT32" s="1"/>
      <c r="AU32" s="1"/>
    </row>
    <row r="33" ht="15.75" customHeight="1">
      <c r="A33" s="12"/>
      <c r="B33" s="12"/>
      <c r="C33" s="12"/>
      <c r="D33" s="13" t="s">
        <v>5</v>
      </c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>
        <f t="shared" si="1"/>
        <v>0</v>
      </c>
      <c r="AK33" s="1"/>
      <c r="AL33" s="1"/>
      <c r="AM33" s="4"/>
      <c r="AN33" s="1"/>
      <c r="AO33" s="1"/>
      <c r="AP33" s="1"/>
      <c r="AQ33" s="1"/>
      <c r="AR33" s="1"/>
      <c r="AS33" s="1"/>
      <c r="AT33" s="1"/>
      <c r="AU33" s="1"/>
    </row>
    <row r="34" ht="15.75" customHeight="1">
      <c r="A34" s="16"/>
      <c r="B34" s="16"/>
      <c r="C34" s="16"/>
      <c r="D34" s="13" t="s">
        <v>6</v>
      </c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>
        <f t="shared" si="1"/>
        <v>0</v>
      </c>
      <c r="AK34" s="1"/>
      <c r="AL34" s="1"/>
      <c r="AM34" s="4"/>
      <c r="AN34" s="1"/>
      <c r="AO34" s="1"/>
      <c r="AP34" s="1"/>
      <c r="AQ34" s="1"/>
      <c r="AR34" s="1"/>
      <c r="AS34" s="1"/>
      <c r="AT34" s="1"/>
      <c r="AU34" s="1"/>
    </row>
    <row r="35" ht="15.75" customHeight="1">
      <c r="A35" s="10"/>
      <c r="B35" s="10"/>
      <c r="C35" s="10"/>
      <c r="D35" s="13" t="s">
        <v>7</v>
      </c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>
        <f t="shared" si="1"/>
        <v>0</v>
      </c>
      <c r="AK35" s="1"/>
      <c r="AL35" s="1"/>
      <c r="AM35" s="4"/>
      <c r="AN35" s="1"/>
      <c r="AO35" s="1"/>
      <c r="AP35" s="1"/>
      <c r="AQ35" s="1"/>
      <c r="AR35" s="1"/>
      <c r="AS35" s="1"/>
      <c r="AT35" s="1"/>
      <c r="AU35" s="1"/>
    </row>
    <row r="36" ht="15.75" customHeight="1">
      <c r="A36" s="12"/>
      <c r="B36" s="12"/>
      <c r="C36" s="12"/>
      <c r="D36" s="13" t="s">
        <v>5</v>
      </c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>
        <f t="shared" si="1"/>
        <v>0</v>
      </c>
      <c r="AK36" s="1"/>
      <c r="AL36" s="1"/>
      <c r="AM36" s="4"/>
      <c r="AN36" s="1"/>
      <c r="AO36" s="1"/>
      <c r="AP36" s="1"/>
      <c r="AQ36" s="1"/>
      <c r="AR36" s="1"/>
      <c r="AS36" s="1"/>
      <c r="AT36" s="1"/>
      <c r="AU36" s="1"/>
    </row>
    <row r="37" ht="15.75" customHeight="1">
      <c r="A37" s="16"/>
      <c r="B37" s="16"/>
      <c r="C37" s="16"/>
      <c r="D37" s="13" t="s">
        <v>6</v>
      </c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>
        <f t="shared" si="1"/>
        <v>0</v>
      </c>
      <c r="AK37" s="1"/>
      <c r="AL37" s="1"/>
      <c r="AM37" s="4"/>
      <c r="AN37" s="1"/>
      <c r="AO37" s="1"/>
      <c r="AP37" s="1"/>
      <c r="AQ37" s="1"/>
      <c r="AR37" s="1"/>
      <c r="AS37" s="1"/>
      <c r="AT37" s="1"/>
      <c r="AU37" s="1"/>
    </row>
    <row r="38" ht="15.75" customHeight="1">
      <c r="A38" s="10"/>
      <c r="B38" s="10"/>
      <c r="C38" s="10"/>
      <c r="D38" s="13" t="s">
        <v>7</v>
      </c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>
        <f t="shared" si="1"/>
        <v>0</v>
      </c>
      <c r="AK38" s="1"/>
      <c r="AL38" s="1"/>
      <c r="AM38" s="4"/>
      <c r="AN38" s="1"/>
      <c r="AO38" s="1"/>
      <c r="AP38" s="1"/>
      <c r="AQ38" s="1"/>
      <c r="AR38" s="1"/>
      <c r="AS38" s="1"/>
      <c r="AT38" s="1"/>
      <c r="AU38" s="1"/>
    </row>
    <row r="39" ht="15.75" customHeight="1">
      <c r="A39" s="12"/>
      <c r="B39" s="12"/>
      <c r="C39" s="12"/>
      <c r="D39" s="13" t="s">
        <v>5</v>
      </c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>
        <f t="shared" si="1"/>
        <v>0</v>
      </c>
      <c r="AK39" s="1"/>
      <c r="AL39" s="1"/>
      <c r="AM39" s="4"/>
      <c r="AN39" s="1"/>
      <c r="AO39" s="1"/>
      <c r="AP39" s="1"/>
      <c r="AQ39" s="1"/>
      <c r="AR39" s="1"/>
      <c r="AS39" s="1"/>
      <c r="AT39" s="1"/>
      <c r="AU39" s="1"/>
    </row>
    <row r="40" ht="15.75" customHeight="1">
      <c r="A40" s="16"/>
      <c r="B40" s="16"/>
      <c r="C40" s="16"/>
      <c r="D40" s="13" t="s">
        <v>6</v>
      </c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>
        <f t="shared" si="1"/>
        <v>0</v>
      </c>
      <c r="AK40" s="1"/>
      <c r="AL40" s="1"/>
      <c r="AM40" s="4"/>
      <c r="AN40" s="1"/>
      <c r="AO40" s="1"/>
      <c r="AP40" s="1"/>
      <c r="AQ40" s="1"/>
      <c r="AR40" s="1"/>
      <c r="AS40" s="1"/>
      <c r="AT40" s="1"/>
      <c r="AU40" s="1"/>
    </row>
    <row r="41" ht="15.75" customHeight="1">
      <c r="A41" s="10"/>
      <c r="B41" s="10"/>
      <c r="C41" s="10"/>
      <c r="D41" s="13" t="s">
        <v>7</v>
      </c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>
        <f t="shared" si="1"/>
        <v>0</v>
      </c>
      <c r="AK41" s="1"/>
      <c r="AL41" s="1"/>
      <c r="AM41" s="4"/>
      <c r="AN41" s="1"/>
      <c r="AO41" s="1"/>
      <c r="AP41" s="1"/>
      <c r="AQ41" s="1"/>
      <c r="AR41" s="1"/>
      <c r="AS41" s="1"/>
      <c r="AT41" s="1"/>
      <c r="AU41" s="1"/>
    </row>
    <row r="42" ht="15.75" customHeight="1">
      <c r="A42" s="12"/>
      <c r="B42" s="12"/>
      <c r="C42" s="12"/>
      <c r="D42" s="13" t="s">
        <v>5</v>
      </c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>
        <f t="shared" si="1"/>
        <v>0</v>
      </c>
      <c r="AK42" s="1"/>
      <c r="AL42" s="1"/>
      <c r="AM42" s="4"/>
      <c r="AN42" s="1"/>
      <c r="AO42" s="1"/>
      <c r="AP42" s="1"/>
      <c r="AQ42" s="1"/>
      <c r="AR42" s="1"/>
      <c r="AS42" s="1"/>
      <c r="AT42" s="1"/>
      <c r="AU42" s="1"/>
    </row>
    <row r="43" ht="15.75" customHeight="1">
      <c r="A43" s="16"/>
      <c r="B43" s="16"/>
      <c r="C43" s="16"/>
      <c r="D43" s="13" t="s">
        <v>6</v>
      </c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>
        <f t="shared" si="1"/>
        <v>0</v>
      </c>
      <c r="AK43" s="1"/>
      <c r="AL43" s="1"/>
      <c r="AM43" s="4"/>
      <c r="AN43" s="1"/>
      <c r="AO43" s="1"/>
      <c r="AP43" s="1"/>
      <c r="AQ43" s="1"/>
      <c r="AR43" s="1"/>
      <c r="AS43" s="1"/>
      <c r="AT43" s="1"/>
      <c r="AU43" s="1"/>
    </row>
    <row r="44" ht="15.75" customHeight="1">
      <c r="A44" s="10"/>
      <c r="B44" s="10"/>
      <c r="C44" s="10"/>
      <c r="D44" s="13" t="s">
        <v>7</v>
      </c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>
        <f t="shared" si="1"/>
        <v>0</v>
      </c>
      <c r="AK44" s="1"/>
      <c r="AL44" s="1"/>
      <c r="AM44" s="4"/>
      <c r="AN44" s="1"/>
      <c r="AO44" s="1"/>
      <c r="AP44" s="1"/>
      <c r="AQ44" s="1"/>
      <c r="AR44" s="1"/>
      <c r="AS44" s="1"/>
      <c r="AT44" s="1"/>
      <c r="AU44" s="1"/>
    </row>
    <row r="45" ht="15.75" customHeight="1">
      <c r="A45" s="12"/>
      <c r="B45" s="12"/>
      <c r="C45" s="12"/>
      <c r="D45" s="13" t="s">
        <v>5</v>
      </c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>
        <f t="shared" si="1"/>
        <v>0</v>
      </c>
      <c r="AK45" s="1"/>
      <c r="AL45" s="1"/>
      <c r="AM45" s="4"/>
      <c r="AN45" s="1"/>
      <c r="AO45" s="1"/>
      <c r="AP45" s="1"/>
      <c r="AQ45" s="1"/>
      <c r="AR45" s="1"/>
      <c r="AS45" s="1"/>
      <c r="AT45" s="1"/>
      <c r="AU45" s="1"/>
    </row>
    <row r="46" ht="15.75" customHeight="1">
      <c r="A46" s="16"/>
      <c r="B46" s="16"/>
      <c r="C46" s="16"/>
      <c r="D46" s="13" t="s">
        <v>6</v>
      </c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>
        <f t="shared" si="1"/>
        <v>0</v>
      </c>
      <c r="AK46" s="1"/>
      <c r="AL46" s="1"/>
      <c r="AM46" s="4"/>
      <c r="AN46" s="1"/>
      <c r="AO46" s="1"/>
      <c r="AP46" s="1"/>
      <c r="AQ46" s="1"/>
      <c r="AR46" s="1"/>
      <c r="AS46" s="1"/>
      <c r="AT46" s="1"/>
      <c r="AU46" s="1"/>
    </row>
    <row r="47" ht="15.75" customHeight="1">
      <c r="A47" s="10"/>
      <c r="B47" s="10"/>
      <c r="C47" s="10"/>
      <c r="D47" s="13" t="s">
        <v>7</v>
      </c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>
        <f t="shared" si="1"/>
        <v>0</v>
      </c>
      <c r="AK47" s="1"/>
      <c r="AL47" s="1"/>
      <c r="AM47" s="4"/>
      <c r="AN47" s="1"/>
      <c r="AO47" s="1"/>
      <c r="AP47" s="1"/>
      <c r="AQ47" s="1"/>
      <c r="AR47" s="1"/>
      <c r="AS47" s="1"/>
      <c r="AT47" s="1"/>
      <c r="AU47" s="1"/>
    </row>
    <row r="48" ht="15.75" customHeight="1">
      <c r="A48" s="12"/>
      <c r="B48" s="12"/>
      <c r="C48" s="12"/>
      <c r="D48" s="13" t="s">
        <v>5</v>
      </c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>
        <f t="shared" si="1"/>
        <v>0</v>
      </c>
      <c r="AK48" s="1"/>
      <c r="AL48" s="1"/>
      <c r="AM48" s="4"/>
      <c r="AN48" s="1"/>
      <c r="AO48" s="1"/>
      <c r="AP48" s="1"/>
      <c r="AQ48" s="1"/>
      <c r="AR48" s="1"/>
      <c r="AS48" s="1"/>
      <c r="AT48" s="1"/>
      <c r="AU48" s="1"/>
    </row>
    <row r="49" ht="15.75" customHeight="1">
      <c r="A49" s="16"/>
      <c r="B49" s="16"/>
      <c r="C49" s="16"/>
      <c r="D49" s="13" t="s">
        <v>6</v>
      </c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>
        <f t="shared" si="1"/>
        <v>0</v>
      </c>
      <c r="AK49" s="1"/>
      <c r="AL49" s="1"/>
      <c r="AM49" s="4"/>
      <c r="AN49" s="1"/>
      <c r="AO49" s="1"/>
      <c r="AP49" s="1"/>
      <c r="AQ49" s="1"/>
      <c r="AR49" s="1"/>
      <c r="AS49" s="1"/>
      <c r="AT49" s="1"/>
      <c r="AU49" s="1"/>
    </row>
    <row r="50" ht="15.75" customHeight="1">
      <c r="A50" s="10"/>
      <c r="B50" s="10"/>
      <c r="C50" s="10"/>
      <c r="D50" s="13" t="s">
        <v>7</v>
      </c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>
        <f t="shared" si="1"/>
        <v>0</v>
      </c>
      <c r="AK50" s="1"/>
      <c r="AL50" s="1"/>
      <c r="AM50" s="4"/>
      <c r="AN50" s="1"/>
      <c r="AO50" s="1"/>
      <c r="AP50" s="1"/>
      <c r="AQ50" s="1"/>
      <c r="AR50" s="1"/>
      <c r="AS50" s="1"/>
      <c r="AT50" s="1"/>
      <c r="AU50" s="1"/>
    </row>
    <row r="51" ht="15.75" customHeight="1">
      <c r="A51" s="12"/>
      <c r="B51" s="12"/>
      <c r="C51" s="12"/>
      <c r="D51" s="13" t="s">
        <v>5</v>
      </c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>
        <f t="shared" si="1"/>
        <v>0</v>
      </c>
      <c r="AK51" s="1"/>
      <c r="AL51" s="1"/>
      <c r="AM51" s="4"/>
      <c r="AN51" s="1"/>
      <c r="AO51" s="1"/>
      <c r="AP51" s="1"/>
      <c r="AQ51" s="1"/>
      <c r="AR51" s="1"/>
      <c r="AS51" s="1"/>
      <c r="AT51" s="1"/>
      <c r="AU51" s="1"/>
    </row>
    <row r="52" ht="15.75" customHeight="1">
      <c r="A52" s="16"/>
      <c r="B52" s="16"/>
      <c r="C52" s="16"/>
      <c r="D52" s="13" t="s">
        <v>6</v>
      </c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>
        <f t="shared" si="1"/>
        <v>0</v>
      </c>
      <c r="AK52" s="1"/>
      <c r="AL52" s="1"/>
      <c r="AM52" s="4"/>
      <c r="AN52" s="1"/>
      <c r="AO52" s="1"/>
      <c r="AP52" s="1"/>
      <c r="AQ52" s="1"/>
      <c r="AR52" s="1"/>
      <c r="AS52" s="1"/>
      <c r="AT52" s="1"/>
      <c r="AU52" s="1"/>
    </row>
    <row r="53" ht="15.75" customHeight="1">
      <c r="A53" s="10"/>
      <c r="B53" s="10"/>
      <c r="C53" s="10"/>
      <c r="D53" s="13" t="s">
        <v>7</v>
      </c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>
        <f t="shared" si="1"/>
        <v>0</v>
      </c>
      <c r="AK53" s="1"/>
      <c r="AL53" s="1"/>
      <c r="AM53" s="4"/>
      <c r="AN53" s="1"/>
      <c r="AO53" s="1"/>
      <c r="AP53" s="1"/>
      <c r="AQ53" s="1"/>
      <c r="AR53" s="1"/>
      <c r="AS53" s="1"/>
      <c r="AT53" s="1"/>
      <c r="AU53" s="1"/>
    </row>
    <row r="54" ht="15.75" customHeight="1">
      <c r="A54" s="12"/>
      <c r="B54" s="12"/>
      <c r="C54" s="12"/>
      <c r="D54" s="13" t="s">
        <v>5</v>
      </c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>
        <f t="shared" si="1"/>
        <v>0</v>
      </c>
      <c r="AK54" s="1"/>
      <c r="AL54" s="1"/>
      <c r="AM54" s="4"/>
      <c r="AN54" s="1"/>
      <c r="AO54" s="1"/>
      <c r="AP54" s="1"/>
      <c r="AQ54" s="1"/>
      <c r="AR54" s="1"/>
      <c r="AS54" s="1"/>
      <c r="AT54" s="1"/>
      <c r="AU54" s="1"/>
    </row>
    <row r="55" ht="15.75" customHeight="1">
      <c r="A55" s="16"/>
      <c r="B55" s="16"/>
      <c r="C55" s="16"/>
      <c r="D55" s="13" t="s">
        <v>6</v>
      </c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>
        <f t="shared" si="1"/>
        <v>0</v>
      </c>
      <c r="AK55" s="1"/>
      <c r="AL55" s="1"/>
      <c r="AM55" s="4"/>
      <c r="AN55" s="1"/>
      <c r="AO55" s="1"/>
      <c r="AP55" s="1"/>
      <c r="AQ55" s="1"/>
      <c r="AR55" s="1"/>
      <c r="AS55" s="1"/>
      <c r="AT55" s="1"/>
      <c r="AU55" s="1"/>
    </row>
    <row r="56" ht="15.75" customHeight="1">
      <c r="A56" s="10"/>
      <c r="B56" s="10"/>
      <c r="C56" s="10"/>
      <c r="D56" s="13" t="s">
        <v>7</v>
      </c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>
        <f t="shared" si="1"/>
        <v>0</v>
      </c>
      <c r="AK56" s="1"/>
      <c r="AL56" s="1"/>
      <c r="AM56" s="4"/>
      <c r="AN56" s="1"/>
      <c r="AO56" s="1"/>
      <c r="AP56" s="1"/>
      <c r="AQ56" s="1"/>
      <c r="AR56" s="1"/>
      <c r="AS56" s="1"/>
      <c r="AT56" s="1"/>
      <c r="AU56" s="1"/>
    </row>
    <row r="57" ht="15.75" customHeight="1">
      <c r="A57" s="12"/>
      <c r="B57" s="12"/>
      <c r="C57" s="12"/>
      <c r="D57" s="13" t="s">
        <v>5</v>
      </c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>
        <f t="shared" si="1"/>
        <v>0</v>
      </c>
      <c r="AK57" s="1"/>
      <c r="AL57" s="1"/>
      <c r="AM57" s="4"/>
      <c r="AN57" s="1"/>
      <c r="AO57" s="1"/>
      <c r="AP57" s="1"/>
      <c r="AQ57" s="1"/>
      <c r="AR57" s="1"/>
      <c r="AS57" s="1"/>
      <c r="AT57" s="1"/>
      <c r="AU57" s="1"/>
    </row>
    <row r="58" ht="15.75" customHeight="1">
      <c r="A58" s="16"/>
      <c r="B58" s="16"/>
      <c r="C58" s="16"/>
      <c r="D58" s="13" t="s">
        <v>6</v>
      </c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>
        <f t="shared" si="1"/>
        <v>0</v>
      </c>
      <c r="AK58" s="1"/>
      <c r="AL58" s="1"/>
      <c r="AM58" s="4"/>
      <c r="AN58" s="1"/>
      <c r="AO58" s="1"/>
      <c r="AP58" s="1"/>
      <c r="AQ58" s="1"/>
      <c r="AR58" s="1"/>
      <c r="AS58" s="1"/>
      <c r="AT58" s="1"/>
      <c r="AU58" s="1"/>
    </row>
    <row r="59" ht="15.75" customHeight="1">
      <c r="A59" s="10"/>
      <c r="B59" s="10"/>
      <c r="C59" s="10"/>
      <c r="D59" s="13" t="s">
        <v>7</v>
      </c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>
        <f t="shared" si="1"/>
        <v>0</v>
      </c>
      <c r="AK59" s="1"/>
      <c r="AL59" s="1"/>
      <c r="AM59" s="4"/>
      <c r="AN59" s="1"/>
      <c r="AO59" s="1"/>
      <c r="AP59" s="1"/>
      <c r="AQ59" s="1"/>
      <c r="AR59" s="1"/>
      <c r="AS59" s="1"/>
      <c r="AT59" s="1"/>
      <c r="AU59" s="1"/>
    </row>
    <row r="60" ht="15.75" customHeight="1">
      <c r="A60" s="12"/>
      <c r="B60" s="12"/>
      <c r="C60" s="12"/>
      <c r="D60" s="13" t="s">
        <v>5</v>
      </c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>
        <f t="shared" si="1"/>
        <v>0</v>
      </c>
      <c r="AK60" s="1"/>
      <c r="AL60" s="1"/>
      <c r="AM60" s="4"/>
      <c r="AN60" s="1"/>
      <c r="AO60" s="1"/>
      <c r="AP60" s="1"/>
      <c r="AQ60" s="1"/>
      <c r="AR60" s="1"/>
      <c r="AS60" s="1"/>
      <c r="AT60" s="1"/>
      <c r="AU60" s="1"/>
    </row>
    <row r="61" ht="15.75" customHeight="1">
      <c r="A61" s="16"/>
      <c r="B61" s="16"/>
      <c r="C61" s="16"/>
      <c r="D61" s="13" t="s">
        <v>6</v>
      </c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>
        <f t="shared" si="1"/>
        <v>0</v>
      </c>
      <c r="AK61" s="1"/>
      <c r="AL61" s="1"/>
      <c r="AM61" s="4"/>
      <c r="AN61" s="1"/>
      <c r="AO61" s="1"/>
      <c r="AP61" s="1"/>
      <c r="AQ61" s="1"/>
      <c r="AR61" s="1"/>
      <c r="AS61" s="1"/>
      <c r="AT61" s="1"/>
      <c r="AU61" s="1"/>
    </row>
    <row r="62" ht="15.75" customHeight="1">
      <c r="A62" s="10"/>
      <c r="B62" s="10"/>
      <c r="C62" s="10"/>
      <c r="D62" s="13" t="s">
        <v>7</v>
      </c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>
        <f t="shared" si="1"/>
        <v>0</v>
      </c>
      <c r="AK62" s="1"/>
      <c r="AL62" s="1"/>
      <c r="AM62" s="4"/>
      <c r="AN62" s="1"/>
      <c r="AO62" s="1"/>
      <c r="AP62" s="1"/>
      <c r="AQ62" s="1"/>
      <c r="AR62" s="1"/>
      <c r="AS62" s="1"/>
      <c r="AT62" s="1"/>
      <c r="AU62" s="1"/>
    </row>
    <row r="63" ht="15.75" customHeight="1">
      <c r="A63" s="12"/>
      <c r="B63" s="12"/>
      <c r="C63" s="12"/>
      <c r="D63" s="13" t="s">
        <v>5</v>
      </c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>
        <f t="shared" si="1"/>
        <v>0</v>
      </c>
      <c r="AK63" s="1"/>
      <c r="AL63" s="1"/>
      <c r="AM63" s="4"/>
      <c r="AN63" s="1"/>
      <c r="AO63" s="1"/>
      <c r="AP63" s="1"/>
      <c r="AQ63" s="1"/>
      <c r="AR63" s="1"/>
      <c r="AS63" s="1"/>
      <c r="AT63" s="1"/>
      <c r="AU63" s="1"/>
    </row>
    <row r="64" ht="15.75" customHeight="1">
      <c r="A64" s="16"/>
      <c r="B64" s="16"/>
      <c r="C64" s="16"/>
      <c r="D64" s="13" t="s">
        <v>6</v>
      </c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>
        <f t="shared" si="1"/>
        <v>0</v>
      </c>
      <c r="AK64" s="1"/>
      <c r="AL64" s="1"/>
      <c r="AM64" s="4"/>
      <c r="AN64" s="1"/>
      <c r="AO64" s="1"/>
      <c r="AP64" s="1"/>
      <c r="AQ64" s="1"/>
      <c r="AR64" s="1"/>
      <c r="AS64" s="1"/>
      <c r="AT64" s="1"/>
      <c r="AU64" s="1"/>
    </row>
    <row r="65" ht="15.75" customHeight="1">
      <c r="A65" s="10"/>
      <c r="B65" s="10"/>
      <c r="C65" s="10"/>
      <c r="D65" s="13" t="s">
        <v>7</v>
      </c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>
        <f t="shared" si="1"/>
        <v>0</v>
      </c>
      <c r="AK65" s="1"/>
      <c r="AL65" s="1"/>
      <c r="AM65" s="4"/>
      <c r="AN65" s="1"/>
      <c r="AO65" s="1"/>
      <c r="AP65" s="1"/>
      <c r="AQ65" s="1"/>
      <c r="AR65" s="1"/>
      <c r="AS65" s="1"/>
      <c r="AT65" s="1"/>
      <c r="AU65" s="1"/>
    </row>
    <row r="66" ht="15.75" customHeight="1">
      <c r="A66" s="12"/>
      <c r="B66" s="12"/>
      <c r="C66" s="12"/>
      <c r="D66" s="13" t="s">
        <v>5</v>
      </c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>
        <f t="shared" si="1"/>
        <v>0</v>
      </c>
      <c r="AK66" s="1"/>
      <c r="AL66" s="1"/>
      <c r="AM66" s="4"/>
      <c r="AN66" s="1"/>
      <c r="AO66" s="1"/>
      <c r="AP66" s="1"/>
      <c r="AQ66" s="1"/>
      <c r="AR66" s="1"/>
      <c r="AS66" s="1"/>
      <c r="AT66" s="1"/>
      <c r="AU66" s="1"/>
    </row>
    <row r="67" ht="15.75" customHeight="1">
      <c r="A67" s="16"/>
      <c r="B67" s="16"/>
      <c r="C67" s="16"/>
      <c r="D67" s="13" t="s">
        <v>6</v>
      </c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>
        <f t="shared" si="1"/>
        <v>0</v>
      </c>
      <c r="AK67" s="1"/>
      <c r="AL67" s="1"/>
      <c r="AM67" s="4"/>
      <c r="AN67" s="1"/>
      <c r="AO67" s="1"/>
      <c r="AP67" s="1"/>
      <c r="AQ67" s="1"/>
      <c r="AR67" s="1"/>
      <c r="AS67" s="1"/>
      <c r="AT67" s="1"/>
      <c r="AU67" s="1"/>
    </row>
    <row r="68" ht="15.75" customHeight="1">
      <c r="A68" s="10"/>
      <c r="B68" s="10"/>
      <c r="C68" s="10"/>
      <c r="D68" s="13" t="s">
        <v>7</v>
      </c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>
        <f t="shared" si="1"/>
        <v>0</v>
      </c>
      <c r="AK68" s="1"/>
      <c r="AL68" s="1"/>
      <c r="AM68" s="4"/>
      <c r="AN68" s="1"/>
      <c r="AO68" s="1"/>
      <c r="AP68" s="1"/>
      <c r="AQ68" s="1"/>
      <c r="AR68" s="1"/>
      <c r="AS68" s="1"/>
      <c r="AT68" s="1"/>
      <c r="AU68" s="1"/>
    </row>
    <row r="69" ht="15.75" customHeight="1">
      <c r="A69" s="12"/>
      <c r="B69" s="12"/>
      <c r="C69" s="12"/>
      <c r="D69" s="13" t="s">
        <v>5</v>
      </c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>
        <f t="shared" si="1"/>
        <v>0</v>
      </c>
      <c r="AK69" s="1"/>
      <c r="AL69" s="1"/>
      <c r="AM69" s="4"/>
      <c r="AN69" s="1"/>
      <c r="AO69" s="1"/>
      <c r="AP69" s="1"/>
      <c r="AQ69" s="1"/>
      <c r="AR69" s="1"/>
      <c r="AS69" s="1"/>
      <c r="AT69" s="1"/>
      <c r="AU69" s="1"/>
    </row>
    <row r="70" ht="15.75" customHeight="1">
      <c r="A70" s="16"/>
      <c r="B70" s="16"/>
      <c r="C70" s="16"/>
      <c r="D70" s="13" t="s">
        <v>6</v>
      </c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>
        <f t="shared" si="1"/>
        <v>0</v>
      </c>
      <c r="AK70" s="1"/>
      <c r="AL70" s="1"/>
      <c r="AM70" s="4"/>
      <c r="AN70" s="1"/>
      <c r="AO70" s="1"/>
      <c r="AP70" s="1"/>
      <c r="AQ70" s="1"/>
      <c r="AR70" s="1"/>
      <c r="AS70" s="1"/>
      <c r="AT70" s="1"/>
      <c r="AU70" s="1"/>
    </row>
    <row r="71" ht="15.75" customHeight="1">
      <c r="A71" s="10"/>
      <c r="B71" s="10"/>
      <c r="C71" s="10"/>
      <c r="D71" s="13" t="s">
        <v>7</v>
      </c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>
        <f t="shared" si="1"/>
        <v>0</v>
      </c>
      <c r="AK71" s="1"/>
      <c r="AL71" s="1"/>
      <c r="AM71" s="4"/>
      <c r="AN71" s="1"/>
      <c r="AO71" s="1"/>
      <c r="AP71" s="1"/>
      <c r="AQ71" s="1"/>
      <c r="AR71" s="1"/>
      <c r="AS71" s="1"/>
      <c r="AT71" s="1"/>
      <c r="AU71" s="1"/>
    </row>
    <row r="72" ht="15.75" customHeight="1">
      <c r="A72" s="31"/>
      <c r="B72" s="31"/>
      <c r="C72" s="3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4"/>
      <c r="AN72" s="1"/>
      <c r="AO72" s="1"/>
      <c r="AP72" s="1"/>
      <c r="AQ72" s="1"/>
      <c r="AR72" s="1"/>
      <c r="AS72" s="1"/>
      <c r="AT72" s="1"/>
      <c r="AU72" s="1"/>
    </row>
    <row r="73" ht="15.75" customHeight="1">
      <c r="A73" s="31"/>
      <c r="B73" s="31"/>
      <c r="C73" s="3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4"/>
      <c r="AN73" s="1"/>
      <c r="AO73" s="1"/>
      <c r="AP73" s="1"/>
      <c r="AQ73" s="1"/>
      <c r="AR73" s="1"/>
      <c r="AS73" s="1"/>
      <c r="AT73" s="1"/>
      <c r="AU73" s="1"/>
    </row>
    <row r="74" ht="15.75" customHeight="1">
      <c r="A74" s="31"/>
      <c r="B74" s="31"/>
      <c r="C74" s="3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4"/>
      <c r="AN74" s="1"/>
      <c r="AO74" s="1"/>
      <c r="AP74" s="1"/>
      <c r="AQ74" s="1"/>
      <c r="AR74" s="1"/>
      <c r="AS74" s="1"/>
      <c r="AT74" s="1"/>
      <c r="AU74" s="1"/>
    </row>
    <row r="75" ht="15.75" customHeight="1">
      <c r="A75" s="31"/>
      <c r="B75" s="31"/>
      <c r="C75" s="3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4"/>
      <c r="AN75" s="1"/>
      <c r="AO75" s="1"/>
      <c r="AP75" s="1"/>
      <c r="AQ75" s="1"/>
      <c r="AR75" s="1"/>
      <c r="AS75" s="1"/>
      <c r="AT75" s="1"/>
      <c r="AU75" s="1"/>
    </row>
    <row r="76" ht="15.75" customHeight="1">
      <c r="A76" s="31"/>
      <c r="B76" s="31"/>
      <c r="C76" s="3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4"/>
      <c r="AN76" s="1"/>
      <c r="AO76" s="1"/>
      <c r="AP76" s="1"/>
      <c r="AQ76" s="1"/>
      <c r="AR76" s="1"/>
      <c r="AS76" s="1"/>
      <c r="AT76" s="1"/>
      <c r="AU76" s="1"/>
    </row>
    <row r="77" ht="15.75" customHeight="1">
      <c r="A77" s="31"/>
      <c r="B77" s="31"/>
      <c r="C77" s="3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4"/>
      <c r="AN77" s="1"/>
      <c r="AO77" s="1"/>
      <c r="AP77" s="1"/>
      <c r="AQ77" s="1"/>
      <c r="AR77" s="1"/>
      <c r="AS77" s="1"/>
      <c r="AT77" s="1"/>
      <c r="AU77" s="1"/>
    </row>
    <row r="78" ht="15.75" customHeight="1">
      <c r="A78" s="31"/>
      <c r="B78" s="31"/>
      <c r="C78" s="3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4"/>
      <c r="AN78" s="1"/>
      <c r="AO78" s="1"/>
      <c r="AP78" s="1"/>
      <c r="AQ78" s="1"/>
      <c r="AR78" s="1"/>
      <c r="AS78" s="1"/>
      <c r="AT78" s="1"/>
      <c r="AU78" s="1"/>
    </row>
    <row r="79" ht="15.75" customHeight="1">
      <c r="A79" s="31"/>
      <c r="B79" s="31"/>
      <c r="C79" s="3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4"/>
      <c r="AN79" s="1"/>
      <c r="AO79" s="1"/>
      <c r="AP79" s="1"/>
      <c r="AQ79" s="1"/>
      <c r="AR79" s="1"/>
      <c r="AS79" s="1"/>
      <c r="AT79" s="1"/>
      <c r="AU79" s="1"/>
    </row>
    <row r="80" ht="15.75" customHeight="1">
      <c r="A80" s="31"/>
      <c r="B80" s="31"/>
      <c r="C80" s="3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4"/>
      <c r="AN80" s="1"/>
      <c r="AO80" s="1"/>
      <c r="AP80" s="1"/>
      <c r="AQ80" s="1"/>
      <c r="AR80" s="1"/>
      <c r="AS80" s="1"/>
      <c r="AT80" s="1"/>
      <c r="AU80" s="1"/>
    </row>
    <row r="81" ht="15.75" customHeight="1">
      <c r="A81" s="31"/>
      <c r="B81" s="31"/>
      <c r="C81" s="3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4"/>
      <c r="AN81" s="1"/>
      <c r="AO81" s="1"/>
      <c r="AP81" s="1"/>
      <c r="AQ81" s="1"/>
      <c r="AR81" s="1"/>
      <c r="AS81" s="1"/>
      <c r="AT81" s="1"/>
      <c r="AU81" s="1"/>
    </row>
    <row r="82" ht="15.75" customHeight="1">
      <c r="A82" s="31"/>
      <c r="B82" s="31"/>
      <c r="C82" s="3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4"/>
      <c r="AN82" s="1"/>
      <c r="AO82" s="1"/>
      <c r="AP82" s="1"/>
      <c r="AQ82" s="1"/>
      <c r="AR82" s="1"/>
      <c r="AS82" s="1"/>
      <c r="AT82" s="1"/>
      <c r="AU82" s="1"/>
    </row>
    <row r="83" ht="15.75" customHeight="1">
      <c r="A83" s="31"/>
      <c r="B83" s="31"/>
      <c r="C83" s="3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4"/>
      <c r="AN83" s="1"/>
      <c r="AO83" s="1"/>
      <c r="AP83" s="1"/>
      <c r="AQ83" s="1"/>
      <c r="AR83" s="1"/>
      <c r="AS83" s="1"/>
      <c r="AT83" s="1"/>
      <c r="AU83" s="1"/>
    </row>
    <row r="84" ht="15.75" customHeight="1">
      <c r="A84" s="31"/>
      <c r="B84" s="31"/>
      <c r="C84" s="3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4"/>
      <c r="AN84" s="1"/>
      <c r="AO84" s="1"/>
      <c r="AP84" s="1"/>
      <c r="AQ84" s="1"/>
      <c r="AR84" s="1"/>
      <c r="AS84" s="1"/>
      <c r="AT84" s="1"/>
      <c r="AU84" s="1"/>
    </row>
    <row r="85" ht="15.75" customHeight="1">
      <c r="A85" s="31"/>
      <c r="B85" s="31"/>
      <c r="C85" s="3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4"/>
      <c r="AN85" s="1"/>
      <c r="AO85" s="1"/>
      <c r="AP85" s="1"/>
      <c r="AQ85" s="1"/>
      <c r="AR85" s="1"/>
      <c r="AS85" s="1"/>
      <c r="AT85" s="1"/>
      <c r="AU85" s="1"/>
    </row>
    <row r="86" ht="15.75" customHeight="1">
      <c r="A86" s="31"/>
      <c r="B86" s="31"/>
      <c r="C86" s="3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4"/>
      <c r="AN86" s="1"/>
      <c r="AO86" s="1"/>
      <c r="AP86" s="1"/>
      <c r="AQ86" s="1"/>
      <c r="AR86" s="1"/>
      <c r="AS86" s="1"/>
      <c r="AT86" s="1"/>
      <c r="AU86" s="1"/>
    </row>
    <row r="87" ht="15.75" customHeight="1">
      <c r="A87" s="31"/>
      <c r="B87" s="31"/>
      <c r="C87" s="3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4"/>
      <c r="AN87" s="1"/>
      <c r="AO87" s="1"/>
      <c r="AP87" s="1"/>
      <c r="AQ87" s="1"/>
      <c r="AR87" s="1"/>
      <c r="AS87" s="1"/>
      <c r="AT87" s="1"/>
      <c r="AU87" s="1"/>
    </row>
    <row r="88" ht="15.75" customHeight="1">
      <c r="A88" s="31"/>
      <c r="B88" s="31"/>
      <c r="C88" s="3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4"/>
      <c r="AN88" s="1"/>
      <c r="AO88" s="1"/>
      <c r="AP88" s="1"/>
      <c r="AQ88" s="1"/>
      <c r="AR88" s="1"/>
      <c r="AS88" s="1"/>
      <c r="AT88" s="1"/>
      <c r="AU88" s="1"/>
    </row>
    <row r="89" ht="15.75" customHeight="1">
      <c r="A89" s="31"/>
      <c r="B89" s="31"/>
      <c r="C89" s="3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4"/>
      <c r="AN89" s="1"/>
      <c r="AO89" s="1"/>
      <c r="AP89" s="1"/>
      <c r="AQ89" s="1"/>
      <c r="AR89" s="1"/>
      <c r="AS89" s="1"/>
      <c r="AT89" s="1"/>
      <c r="AU89" s="1"/>
    </row>
    <row r="90" ht="15.75" customHeight="1">
      <c r="A90" s="31"/>
      <c r="B90" s="31"/>
      <c r="C90" s="3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4"/>
      <c r="AN90" s="1"/>
      <c r="AO90" s="1"/>
      <c r="AP90" s="1"/>
      <c r="AQ90" s="1"/>
      <c r="AR90" s="1"/>
      <c r="AS90" s="1"/>
      <c r="AT90" s="1"/>
      <c r="AU90" s="1"/>
    </row>
    <row r="91" ht="15.75" customHeight="1">
      <c r="A91" s="31"/>
      <c r="B91" s="31"/>
      <c r="C91" s="3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4"/>
      <c r="AN91" s="1"/>
      <c r="AO91" s="1"/>
      <c r="AP91" s="1"/>
      <c r="AQ91" s="1"/>
      <c r="AR91" s="1"/>
      <c r="AS91" s="1"/>
      <c r="AT91" s="1"/>
      <c r="AU91" s="1"/>
    </row>
    <row r="92" ht="15.75" customHeight="1">
      <c r="A92" s="31"/>
      <c r="B92" s="31"/>
      <c r="C92" s="3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4"/>
      <c r="AN92" s="1"/>
      <c r="AO92" s="1"/>
      <c r="AP92" s="1"/>
      <c r="AQ92" s="1"/>
      <c r="AR92" s="1"/>
      <c r="AS92" s="1"/>
      <c r="AT92" s="1"/>
      <c r="AU92" s="1"/>
    </row>
    <row r="93" ht="15.75" customHeight="1">
      <c r="A93" s="31"/>
      <c r="B93" s="31"/>
      <c r="C93" s="3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4"/>
      <c r="AN93" s="1"/>
      <c r="AO93" s="1"/>
      <c r="AP93" s="1"/>
      <c r="AQ93" s="1"/>
      <c r="AR93" s="1"/>
      <c r="AS93" s="1"/>
      <c r="AT93" s="1"/>
      <c r="AU93" s="1"/>
    </row>
    <row r="94" ht="15.75" customHeight="1">
      <c r="A94" s="31"/>
      <c r="B94" s="31"/>
      <c r="C94" s="3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4"/>
      <c r="AN94" s="1"/>
      <c r="AO94" s="1"/>
      <c r="AP94" s="1"/>
      <c r="AQ94" s="1"/>
      <c r="AR94" s="1"/>
      <c r="AS94" s="1"/>
      <c r="AT94" s="1"/>
      <c r="AU94" s="1"/>
    </row>
    <row r="95" ht="15.75" customHeight="1">
      <c r="A95" s="31"/>
      <c r="B95" s="31"/>
      <c r="C95" s="3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4"/>
      <c r="AN95" s="1"/>
      <c r="AO95" s="1"/>
      <c r="AP95" s="1"/>
      <c r="AQ95" s="1"/>
      <c r="AR95" s="1"/>
      <c r="AS95" s="1"/>
      <c r="AT95" s="1"/>
      <c r="AU95" s="1"/>
    </row>
    <row r="96" ht="15.75" customHeight="1">
      <c r="A96" s="31"/>
      <c r="B96" s="31"/>
      <c r="C96" s="3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4"/>
      <c r="AN96" s="1"/>
      <c r="AO96" s="1"/>
      <c r="AP96" s="1"/>
      <c r="AQ96" s="1"/>
      <c r="AR96" s="1"/>
      <c r="AS96" s="1"/>
      <c r="AT96" s="1"/>
      <c r="AU96" s="1"/>
    </row>
    <row r="97" ht="15.75" customHeight="1">
      <c r="A97" s="31"/>
      <c r="B97" s="31"/>
      <c r="C97" s="3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4"/>
      <c r="AN97" s="1"/>
      <c r="AO97" s="1"/>
      <c r="AP97" s="1"/>
      <c r="AQ97" s="1"/>
      <c r="AR97" s="1"/>
      <c r="AS97" s="1"/>
      <c r="AT97" s="1"/>
      <c r="AU97" s="1"/>
    </row>
    <row r="98" ht="15.75" customHeight="1">
      <c r="A98" s="31"/>
      <c r="B98" s="31"/>
      <c r="C98" s="3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4"/>
      <c r="AN98" s="1"/>
      <c r="AO98" s="1"/>
      <c r="AP98" s="1"/>
      <c r="AQ98" s="1"/>
      <c r="AR98" s="1"/>
      <c r="AS98" s="1"/>
      <c r="AT98" s="1"/>
      <c r="AU98" s="1"/>
    </row>
    <row r="99" ht="15.75" customHeight="1">
      <c r="A99" s="31"/>
      <c r="B99" s="31"/>
      <c r="C99" s="3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4"/>
      <c r="AN99" s="1"/>
      <c r="AO99" s="1"/>
      <c r="AP99" s="1"/>
      <c r="AQ99" s="1"/>
      <c r="AR99" s="1"/>
      <c r="AS99" s="1"/>
      <c r="AT99" s="1"/>
      <c r="AU99" s="1"/>
    </row>
    <row r="100" ht="15.75" customHeight="1">
      <c r="A100" s="31"/>
      <c r="B100" s="31"/>
      <c r="C100" s="3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4"/>
      <c r="AN100" s="1"/>
      <c r="AO100" s="1"/>
      <c r="AP100" s="1"/>
      <c r="AQ100" s="1"/>
      <c r="AR100" s="1"/>
      <c r="AS100" s="1"/>
      <c r="AT100" s="1"/>
      <c r="AU100" s="1"/>
    </row>
    <row r="101" ht="15.75" customHeight="1">
      <c r="A101" s="31"/>
      <c r="B101" s="31"/>
      <c r="C101" s="3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4"/>
      <c r="AN101" s="1"/>
      <c r="AO101" s="1"/>
      <c r="AP101" s="1"/>
      <c r="AQ101" s="1"/>
      <c r="AR101" s="1"/>
      <c r="AS101" s="1"/>
      <c r="AT101" s="1"/>
      <c r="AU101" s="1"/>
    </row>
    <row r="102" ht="15.75" customHeight="1">
      <c r="A102" s="31"/>
      <c r="B102" s="31"/>
      <c r="C102" s="3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4"/>
      <c r="AN102" s="1"/>
      <c r="AO102" s="1"/>
      <c r="AP102" s="1"/>
      <c r="AQ102" s="1"/>
      <c r="AR102" s="1"/>
      <c r="AS102" s="1"/>
      <c r="AT102" s="1"/>
      <c r="AU102" s="1"/>
    </row>
    <row r="103" ht="15.75" customHeight="1">
      <c r="A103" s="31"/>
      <c r="B103" s="31"/>
      <c r="C103" s="3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4"/>
      <c r="AN103" s="1"/>
      <c r="AO103" s="1"/>
      <c r="AP103" s="1"/>
      <c r="AQ103" s="1"/>
      <c r="AR103" s="1"/>
      <c r="AS103" s="1"/>
      <c r="AT103" s="1"/>
      <c r="AU103" s="1"/>
    </row>
    <row r="104" ht="15.75" customHeight="1">
      <c r="A104" s="31"/>
      <c r="B104" s="31"/>
      <c r="C104" s="3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4"/>
      <c r="AN104" s="1"/>
      <c r="AO104" s="1"/>
      <c r="AP104" s="1"/>
      <c r="AQ104" s="1"/>
      <c r="AR104" s="1"/>
      <c r="AS104" s="1"/>
      <c r="AT104" s="1"/>
      <c r="AU104" s="1"/>
    </row>
    <row r="105" ht="15.75" customHeight="1">
      <c r="A105" s="31"/>
      <c r="B105" s="31"/>
      <c r="C105" s="3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4"/>
      <c r="AN105" s="1"/>
      <c r="AO105" s="1"/>
      <c r="AP105" s="1"/>
      <c r="AQ105" s="1"/>
      <c r="AR105" s="1"/>
      <c r="AS105" s="1"/>
      <c r="AT105" s="1"/>
      <c r="AU105" s="1"/>
    </row>
    <row r="106" ht="15.75" customHeight="1">
      <c r="A106" s="31"/>
      <c r="B106" s="31"/>
      <c r="C106" s="3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4"/>
      <c r="AN106" s="1"/>
      <c r="AO106" s="1"/>
      <c r="AP106" s="1"/>
      <c r="AQ106" s="1"/>
      <c r="AR106" s="1"/>
      <c r="AS106" s="1"/>
      <c r="AT106" s="1"/>
      <c r="AU106" s="1"/>
    </row>
    <row r="107" ht="15.75" customHeight="1">
      <c r="A107" s="31"/>
      <c r="B107" s="31"/>
      <c r="C107" s="3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4"/>
      <c r="AN107" s="1"/>
      <c r="AO107" s="1"/>
      <c r="AP107" s="1"/>
      <c r="AQ107" s="1"/>
      <c r="AR107" s="1"/>
      <c r="AS107" s="1"/>
      <c r="AT107" s="1"/>
      <c r="AU107" s="1"/>
    </row>
    <row r="108" ht="15.75" customHeight="1">
      <c r="A108" s="31"/>
      <c r="B108" s="31"/>
      <c r="C108" s="3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4"/>
      <c r="AN108" s="1"/>
      <c r="AO108" s="1"/>
      <c r="AP108" s="1"/>
      <c r="AQ108" s="1"/>
      <c r="AR108" s="1"/>
      <c r="AS108" s="1"/>
      <c r="AT108" s="1"/>
      <c r="AU108" s="1"/>
    </row>
    <row r="109" ht="15.75" customHeight="1">
      <c r="A109" s="31"/>
      <c r="B109" s="31"/>
      <c r="C109" s="3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4"/>
      <c r="AN109" s="1"/>
      <c r="AO109" s="1"/>
      <c r="AP109" s="1"/>
      <c r="AQ109" s="1"/>
      <c r="AR109" s="1"/>
      <c r="AS109" s="1"/>
      <c r="AT109" s="1"/>
      <c r="AU109" s="1"/>
    </row>
    <row r="110" ht="15.75" customHeight="1">
      <c r="A110" s="31"/>
      <c r="B110" s="31"/>
      <c r="C110" s="3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4"/>
      <c r="AN110" s="1"/>
      <c r="AO110" s="1"/>
      <c r="AP110" s="1"/>
      <c r="AQ110" s="1"/>
      <c r="AR110" s="1"/>
      <c r="AS110" s="1"/>
      <c r="AT110" s="1"/>
      <c r="AU110" s="1"/>
    </row>
    <row r="111" ht="15.75" customHeight="1">
      <c r="A111" s="31"/>
      <c r="B111" s="31"/>
      <c r="C111" s="3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4"/>
      <c r="AN111" s="1"/>
      <c r="AO111" s="1"/>
      <c r="AP111" s="1"/>
      <c r="AQ111" s="1"/>
      <c r="AR111" s="1"/>
      <c r="AS111" s="1"/>
      <c r="AT111" s="1"/>
      <c r="AU111" s="1"/>
    </row>
    <row r="112" ht="15.75" customHeight="1">
      <c r="A112" s="31"/>
      <c r="B112" s="31"/>
      <c r="C112" s="3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4"/>
      <c r="AN112" s="1"/>
      <c r="AO112" s="1"/>
      <c r="AP112" s="1"/>
      <c r="AQ112" s="1"/>
      <c r="AR112" s="1"/>
      <c r="AS112" s="1"/>
      <c r="AT112" s="1"/>
      <c r="AU112" s="1"/>
    </row>
    <row r="113" ht="15.75" customHeight="1">
      <c r="A113" s="31"/>
      <c r="B113" s="31"/>
      <c r="C113" s="3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4"/>
      <c r="AN113" s="1"/>
      <c r="AO113" s="1"/>
      <c r="AP113" s="1"/>
      <c r="AQ113" s="1"/>
      <c r="AR113" s="1"/>
      <c r="AS113" s="1"/>
      <c r="AT113" s="1"/>
      <c r="AU113" s="1"/>
    </row>
    <row r="114" ht="15.75" customHeight="1">
      <c r="A114" s="31"/>
      <c r="B114" s="31"/>
      <c r="C114" s="3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4"/>
      <c r="AN114" s="1"/>
      <c r="AO114" s="1"/>
      <c r="AP114" s="1"/>
      <c r="AQ114" s="1"/>
      <c r="AR114" s="1"/>
      <c r="AS114" s="1"/>
      <c r="AT114" s="1"/>
      <c r="AU114" s="1"/>
    </row>
    <row r="115" ht="15.75" customHeight="1">
      <c r="A115" s="31"/>
      <c r="B115" s="31"/>
      <c r="C115" s="3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4"/>
      <c r="AN115" s="1"/>
      <c r="AO115" s="1"/>
      <c r="AP115" s="1"/>
      <c r="AQ115" s="1"/>
      <c r="AR115" s="1"/>
      <c r="AS115" s="1"/>
      <c r="AT115" s="1"/>
      <c r="AU115" s="1"/>
    </row>
    <row r="116" ht="15.75" customHeight="1">
      <c r="A116" s="31"/>
      <c r="B116" s="31"/>
      <c r="C116" s="3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4"/>
      <c r="AN116" s="1"/>
      <c r="AO116" s="1"/>
      <c r="AP116" s="1"/>
      <c r="AQ116" s="1"/>
      <c r="AR116" s="1"/>
      <c r="AS116" s="1"/>
      <c r="AT116" s="1"/>
      <c r="AU116" s="1"/>
    </row>
    <row r="117" ht="15.75" customHeight="1">
      <c r="A117" s="31"/>
      <c r="B117" s="31"/>
      <c r="C117" s="3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4"/>
      <c r="AN117" s="1"/>
      <c r="AO117" s="1"/>
      <c r="AP117" s="1"/>
      <c r="AQ117" s="1"/>
      <c r="AR117" s="1"/>
      <c r="AS117" s="1"/>
      <c r="AT117" s="1"/>
      <c r="AU117" s="1"/>
    </row>
    <row r="118" ht="15.75" customHeight="1">
      <c r="A118" s="31"/>
      <c r="B118" s="31"/>
      <c r="C118" s="3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4"/>
      <c r="AN118" s="1"/>
      <c r="AO118" s="1"/>
      <c r="AP118" s="1"/>
      <c r="AQ118" s="1"/>
      <c r="AR118" s="1"/>
      <c r="AS118" s="1"/>
      <c r="AT118" s="1"/>
      <c r="AU118" s="1"/>
    </row>
    <row r="119" ht="15.75" customHeight="1">
      <c r="A119" s="31"/>
      <c r="B119" s="31"/>
      <c r="C119" s="3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4"/>
      <c r="AN119" s="1"/>
      <c r="AO119" s="1"/>
      <c r="AP119" s="1"/>
      <c r="AQ119" s="1"/>
      <c r="AR119" s="1"/>
      <c r="AS119" s="1"/>
      <c r="AT119" s="1"/>
      <c r="AU119" s="1"/>
    </row>
    <row r="120" ht="15.75" customHeight="1">
      <c r="A120" s="31"/>
      <c r="B120" s="31"/>
      <c r="C120" s="3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4"/>
      <c r="AN120" s="1"/>
      <c r="AO120" s="1"/>
      <c r="AP120" s="1"/>
      <c r="AQ120" s="1"/>
      <c r="AR120" s="1"/>
      <c r="AS120" s="1"/>
      <c r="AT120" s="1"/>
      <c r="AU120" s="1"/>
    </row>
    <row r="121" ht="15.75" customHeight="1">
      <c r="A121" s="31"/>
      <c r="B121" s="31"/>
      <c r="C121" s="3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4"/>
      <c r="AN121" s="1"/>
      <c r="AO121" s="1"/>
      <c r="AP121" s="1"/>
      <c r="AQ121" s="1"/>
      <c r="AR121" s="1"/>
      <c r="AS121" s="1"/>
      <c r="AT121" s="1"/>
      <c r="AU121" s="1"/>
    </row>
    <row r="122" ht="15.75" customHeight="1">
      <c r="A122" s="31"/>
      <c r="B122" s="31"/>
      <c r="C122" s="3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4"/>
      <c r="AN122" s="1"/>
      <c r="AO122" s="1"/>
      <c r="AP122" s="1"/>
      <c r="AQ122" s="1"/>
      <c r="AR122" s="1"/>
      <c r="AS122" s="1"/>
      <c r="AT122" s="1"/>
      <c r="AU122" s="1"/>
    </row>
    <row r="123" ht="15.75" customHeight="1">
      <c r="A123" s="31"/>
      <c r="B123" s="31"/>
      <c r="C123" s="3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4"/>
      <c r="AN123" s="1"/>
      <c r="AO123" s="1"/>
      <c r="AP123" s="1"/>
      <c r="AQ123" s="1"/>
      <c r="AR123" s="1"/>
      <c r="AS123" s="1"/>
      <c r="AT123" s="1"/>
      <c r="AU123" s="1"/>
    </row>
    <row r="124" ht="15.75" customHeight="1">
      <c r="A124" s="31"/>
      <c r="B124" s="31"/>
      <c r="C124" s="3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4"/>
      <c r="AN124" s="1"/>
      <c r="AO124" s="1"/>
      <c r="AP124" s="1"/>
      <c r="AQ124" s="1"/>
      <c r="AR124" s="1"/>
      <c r="AS124" s="1"/>
      <c r="AT124" s="1"/>
      <c r="AU124" s="1"/>
    </row>
    <row r="125" ht="15.75" customHeight="1">
      <c r="A125" s="31"/>
      <c r="B125" s="31"/>
      <c r="C125" s="3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4"/>
      <c r="AN125" s="1"/>
      <c r="AO125" s="1"/>
      <c r="AP125" s="1"/>
      <c r="AQ125" s="1"/>
      <c r="AR125" s="1"/>
      <c r="AS125" s="1"/>
      <c r="AT125" s="1"/>
      <c r="AU125" s="1"/>
    </row>
    <row r="126" ht="15.75" customHeight="1">
      <c r="A126" s="31"/>
      <c r="B126" s="31"/>
      <c r="C126" s="3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4"/>
      <c r="AN126" s="1"/>
      <c r="AO126" s="1"/>
      <c r="AP126" s="1"/>
      <c r="AQ126" s="1"/>
      <c r="AR126" s="1"/>
      <c r="AS126" s="1"/>
      <c r="AT126" s="1"/>
      <c r="AU126" s="1"/>
    </row>
    <row r="127" ht="15.75" customHeight="1">
      <c r="A127" s="31"/>
      <c r="B127" s="31"/>
      <c r="C127" s="3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4"/>
      <c r="AN127" s="1"/>
      <c r="AO127" s="1"/>
      <c r="AP127" s="1"/>
      <c r="AQ127" s="1"/>
      <c r="AR127" s="1"/>
      <c r="AS127" s="1"/>
      <c r="AT127" s="1"/>
      <c r="AU127" s="1"/>
    </row>
    <row r="128" ht="15.75" customHeight="1">
      <c r="A128" s="31"/>
      <c r="B128" s="31"/>
      <c r="C128" s="3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4"/>
      <c r="AN128" s="1"/>
      <c r="AO128" s="1"/>
      <c r="AP128" s="1"/>
      <c r="AQ128" s="1"/>
      <c r="AR128" s="1"/>
      <c r="AS128" s="1"/>
      <c r="AT128" s="1"/>
      <c r="AU128" s="1"/>
    </row>
    <row r="129" ht="15.75" customHeight="1">
      <c r="A129" s="31"/>
      <c r="B129" s="31"/>
      <c r="C129" s="3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4"/>
      <c r="AN129" s="1"/>
      <c r="AO129" s="1"/>
      <c r="AP129" s="1"/>
      <c r="AQ129" s="1"/>
      <c r="AR129" s="1"/>
      <c r="AS129" s="1"/>
      <c r="AT129" s="1"/>
      <c r="AU129" s="1"/>
    </row>
    <row r="130" ht="15.75" customHeight="1">
      <c r="A130" s="31"/>
      <c r="B130" s="31"/>
      <c r="C130" s="3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4"/>
      <c r="AN130" s="1"/>
      <c r="AO130" s="1"/>
      <c r="AP130" s="1"/>
      <c r="AQ130" s="1"/>
      <c r="AR130" s="1"/>
      <c r="AS130" s="1"/>
      <c r="AT130" s="1"/>
      <c r="AU130" s="1"/>
    </row>
    <row r="131" ht="15.75" customHeight="1">
      <c r="A131" s="31"/>
      <c r="B131" s="31"/>
      <c r="C131" s="3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4"/>
      <c r="AN131" s="1"/>
      <c r="AO131" s="1"/>
      <c r="AP131" s="1"/>
      <c r="AQ131" s="1"/>
      <c r="AR131" s="1"/>
      <c r="AS131" s="1"/>
      <c r="AT131" s="1"/>
      <c r="AU131" s="1"/>
    </row>
    <row r="132" ht="15.75" customHeight="1">
      <c r="A132" s="31"/>
      <c r="B132" s="31"/>
      <c r="C132" s="3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4"/>
      <c r="AN132" s="1"/>
      <c r="AO132" s="1"/>
      <c r="AP132" s="1"/>
      <c r="AQ132" s="1"/>
      <c r="AR132" s="1"/>
      <c r="AS132" s="1"/>
      <c r="AT132" s="1"/>
      <c r="AU132" s="1"/>
    </row>
    <row r="133" ht="15.75" customHeight="1">
      <c r="A133" s="31"/>
      <c r="B133" s="31"/>
      <c r="C133" s="3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4"/>
      <c r="AN133" s="1"/>
      <c r="AO133" s="1"/>
      <c r="AP133" s="1"/>
      <c r="AQ133" s="1"/>
      <c r="AR133" s="1"/>
      <c r="AS133" s="1"/>
      <c r="AT133" s="1"/>
      <c r="AU133" s="1"/>
    </row>
    <row r="134" ht="15.75" customHeight="1">
      <c r="A134" s="31"/>
      <c r="B134" s="31"/>
      <c r="C134" s="3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4"/>
      <c r="AN134" s="1"/>
      <c r="AO134" s="1"/>
      <c r="AP134" s="1"/>
      <c r="AQ134" s="1"/>
      <c r="AR134" s="1"/>
      <c r="AS134" s="1"/>
      <c r="AT134" s="1"/>
      <c r="AU134" s="1"/>
    </row>
    <row r="135" ht="15.75" customHeight="1">
      <c r="A135" s="31"/>
      <c r="B135" s="31"/>
      <c r="C135" s="3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4"/>
      <c r="AN135" s="1"/>
      <c r="AO135" s="1"/>
      <c r="AP135" s="1"/>
      <c r="AQ135" s="1"/>
      <c r="AR135" s="1"/>
      <c r="AS135" s="1"/>
      <c r="AT135" s="1"/>
      <c r="AU135" s="1"/>
    </row>
    <row r="136" ht="15.75" customHeight="1">
      <c r="A136" s="31"/>
      <c r="B136" s="31"/>
      <c r="C136" s="3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4"/>
      <c r="AN136" s="1"/>
      <c r="AO136" s="1"/>
      <c r="AP136" s="1"/>
      <c r="AQ136" s="1"/>
      <c r="AR136" s="1"/>
      <c r="AS136" s="1"/>
      <c r="AT136" s="1"/>
      <c r="AU136" s="1"/>
    </row>
    <row r="137" ht="15.75" customHeight="1">
      <c r="A137" s="31"/>
      <c r="B137" s="31"/>
      <c r="C137" s="3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4"/>
      <c r="AN137" s="1"/>
      <c r="AO137" s="1"/>
      <c r="AP137" s="1"/>
      <c r="AQ137" s="1"/>
      <c r="AR137" s="1"/>
      <c r="AS137" s="1"/>
      <c r="AT137" s="1"/>
      <c r="AU137" s="1"/>
    </row>
    <row r="138" ht="15.75" customHeight="1">
      <c r="A138" s="31"/>
      <c r="B138" s="31"/>
      <c r="C138" s="3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4"/>
      <c r="AN138" s="1"/>
      <c r="AO138" s="1"/>
      <c r="AP138" s="1"/>
      <c r="AQ138" s="1"/>
      <c r="AR138" s="1"/>
      <c r="AS138" s="1"/>
      <c r="AT138" s="1"/>
      <c r="AU138" s="1"/>
    </row>
    <row r="139" ht="15.75" customHeight="1">
      <c r="A139" s="31"/>
      <c r="B139" s="31"/>
      <c r="C139" s="3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4"/>
      <c r="AN139" s="1"/>
      <c r="AO139" s="1"/>
      <c r="AP139" s="1"/>
      <c r="AQ139" s="1"/>
      <c r="AR139" s="1"/>
      <c r="AS139" s="1"/>
      <c r="AT139" s="1"/>
      <c r="AU139" s="1"/>
    </row>
    <row r="140" ht="15.75" customHeight="1">
      <c r="A140" s="31"/>
      <c r="B140" s="31"/>
      <c r="C140" s="3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4"/>
      <c r="AN140" s="1"/>
      <c r="AO140" s="1"/>
      <c r="AP140" s="1"/>
      <c r="AQ140" s="1"/>
      <c r="AR140" s="1"/>
      <c r="AS140" s="1"/>
      <c r="AT140" s="1"/>
      <c r="AU140" s="1"/>
    </row>
    <row r="141" ht="15.75" customHeight="1">
      <c r="A141" s="31"/>
      <c r="B141" s="31"/>
      <c r="C141" s="3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4"/>
      <c r="AN141" s="1"/>
      <c r="AO141" s="1"/>
      <c r="AP141" s="1"/>
      <c r="AQ141" s="1"/>
      <c r="AR141" s="1"/>
      <c r="AS141" s="1"/>
      <c r="AT141" s="1"/>
      <c r="AU141" s="1"/>
    </row>
    <row r="142" ht="15.75" customHeight="1">
      <c r="A142" s="31"/>
      <c r="B142" s="31"/>
      <c r="C142" s="3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4"/>
      <c r="AN142" s="1"/>
      <c r="AO142" s="1"/>
      <c r="AP142" s="1"/>
      <c r="AQ142" s="1"/>
      <c r="AR142" s="1"/>
      <c r="AS142" s="1"/>
      <c r="AT142" s="1"/>
      <c r="AU142" s="1"/>
    </row>
    <row r="143" ht="15.75" customHeight="1">
      <c r="A143" s="31"/>
      <c r="B143" s="31"/>
      <c r="C143" s="3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4"/>
      <c r="AN143" s="1"/>
      <c r="AO143" s="1"/>
      <c r="AP143" s="1"/>
      <c r="AQ143" s="1"/>
      <c r="AR143" s="1"/>
      <c r="AS143" s="1"/>
      <c r="AT143" s="1"/>
      <c r="AU143" s="1"/>
    </row>
    <row r="144" ht="15.75" customHeight="1">
      <c r="A144" s="31"/>
      <c r="B144" s="31"/>
      <c r="C144" s="3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4"/>
      <c r="AN144" s="1"/>
      <c r="AO144" s="1"/>
      <c r="AP144" s="1"/>
      <c r="AQ144" s="1"/>
      <c r="AR144" s="1"/>
      <c r="AS144" s="1"/>
      <c r="AT144" s="1"/>
      <c r="AU144" s="1"/>
    </row>
    <row r="145" ht="15.75" customHeight="1">
      <c r="A145" s="31"/>
      <c r="B145" s="31"/>
      <c r="C145" s="3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4"/>
      <c r="AN145" s="1"/>
      <c r="AO145" s="1"/>
      <c r="AP145" s="1"/>
      <c r="AQ145" s="1"/>
      <c r="AR145" s="1"/>
      <c r="AS145" s="1"/>
      <c r="AT145" s="1"/>
      <c r="AU145" s="1"/>
    </row>
    <row r="146" ht="15.75" customHeight="1">
      <c r="A146" s="31"/>
      <c r="B146" s="31"/>
      <c r="C146" s="3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4"/>
      <c r="AN146" s="1"/>
      <c r="AO146" s="1"/>
      <c r="AP146" s="1"/>
      <c r="AQ146" s="1"/>
      <c r="AR146" s="1"/>
      <c r="AS146" s="1"/>
      <c r="AT146" s="1"/>
      <c r="AU146" s="1"/>
    </row>
    <row r="147" ht="15.75" customHeight="1">
      <c r="A147" s="31"/>
      <c r="B147" s="31"/>
      <c r="C147" s="3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4"/>
      <c r="AN147" s="1"/>
      <c r="AO147" s="1"/>
      <c r="AP147" s="1"/>
      <c r="AQ147" s="1"/>
      <c r="AR147" s="1"/>
      <c r="AS147" s="1"/>
      <c r="AT147" s="1"/>
      <c r="AU147" s="1"/>
    </row>
    <row r="148" ht="15.75" customHeight="1">
      <c r="A148" s="31"/>
      <c r="B148" s="31"/>
      <c r="C148" s="3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4"/>
      <c r="AN148" s="1"/>
      <c r="AO148" s="1"/>
      <c r="AP148" s="1"/>
      <c r="AQ148" s="1"/>
      <c r="AR148" s="1"/>
      <c r="AS148" s="1"/>
      <c r="AT148" s="1"/>
      <c r="AU148" s="1"/>
    </row>
    <row r="149" ht="15.75" customHeight="1">
      <c r="A149" s="31"/>
      <c r="B149" s="31"/>
      <c r="C149" s="3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4"/>
      <c r="AN149" s="1"/>
      <c r="AO149" s="1"/>
      <c r="AP149" s="1"/>
      <c r="AQ149" s="1"/>
      <c r="AR149" s="1"/>
      <c r="AS149" s="1"/>
      <c r="AT149" s="1"/>
      <c r="AU149" s="1"/>
    </row>
    <row r="150" ht="15.75" customHeight="1">
      <c r="A150" s="31"/>
      <c r="B150" s="31"/>
      <c r="C150" s="3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4"/>
      <c r="AN150" s="1"/>
      <c r="AO150" s="1"/>
      <c r="AP150" s="1"/>
      <c r="AQ150" s="1"/>
      <c r="AR150" s="1"/>
      <c r="AS150" s="1"/>
      <c r="AT150" s="1"/>
      <c r="AU150" s="1"/>
    </row>
    <row r="151" ht="15.75" customHeight="1">
      <c r="A151" s="31"/>
      <c r="B151" s="31"/>
      <c r="C151" s="3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4"/>
      <c r="AN151" s="1"/>
      <c r="AO151" s="1"/>
      <c r="AP151" s="1"/>
      <c r="AQ151" s="1"/>
      <c r="AR151" s="1"/>
      <c r="AS151" s="1"/>
      <c r="AT151" s="1"/>
      <c r="AU151" s="1"/>
    </row>
    <row r="152" ht="15.75" customHeight="1">
      <c r="A152" s="31"/>
      <c r="B152" s="31"/>
      <c r="C152" s="3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4"/>
      <c r="AN152" s="1"/>
      <c r="AO152" s="1"/>
      <c r="AP152" s="1"/>
      <c r="AQ152" s="1"/>
      <c r="AR152" s="1"/>
      <c r="AS152" s="1"/>
      <c r="AT152" s="1"/>
      <c r="AU152" s="1"/>
    </row>
    <row r="153" ht="15.75" customHeight="1">
      <c r="A153" s="31"/>
      <c r="B153" s="31"/>
      <c r="C153" s="3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4"/>
      <c r="AN153" s="1"/>
      <c r="AO153" s="1"/>
      <c r="AP153" s="1"/>
      <c r="AQ153" s="1"/>
      <c r="AR153" s="1"/>
      <c r="AS153" s="1"/>
      <c r="AT153" s="1"/>
      <c r="AU153" s="1"/>
    </row>
    <row r="154" ht="15.75" customHeight="1">
      <c r="A154" s="31"/>
      <c r="B154" s="31"/>
      <c r="C154" s="3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4"/>
      <c r="AN154" s="1"/>
      <c r="AO154" s="1"/>
      <c r="AP154" s="1"/>
      <c r="AQ154" s="1"/>
      <c r="AR154" s="1"/>
      <c r="AS154" s="1"/>
      <c r="AT154" s="1"/>
      <c r="AU154" s="1"/>
    </row>
    <row r="155" ht="15.75" customHeight="1">
      <c r="A155" s="31"/>
      <c r="B155" s="31"/>
      <c r="C155" s="3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4"/>
      <c r="AN155" s="1"/>
      <c r="AO155" s="1"/>
      <c r="AP155" s="1"/>
      <c r="AQ155" s="1"/>
      <c r="AR155" s="1"/>
      <c r="AS155" s="1"/>
      <c r="AT155" s="1"/>
      <c r="AU155" s="1"/>
    </row>
    <row r="156" ht="15.75" customHeight="1">
      <c r="A156" s="31"/>
      <c r="B156" s="31"/>
      <c r="C156" s="3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4"/>
      <c r="AN156" s="1"/>
      <c r="AO156" s="1"/>
      <c r="AP156" s="1"/>
      <c r="AQ156" s="1"/>
      <c r="AR156" s="1"/>
      <c r="AS156" s="1"/>
      <c r="AT156" s="1"/>
      <c r="AU156" s="1"/>
    </row>
    <row r="157" ht="15.75" customHeight="1">
      <c r="A157" s="31"/>
      <c r="B157" s="31"/>
      <c r="C157" s="3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4"/>
      <c r="AN157" s="1"/>
      <c r="AO157" s="1"/>
      <c r="AP157" s="1"/>
      <c r="AQ157" s="1"/>
      <c r="AR157" s="1"/>
      <c r="AS157" s="1"/>
      <c r="AT157" s="1"/>
      <c r="AU157" s="1"/>
    </row>
    <row r="158" ht="15.75" customHeight="1">
      <c r="A158" s="31"/>
      <c r="B158" s="31"/>
      <c r="C158" s="3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4"/>
      <c r="AN158" s="1"/>
      <c r="AO158" s="1"/>
      <c r="AP158" s="1"/>
      <c r="AQ158" s="1"/>
      <c r="AR158" s="1"/>
      <c r="AS158" s="1"/>
      <c r="AT158" s="1"/>
      <c r="AU158" s="1"/>
    </row>
    <row r="159" ht="15.75" customHeight="1">
      <c r="A159" s="31"/>
      <c r="B159" s="31"/>
      <c r="C159" s="3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4"/>
      <c r="AN159" s="1"/>
      <c r="AO159" s="1"/>
      <c r="AP159" s="1"/>
      <c r="AQ159" s="1"/>
      <c r="AR159" s="1"/>
      <c r="AS159" s="1"/>
      <c r="AT159" s="1"/>
      <c r="AU159" s="1"/>
    </row>
    <row r="160" ht="15.75" customHeight="1">
      <c r="A160" s="31"/>
      <c r="B160" s="31"/>
      <c r="C160" s="3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4"/>
      <c r="AN160" s="1"/>
      <c r="AO160" s="1"/>
      <c r="AP160" s="1"/>
      <c r="AQ160" s="1"/>
      <c r="AR160" s="1"/>
      <c r="AS160" s="1"/>
      <c r="AT160" s="1"/>
      <c r="AU160" s="1"/>
    </row>
    <row r="161" ht="15.75" customHeight="1">
      <c r="A161" s="31"/>
      <c r="B161" s="31"/>
      <c r="C161" s="3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4"/>
      <c r="AN161" s="1"/>
      <c r="AO161" s="1"/>
      <c r="AP161" s="1"/>
      <c r="AQ161" s="1"/>
      <c r="AR161" s="1"/>
      <c r="AS161" s="1"/>
      <c r="AT161" s="1"/>
      <c r="AU161" s="1"/>
    </row>
    <row r="162" ht="15.75" customHeight="1">
      <c r="A162" s="31"/>
      <c r="B162" s="31"/>
      <c r="C162" s="3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4"/>
      <c r="AN162" s="1"/>
      <c r="AO162" s="1"/>
      <c r="AP162" s="1"/>
      <c r="AQ162" s="1"/>
      <c r="AR162" s="1"/>
      <c r="AS162" s="1"/>
      <c r="AT162" s="1"/>
      <c r="AU162" s="1"/>
    </row>
    <row r="163" ht="15.75" customHeight="1">
      <c r="A163" s="31"/>
      <c r="B163" s="31"/>
      <c r="C163" s="3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4"/>
      <c r="AN163" s="1"/>
      <c r="AO163" s="1"/>
      <c r="AP163" s="1"/>
      <c r="AQ163" s="1"/>
      <c r="AR163" s="1"/>
      <c r="AS163" s="1"/>
      <c r="AT163" s="1"/>
      <c r="AU163" s="1"/>
    </row>
    <row r="164" ht="15.75" customHeight="1">
      <c r="A164" s="31"/>
      <c r="B164" s="31"/>
      <c r="C164" s="3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4"/>
      <c r="AN164" s="1"/>
      <c r="AO164" s="1"/>
      <c r="AP164" s="1"/>
      <c r="AQ164" s="1"/>
      <c r="AR164" s="1"/>
      <c r="AS164" s="1"/>
      <c r="AT164" s="1"/>
      <c r="AU164" s="1"/>
    </row>
    <row r="165" ht="15.75" customHeight="1">
      <c r="A165" s="31"/>
      <c r="B165" s="31"/>
      <c r="C165" s="3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4"/>
      <c r="AN165" s="1"/>
      <c r="AO165" s="1"/>
      <c r="AP165" s="1"/>
      <c r="AQ165" s="1"/>
      <c r="AR165" s="1"/>
      <c r="AS165" s="1"/>
      <c r="AT165" s="1"/>
      <c r="AU165" s="1"/>
    </row>
    <row r="166" ht="15.75" customHeight="1">
      <c r="A166" s="31"/>
      <c r="B166" s="31"/>
      <c r="C166" s="3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4"/>
      <c r="AN166" s="1"/>
      <c r="AO166" s="1"/>
      <c r="AP166" s="1"/>
      <c r="AQ166" s="1"/>
      <c r="AR166" s="1"/>
      <c r="AS166" s="1"/>
      <c r="AT166" s="1"/>
      <c r="AU166" s="1"/>
    </row>
    <row r="167" ht="15.75" customHeight="1">
      <c r="A167" s="31"/>
      <c r="B167" s="31"/>
      <c r="C167" s="3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4"/>
      <c r="AN167" s="1"/>
      <c r="AO167" s="1"/>
      <c r="AP167" s="1"/>
      <c r="AQ167" s="1"/>
      <c r="AR167" s="1"/>
      <c r="AS167" s="1"/>
      <c r="AT167" s="1"/>
      <c r="AU167" s="1"/>
    </row>
    <row r="168" ht="15.75" customHeight="1">
      <c r="A168" s="31"/>
      <c r="B168" s="31"/>
      <c r="C168" s="3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4"/>
      <c r="AN168" s="1"/>
      <c r="AO168" s="1"/>
      <c r="AP168" s="1"/>
      <c r="AQ168" s="1"/>
      <c r="AR168" s="1"/>
      <c r="AS168" s="1"/>
      <c r="AT168" s="1"/>
      <c r="AU168" s="1"/>
    </row>
    <row r="169" ht="15.75" customHeight="1">
      <c r="A169" s="31"/>
      <c r="B169" s="31"/>
      <c r="C169" s="3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4"/>
      <c r="AN169" s="1"/>
      <c r="AO169" s="1"/>
      <c r="AP169" s="1"/>
      <c r="AQ169" s="1"/>
      <c r="AR169" s="1"/>
      <c r="AS169" s="1"/>
      <c r="AT169" s="1"/>
      <c r="AU169" s="1"/>
    </row>
    <row r="170" ht="15.75" customHeight="1">
      <c r="A170" s="31"/>
      <c r="B170" s="31"/>
      <c r="C170" s="3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4"/>
      <c r="AN170" s="1"/>
      <c r="AO170" s="1"/>
      <c r="AP170" s="1"/>
      <c r="AQ170" s="1"/>
      <c r="AR170" s="1"/>
      <c r="AS170" s="1"/>
      <c r="AT170" s="1"/>
      <c r="AU170" s="1"/>
    </row>
    <row r="171" ht="15.75" customHeight="1">
      <c r="A171" s="31"/>
      <c r="B171" s="31"/>
      <c r="C171" s="3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4"/>
      <c r="AN171" s="1"/>
      <c r="AO171" s="1"/>
      <c r="AP171" s="1"/>
      <c r="AQ171" s="1"/>
      <c r="AR171" s="1"/>
      <c r="AS171" s="1"/>
      <c r="AT171" s="1"/>
      <c r="AU171" s="1"/>
    </row>
    <row r="172" ht="15.75" customHeight="1">
      <c r="A172" s="31"/>
      <c r="B172" s="31"/>
      <c r="C172" s="3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4"/>
      <c r="AN172" s="1"/>
      <c r="AO172" s="1"/>
      <c r="AP172" s="1"/>
      <c r="AQ172" s="1"/>
      <c r="AR172" s="1"/>
      <c r="AS172" s="1"/>
      <c r="AT172" s="1"/>
      <c r="AU172" s="1"/>
    </row>
    <row r="173" ht="15.75" customHeight="1">
      <c r="A173" s="31"/>
      <c r="B173" s="31"/>
      <c r="C173" s="3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4"/>
      <c r="AN173" s="1"/>
      <c r="AO173" s="1"/>
      <c r="AP173" s="1"/>
      <c r="AQ173" s="1"/>
      <c r="AR173" s="1"/>
      <c r="AS173" s="1"/>
      <c r="AT173" s="1"/>
      <c r="AU173" s="1"/>
    </row>
    <row r="174" ht="15.75" customHeight="1">
      <c r="A174" s="31"/>
      <c r="B174" s="31"/>
      <c r="C174" s="3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4"/>
      <c r="AN174" s="1"/>
      <c r="AO174" s="1"/>
      <c r="AP174" s="1"/>
      <c r="AQ174" s="1"/>
      <c r="AR174" s="1"/>
      <c r="AS174" s="1"/>
      <c r="AT174" s="1"/>
      <c r="AU174" s="1"/>
    </row>
    <row r="175" ht="15.75" customHeight="1">
      <c r="A175" s="31"/>
      <c r="B175" s="31"/>
      <c r="C175" s="3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4"/>
      <c r="AN175" s="1"/>
      <c r="AO175" s="1"/>
      <c r="AP175" s="1"/>
      <c r="AQ175" s="1"/>
      <c r="AR175" s="1"/>
      <c r="AS175" s="1"/>
      <c r="AT175" s="1"/>
      <c r="AU175" s="1"/>
    </row>
    <row r="176" ht="15.75" customHeight="1">
      <c r="A176" s="31"/>
      <c r="B176" s="31"/>
      <c r="C176" s="3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4"/>
      <c r="AN176" s="1"/>
      <c r="AO176" s="1"/>
      <c r="AP176" s="1"/>
      <c r="AQ176" s="1"/>
      <c r="AR176" s="1"/>
      <c r="AS176" s="1"/>
      <c r="AT176" s="1"/>
      <c r="AU176" s="1"/>
    </row>
    <row r="177" ht="15.75" customHeight="1">
      <c r="A177" s="31"/>
      <c r="B177" s="31"/>
      <c r="C177" s="3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4"/>
      <c r="AN177" s="1"/>
      <c r="AO177" s="1"/>
      <c r="AP177" s="1"/>
      <c r="AQ177" s="1"/>
      <c r="AR177" s="1"/>
      <c r="AS177" s="1"/>
      <c r="AT177" s="1"/>
      <c r="AU177" s="1"/>
    </row>
    <row r="178" ht="15.75" customHeight="1">
      <c r="A178" s="31"/>
      <c r="B178" s="31"/>
      <c r="C178" s="3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4"/>
      <c r="AN178" s="1"/>
      <c r="AO178" s="1"/>
      <c r="AP178" s="1"/>
      <c r="AQ178" s="1"/>
      <c r="AR178" s="1"/>
      <c r="AS178" s="1"/>
      <c r="AT178" s="1"/>
      <c r="AU178" s="1"/>
    </row>
    <row r="179" ht="15.75" customHeight="1">
      <c r="A179" s="31"/>
      <c r="B179" s="31"/>
      <c r="C179" s="3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4"/>
      <c r="AN179" s="1"/>
      <c r="AO179" s="1"/>
      <c r="AP179" s="1"/>
      <c r="AQ179" s="1"/>
      <c r="AR179" s="1"/>
      <c r="AS179" s="1"/>
      <c r="AT179" s="1"/>
      <c r="AU179" s="1"/>
    </row>
    <row r="180" ht="15.75" customHeight="1">
      <c r="A180" s="31"/>
      <c r="B180" s="31"/>
      <c r="C180" s="3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4"/>
      <c r="AN180" s="1"/>
      <c r="AO180" s="1"/>
      <c r="AP180" s="1"/>
      <c r="AQ180" s="1"/>
      <c r="AR180" s="1"/>
      <c r="AS180" s="1"/>
      <c r="AT180" s="1"/>
      <c r="AU180" s="1"/>
    </row>
    <row r="181" ht="15.75" customHeight="1">
      <c r="A181" s="31"/>
      <c r="B181" s="31"/>
      <c r="C181" s="3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4"/>
      <c r="AN181" s="1"/>
      <c r="AO181" s="1"/>
      <c r="AP181" s="1"/>
      <c r="AQ181" s="1"/>
      <c r="AR181" s="1"/>
      <c r="AS181" s="1"/>
      <c r="AT181" s="1"/>
      <c r="AU181" s="1"/>
    </row>
    <row r="182" ht="15.75" customHeight="1">
      <c r="A182" s="31"/>
      <c r="B182" s="31"/>
      <c r="C182" s="3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4"/>
      <c r="AN182" s="1"/>
      <c r="AO182" s="1"/>
      <c r="AP182" s="1"/>
      <c r="AQ182" s="1"/>
      <c r="AR182" s="1"/>
      <c r="AS182" s="1"/>
      <c r="AT182" s="1"/>
      <c r="AU182" s="1"/>
    </row>
    <row r="183" ht="15.75" customHeight="1">
      <c r="A183" s="31"/>
      <c r="B183" s="31"/>
      <c r="C183" s="3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4"/>
      <c r="AN183" s="1"/>
      <c r="AO183" s="1"/>
      <c r="AP183" s="1"/>
      <c r="AQ183" s="1"/>
      <c r="AR183" s="1"/>
      <c r="AS183" s="1"/>
      <c r="AT183" s="1"/>
      <c r="AU183" s="1"/>
    </row>
    <row r="184" ht="15.75" customHeight="1">
      <c r="A184" s="31"/>
      <c r="B184" s="31"/>
      <c r="C184" s="3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4"/>
      <c r="AN184" s="1"/>
      <c r="AO184" s="1"/>
      <c r="AP184" s="1"/>
      <c r="AQ184" s="1"/>
      <c r="AR184" s="1"/>
      <c r="AS184" s="1"/>
      <c r="AT184" s="1"/>
      <c r="AU184" s="1"/>
    </row>
    <row r="185" ht="15.75" customHeight="1">
      <c r="A185" s="31"/>
      <c r="B185" s="31"/>
      <c r="C185" s="3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4"/>
      <c r="AN185" s="1"/>
      <c r="AO185" s="1"/>
      <c r="AP185" s="1"/>
      <c r="AQ185" s="1"/>
      <c r="AR185" s="1"/>
      <c r="AS185" s="1"/>
      <c r="AT185" s="1"/>
      <c r="AU185" s="1"/>
    </row>
    <row r="186" ht="15.75" customHeight="1">
      <c r="A186" s="31"/>
      <c r="B186" s="31"/>
      <c r="C186" s="3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4"/>
      <c r="AN186" s="1"/>
      <c r="AO186" s="1"/>
      <c r="AP186" s="1"/>
      <c r="AQ186" s="1"/>
      <c r="AR186" s="1"/>
      <c r="AS186" s="1"/>
      <c r="AT186" s="1"/>
      <c r="AU186" s="1"/>
    </row>
    <row r="187" ht="15.75" customHeight="1">
      <c r="A187" s="31"/>
      <c r="B187" s="31"/>
      <c r="C187" s="3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4"/>
      <c r="AN187" s="1"/>
      <c r="AO187" s="1"/>
      <c r="AP187" s="1"/>
      <c r="AQ187" s="1"/>
      <c r="AR187" s="1"/>
      <c r="AS187" s="1"/>
      <c r="AT187" s="1"/>
      <c r="AU187" s="1"/>
    </row>
    <row r="188" ht="15.75" customHeight="1">
      <c r="A188" s="31"/>
      <c r="B188" s="31"/>
      <c r="C188" s="3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4"/>
      <c r="AN188" s="1"/>
      <c r="AO188" s="1"/>
      <c r="AP188" s="1"/>
      <c r="AQ188" s="1"/>
      <c r="AR188" s="1"/>
      <c r="AS188" s="1"/>
      <c r="AT188" s="1"/>
      <c r="AU188" s="1"/>
    </row>
    <row r="189" ht="15.75" customHeight="1">
      <c r="A189" s="31"/>
      <c r="B189" s="31"/>
      <c r="C189" s="3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4"/>
      <c r="AN189" s="1"/>
      <c r="AO189" s="1"/>
      <c r="AP189" s="1"/>
      <c r="AQ189" s="1"/>
      <c r="AR189" s="1"/>
      <c r="AS189" s="1"/>
      <c r="AT189" s="1"/>
      <c r="AU189" s="1"/>
    </row>
    <row r="190" ht="15.75" customHeight="1">
      <c r="A190" s="31"/>
      <c r="B190" s="31"/>
      <c r="C190" s="3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4"/>
      <c r="AN190" s="1"/>
      <c r="AO190" s="1"/>
      <c r="AP190" s="1"/>
      <c r="AQ190" s="1"/>
      <c r="AR190" s="1"/>
      <c r="AS190" s="1"/>
      <c r="AT190" s="1"/>
      <c r="AU190" s="1"/>
    </row>
    <row r="191" ht="15.75" customHeight="1">
      <c r="A191" s="31"/>
      <c r="B191" s="31"/>
      <c r="C191" s="3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4"/>
      <c r="AN191" s="1"/>
      <c r="AO191" s="1"/>
      <c r="AP191" s="1"/>
      <c r="AQ191" s="1"/>
      <c r="AR191" s="1"/>
      <c r="AS191" s="1"/>
      <c r="AT191" s="1"/>
      <c r="AU191" s="1"/>
    </row>
    <row r="192" ht="15.75" customHeight="1">
      <c r="A192" s="31"/>
      <c r="B192" s="31"/>
      <c r="C192" s="3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4"/>
      <c r="AN192" s="1"/>
      <c r="AO192" s="1"/>
      <c r="AP192" s="1"/>
      <c r="AQ192" s="1"/>
      <c r="AR192" s="1"/>
      <c r="AS192" s="1"/>
      <c r="AT192" s="1"/>
      <c r="AU192" s="1"/>
    </row>
    <row r="193" ht="15.75" customHeight="1">
      <c r="A193" s="31"/>
      <c r="B193" s="31"/>
      <c r="C193" s="3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4"/>
      <c r="AN193" s="1"/>
      <c r="AO193" s="1"/>
      <c r="AP193" s="1"/>
      <c r="AQ193" s="1"/>
      <c r="AR193" s="1"/>
      <c r="AS193" s="1"/>
      <c r="AT193" s="1"/>
      <c r="AU193" s="1"/>
    </row>
    <row r="194" ht="15.75" customHeight="1">
      <c r="A194" s="31"/>
      <c r="B194" s="31"/>
      <c r="C194" s="3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4"/>
      <c r="AN194" s="1"/>
      <c r="AO194" s="1"/>
      <c r="AP194" s="1"/>
      <c r="AQ194" s="1"/>
      <c r="AR194" s="1"/>
      <c r="AS194" s="1"/>
      <c r="AT194" s="1"/>
      <c r="AU194" s="1"/>
    </row>
    <row r="195" ht="15.75" customHeight="1">
      <c r="A195" s="31"/>
      <c r="B195" s="31"/>
      <c r="C195" s="3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4"/>
      <c r="AN195" s="1"/>
      <c r="AO195" s="1"/>
      <c r="AP195" s="1"/>
      <c r="AQ195" s="1"/>
      <c r="AR195" s="1"/>
      <c r="AS195" s="1"/>
      <c r="AT195" s="1"/>
      <c r="AU195" s="1"/>
    </row>
    <row r="196" ht="15.75" customHeight="1">
      <c r="A196" s="31"/>
      <c r="B196" s="31"/>
      <c r="C196" s="3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4"/>
      <c r="AN196" s="1"/>
      <c r="AO196" s="1"/>
      <c r="AP196" s="1"/>
      <c r="AQ196" s="1"/>
      <c r="AR196" s="1"/>
      <c r="AS196" s="1"/>
      <c r="AT196" s="1"/>
      <c r="AU196" s="1"/>
    </row>
    <row r="197" ht="15.75" customHeight="1">
      <c r="A197" s="31"/>
      <c r="B197" s="31"/>
      <c r="C197" s="3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4"/>
      <c r="AN197" s="1"/>
      <c r="AO197" s="1"/>
      <c r="AP197" s="1"/>
      <c r="AQ197" s="1"/>
      <c r="AR197" s="1"/>
      <c r="AS197" s="1"/>
      <c r="AT197" s="1"/>
      <c r="AU197" s="1"/>
    </row>
    <row r="198" ht="15.75" customHeight="1">
      <c r="A198" s="31"/>
      <c r="B198" s="31"/>
      <c r="C198" s="3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4"/>
      <c r="AN198" s="1"/>
      <c r="AO198" s="1"/>
      <c r="AP198" s="1"/>
      <c r="AQ198" s="1"/>
      <c r="AR198" s="1"/>
      <c r="AS198" s="1"/>
      <c r="AT198" s="1"/>
      <c r="AU198" s="1"/>
    </row>
    <row r="199" ht="15.75" customHeight="1">
      <c r="A199" s="31"/>
      <c r="B199" s="31"/>
      <c r="C199" s="3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4"/>
      <c r="AN199" s="1"/>
      <c r="AO199" s="1"/>
      <c r="AP199" s="1"/>
      <c r="AQ199" s="1"/>
      <c r="AR199" s="1"/>
      <c r="AS199" s="1"/>
      <c r="AT199" s="1"/>
      <c r="AU199" s="1"/>
    </row>
    <row r="200" ht="15.75" customHeight="1">
      <c r="A200" s="31"/>
      <c r="B200" s="31"/>
      <c r="C200" s="3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4"/>
      <c r="AN200" s="1"/>
      <c r="AO200" s="1"/>
      <c r="AP200" s="1"/>
      <c r="AQ200" s="1"/>
      <c r="AR200" s="1"/>
      <c r="AS200" s="1"/>
      <c r="AT200" s="1"/>
      <c r="AU200" s="1"/>
    </row>
    <row r="201" ht="15.75" customHeight="1">
      <c r="A201" s="31"/>
      <c r="B201" s="31"/>
      <c r="C201" s="3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4"/>
      <c r="AN201" s="1"/>
      <c r="AO201" s="1"/>
      <c r="AP201" s="1"/>
      <c r="AQ201" s="1"/>
      <c r="AR201" s="1"/>
      <c r="AS201" s="1"/>
      <c r="AT201" s="1"/>
      <c r="AU201" s="1"/>
    </row>
    <row r="202" ht="15.75" customHeight="1">
      <c r="A202" s="31"/>
      <c r="B202" s="31"/>
      <c r="C202" s="3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4"/>
      <c r="AN202" s="1"/>
      <c r="AO202" s="1"/>
      <c r="AP202" s="1"/>
      <c r="AQ202" s="1"/>
      <c r="AR202" s="1"/>
      <c r="AS202" s="1"/>
      <c r="AT202" s="1"/>
      <c r="AU202" s="1"/>
    </row>
    <row r="203" ht="15.75" customHeight="1">
      <c r="A203" s="31"/>
      <c r="B203" s="31"/>
      <c r="C203" s="3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4"/>
      <c r="AN203" s="1"/>
      <c r="AO203" s="1"/>
      <c r="AP203" s="1"/>
      <c r="AQ203" s="1"/>
      <c r="AR203" s="1"/>
      <c r="AS203" s="1"/>
      <c r="AT203" s="1"/>
      <c r="AU203" s="1"/>
    </row>
    <row r="204" ht="15.75" customHeight="1">
      <c r="A204" s="31"/>
      <c r="B204" s="31"/>
      <c r="C204" s="3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4"/>
      <c r="AN204" s="1"/>
      <c r="AO204" s="1"/>
      <c r="AP204" s="1"/>
      <c r="AQ204" s="1"/>
      <c r="AR204" s="1"/>
      <c r="AS204" s="1"/>
      <c r="AT204" s="1"/>
      <c r="AU204" s="1"/>
    </row>
    <row r="205" ht="15.75" customHeight="1">
      <c r="A205" s="31"/>
      <c r="B205" s="31"/>
      <c r="C205" s="3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4"/>
      <c r="AN205" s="1"/>
      <c r="AO205" s="1"/>
      <c r="AP205" s="1"/>
      <c r="AQ205" s="1"/>
      <c r="AR205" s="1"/>
      <c r="AS205" s="1"/>
      <c r="AT205" s="1"/>
      <c r="AU205" s="1"/>
    </row>
    <row r="206" ht="15.75" customHeight="1">
      <c r="A206" s="31"/>
      <c r="B206" s="31"/>
      <c r="C206" s="3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4"/>
      <c r="AN206" s="1"/>
      <c r="AO206" s="1"/>
      <c r="AP206" s="1"/>
      <c r="AQ206" s="1"/>
      <c r="AR206" s="1"/>
      <c r="AS206" s="1"/>
      <c r="AT206" s="1"/>
      <c r="AU206" s="1"/>
    </row>
    <row r="207" ht="15.75" customHeight="1">
      <c r="A207" s="31"/>
      <c r="B207" s="31"/>
      <c r="C207" s="3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4"/>
      <c r="AN207" s="1"/>
      <c r="AO207" s="1"/>
      <c r="AP207" s="1"/>
      <c r="AQ207" s="1"/>
      <c r="AR207" s="1"/>
      <c r="AS207" s="1"/>
      <c r="AT207" s="1"/>
      <c r="AU207" s="1"/>
    </row>
    <row r="208" ht="15.75" customHeight="1">
      <c r="A208" s="31"/>
      <c r="B208" s="31"/>
      <c r="C208" s="3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4"/>
      <c r="AN208" s="1"/>
      <c r="AO208" s="1"/>
      <c r="AP208" s="1"/>
      <c r="AQ208" s="1"/>
      <c r="AR208" s="1"/>
      <c r="AS208" s="1"/>
      <c r="AT208" s="1"/>
      <c r="AU208" s="1"/>
    </row>
    <row r="209" ht="15.75" customHeight="1">
      <c r="A209" s="31"/>
      <c r="B209" s="31"/>
      <c r="C209" s="3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4"/>
      <c r="AN209" s="1"/>
      <c r="AO209" s="1"/>
      <c r="AP209" s="1"/>
      <c r="AQ209" s="1"/>
      <c r="AR209" s="1"/>
      <c r="AS209" s="1"/>
      <c r="AT209" s="1"/>
      <c r="AU209" s="1"/>
    </row>
    <row r="210" ht="15.75" customHeight="1">
      <c r="A210" s="31"/>
      <c r="B210" s="31"/>
      <c r="C210" s="3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4"/>
      <c r="AN210" s="1"/>
      <c r="AO210" s="1"/>
      <c r="AP210" s="1"/>
      <c r="AQ210" s="1"/>
      <c r="AR210" s="1"/>
      <c r="AS210" s="1"/>
      <c r="AT210" s="1"/>
      <c r="AU210" s="1"/>
    </row>
    <row r="211" ht="15.75" customHeight="1">
      <c r="A211" s="31"/>
      <c r="B211" s="31"/>
      <c r="C211" s="3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4"/>
      <c r="AN211" s="1"/>
      <c r="AO211" s="1"/>
      <c r="AP211" s="1"/>
      <c r="AQ211" s="1"/>
      <c r="AR211" s="1"/>
      <c r="AS211" s="1"/>
      <c r="AT211" s="1"/>
      <c r="AU211" s="1"/>
    </row>
    <row r="212" ht="15.75" customHeight="1">
      <c r="A212" s="31"/>
      <c r="B212" s="31"/>
      <c r="C212" s="3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4"/>
      <c r="AN212" s="1"/>
      <c r="AO212" s="1"/>
      <c r="AP212" s="1"/>
      <c r="AQ212" s="1"/>
      <c r="AR212" s="1"/>
      <c r="AS212" s="1"/>
      <c r="AT212" s="1"/>
      <c r="AU212" s="1"/>
    </row>
    <row r="213" ht="15.75" customHeight="1">
      <c r="A213" s="31"/>
      <c r="B213" s="31"/>
      <c r="C213" s="3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4"/>
      <c r="AN213" s="1"/>
      <c r="AO213" s="1"/>
      <c r="AP213" s="1"/>
      <c r="AQ213" s="1"/>
      <c r="AR213" s="1"/>
      <c r="AS213" s="1"/>
      <c r="AT213" s="1"/>
      <c r="AU213" s="1"/>
    </row>
    <row r="214" ht="15.75" customHeight="1">
      <c r="A214" s="31"/>
      <c r="B214" s="31"/>
      <c r="C214" s="3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4"/>
      <c r="AN214" s="1"/>
      <c r="AO214" s="1"/>
      <c r="AP214" s="1"/>
      <c r="AQ214" s="1"/>
      <c r="AR214" s="1"/>
      <c r="AS214" s="1"/>
      <c r="AT214" s="1"/>
      <c r="AU214" s="1"/>
    </row>
    <row r="215" ht="15.75" customHeight="1">
      <c r="A215" s="31"/>
      <c r="B215" s="31"/>
      <c r="C215" s="3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4"/>
      <c r="AN215" s="1"/>
      <c r="AO215" s="1"/>
      <c r="AP215" s="1"/>
      <c r="AQ215" s="1"/>
      <c r="AR215" s="1"/>
      <c r="AS215" s="1"/>
      <c r="AT215" s="1"/>
      <c r="AU215" s="1"/>
    </row>
    <row r="216" ht="15.75" customHeight="1">
      <c r="A216" s="31"/>
      <c r="B216" s="31"/>
      <c r="C216" s="3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4"/>
      <c r="AN216" s="1"/>
      <c r="AO216" s="1"/>
      <c r="AP216" s="1"/>
      <c r="AQ216" s="1"/>
      <c r="AR216" s="1"/>
      <c r="AS216" s="1"/>
      <c r="AT216" s="1"/>
      <c r="AU216" s="1"/>
    </row>
    <row r="217" ht="15.75" customHeight="1">
      <c r="A217" s="31"/>
      <c r="B217" s="31"/>
      <c r="C217" s="3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4"/>
      <c r="AN217" s="1"/>
      <c r="AO217" s="1"/>
      <c r="AP217" s="1"/>
      <c r="AQ217" s="1"/>
      <c r="AR217" s="1"/>
      <c r="AS217" s="1"/>
      <c r="AT217" s="1"/>
      <c r="AU217" s="1"/>
    </row>
    <row r="218" ht="15.75" customHeight="1">
      <c r="A218" s="31"/>
      <c r="B218" s="31"/>
      <c r="C218" s="3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4"/>
      <c r="AN218" s="1"/>
      <c r="AO218" s="1"/>
      <c r="AP218" s="1"/>
      <c r="AQ218" s="1"/>
      <c r="AR218" s="1"/>
      <c r="AS218" s="1"/>
      <c r="AT218" s="1"/>
      <c r="AU218" s="1"/>
    </row>
    <row r="219" ht="15.75" customHeight="1">
      <c r="A219" s="31"/>
      <c r="B219" s="31"/>
      <c r="C219" s="3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4"/>
      <c r="AN219" s="1"/>
      <c r="AO219" s="1"/>
      <c r="AP219" s="1"/>
      <c r="AQ219" s="1"/>
      <c r="AR219" s="1"/>
      <c r="AS219" s="1"/>
      <c r="AT219" s="1"/>
      <c r="AU219" s="1"/>
    </row>
    <row r="220" ht="15.75" customHeight="1">
      <c r="A220" s="31"/>
      <c r="B220" s="31"/>
      <c r="C220" s="3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4"/>
      <c r="AN220" s="1"/>
      <c r="AO220" s="1"/>
      <c r="AP220" s="1"/>
      <c r="AQ220" s="1"/>
      <c r="AR220" s="1"/>
      <c r="AS220" s="1"/>
      <c r="AT220" s="1"/>
      <c r="AU220" s="1"/>
    </row>
    <row r="221" ht="15.75" customHeight="1">
      <c r="A221" s="31"/>
      <c r="B221" s="31"/>
      <c r="C221" s="3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4"/>
      <c r="AN221" s="1"/>
      <c r="AO221" s="1"/>
      <c r="AP221" s="1"/>
      <c r="AQ221" s="1"/>
      <c r="AR221" s="1"/>
      <c r="AS221" s="1"/>
      <c r="AT221" s="1"/>
      <c r="AU221" s="1"/>
    </row>
    <row r="222" ht="15.75" customHeight="1">
      <c r="A222" s="31"/>
      <c r="B222" s="31"/>
      <c r="C222" s="3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4"/>
      <c r="AN222" s="1"/>
      <c r="AO222" s="1"/>
      <c r="AP222" s="1"/>
      <c r="AQ222" s="1"/>
      <c r="AR222" s="1"/>
      <c r="AS222" s="1"/>
      <c r="AT222" s="1"/>
      <c r="AU222" s="1"/>
    </row>
    <row r="223" ht="15.75" customHeight="1">
      <c r="A223" s="31"/>
      <c r="B223" s="31"/>
      <c r="C223" s="3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4"/>
      <c r="AN223" s="1"/>
      <c r="AO223" s="1"/>
      <c r="AP223" s="1"/>
      <c r="AQ223" s="1"/>
      <c r="AR223" s="1"/>
      <c r="AS223" s="1"/>
      <c r="AT223" s="1"/>
      <c r="AU223" s="1"/>
    </row>
    <row r="224" ht="15.75" customHeight="1">
      <c r="A224" s="31"/>
      <c r="B224" s="31"/>
      <c r="C224" s="3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4"/>
      <c r="AN224" s="1"/>
      <c r="AO224" s="1"/>
      <c r="AP224" s="1"/>
      <c r="AQ224" s="1"/>
      <c r="AR224" s="1"/>
      <c r="AS224" s="1"/>
      <c r="AT224" s="1"/>
      <c r="AU224" s="1"/>
    </row>
    <row r="225" ht="15.75" customHeight="1">
      <c r="A225" s="31"/>
      <c r="B225" s="31"/>
      <c r="C225" s="3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4"/>
      <c r="AN225" s="1"/>
      <c r="AO225" s="1"/>
      <c r="AP225" s="1"/>
      <c r="AQ225" s="1"/>
      <c r="AR225" s="1"/>
      <c r="AS225" s="1"/>
      <c r="AT225" s="1"/>
      <c r="AU225" s="1"/>
    </row>
    <row r="226" ht="15.75" customHeight="1">
      <c r="A226" s="31"/>
      <c r="B226" s="31"/>
      <c r="C226" s="3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4"/>
      <c r="AN226" s="1"/>
      <c r="AO226" s="1"/>
      <c r="AP226" s="1"/>
      <c r="AQ226" s="1"/>
      <c r="AR226" s="1"/>
      <c r="AS226" s="1"/>
      <c r="AT226" s="1"/>
      <c r="AU226" s="1"/>
    </row>
    <row r="227" ht="15.75" customHeight="1">
      <c r="A227" s="31"/>
      <c r="B227" s="31"/>
      <c r="C227" s="3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4"/>
      <c r="AN227" s="1"/>
      <c r="AO227" s="1"/>
      <c r="AP227" s="1"/>
      <c r="AQ227" s="1"/>
      <c r="AR227" s="1"/>
      <c r="AS227" s="1"/>
      <c r="AT227" s="1"/>
      <c r="AU227" s="1"/>
    </row>
    <row r="228" ht="15.75" customHeight="1">
      <c r="A228" s="31"/>
      <c r="B228" s="31"/>
      <c r="C228" s="3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4"/>
      <c r="AN228" s="1"/>
      <c r="AO228" s="1"/>
      <c r="AP228" s="1"/>
      <c r="AQ228" s="1"/>
      <c r="AR228" s="1"/>
      <c r="AS228" s="1"/>
      <c r="AT228" s="1"/>
      <c r="AU228" s="1"/>
    </row>
    <row r="229" ht="15.75" customHeight="1">
      <c r="A229" s="31"/>
      <c r="B229" s="31"/>
      <c r="C229" s="3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4"/>
      <c r="AN229" s="1"/>
      <c r="AO229" s="1"/>
      <c r="AP229" s="1"/>
      <c r="AQ229" s="1"/>
      <c r="AR229" s="1"/>
      <c r="AS229" s="1"/>
      <c r="AT229" s="1"/>
      <c r="AU229" s="1"/>
    </row>
    <row r="230" ht="15.75" customHeight="1">
      <c r="A230" s="31"/>
      <c r="B230" s="31"/>
      <c r="C230" s="3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4"/>
      <c r="AN230" s="1"/>
      <c r="AO230" s="1"/>
      <c r="AP230" s="1"/>
      <c r="AQ230" s="1"/>
      <c r="AR230" s="1"/>
      <c r="AS230" s="1"/>
      <c r="AT230" s="1"/>
      <c r="AU230" s="1"/>
    </row>
    <row r="231" ht="15.75" customHeight="1">
      <c r="A231" s="31"/>
      <c r="B231" s="31"/>
      <c r="C231" s="3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4"/>
      <c r="AN231" s="1"/>
      <c r="AO231" s="1"/>
      <c r="AP231" s="1"/>
      <c r="AQ231" s="1"/>
      <c r="AR231" s="1"/>
      <c r="AS231" s="1"/>
      <c r="AT231" s="1"/>
      <c r="AU231" s="1"/>
    </row>
    <row r="232" ht="15.75" customHeight="1">
      <c r="A232" s="31"/>
      <c r="B232" s="31"/>
      <c r="C232" s="3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4"/>
      <c r="AN232" s="1"/>
      <c r="AO232" s="1"/>
      <c r="AP232" s="1"/>
      <c r="AQ232" s="1"/>
      <c r="AR232" s="1"/>
      <c r="AS232" s="1"/>
      <c r="AT232" s="1"/>
      <c r="AU232" s="1"/>
    </row>
    <row r="233" ht="15.75" customHeight="1">
      <c r="A233" s="31"/>
      <c r="B233" s="31"/>
      <c r="C233" s="3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4"/>
      <c r="AN233" s="1"/>
      <c r="AO233" s="1"/>
      <c r="AP233" s="1"/>
      <c r="AQ233" s="1"/>
      <c r="AR233" s="1"/>
      <c r="AS233" s="1"/>
      <c r="AT233" s="1"/>
      <c r="AU233" s="1"/>
    </row>
    <row r="234" ht="15.75" customHeight="1">
      <c r="A234" s="31"/>
      <c r="B234" s="31"/>
      <c r="C234" s="3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4"/>
      <c r="AN234" s="1"/>
      <c r="AO234" s="1"/>
      <c r="AP234" s="1"/>
      <c r="AQ234" s="1"/>
      <c r="AR234" s="1"/>
      <c r="AS234" s="1"/>
      <c r="AT234" s="1"/>
      <c r="AU234" s="1"/>
    </row>
    <row r="235" ht="15.75" customHeight="1">
      <c r="A235" s="31"/>
      <c r="B235" s="31"/>
      <c r="C235" s="3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4"/>
      <c r="AN235" s="1"/>
      <c r="AO235" s="1"/>
      <c r="AP235" s="1"/>
      <c r="AQ235" s="1"/>
      <c r="AR235" s="1"/>
      <c r="AS235" s="1"/>
      <c r="AT235" s="1"/>
      <c r="AU235" s="1"/>
    </row>
    <row r="236" ht="15.75" customHeight="1">
      <c r="A236" s="31"/>
      <c r="B236" s="31"/>
      <c r="C236" s="3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4"/>
      <c r="AN236" s="1"/>
      <c r="AO236" s="1"/>
      <c r="AP236" s="1"/>
      <c r="AQ236" s="1"/>
      <c r="AR236" s="1"/>
      <c r="AS236" s="1"/>
      <c r="AT236" s="1"/>
      <c r="AU236" s="1"/>
    </row>
    <row r="237" ht="15.75" customHeight="1">
      <c r="A237" s="31"/>
      <c r="B237" s="31"/>
      <c r="C237" s="3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4"/>
      <c r="AN237" s="1"/>
      <c r="AO237" s="1"/>
      <c r="AP237" s="1"/>
      <c r="AQ237" s="1"/>
      <c r="AR237" s="1"/>
      <c r="AS237" s="1"/>
      <c r="AT237" s="1"/>
      <c r="AU237" s="1"/>
    </row>
    <row r="238" ht="15.75" customHeight="1">
      <c r="A238" s="31"/>
      <c r="B238" s="31"/>
      <c r="C238" s="3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4"/>
      <c r="AN238" s="1"/>
      <c r="AO238" s="1"/>
      <c r="AP238" s="1"/>
      <c r="AQ238" s="1"/>
      <c r="AR238" s="1"/>
      <c r="AS238" s="1"/>
      <c r="AT238" s="1"/>
      <c r="AU238" s="1"/>
    </row>
    <row r="239" ht="15.75" customHeight="1">
      <c r="A239" s="31"/>
      <c r="B239" s="31"/>
      <c r="C239" s="3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4"/>
      <c r="AN239" s="1"/>
      <c r="AO239" s="1"/>
      <c r="AP239" s="1"/>
      <c r="AQ239" s="1"/>
      <c r="AR239" s="1"/>
      <c r="AS239" s="1"/>
      <c r="AT239" s="1"/>
      <c r="AU239" s="1"/>
    </row>
    <row r="240" ht="15.75" customHeight="1">
      <c r="A240" s="31"/>
      <c r="B240" s="31"/>
      <c r="C240" s="3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4"/>
      <c r="AN240" s="1"/>
      <c r="AO240" s="1"/>
      <c r="AP240" s="1"/>
      <c r="AQ240" s="1"/>
      <c r="AR240" s="1"/>
      <c r="AS240" s="1"/>
      <c r="AT240" s="1"/>
      <c r="AU240" s="1"/>
    </row>
    <row r="241" ht="15.75" customHeight="1">
      <c r="A241" s="31"/>
      <c r="B241" s="31"/>
      <c r="C241" s="3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4"/>
      <c r="AN241" s="1"/>
      <c r="AO241" s="1"/>
      <c r="AP241" s="1"/>
      <c r="AQ241" s="1"/>
      <c r="AR241" s="1"/>
      <c r="AS241" s="1"/>
      <c r="AT241" s="1"/>
      <c r="AU241" s="1"/>
    </row>
    <row r="242" ht="15.75" customHeight="1">
      <c r="A242" s="31"/>
      <c r="B242" s="31"/>
      <c r="C242" s="3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4"/>
      <c r="AN242" s="1"/>
      <c r="AO242" s="1"/>
      <c r="AP242" s="1"/>
      <c r="AQ242" s="1"/>
      <c r="AR242" s="1"/>
      <c r="AS242" s="1"/>
      <c r="AT242" s="1"/>
      <c r="AU242" s="1"/>
    </row>
    <row r="243" ht="15.75" customHeight="1">
      <c r="A243" s="31"/>
      <c r="B243" s="31"/>
      <c r="C243" s="3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4"/>
      <c r="AN243" s="1"/>
      <c r="AO243" s="1"/>
      <c r="AP243" s="1"/>
      <c r="AQ243" s="1"/>
      <c r="AR243" s="1"/>
      <c r="AS243" s="1"/>
      <c r="AT243" s="1"/>
      <c r="AU243" s="1"/>
    </row>
    <row r="244" ht="15.75" customHeight="1">
      <c r="A244" s="31"/>
      <c r="B244" s="31"/>
      <c r="C244" s="3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4"/>
      <c r="AN244" s="1"/>
      <c r="AO244" s="1"/>
      <c r="AP244" s="1"/>
      <c r="AQ244" s="1"/>
      <c r="AR244" s="1"/>
      <c r="AS244" s="1"/>
      <c r="AT244" s="1"/>
      <c r="AU244" s="1"/>
    </row>
    <row r="245" ht="15.75" customHeight="1">
      <c r="A245" s="31"/>
      <c r="B245" s="31"/>
      <c r="C245" s="3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4"/>
      <c r="AN245" s="1"/>
      <c r="AO245" s="1"/>
      <c r="AP245" s="1"/>
      <c r="AQ245" s="1"/>
      <c r="AR245" s="1"/>
      <c r="AS245" s="1"/>
      <c r="AT245" s="1"/>
      <c r="AU245" s="1"/>
    </row>
    <row r="246" ht="15.75" customHeight="1">
      <c r="A246" s="31"/>
      <c r="B246" s="31"/>
      <c r="C246" s="3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4"/>
      <c r="AN246" s="1"/>
      <c r="AO246" s="1"/>
      <c r="AP246" s="1"/>
      <c r="AQ246" s="1"/>
      <c r="AR246" s="1"/>
      <c r="AS246" s="1"/>
      <c r="AT246" s="1"/>
      <c r="AU246" s="1"/>
    </row>
    <row r="247" ht="15.75" customHeight="1">
      <c r="A247" s="31"/>
      <c r="B247" s="31"/>
      <c r="C247" s="3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4"/>
      <c r="AN247" s="1"/>
      <c r="AO247" s="1"/>
      <c r="AP247" s="1"/>
      <c r="AQ247" s="1"/>
      <c r="AR247" s="1"/>
      <c r="AS247" s="1"/>
      <c r="AT247" s="1"/>
      <c r="AU247" s="1"/>
    </row>
    <row r="248" ht="15.75" customHeight="1">
      <c r="A248" s="31"/>
      <c r="B248" s="31"/>
      <c r="C248" s="3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4"/>
      <c r="AN248" s="1"/>
      <c r="AO248" s="1"/>
      <c r="AP248" s="1"/>
      <c r="AQ248" s="1"/>
      <c r="AR248" s="1"/>
      <c r="AS248" s="1"/>
      <c r="AT248" s="1"/>
      <c r="AU248" s="1"/>
    </row>
    <row r="249" ht="15.75" customHeight="1">
      <c r="A249" s="31"/>
      <c r="B249" s="31"/>
      <c r="C249" s="3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4"/>
      <c r="AN249" s="1"/>
      <c r="AO249" s="1"/>
      <c r="AP249" s="1"/>
      <c r="AQ249" s="1"/>
      <c r="AR249" s="1"/>
      <c r="AS249" s="1"/>
      <c r="AT249" s="1"/>
      <c r="AU249" s="1"/>
    </row>
    <row r="250" ht="15.75" customHeight="1">
      <c r="A250" s="31"/>
      <c r="B250" s="31"/>
      <c r="C250" s="3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4"/>
      <c r="AN250" s="1"/>
      <c r="AO250" s="1"/>
      <c r="AP250" s="1"/>
      <c r="AQ250" s="1"/>
      <c r="AR250" s="1"/>
      <c r="AS250" s="1"/>
      <c r="AT250" s="1"/>
      <c r="AU250" s="1"/>
    </row>
    <row r="251" ht="15.75" customHeight="1">
      <c r="A251" s="31"/>
      <c r="B251" s="31"/>
      <c r="C251" s="3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4"/>
      <c r="AN251" s="1"/>
      <c r="AO251" s="1"/>
      <c r="AP251" s="1"/>
      <c r="AQ251" s="1"/>
      <c r="AR251" s="1"/>
      <c r="AS251" s="1"/>
      <c r="AT251" s="1"/>
      <c r="AU251" s="1"/>
    </row>
    <row r="252" ht="15.75" customHeight="1">
      <c r="A252" s="31"/>
      <c r="B252" s="31"/>
      <c r="C252" s="3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4"/>
      <c r="AN252" s="1"/>
      <c r="AO252" s="1"/>
      <c r="AP252" s="1"/>
      <c r="AQ252" s="1"/>
      <c r="AR252" s="1"/>
      <c r="AS252" s="1"/>
      <c r="AT252" s="1"/>
      <c r="AU252" s="1"/>
    </row>
    <row r="253" ht="15.75" customHeight="1">
      <c r="A253" s="31"/>
      <c r="B253" s="31"/>
      <c r="C253" s="3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4"/>
      <c r="AN253" s="1"/>
      <c r="AO253" s="1"/>
      <c r="AP253" s="1"/>
      <c r="AQ253" s="1"/>
      <c r="AR253" s="1"/>
      <c r="AS253" s="1"/>
      <c r="AT253" s="1"/>
      <c r="AU253" s="1"/>
    </row>
    <row r="254" ht="15.75" customHeight="1">
      <c r="A254" s="31"/>
      <c r="B254" s="31"/>
      <c r="C254" s="3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4"/>
      <c r="AN254" s="1"/>
      <c r="AO254" s="1"/>
      <c r="AP254" s="1"/>
      <c r="AQ254" s="1"/>
      <c r="AR254" s="1"/>
      <c r="AS254" s="1"/>
      <c r="AT254" s="1"/>
      <c r="AU254" s="1"/>
    </row>
    <row r="255" ht="15.75" customHeight="1">
      <c r="A255" s="31"/>
      <c r="B255" s="31"/>
      <c r="C255" s="3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4"/>
      <c r="AN255" s="1"/>
      <c r="AO255" s="1"/>
      <c r="AP255" s="1"/>
      <c r="AQ255" s="1"/>
      <c r="AR255" s="1"/>
      <c r="AS255" s="1"/>
      <c r="AT255" s="1"/>
      <c r="AU255" s="1"/>
    </row>
    <row r="256" ht="15.75" customHeight="1">
      <c r="A256" s="31"/>
      <c r="B256" s="31"/>
      <c r="C256" s="3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4"/>
      <c r="AN256" s="1"/>
      <c r="AO256" s="1"/>
      <c r="AP256" s="1"/>
      <c r="AQ256" s="1"/>
      <c r="AR256" s="1"/>
      <c r="AS256" s="1"/>
      <c r="AT256" s="1"/>
      <c r="AU256" s="1"/>
    </row>
    <row r="257" ht="15.75" customHeight="1">
      <c r="A257" s="31"/>
      <c r="B257" s="31"/>
      <c r="C257" s="3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4"/>
      <c r="AN257" s="1"/>
      <c r="AO257" s="1"/>
      <c r="AP257" s="1"/>
      <c r="AQ257" s="1"/>
      <c r="AR257" s="1"/>
      <c r="AS257" s="1"/>
      <c r="AT257" s="1"/>
      <c r="AU257" s="1"/>
    </row>
    <row r="258" ht="15.75" customHeight="1">
      <c r="A258" s="31"/>
      <c r="B258" s="31"/>
      <c r="C258" s="3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4"/>
      <c r="AN258" s="1"/>
      <c r="AO258" s="1"/>
      <c r="AP258" s="1"/>
      <c r="AQ258" s="1"/>
      <c r="AR258" s="1"/>
      <c r="AS258" s="1"/>
      <c r="AT258" s="1"/>
      <c r="AU258" s="1"/>
    </row>
    <row r="259" ht="15.75" customHeight="1">
      <c r="A259" s="31"/>
      <c r="B259" s="31"/>
      <c r="C259" s="3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4"/>
      <c r="AN259" s="1"/>
      <c r="AO259" s="1"/>
      <c r="AP259" s="1"/>
      <c r="AQ259" s="1"/>
      <c r="AR259" s="1"/>
      <c r="AS259" s="1"/>
      <c r="AT259" s="1"/>
      <c r="AU259" s="1"/>
    </row>
    <row r="260" ht="15.75" customHeight="1">
      <c r="A260" s="31"/>
      <c r="B260" s="31"/>
      <c r="C260" s="3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4"/>
      <c r="AN260" s="1"/>
      <c r="AO260" s="1"/>
      <c r="AP260" s="1"/>
      <c r="AQ260" s="1"/>
      <c r="AR260" s="1"/>
      <c r="AS260" s="1"/>
      <c r="AT260" s="1"/>
      <c r="AU260" s="1"/>
    </row>
    <row r="261" ht="15.75" customHeight="1">
      <c r="A261" s="31"/>
      <c r="B261" s="31"/>
      <c r="C261" s="3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4"/>
      <c r="AN261" s="1"/>
      <c r="AO261" s="1"/>
      <c r="AP261" s="1"/>
      <c r="AQ261" s="1"/>
      <c r="AR261" s="1"/>
      <c r="AS261" s="1"/>
      <c r="AT261" s="1"/>
      <c r="AU261" s="1"/>
    </row>
    <row r="262" ht="15.75" customHeight="1">
      <c r="A262" s="31"/>
      <c r="B262" s="31"/>
      <c r="C262" s="3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4"/>
      <c r="AN262" s="1"/>
      <c r="AO262" s="1"/>
      <c r="AP262" s="1"/>
      <c r="AQ262" s="1"/>
      <c r="AR262" s="1"/>
      <c r="AS262" s="1"/>
      <c r="AT262" s="1"/>
      <c r="AU262" s="1"/>
    </row>
    <row r="263" ht="15.75" customHeight="1">
      <c r="A263" s="31"/>
      <c r="B263" s="31"/>
      <c r="C263" s="3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4"/>
      <c r="AN263" s="1"/>
      <c r="AO263" s="1"/>
      <c r="AP263" s="1"/>
      <c r="AQ263" s="1"/>
      <c r="AR263" s="1"/>
      <c r="AS263" s="1"/>
      <c r="AT263" s="1"/>
      <c r="AU263" s="1"/>
    </row>
    <row r="264" ht="15.75" customHeight="1">
      <c r="A264" s="31"/>
      <c r="B264" s="31"/>
      <c r="C264" s="3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4"/>
      <c r="AN264" s="1"/>
      <c r="AO264" s="1"/>
      <c r="AP264" s="1"/>
      <c r="AQ264" s="1"/>
      <c r="AR264" s="1"/>
      <c r="AS264" s="1"/>
      <c r="AT264" s="1"/>
      <c r="AU264" s="1"/>
    </row>
    <row r="265" ht="15.75" customHeight="1">
      <c r="A265" s="31"/>
      <c r="B265" s="31"/>
      <c r="C265" s="3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4"/>
      <c r="AN265" s="1"/>
      <c r="AO265" s="1"/>
      <c r="AP265" s="1"/>
      <c r="AQ265" s="1"/>
      <c r="AR265" s="1"/>
      <c r="AS265" s="1"/>
      <c r="AT265" s="1"/>
      <c r="AU265" s="1"/>
    </row>
    <row r="266" ht="15.75" customHeight="1">
      <c r="A266" s="31"/>
      <c r="B266" s="31"/>
      <c r="C266" s="3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4"/>
      <c r="AN266" s="1"/>
      <c r="AO266" s="1"/>
      <c r="AP266" s="1"/>
      <c r="AQ266" s="1"/>
      <c r="AR266" s="1"/>
      <c r="AS266" s="1"/>
      <c r="AT266" s="1"/>
      <c r="AU266" s="1"/>
    </row>
    <row r="267" ht="15.75" customHeight="1">
      <c r="A267" s="31"/>
      <c r="B267" s="31"/>
      <c r="C267" s="3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4"/>
      <c r="AN267" s="1"/>
      <c r="AO267" s="1"/>
      <c r="AP267" s="1"/>
      <c r="AQ267" s="1"/>
      <c r="AR267" s="1"/>
      <c r="AS267" s="1"/>
      <c r="AT267" s="1"/>
      <c r="AU267" s="1"/>
    </row>
    <row r="268" ht="15.75" customHeight="1">
      <c r="A268" s="31"/>
      <c r="B268" s="31"/>
      <c r="C268" s="3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4"/>
      <c r="AN268" s="1"/>
      <c r="AO268" s="1"/>
      <c r="AP268" s="1"/>
      <c r="AQ268" s="1"/>
      <c r="AR268" s="1"/>
      <c r="AS268" s="1"/>
      <c r="AT268" s="1"/>
      <c r="AU268" s="1"/>
    </row>
    <row r="269" ht="15.75" customHeight="1">
      <c r="A269" s="31"/>
      <c r="B269" s="31"/>
      <c r="C269" s="3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4"/>
      <c r="AN269" s="1"/>
      <c r="AO269" s="1"/>
      <c r="AP269" s="1"/>
      <c r="AQ269" s="1"/>
      <c r="AR269" s="1"/>
      <c r="AS269" s="1"/>
      <c r="AT269" s="1"/>
      <c r="AU269" s="1"/>
    </row>
    <row r="270" ht="15.75" customHeight="1">
      <c r="A270" s="31"/>
      <c r="B270" s="31"/>
      <c r="C270" s="3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4"/>
      <c r="AN270" s="1"/>
      <c r="AO270" s="1"/>
      <c r="AP270" s="1"/>
      <c r="AQ270" s="1"/>
      <c r="AR270" s="1"/>
      <c r="AS270" s="1"/>
      <c r="AT270" s="1"/>
      <c r="AU270" s="1"/>
    </row>
    <row r="271" ht="15.75" customHeight="1">
      <c r="A271" s="31"/>
      <c r="B271" s="31"/>
      <c r="C271" s="3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4"/>
      <c r="AN271" s="1"/>
      <c r="AO271" s="1"/>
      <c r="AP271" s="1"/>
      <c r="AQ271" s="1"/>
      <c r="AR271" s="1"/>
      <c r="AS271" s="1"/>
      <c r="AT271" s="1"/>
      <c r="AU271" s="1"/>
    </row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9">
    <mergeCell ref="B36:B38"/>
    <mergeCell ref="C36:C38"/>
    <mergeCell ref="A30:A32"/>
    <mergeCell ref="B30:B32"/>
    <mergeCell ref="C30:C32"/>
    <mergeCell ref="A33:A35"/>
    <mergeCell ref="B33:B35"/>
    <mergeCell ref="C33:C35"/>
    <mergeCell ref="A36:A38"/>
    <mergeCell ref="B45:B47"/>
    <mergeCell ref="C45:C47"/>
    <mergeCell ref="A39:A41"/>
    <mergeCell ref="B39:B41"/>
    <mergeCell ref="C39:C41"/>
    <mergeCell ref="A42:A44"/>
    <mergeCell ref="B42:B44"/>
    <mergeCell ref="C42:C44"/>
    <mergeCell ref="A45:A47"/>
    <mergeCell ref="B54:B56"/>
    <mergeCell ref="C54:C56"/>
    <mergeCell ref="A48:A50"/>
    <mergeCell ref="B48:B50"/>
    <mergeCell ref="C48:C50"/>
    <mergeCell ref="A51:A53"/>
    <mergeCell ref="B51:B53"/>
    <mergeCell ref="C51:C53"/>
    <mergeCell ref="A54:A56"/>
    <mergeCell ref="B63:B65"/>
    <mergeCell ref="C63:C65"/>
    <mergeCell ref="A57:A59"/>
    <mergeCell ref="B57:B59"/>
    <mergeCell ref="C57:C59"/>
    <mergeCell ref="A60:A62"/>
    <mergeCell ref="B60:B62"/>
    <mergeCell ref="C60:C62"/>
    <mergeCell ref="A63:A65"/>
    <mergeCell ref="B9:B11"/>
    <mergeCell ref="C9:C11"/>
    <mergeCell ref="A3:A5"/>
    <mergeCell ref="B3:B5"/>
    <mergeCell ref="C3:C5"/>
    <mergeCell ref="A6:A8"/>
    <mergeCell ref="B6:B8"/>
    <mergeCell ref="C6:C8"/>
    <mergeCell ref="A9:A11"/>
    <mergeCell ref="B18:B20"/>
    <mergeCell ref="C18:C20"/>
    <mergeCell ref="A12:A14"/>
    <mergeCell ref="B12:B14"/>
    <mergeCell ref="C12:C14"/>
    <mergeCell ref="A15:A17"/>
    <mergeCell ref="B15:B17"/>
    <mergeCell ref="C15:C17"/>
    <mergeCell ref="A18:A20"/>
    <mergeCell ref="B27:B29"/>
    <mergeCell ref="C27:C29"/>
    <mergeCell ref="A21:A23"/>
    <mergeCell ref="B21:B23"/>
    <mergeCell ref="C21:C23"/>
    <mergeCell ref="A24:A26"/>
    <mergeCell ref="B24:B26"/>
    <mergeCell ref="C24:C26"/>
    <mergeCell ref="A27:A29"/>
    <mergeCell ref="A66:A68"/>
    <mergeCell ref="B66:B68"/>
    <mergeCell ref="C66:C68"/>
    <mergeCell ref="A69:A71"/>
    <mergeCell ref="B69:B71"/>
    <mergeCell ref="C69:C71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4" width="12.63"/>
    <col customWidth="1" min="5" max="35" width="2.63"/>
    <col customWidth="1" min="36" max="36" width="5.25"/>
    <col customWidth="1" min="37" max="37" width="5.63"/>
    <col customWidth="1" min="38" max="38" width="7.63"/>
    <col customWidth="1" min="39" max="47" width="2.63"/>
  </cols>
  <sheetData>
    <row r="1" ht="15.75" customHeight="1">
      <c r="A1" s="31"/>
      <c r="B1" s="31"/>
      <c r="C1" s="3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4"/>
      <c r="AN1" s="1"/>
      <c r="AO1" s="1"/>
      <c r="AP1" s="1"/>
      <c r="AQ1" s="1"/>
      <c r="AR1" s="1"/>
      <c r="AS1" s="1"/>
      <c r="AT1" s="1"/>
      <c r="AU1" s="1"/>
    </row>
    <row r="2" ht="15.75" customHeight="1">
      <c r="A2" s="42" t="s">
        <v>0</v>
      </c>
      <c r="B2" s="42" t="s">
        <v>1</v>
      </c>
      <c r="C2" s="42" t="s">
        <v>2</v>
      </c>
      <c r="D2" s="43"/>
      <c r="E2" s="13">
        <v>1.0</v>
      </c>
      <c r="F2" s="13">
        <v>2.0</v>
      </c>
      <c r="G2" s="13">
        <v>3.0</v>
      </c>
      <c r="H2" s="13">
        <v>4.0</v>
      </c>
      <c r="I2" s="13">
        <v>5.0</v>
      </c>
      <c r="J2" s="13">
        <v>6.0</v>
      </c>
      <c r="K2" s="13">
        <v>7.0</v>
      </c>
      <c r="L2" s="13">
        <v>8.0</v>
      </c>
      <c r="M2" s="13">
        <v>9.0</v>
      </c>
      <c r="N2" s="13">
        <v>10.0</v>
      </c>
      <c r="O2" s="13">
        <v>11.0</v>
      </c>
      <c r="P2" s="13">
        <v>12.0</v>
      </c>
      <c r="Q2" s="13">
        <v>13.0</v>
      </c>
      <c r="R2" s="13">
        <v>14.0</v>
      </c>
      <c r="S2" s="13">
        <v>15.0</v>
      </c>
      <c r="T2" s="13">
        <v>16.0</v>
      </c>
      <c r="U2" s="13">
        <v>17.0</v>
      </c>
      <c r="V2" s="13">
        <v>18.0</v>
      </c>
      <c r="W2" s="13">
        <v>19.0</v>
      </c>
      <c r="X2" s="13">
        <v>20.0</v>
      </c>
      <c r="Y2" s="13">
        <v>21.0</v>
      </c>
      <c r="Z2" s="13">
        <v>22.0</v>
      </c>
      <c r="AA2" s="13">
        <v>23.0</v>
      </c>
      <c r="AB2" s="13">
        <v>24.0</v>
      </c>
      <c r="AC2" s="13">
        <v>25.0</v>
      </c>
      <c r="AD2" s="13">
        <v>26.0</v>
      </c>
      <c r="AE2" s="13">
        <v>27.0</v>
      </c>
      <c r="AF2" s="13">
        <v>28.0</v>
      </c>
      <c r="AG2" s="13">
        <v>29.0</v>
      </c>
      <c r="AH2" s="13">
        <v>30.0</v>
      </c>
      <c r="AI2" s="13">
        <v>31.0</v>
      </c>
      <c r="AJ2" s="13" t="s">
        <v>3</v>
      </c>
      <c r="AK2" s="9"/>
      <c r="AL2" s="8" t="s">
        <v>4</v>
      </c>
      <c r="AM2" s="4"/>
      <c r="AN2" s="1"/>
      <c r="AO2" s="1"/>
      <c r="AP2" s="1"/>
      <c r="AQ2" s="1"/>
      <c r="AR2" s="1"/>
      <c r="AS2" s="1"/>
      <c r="AT2" s="1"/>
      <c r="AU2" s="1"/>
    </row>
    <row r="3" ht="15.75" customHeight="1">
      <c r="A3" s="12" t="s">
        <v>30</v>
      </c>
      <c r="B3" s="12" t="s">
        <v>31</v>
      </c>
      <c r="C3" s="12"/>
      <c r="D3" s="13" t="s">
        <v>5</v>
      </c>
      <c r="E3" s="13">
        <v>1.0</v>
      </c>
      <c r="F3" s="13">
        <v>1.0</v>
      </c>
      <c r="G3" s="13">
        <v>1.0</v>
      </c>
      <c r="H3" s="13">
        <v>1.0</v>
      </c>
      <c r="I3" s="13">
        <v>1.0</v>
      </c>
      <c r="J3" s="13">
        <v>1.0</v>
      </c>
      <c r="K3" s="13">
        <v>1.0</v>
      </c>
      <c r="L3" s="13">
        <v>1.0</v>
      </c>
      <c r="M3" s="13">
        <v>1.0</v>
      </c>
      <c r="N3" s="13">
        <v>1.0</v>
      </c>
      <c r="O3" s="13">
        <v>1.0</v>
      </c>
      <c r="P3" s="13">
        <v>1.0</v>
      </c>
      <c r="Q3" s="13">
        <v>1.0</v>
      </c>
      <c r="R3" s="13">
        <v>1.0</v>
      </c>
      <c r="S3" s="13">
        <v>1.0</v>
      </c>
      <c r="T3" s="13">
        <v>1.0</v>
      </c>
      <c r="U3" s="13">
        <v>1.0</v>
      </c>
      <c r="V3" s="13">
        <v>1.0</v>
      </c>
      <c r="W3" s="13">
        <v>1.0</v>
      </c>
      <c r="X3" s="13">
        <v>1.0</v>
      </c>
      <c r="Y3" s="13">
        <v>1.0</v>
      </c>
      <c r="Z3" s="13">
        <v>1.0</v>
      </c>
      <c r="AA3" s="13">
        <v>1.0</v>
      </c>
      <c r="AB3" s="13">
        <v>1.0</v>
      </c>
      <c r="AC3" s="13">
        <v>1.0</v>
      </c>
      <c r="AD3" s="13">
        <v>1.0</v>
      </c>
      <c r="AE3" s="13">
        <v>1.0</v>
      </c>
      <c r="AF3" s="13">
        <v>1.0</v>
      </c>
      <c r="AG3" s="13">
        <v>1.0</v>
      </c>
      <c r="AH3" s="13">
        <v>1.0</v>
      </c>
      <c r="AI3" s="13">
        <v>1.0</v>
      </c>
      <c r="AJ3" s="13">
        <f t="shared" ref="AJ3:AJ71" si="1">SUM(E3:AI3)</f>
        <v>31</v>
      </c>
      <c r="AK3" s="14">
        <f>330*AJ3</f>
        <v>10230</v>
      </c>
      <c r="AL3" s="15"/>
      <c r="AM3" s="4"/>
      <c r="AN3" s="1"/>
      <c r="AO3" s="1"/>
      <c r="AP3" s="1"/>
      <c r="AQ3" s="1"/>
      <c r="AR3" s="1"/>
      <c r="AS3" s="1"/>
      <c r="AT3" s="1"/>
      <c r="AU3" s="1"/>
    </row>
    <row r="4" ht="15.75" customHeight="1">
      <c r="A4" s="16"/>
      <c r="B4" s="16"/>
      <c r="C4" s="16"/>
      <c r="D4" s="13" t="s">
        <v>6</v>
      </c>
      <c r="E4" s="13">
        <v>1.0</v>
      </c>
      <c r="F4" s="13">
        <v>1.0</v>
      </c>
      <c r="G4" s="13">
        <v>1.0</v>
      </c>
      <c r="H4" s="13">
        <v>1.0</v>
      </c>
      <c r="I4" s="13">
        <v>1.0</v>
      </c>
      <c r="J4" s="13">
        <v>1.0</v>
      </c>
      <c r="K4" s="13">
        <v>1.0</v>
      </c>
      <c r="L4" s="13">
        <v>1.0</v>
      </c>
      <c r="M4" s="13">
        <v>1.0</v>
      </c>
      <c r="N4" s="13">
        <v>1.0</v>
      </c>
      <c r="O4" s="13">
        <v>1.0</v>
      </c>
      <c r="P4" s="13">
        <v>1.0</v>
      </c>
      <c r="Q4" s="13">
        <v>1.0</v>
      </c>
      <c r="R4" s="13">
        <v>1.0</v>
      </c>
      <c r="S4" s="13">
        <v>1.0</v>
      </c>
      <c r="T4" s="13">
        <v>1.0</v>
      </c>
      <c r="U4" s="13">
        <v>1.0</v>
      </c>
      <c r="V4" s="13">
        <v>1.0</v>
      </c>
      <c r="W4" s="13">
        <v>1.0</v>
      </c>
      <c r="X4" s="13">
        <v>1.0</v>
      </c>
      <c r="Y4" s="13">
        <v>1.0</v>
      </c>
      <c r="Z4" s="13">
        <v>1.0</v>
      </c>
      <c r="AA4" s="13">
        <v>1.0</v>
      </c>
      <c r="AB4" s="13">
        <v>1.0</v>
      </c>
      <c r="AC4" s="13">
        <v>1.0</v>
      </c>
      <c r="AD4" s="13">
        <v>1.0</v>
      </c>
      <c r="AE4" s="13">
        <v>1.0</v>
      </c>
      <c r="AF4" s="13">
        <v>1.0</v>
      </c>
      <c r="AG4" s="13">
        <v>1.0</v>
      </c>
      <c r="AH4" s="13">
        <v>1.0</v>
      </c>
      <c r="AI4" s="13">
        <v>1.0</v>
      </c>
      <c r="AJ4" s="13">
        <f t="shared" si="1"/>
        <v>31</v>
      </c>
      <c r="AK4" s="14">
        <f t="shared" ref="AK4:AK5" si="2">550*AJ4</f>
        <v>17050</v>
      </c>
      <c r="AL4" s="19"/>
      <c r="AM4" s="4"/>
      <c r="AN4" s="1"/>
      <c r="AO4" s="1"/>
      <c r="AP4" s="1"/>
      <c r="AQ4" s="1"/>
      <c r="AR4" s="1"/>
      <c r="AS4" s="1"/>
      <c r="AT4" s="1"/>
      <c r="AU4" s="1"/>
    </row>
    <row r="5" ht="15.75" customHeight="1">
      <c r="A5" s="10"/>
      <c r="B5" s="10"/>
      <c r="C5" s="10"/>
      <c r="D5" s="13" t="s">
        <v>7</v>
      </c>
      <c r="E5" s="13">
        <v>1.0</v>
      </c>
      <c r="F5" s="13">
        <v>1.0</v>
      </c>
      <c r="G5" s="13">
        <v>1.0</v>
      </c>
      <c r="H5" s="13">
        <v>1.0</v>
      </c>
      <c r="I5" s="13">
        <v>1.0</v>
      </c>
      <c r="J5" s="13">
        <v>1.0</v>
      </c>
      <c r="K5" s="13">
        <v>1.0</v>
      </c>
      <c r="L5" s="13">
        <v>1.0</v>
      </c>
      <c r="M5" s="13">
        <v>1.0</v>
      </c>
      <c r="N5" s="13">
        <v>1.0</v>
      </c>
      <c r="O5" s="13">
        <v>1.0</v>
      </c>
      <c r="P5" s="13">
        <v>1.0</v>
      </c>
      <c r="Q5" s="13">
        <v>1.0</v>
      </c>
      <c r="R5" s="13">
        <v>1.0</v>
      </c>
      <c r="S5" s="13">
        <v>1.0</v>
      </c>
      <c r="T5" s="13">
        <v>1.0</v>
      </c>
      <c r="U5" s="13">
        <v>1.0</v>
      </c>
      <c r="V5" s="13">
        <v>1.0</v>
      </c>
      <c r="W5" s="13">
        <v>1.0</v>
      </c>
      <c r="X5" s="13">
        <v>1.0</v>
      </c>
      <c r="Y5" s="13">
        <v>1.0</v>
      </c>
      <c r="Z5" s="13">
        <v>1.0</v>
      </c>
      <c r="AA5" s="13">
        <v>1.0</v>
      </c>
      <c r="AB5" s="13">
        <v>1.0</v>
      </c>
      <c r="AC5" s="13">
        <v>1.0</v>
      </c>
      <c r="AD5" s="13">
        <v>1.0</v>
      </c>
      <c r="AE5" s="13">
        <v>1.0</v>
      </c>
      <c r="AF5" s="13">
        <v>1.0</v>
      </c>
      <c r="AG5" s="13">
        <v>1.0</v>
      </c>
      <c r="AH5" s="13">
        <v>1.0</v>
      </c>
      <c r="AI5" s="13">
        <v>1.0</v>
      </c>
      <c r="AJ5" s="13">
        <f t="shared" si="1"/>
        <v>31</v>
      </c>
      <c r="AK5" s="14">
        <f t="shared" si="2"/>
        <v>17050</v>
      </c>
      <c r="AL5" s="20">
        <f>SUM(AK3:AK5)</f>
        <v>44330</v>
      </c>
      <c r="AM5" s="4"/>
      <c r="AN5" s="1"/>
      <c r="AO5" s="1"/>
      <c r="AP5" s="1"/>
      <c r="AQ5" s="1"/>
      <c r="AR5" s="1"/>
      <c r="AS5" s="1"/>
      <c r="AT5" s="1"/>
      <c r="AU5" s="1"/>
    </row>
    <row r="6" ht="15.75" customHeight="1">
      <c r="A6" s="34" t="s">
        <v>8</v>
      </c>
      <c r="B6" s="34" t="s">
        <v>9</v>
      </c>
      <c r="C6" s="34"/>
      <c r="D6" s="36" t="s">
        <v>5</v>
      </c>
      <c r="E6" s="36">
        <v>1.0</v>
      </c>
      <c r="F6" s="36">
        <v>1.0</v>
      </c>
      <c r="G6" s="36">
        <v>1.0</v>
      </c>
      <c r="H6" s="36">
        <v>1.0</v>
      </c>
      <c r="I6" s="36">
        <v>1.0</v>
      </c>
      <c r="J6" s="36">
        <v>1.0</v>
      </c>
      <c r="K6" s="36">
        <v>1.0</v>
      </c>
      <c r="L6" s="36">
        <v>1.0</v>
      </c>
      <c r="M6" s="36">
        <v>1.0</v>
      </c>
      <c r="N6" s="36">
        <v>1.0</v>
      </c>
      <c r="O6" s="36">
        <v>1.0</v>
      </c>
      <c r="P6" s="36">
        <v>1.0</v>
      </c>
      <c r="Q6" s="36">
        <v>1.0</v>
      </c>
      <c r="R6" s="36">
        <v>1.0</v>
      </c>
      <c r="S6" s="36">
        <v>1.0</v>
      </c>
      <c r="T6" s="36">
        <v>1.0</v>
      </c>
      <c r="U6" s="36">
        <v>1.0</v>
      </c>
      <c r="V6" s="36">
        <v>1.0</v>
      </c>
      <c r="W6" s="36">
        <v>1.0</v>
      </c>
      <c r="X6" s="36">
        <v>1.0</v>
      </c>
      <c r="Y6" s="36">
        <v>1.0</v>
      </c>
      <c r="Z6" s="36">
        <v>1.0</v>
      </c>
      <c r="AA6" s="36">
        <v>1.0</v>
      </c>
      <c r="AB6" s="36">
        <v>1.0</v>
      </c>
      <c r="AC6" s="36">
        <v>1.0</v>
      </c>
      <c r="AD6" s="36">
        <v>1.0</v>
      </c>
      <c r="AE6" s="36">
        <v>1.0</v>
      </c>
      <c r="AF6" s="36">
        <v>1.0</v>
      </c>
      <c r="AG6" s="36">
        <v>1.0</v>
      </c>
      <c r="AH6" s="36">
        <v>1.0</v>
      </c>
      <c r="AI6" s="36">
        <v>1.0</v>
      </c>
      <c r="AJ6" s="36">
        <f t="shared" si="1"/>
        <v>31</v>
      </c>
      <c r="AK6" s="23">
        <f>330*AJ6</f>
        <v>10230</v>
      </c>
      <c r="AL6" s="24"/>
      <c r="AM6" s="4"/>
      <c r="AN6" s="1"/>
      <c r="AO6" s="1"/>
      <c r="AP6" s="1"/>
      <c r="AQ6" s="1"/>
      <c r="AR6" s="1"/>
      <c r="AS6" s="1"/>
      <c r="AT6" s="1"/>
      <c r="AU6" s="1"/>
    </row>
    <row r="7" ht="15.75" customHeight="1">
      <c r="A7" s="16"/>
      <c r="B7" s="16"/>
      <c r="C7" s="16"/>
      <c r="D7" s="36" t="s">
        <v>6</v>
      </c>
      <c r="E7" s="36">
        <v>1.0</v>
      </c>
      <c r="F7" s="36">
        <v>1.0</v>
      </c>
      <c r="G7" s="36">
        <v>1.0</v>
      </c>
      <c r="H7" s="36">
        <v>1.0</v>
      </c>
      <c r="I7" s="36">
        <v>1.0</v>
      </c>
      <c r="J7" s="36">
        <v>1.0</v>
      </c>
      <c r="K7" s="36">
        <v>1.0</v>
      </c>
      <c r="L7" s="36">
        <v>1.0</v>
      </c>
      <c r="M7" s="36">
        <v>1.0</v>
      </c>
      <c r="N7" s="36">
        <v>1.0</v>
      </c>
      <c r="O7" s="36">
        <v>1.0</v>
      </c>
      <c r="P7" s="36">
        <v>1.0</v>
      </c>
      <c r="Q7" s="36">
        <v>1.0</v>
      </c>
      <c r="R7" s="36">
        <v>1.0</v>
      </c>
      <c r="S7" s="36">
        <v>1.0</v>
      </c>
      <c r="T7" s="36">
        <v>1.0</v>
      </c>
      <c r="U7" s="36">
        <v>1.0</v>
      </c>
      <c r="V7" s="36">
        <v>1.0</v>
      </c>
      <c r="W7" s="36">
        <v>1.0</v>
      </c>
      <c r="X7" s="36">
        <v>1.0</v>
      </c>
      <c r="Y7" s="36">
        <v>1.0</v>
      </c>
      <c r="Z7" s="36">
        <v>1.0</v>
      </c>
      <c r="AA7" s="36">
        <v>1.0</v>
      </c>
      <c r="AB7" s="36">
        <v>1.0</v>
      </c>
      <c r="AC7" s="36">
        <v>1.0</v>
      </c>
      <c r="AD7" s="36">
        <v>1.0</v>
      </c>
      <c r="AE7" s="36">
        <v>1.0</v>
      </c>
      <c r="AF7" s="36">
        <v>1.0</v>
      </c>
      <c r="AG7" s="36">
        <v>1.0</v>
      </c>
      <c r="AH7" s="36">
        <v>1.0</v>
      </c>
      <c r="AI7" s="36">
        <v>1.0</v>
      </c>
      <c r="AJ7" s="36">
        <f t="shared" si="1"/>
        <v>31</v>
      </c>
      <c r="AK7" s="23">
        <f t="shared" ref="AK7:AK8" si="3">550*AJ7</f>
        <v>17050</v>
      </c>
      <c r="AL7" s="24"/>
      <c r="AM7" s="4"/>
      <c r="AN7" s="1"/>
      <c r="AO7" s="1"/>
      <c r="AP7" s="1"/>
      <c r="AQ7" s="1"/>
      <c r="AR7" s="1"/>
      <c r="AS7" s="1"/>
      <c r="AT7" s="1"/>
      <c r="AU7" s="1"/>
    </row>
    <row r="8" ht="15.75" customHeight="1">
      <c r="A8" s="10"/>
      <c r="B8" s="10"/>
      <c r="C8" s="10"/>
      <c r="D8" s="36" t="s">
        <v>7</v>
      </c>
      <c r="E8" s="36">
        <v>1.0</v>
      </c>
      <c r="F8" s="36">
        <v>1.0</v>
      </c>
      <c r="G8" s="36">
        <v>1.0</v>
      </c>
      <c r="H8" s="36">
        <v>1.0</v>
      </c>
      <c r="I8" s="36">
        <v>1.0</v>
      </c>
      <c r="J8" s="36">
        <v>1.0</v>
      </c>
      <c r="K8" s="36">
        <v>1.0</v>
      </c>
      <c r="L8" s="36">
        <v>1.0</v>
      </c>
      <c r="M8" s="36">
        <v>1.0</v>
      </c>
      <c r="N8" s="36">
        <v>1.0</v>
      </c>
      <c r="O8" s="36">
        <v>1.0</v>
      </c>
      <c r="P8" s="36">
        <v>1.0</v>
      </c>
      <c r="Q8" s="36">
        <v>1.0</v>
      </c>
      <c r="R8" s="36">
        <v>1.0</v>
      </c>
      <c r="S8" s="36">
        <v>1.0</v>
      </c>
      <c r="T8" s="36">
        <v>1.0</v>
      </c>
      <c r="U8" s="36">
        <v>1.0</v>
      </c>
      <c r="V8" s="36">
        <v>1.0</v>
      </c>
      <c r="W8" s="36">
        <v>1.0</v>
      </c>
      <c r="X8" s="36">
        <v>1.0</v>
      </c>
      <c r="Y8" s="36">
        <v>1.0</v>
      </c>
      <c r="Z8" s="36">
        <v>1.0</v>
      </c>
      <c r="AA8" s="36">
        <v>1.0</v>
      </c>
      <c r="AB8" s="36">
        <v>1.0</v>
      </c>
      <c r="AC8" s="36">
        <v>1.0</v>
      </c>
      <c r="AD8" s="36">
        <v>1.0</v>
      </c>
      <c r="AE8" s="36">
        <v>1.0</v>
      </c>
      <c r="AF8" s="36">
        <v>1.0</v>
      </c>
      <c r="AG8" s="36">
        <v>1.0</v>
      </c>
      <c r="AH8" s="36">
        <v>1.0</v>
      </c>
      <c r="AI8" s="36">
        <v>1.0</v>
      </c>
      <c r="AJ8" s="36">
        <f t="shared" si="1"/>
        <v>31</v>
      </c>
      <c r="AK8" s="23">
        <f t="shared" si="3"/>
        <v>17050</v>
      </c>
      <c r="AL8" s="26">
        <f>SUM(AK6:AK8)</f>
        <v>44330</v>
      </c>
      <c r="AM8" s="4"/>
      <c r="AN8" s="1"/>
      <c r="AO8" s="1"/>
      <c r="AP8" s="1"/>
      <c r="AQ8" s="1"/>
      <c r="AR8" s="1"/>
      <c r="AS8" s="1"/>
      <c r="AT8" s="1"/>
      <c r="AU8" s="1"/>
    </row>
    <row r="9" ht="15.75" customHeight="1">
      <c r="A9" s="12" t="s">
        <v>11</v>
      </c>
      <c r="B9" s="12" t="s">
        <v>12</v>
      </c>
      <c r="C9" s="12" t="s">
        <v>60</v>
      </c>
      <c r="D9" s="13" t="s">
        <v>5</v>
      </c>
      <c r="E9" s="14"/>
      <c r="F9" s="14"/>
      <c r="G9" s="14"/>
      <c r="H9" s="14"/>
      <c r="I9" s="14"/>
      <c r="J9" s="14"/>
      <c r="K9" s="14"/>
      <c r="L9" s="13">
        <v>1.0</v>
      </c>
      <c r="M9" s="13">
        <v>1.0</v>
      </c>
      <c r="N9" s="13">
        <v>1.0</v>
      </c>
      <c r="O9" s="13">
        <v>1.0</v>
      </c>
      <c r="P9" s="13">
        <v>1.0</v>
      </c>
      <c r="Q9" s="13">
        <v>1.0</v>
      </c>
      <c r="R9" s="13">
        <v>1.0</v>
      </c>
      <c r="S9" s="13">
        <v>1.0</v>
      </c>
      <c r="T9" s="13">
        <v>1.0</v>
      </c>
      <c r="U9" s="13">
        <v>1.0</v>
      </c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>
        <f t="shared" si="1"/>
        <v>10</v>
      </c>
      <c r="AK9" s="14">
        <f>330*AJ9</f>
        <v>3300</v>
      </c>
      <c r="AL9" s="19"/>
      <c r="AM9" s="4"/>
      <c r="AN9" s="1"/>
      <c r="AO9" s="1"/>
      <c r="AP9" s="1"/>
      <c r="AQ9" s="1"/>
      <c r="AR9" s="1"/>
      <c r="AS9" s="1"/>
      <c r="AT9" s="1"/>
      <c r="AU9" s="1"/>
    </row>
    <row r="10" ht="15.75" customHeight="1">
      <c r="A10" s="16"/>
      <c r="B10" s="16"/>
      <c r="C10" s="16"/>
      <c r="D10" s="13" t="s">
        <v>6</v>
      </c>
      <c r="E10" s="14"/>
      <c r="F10" s="14"/>
      <c r="G10" s="14"/>
      <c r="H10" s="14"/>
      <c r="I10" s="14"/>
      <c r="J10" s="14"/>
      <c r="K10" s="14">
        <v>1.0</v>
      </c>
      <c r="L10" s="13">
        <v>1.0</v>
      </c>
      <c r="M10" s="13">
        <v>1.0</v>
      </c>
      <c r="N10" s="13"/>
      <c r="O10" s="13">
        <v>1.0</v>
      </c>
      <c r="P10" s="13"/>
      <c r="Q10" s="13"/>
      <c r="R10" s="13"/>
      <c r="S10" s="13">
        <v>1.0</v>
      </c>
      <c r="T10" s="13">
        <v>1.0</v>
      </c>
      <c r="U10" s="13">
        <v>1.0</v>
      </c>
      <c r="V10" s="13">
        <v>1.0</v>
      </c>
      <c r="W10" s="13">
        <v>1.0</v>
      </c>
      <c r="X10" s="13">
        <v>1.0</v>
      </c>
      <c r="Y10" s="13">
        <v>1.0</v>
      </c>
      <c r="Z10" s="13"/>
      <c r="AA10" s="13">
        <v>1.0</v>
      </c>
      <c r="AB10" s="13">
        <v>1.0</v>
      </c>
      <c r="AC10" s="13">
        <v>1.0</v>
      </c>
      <c r="AD10" s="13">
        <v>1.0</v>
      </c>
      <c r="AE10" s="13">
        <v>1.0</v>
      </c>
      <c r="AF10" s="13">
        <v>1.0</v>
      </c>
      <c r="AG10" s="13"/>
      <c r="AH10" s="13">
        <v>1.0</v>
      </c>
      <c r="AI10" s="13">
        <v>1.0</v>
      </c>
      <c r="AJ10" s="13">
        <f t="shared" si="1"/>
        <v>19</v>
      </c>
      <c r="AK10" s="14">
        <f t="shared" ref="AK10:AK11" si="4">550*AJ10</f>
        <v>10450</v>
      </c>
      <c r="AL10" s="19"/>
      <c r="AM10" s="4"/>
      <c r="AN10" s="1"/>
      <c r="AO10" s="1"/>
      <c r="AP10" s="1"/>
      <c r="AQ10" s="1"/>
      <c r="AR10" s="1"/>
      <c r="AS10" s="1"/>
      <c r="AT10" s="1"/>
      <c r="AU10" s="1"/>
    </row>
    <row r="11" ht="15.75" customHeight="1">
      <c r="A11" s="10"/>
      <c r="B11" s="10"/>
      <c r="C11" s="10"/>
      <c r="D11" s="13" t="s">
        <v>7</v>
      </c>
      <c r="E11" s="14"/>
      <c r="F11" s="14"/>
      <c r="G11" s="14"/>
      <c r="H11" s="14"/>
      <c r="I11" s="14"/>
      <c r="J11" s="14"/>
      <c r="K11" s="14">
        <v>1.0</v>
      </c>
      <c r="L11" s="13">
        <v>1.0</v>
      </c>
      <c r="M11" s="13">
        <v>1.0</v>
      </c>
      <c r="N11" s="13">
        <v>1.0</v>
      </c>
      <c r="O11" s="13">
        <v>1.0</v>
      </c>
      <c r="P11" s="13"/>
      <c r="Q11" s="13"/>
      <c r="R11" s="13">
        <v>1.0</v>
      </c>
      <c r="S11" s="13">
        <v>1.0</v>
      </c>
      <c r="T11" s="13">
        <v>1.0</v>
      </c>
      <c r="U11" s="13">
        <v>1.0</v>
      </c>
      <c r="V11" s="13">
        <v>1.0</v>
      </c>
      <c r="W11" s="13">
        <v>1.0</v>
      </c>
      <c r="X11" s="13">
        <v>1.0</v>
      </c>
      <c r="Y11" s="13">
        <v>1.0</v>
      </c>
      <c r="Z11" s="13"/>
      <c r="AA11" s="13">
        <v>1.0</v>
      </c>
      <c r="AB11" s="13">
        <v>1.0</v>
      </c>
      <c r="AC11" s="13">
        <v>1.0</v>
      </c>
      <c r="AD11" s="13">
        <v>1.0</v>
      </c>
      <c r="AE11" s="13">
        <v>1.0</v>
      </c>
      <c r="AF11" s="13">
        <v>1.0</v>
      </c>
      <c r="AG11" s="13">
        <v>1.0</v>
      </c>
      <c r="AH11" s="13">
        <v>1.0</v>
      </c>
      <c r="AI11" s="13">
        <v>1.0</v>
      </c>
      <c r="AJ11" s="13">
        <f t="shared" si="1"/>
        <v>22</v>
      </c>
      <c r="AK11" s="14">
        <f t="shared" si="4"/>
        <v>12100</v>
      </c>
      <c r="AL11" s="20">
        <f>SUM(AK9:AK11)</f>
        <v>25850</v>
      </c>
      <c r="AM11" s="4" t="s">
        <v>61</v>
      </c>
      <c r="AN11" s="1"/>
      <c r="AO11" s="1"/>
      <c r="AP11" s="1"/>
      <c r="AQ11" s="1"/>
      <c r="AR11" s="1"/>
      <c r="AS11" s="1"/>
      <c r="AT11" s="1"/>
      <c r="AU11" s="1"/>
    </row>
    <row r="12" ht="15.75" customHeight="1">
      <c r="A12" s="34" t="s">
        <v>14</v>
      </c>
      <c r="B12" s="34" t="s">
        <v>15</v>
      </c>
      <c r="C12" s="34"/>
      <c r="D12" s="36" t="s">
        <v>5</v>
      </c>
      <c r="E12" s="23">
        <v>1.0</v>
      </c>
      <c r="F12" s="23">
        <v>1.0</v>
      </c>
      <c r="G12" s="23">
        <v>1.0</v>
      </c>
      <c r="H12" s="23">
        <v>1.0</v>
      </c>
      <c r="I12" s="23">
        <v>1.0</v>
      </c>
      <c r="J12" s="23">
        <v>1.0</v>
      </c>
      <c r="K12" s="23">
        <v>1.0</v>
      </c>
      <c r="L12" s="23">
        <v>1.0</v>
      </c>
      <c r="M12" s="23">
        <v>1.0</v>
      </c>
      <c r="N12" s="23">
        <v>1.0</v>
      </c>
      <c r="O12" s="23">
        <v>1.0</v>
      </c>
      <c r="P12" s="23">
        <v>1.0</v>
      </c>
      <c r="Q12" s="23">
        <v>1.0</v>
      </c>
      <c r="R12" s="23">
        <v>1.0</v>
      </c>
      <c r="S12" s="23">
        <v>1.0</v>
      </c>
      <c r="T12" s="23">
        <v>1.0</v>
      </c>
      <c r="U12" s="23">
        <v>1.0</v>
      </c>
      <c r="V12" s="23">
        <v>1.0</v>
      </c>
      <c r="W12" s="23">
        <v>1.0</v>
      </c>
      <c r="X12" s="23">
        <v>1.0</v>
      </c>
      <c r="Y12" s="23">
        <v>1.0</v>
      </c>
      <c r="Z12" s="23">
        <v>1.0</v>
      </c>
      <c r="AA12" s="23">
        <v>1.0</v>
      </c>
      <c r="AB12" s="36">
        <v>1.0</v>
      </c>
      <c r="AC12" s="36">
        <v>1.0</v>
      </c>
      <c r="AD12" s="36">
        <v>1.0</v>
      </c>
      <c r="AE12" s="36">
        <v>1.0</v>
      </c>
      <c r="AF12" s="36">
        <v>1.0</v>
      </c>
      <c r="AG12" s="36">
        <v>1.0</v>
      </c>
      <c r="AH12" s="36">
        <v>1.0</v>
      </c>
      <c r="AI12" s="36">
        <v>1.0</v>
      </c>
      <c r="AJ12" s="36">
        <f t="shared" si="1"/>
        <v>31</v>
      </c>
      <c r="AK12" s="23">
        <f>330*AJ12</f>
        <v>10230</v>
      </c>
      <c r="AL12" s="24"/>
      <c r="AM12" s="4"/>
      <c r="AN12" s="1"/>
      <c r="AO12" s="1"/>
      <c r="AP12" s="1"/>
      <c r="AQ12" s="1"/>
      <c r="AR12" s="1"/>
      <c r="AS12" s="1"/>
      <c r="AT12" s="1"/>
      <c r="AU12" s="1"/>
    </row>
    <row r="13" ht="15.75" customHeight="1">
      <c r="A13" s="16"/>
      <c r="B13" s="16"/>
      <c r="C13" s="16"/>
      <c r="D13" s="36" t="s">
        <v>6</v>
      </c>
      <c r="E13" s="23">
        <v>1.0</v>
      </c>
      <c r="F13" s="23">
        <v>1.0</v>
      </c>
      <c r="G13" s="23">
        <v>1.0</v>
      </c>
      <c r="H13" s="23">
        <v>1.0</v>
      </c>
      <c r="I13" s="23">
        <v>1.0</v>
      </c>
      <c r="J13" s="23">
        <v>1.0</v>
      </c>
      <c r="K13" s="23">
        <v>1.0</v>
      </c>
      <c r="L13" s="23">
        <v>1.0</v>
      </c>
      <c r="M13" s="23">
        <v>1.0</v>
      </c>
      <c r="N13" s="23">
        <v>1.0</v>
      </c>
      <c r="O13" s="23">
        <v>1.0</v>
      </c>
      <c r="P13" s="23">
        <v>1.0</v>
      </c>
      <c r="Q13" s="23">
        <v>1.0</v>
      </c>
      <c r="R13" s="23">
        <v>1.0</v>
      </c>
      <c r="S13" s="23">
        <v>1.0</v>
      </c>
      <c r="T13" s="23">
        <v>1.0</v>
      </c>
      <c r="U13" s="23">
        <v>1.0</v>
      </c>
      <c r="V13" s="23">
        <v>1.0</v>
      </c>
      <c r="W13" s="23">
        <v>1.0</v>
      </c>
      <c r="X13" s="23">
        <v>1.0</v>
      </c>
      <c r="Y13" s="23">
        <v>1.0</v>
      </c>
      <c r="Z13" s="23">
        <v>1.0</v>
      </c>
      <c r="AA13" s="23">
        <v>1.0</v>
      </c>
      <c r="AB13" s="36">
        <v>1.0</v>
      </c>
      <c r="AC13" s="36">
        <v>1.0</v>
      </c>
      <c r="AD13" s="36">
        <v>1.0</v>
      </c>
      <c r="AE13" s="36">
        <v>1.0</v>
      </c>
      <c r="AF13" s="36">
        <v>1.0</v>
      </c>
      <c r="AG13" s="36">
        <v>1.0</v>
      </c>
      <c r="AH13" s="36">
        <v>1.0</v>
      </c>
      <c r="AI13" s="36">
        <v>1.0</v>
      </c>
      <c r="AJ13" s="36">
        <f t="shared" si="1"/>
        <v>31</v>
      </c>
      <c r="AK13" s="23">
        <f t="shared" ref="AK13:AK14" si="5">550*AJ13</f>
        <v>17050</v>
      </c>
      <c r="AL13" s="24"/>
      <c r="AM13" s="4"/>
      <c r="AN13" s="1"/>
      <c r="AO13" s="1"/>
      <c r="AP13" s="1"/>
      <c r="AQ13" s="1"/>
      <c r="AR13" s="1"/>
      <c r="AS13" s="1"/>
      <c r="AT13" s="1"/>
      <c r="AU13" s="1"/>
    </row>
    <row r="14" ht="15.75" customHeight="1">
      <c r="A14" s="10"/>
      <c r="B14" s="10"/>
      <c r="C14" s="10"/>
      <c r="D14" s="36" t="s">
        <v>7</v>
      </c>
      <c r="E14" s="23">
        <v>1.0</v>
      </c>
      <c r="F14" s="23">
        <v>1.0</v>
      </c>
      <c r="G14" s="23">
        <v>1.0</v>
      </c>
      <c r="H14" s="23">
        <v>1.0</v>
      </c>
      <c r="I14" s="23">
        <v>1.0</v>
      </c>
      <c r="J14" s="23">
        <v>1.0</v>
      </c>
      <c r="K14" s="23">
        <v>1.0</v>
      </c>
      <c r="L14" s="23">
        <v>1.0</v>
      </c>
      <c r="M14" s="23">
        <v>1.0</v>
      </c>
      <c r="N14" s="23">
        <v>1.0</v>
      </c>
      <c r="O14" s="23">
        <v>1.0</v>
      </c>
      <c r="P14" s="23">
        <v>1.0</v>
      </c>
      <c r="Q14" s="23">
        <v>1.0</v>
      </c>
      <c r="R14" s="23">
        <v>1.0</v>
      </c>
      <c r="S14" s="23">
        <v>1.0</v>
      </c>
      <c r="T14" s="23">
        <v>1.0</v>
      </c>
      <c r="U14" s="23">
        <v>1.0</v>
      </c>
      <c r="V14" s="23">
        <v>1.0</v>
      </c>
      <c r="W14" s="23">
        <v>1.0</v>
      </c>
      <c r="X14" s="23">
        <v>1.0</v>
      </c>
      <c r="Y14" s="23">
        <v>1.0</v>
      </c>
      <c r="Z14" s="23">
        <v>1.0</v>
      </c>
      <c r="AA14" s="23">
        <v>1.0</v>
      </c>
      <c r="AB14" s="36">
        <v>1.0</v>
      </c>
      <c r="AC14" s="36">
        <v>1.0</v>
      </c>
      <c r="AD14" s="36">
        <v>1.0</v>
      </c>
      <c r="AE14" s="36">
        <v>1.0</v>
      </c>
      <c r="AF14" s="36">
        <v>1.0</v>
      </c>
      <c r="AG14" s="36">
        <v>1.0</v>
      </c>
      <c r="AH14" s="36">
        <v>1.0</v>
      </c>
      <c r="AI14" s="36">
        <v>1.0</v>
      </c>
      <c r="AJ14" s="36">
        <f t="shared" si="1"/>
        <v>31</v>
      </c>
      <c r="AK14" s="23">
        <f t="shared" si="5"/>
        <v>17050</v>
      </c>
      <c r="AL14" s="26">
        <f>SUM(AK12:AK14)</f>
        <v>44330</v>
      </c>
      <c r="AM14" s="4" t="s">
        <v>62</v>
      </c>
      <c r="AN14" s="1"/>
      <c r="AO14" s="1"/>
      <c r="AP14" s="1"/>
      <c r="AQ14" s="1"/>
      <c r="AR14" s="1"/>
      <c r="AS14" s="1"/>
      <c r="AT14" s="1"/>
      <c r="AU14" s="1"/>
    </row>
    <row r="15" ht="15.75" customHeight="1">
      <c r="A15" s="12" t="s">
        <v>16</v>
      </c>
      <c r="B15" s="12" t="s">
        <v>17</v>
      </c>
      <c r="C15" s="12"/>
      <c r="D15" s="13" t="s">
        <v>5</v>
      </c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>
        <v>1.0</v>
      </c>
      <c r="AI15" s="13">
        <v>1.0</v>
      </c>
      <c r="AJ15" s="13">
        <f t="shared" si="1"/>
        <v>2</v>
      </c>
      <c r="AK15" s="14">
        <f>330*AJ15</f>
        <v>660</v>
      </c>
      <c r="AL15" s="19"/>
      <c r="AM15" s="4"/>
      <c r="AN15" s="1"/>
      <c r="AO15" s="1"/>
      <c r="AP15" s="1"/>
      <c r="AQ15" s="1"/>
      <c r="AR15" s="1"/>
      <c r="AS15" s="1"/>
      <c r="AT15" s="1"/>
      <c r="AU15" s="1"/>
    </row>
    <row r="16" ht="15.75" customHeight="1">
      <c r="A16" s="16"/>
      <c r="B16" s="16"/>
      <c r="C16" s="16"/>
      <c r="D16" s="13" t="s">
        <v>6</v>
      </c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>
        <v>1.0</v>
      </c>
      <c r="AH16" s="13">
        <v>1.0</v>
      </c>
      <c r="AI16" s="13">
        <v>1.0</v>
      </c>
      <c r="AJ16" s="13">
        <f t="shared" si="1"/>
        <v>3</v>
      </c>
      <c r="AK16" s="14">
        <f t="shared" ref="AK16:AK17" si="6">550*AJ16</f>
        <v>1650</v>
      </c>
      <c r="AL16" s="19"/>
      <c r="AM16" s="4"/>
      <c r="AN16" s="1"/>
      <c r="AO16" s="1"/>
      <c r="AP16" s="1"/>
      <c r="AQ16" s="1"/>
      <c r="AR16" s="1"/>
      <c r="AS16" s="1"/>
      <c r="AT16" s="1"/>
      <c r="AU16" s="1"/>
    </row>
    <row r="17" ht="15.75" customHeight="1">
      <c r="A17" s="10"/>
      <c r="B17" s="10"/>
      <c r="C17" s="10"/>
      <c r="D17" s="13" t="s">
        <v>7</v>
      </c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>
        <v>1.0</v>
      </c>
      <c r="AH17" s="13">
        <v>1.0</v>
      </c>
      <c r="AI17" s="13">
        <v>1.0</v>
      </c>
      <c r="AJ17" s="13">
        <f t="shared" si="1"/>
        <v>3</v>
      </c>
      <c r="AK17" s="14">
        <f t="shared" si="6"/>
        <v>1650</v>
      </c>
      <c r="AL17" s="20">
        <f>SUM(AK15:AK17)</f>
        <v>3960</v>
      </c>
      <c r="AM17" s="4" t="s">
        <v>63</v>
      </c>
      <c r="AN17" s="1"/>
      <c r="AO17" s="1"/>
      <c r="AP17" s="1"/>
      <c r="AQ17" s="1"/>
      <c r="AR17" s="1"/>
      <c r="AS17" s="1"/>
      <c r="AT17" s="1"/>
      <c r="AU17" s="1"/>
    </row>
    <row r="18" ht="15.75" customHeight="1">
      <c r="A18" s="34"/>
      <c r="B18" s="34" t="s">
        <v>19</v>
      </c>
      <c r="C18" s="34"/>
      <c r="D18" s="36" t="s">
        <v>5</v>
      </c>
      <c r="E18" s="36">
        <v>0.0</v>
      </c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>
        <f t="shared" si="1"/>
        <v>0</v>
      </c>
      <c r="AK18" s="23">
        <f>330*AJ18</f>
        <v>0</v>
      </c>
      <c r="AL18" s="24"/>
      <c r="AM18" s="4"/>
      <c r="AN18" s="1"/>
      <c r="AO18" s="1"/>
      <c r="AP18" s="1"/>
      <c r="AQ18" s="1"/>
      <c r="AR18" s="1"/>
      <c r="AS18" s="1"/>
      <c r="AT18" s="1"/>
      <c r="AU18" s="1"/>
    </row>
    <row r="19" ht="15.75" customHeight="1">
      <c r="A19" s="16"/>
      <c r="B19" s="16"/>
      <c r="C19" s="16"/>
      <c r="D19" s="36" t="s">
        <v>6</v>
      </c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>
        <f t="shared" si="1"/>
        <v>0</v>
      </c>
      <c r="AK19" s="23">
        <f t="shared" ref="AK19:AK20" si="7">550*AJ19</f>
        <v>0</v>
      </c>
      <c r="AL19" s="24"/>
      <c r="AM19" s="4" t="s">
        <v>59</v>
      </c>
      <c r="AN19" s="1"/>
      <c r="AO19" s="1"/>
      <c r="AP19" s="1"/>
      <c r="AQ19" s="1"/>
      <c r="AR19" s="1"/>
      <c r="AS19" s="1"/>
      <c r="AT19" s="1"/>
      <c r="AU19" s="1"/>
    </row>
    <row r="20" ht="15.75" customHeight="1">
      <c r="A20" s="10"/>
      <c r="B20" s="10"/>
      <c r="C20" s="10"/>
      <c r="D20" s="36" t="s">
        <v>7</v>
      </c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>
        <f t="shared" si="1"/>
        <v>0</v>
      </c>
      <c r="AK20" s="23">
        <f t="shared" si="7"/>
        <v>0</v>
      </c>
      <c r="AL20" s="26">
        <f>SUM(AK18:AK20)</f>
        <v>0</v>
      </c>
      <c r="AM20" s="4" t="s">
        <v>54</v>
      </c>
      <c r="AN20" s="1"/>
      <c r="AO20" s="1"/>
      <c r="AP20" s="1"/>
      <c r="AQ20" s="1"/>
      <c r="AR20" s="1"/>
      <c r="AS20" s="1"/>
      <c r="AT20" s="1"/>
      <c r="AU20" s="1"/>
    </row>
    <row r="21" ht="15.75" customHeight="1">
      <c r="A21" s="12"/>
      <c r="B21" s="12"/>
      <c r="C21" s="12"/>
      <c r="D21" s="13" t="s">
        <v>5</v>
      </c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>
        <f t="shared" si="1"/>
        <v>0</v>
      </c>
      <c r="AK21" s="14">
        <f>330*AJ21</f>
        <v>0</v>
      </c>
      <c r="AL21" s="19"/>
      <c r="AM21" s="4"/>
      <c r="AN21" s="1"/>
      <c r="AO21" s="1"/>
      <c r="AP21" s="1"/>
      <c r="AQ21" s="1"/>
      <c r="AR21" s="1"/>
      <c r="AS21" s="1"/>
      <c r="AT21" s="1"/>
      <c r="AU21" s="1"/>
    </row>
    <row r="22" ht="15.75" customHeight="1">
      <c r="A22" s="16"/>
      <c r="B22" s="16"/>
      <c r="C22" s="16"/>
      <c r="D22" s="13" t="s">
        <v>6</v>
      </c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>
        <f t="shared" si="1"/>
        <v>0</v>
      </c>
      <c r="AK22" s="14">
        <f t="shared" ref="AK22:AK23" si="8">550*AJ22</f>
        <v>0</v>
      </c>
      <c r="AL22" s="19"/>
      <c r="AM22" s="4"/>
      <c r="AN22" s="1"/>
      <c r="AO22" s="1"/>
      <c r="AP22" s="1"/>
      <c r="AQ22" s="1"/>
      <c r="AR22" s="1"/>
      <c r="AS22" s="1"/>
      <c r="AT22" s="1"/>
      <c r="AU22" s="1"/>
    </row>
    <row r="23" ht="15.75" customHeight="1">
      <c r="A23" s="10"/>
      <c r="B23" s="10"/>
      <c r="C23" s="10"/>
      <c r="D23" s="13" t="s">
        <v>7</v>
      </c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>
        <f t="shared" si="1"/>
        <v>0</v>
      </c>
      <c r="AK23" s="14">
        <f t="shared" si="8"/>
        <v>0</v>
      </c>
      <c r="AL23" s="20">
        <f>SUM(AK21:AK23)</f>
        <v>0</v>
      </c>
      <c r="AM23" s="4"/>
      <c r="AN23" s="1"/>
      <c r="AO23" s="1"/>
      <c r="AP23" s="1"/>
      <c r="AQ23" s="1"/>
      <c r="AR23" s="1"/>
      <c r="AS23" s="1"/>
      <c r="AT23" s="1"/>
      <c r="AU23" s="1"/>
    </row>
    <row r="24" ht="15.75" customHeight="1">
      <c r="A24" s="34"/>
      <c r="B24" s="34"/>
      <c r="C24" s="34"/>
      <c r="D24" s="36" t="s">
        <v>5</v>
      </c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>
        <f t="shared" si="1"/>
        <v>0</v>
      </c>
      <c r="AK24" s="23">
        <f>330*AJ24</f>
        <v>0</v>
      </c>
      <c r="AL24" s="24"/>
      <c r="AM24" s="4"/>
      <c r="AN24" s="1"/>
      <c r="AO24" s="1"/>
      <c r="AP24" s="1"/>
      <c r="AQ24" s="1"/>
      <c r="AR24" s="1"/>
      <c r="AS24" s="1"/>
      <c r="AT24" s="1"/>
      <c r="AU24" s="1"/>
    </row>
    <row r="25" ht="15.75" customHeight="1">
      <c r="A25" s="16"/>
      <c r="B25" s="16"/>
      <c r="C25" s="16"/>
      <c r="D25" s="36" t="s">
        <v>6</v>
      </c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>
        <f t="shared" si="1"/>
        <v>0</v>
      </c>
      <c r="AK25" s="23">
        <f t="shared" ref="AK25:AK26" si="9">550*AJ25</f>
        <v>0</v>
      </c>
      <c r="AL25" s="24"/>
      <c r="AM25" s="4"/>
      <c r="AN25" s="1"/>
      <c r="AO25" s="1"/>
      <c r="AP25" s="1"/>
      <c r="AQ25" s="1"/>
      <c r="AR25" s="1"/>
      <c r="AS25" s="1"/>
      <c r="AT25" s="1"/>
      <c r="AU25" s="1"/>
    </row>
    <row r="26" ht="15.75" customHeight="1">
      <c r="A26" s="10"/>
      <c r="B26" s="10"/>
      <c r="C26" s="10"/>
      <c r="D26" s="36" t="s">
        <v>7</v>
      </c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>
        <f t="shared" si="1"/>
        <v>0</v>
      </c>
      <c r="AK26" s="23">
        <f t="shared" si="9"/>
        <v>0</v>
      </c>
      <c r="AL26" s="26">
        <f>SUM(AK24:AK26)</f>
        <v>0</v>
      </c>
      <c r="AM26" s="4"/>
      <c r="AN26" s="1"/>
      <c r="AO26" s="1"/>
      <c r="AP26" s="1"/>
      <c r="AQ26" s="1"/>
      <c r="AR26" s="1"/>
      <c r="AS26" s="1"/>
      <c r="AT26" s="1"/>
      <c r="AU26" s="1"/>
    </row>
    <row r="27" ht="15.75" customHeight="1">
      <c r="A27" s="12"/>
      <c r="B27" s="12"/>
      <c r="C27" s="12"/>
      <c r="D27" s="13" t="s">
        <v>5</v>
      </c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>
        <f t="shared" si="1"/>
        <v>0</v>
      </c>
      <c r="AK27" s="14">
        <f>330*AJ27</f>
        <v>0</v>
      </c>
      <c r="AL27" s="19"/>
      <c r="AM27" s="4"/>
      <c r="AN27" s="1"/>
      <c r="AO27" s="1"/>
      <c r="AP27" s="1"/>
      <c r="AQ27" s="1"/>
      <c r="AR27" s="1"/>
      <c r="AS27" s="1"/>
      <c r="AT27" s="1"/>
      <c r="AU27" s="1"/>
    </row>
    <row r="28" ht="15.75" customHeight="1">
      <c r="A28" s="16"/>
      <c r="B28" s="16"/>
      <c r="C28" s="16"/>
      <c r="D28" s="13" t="s">
        <v>6</v>
      </c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>
        <f t="shared" si="1"/>
        <v>0</v>
      </c>
      <c r="AK28" s="14">
        <f t="shared" ref="AK28:AK29" si="10">550*AJ28</f>
        <v>0</v>
      </c>
      <c r="AL28" s="19"/>
      <c r="AM28" s="4"/>
      <c r="AN28" s="1"/>
      <c r="AO28" s="1"/>
      <c r="AP28" s="1"/>
      <c r="AQ28" s="1"/>
      <c r="AR28" s="1"/>
      <c r="AS28" s="1"/>
      <c r="AT28" s="1"/>
      <c r="AU28" s="1"/>
    </row>
    <row r="29" ht="15.75" customHeight="1">
      <c r="A29" s="10"/>
      <c r="B29" s="10"/>
      <c r="C29" s="10"/>
      <c r="D29" s="13" t="s">
        <v>7</v>
      </c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>
        <f t="shared" si="1"/>
        <v>0</v>
      </c>
      <c r="AK29" s="14">
        <f t="shared" si="10"/>
        <v>0</v>
      </c>
      <c r="AL29" s="20">
        <f>SUM(AK27:AK29)</f>
        <v>0</v>
      </c>
      <c r="AM29" s="4"/>
      <c r="AN29" s="1"/>
      <c r="AO29" s="1"/>
      <c r="AP29" s="1"/>
      <c r="AQ29" s="1"/>
      <c r="AR29" s="1"/>
      <c r="AS29" s="1"/>
      <c r="AT29" s="1"/>
      <c r="AU29" s="1"/>
    </row>
    <row r="30" ht="15.75" customHeight="1">
      <c r="A30" s="34"/>
      <c r="B30" s="34"/>
      <c r="C30" s="34"/>
      <c r="D30" s="36" t="s">
        <v>5</v>
      </c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  <c r="AA30" s="36"/>
      <c r="AB30" s="36"/>
      <c r="AC30" s="36"/>
      <c r="AD30" s="36"/>
      <c r="AE30" s="36"/>
      <c r="AF30" s="36"/>
      <c r="AG30" s="36"/>
      <c r="AH30" s="36"/>
      <c r="AI30" s="36"/>
      <c r="AJ30" s="36">
        <f t="shared" si="1"/>
        <v>0</v>
      </c>
      <c r="AK30" s="23">
        <f>330*AJ30</f>
        <v>0</v>
      </c>
      <c r="AL30" s="24"/>
      <c r="AM30" s="4"/>
      <c r="AN30" s="1"/>
      <c r="AO30" s="1"/>
      <c r="AP30" s="1"/>
      <c r="AQ30" s="1"/>
      <c r="AR30" s="1"/>
      <c r="AS30" s="1"/>
      <c r="AT30" s="1"/>
      <c r="AU30" s="1"/>
    </row>
    <row r="31" ht="15.75" customHeight="1">
      <c r="A31" s="16"/>
      <c r="B31" s="16"/>
      <c r="C31" s="16"/>
      <c r="D31" s="36" t="s">
        <v>6</v>
      </c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  <c r="AA31" s="36"/>
      <c r="AB31" s="36"/>
      <c r="AC31" s="36"/>
      <c r="AD31" s="36"/>
      <c r="AE31" s="36"/>
      <c r="AF31" s="36"/>
      <c r="AG31" s="36"/>
      <c r="AH31" s="36"/>
      <c r="AI31" s="36"/>
      <c r="AJ31" s="36">
        <f t="shared" si="1"/>
        <v>0</v>
      </c>
      <c r="AK31" s="23">
        <f t="shared" ref="AK31:AK32" si="11">550*AJ31</f>
        <v>0</v>
      </c>
      <c r="AL31" s="24"/>
      <c r="AM31" s="4"/>
      <c r="AN31" s="1"/>
      <c r="AO31" s="1"/>
      <c r="AP31" s="1"/>
      <c r="AQ31" s="1"/>
      <c r="AR31" s="1"/>
      <c r="AS31" s="1"/>
      <c r="AT31" s="1"/>
      <c r="AU31" s="1"/>
    </row>
    <row r="32" ht="15.75" customHeight="1">
      <c r="A32" s="10"/>
      <c r="B32" s="10"/>
      <c r="C32" s="10"/>
      <c r="D32" s="36" t="s">
        <v>7</v>
      </c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  <c r="AB32" s="36"/>
      <c r="AC32" s="36"/>
      <c r="AD32" s="36"/>
      <c r="AE32" s="36"/>
      <c r="AF32" s="36"/>
      <c r="AG32" s="36"/>
      <c r="AH32" s="36"/>
      <c r="AI32" s="36"/>
      <c r="AJ32" s="36">
        <f t="shared" si="1"/>
        <v>0</v>
      </c>
      <c r="AK32" s="23">
        <f t="shared" si="11"/>
        <v>0</v>
      </c>
      <c r="AL32" s="26">
        <f>SUM(AK30:AK32)</f>
        <v>0</v>
      </c>
      <c r="AM32" s="4"/>
      <c r="AN32" s="1"/>
      <c r="AO32" s="1"/>
      <c r="AP32" s="1"/>
      <c r="AQ32" s="1"/>
      <c r="AR32" s="1"/>
      <c r="AS32" s="1"/>
      <c r="AT32" s="1"/>
      <c r="AU32" s="1"/>
    </row>
    <row r="33" ht="15.75" customHeight="1">
      <c r="A33" s="12"/>
      <c r="B33" s="12"/>
      <c r="C33" s="12"/>
      <c r="D33" s="13" t="s">
        <v>5</v>
      </c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>
        <f t="shared" si="1"/>
        <v>0</v>
      </c>
      <c r="AK33" s="1"/>
      <c r="AL33" s="1"/>
      <c r="AM33" s="4"/>
      <c r="AN33" s="1"/>
      <c r="AO33" s="1"/>
      <c r="AP33" s="1"/>
      <c r="AQ33" s="1"/>
      <c r="AR33" s="1"/>
      <c r="AS33" s="1"/>
      <c r="AT33" s="1"/>
      <c r="AU33" s="1"/>
    </row>
    <row r="34" ht="15.75" customHeight="1">
      <c r="A34" s="16"/>
      <c r="B34" s="16"/>
      <c r="C34" s="16"/>
      <c r="D34" s="13" t="s">
        <v>6</v>
      </c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>
        <f t="shared" si="1"/>
        <v>0</v>
      </c>
      <c r="AK34" s="1"/>
      <c r="AL34" s="1"/>
      <c r="AM34" s="4"/>
      <c r="AN34" s="1"/>
      <c r="AO34" s="1"/>
      <c r="AP34" s="1"/>
      <c r="AQ34" s="1"/>
      <c r="AR34" s="1"/>
      <c r="AS34" s="1"/>
      <c r="AT34" s="1"/>
      <c r="AU34" s="1"/>
    </row>
    <row r="35" ht="15.75" customHeight="1">
      <c r="A35" s="10"/>
      <c r="B35" s="10"/>
      <c r="C35" s="10"/>
      <c r="D35" s="13" t="s">
        <v>7</v>
      </c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>
        <f t="shared" si="1"/>
        <v>0</v>
      </c>
      <c r="AK35" s="1"/>
      <c r="AL35" s="1"/>
      <c r="AM35" s="4"/>
      <c r="AN35" s="1"/>
      <c r="AO35" s="1"/>
      <c r="AP35" s="1"/>
      <c r="AQ35" s="1"/>
      <c r="AR35" s="1"/>
      <c r="AS35" s="1"/>
      <c r="AT35" s="1"/>
      <c r="AU35" s="1"/>
    </row>
    <row r="36" ht="15.75" customHeight="1">
      <c r="A36" s="12"/>
      <c r="B36" s="12"/>
      <c r="C36" s="12"/>
      <c r="D36" s="13" t="s">
        <v>5</v>
      </c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>
        <f t="shared" si="1"/>
        <v>0</v>
      </c>
      <c r="AK36" s="1"/>
      <c r="AL36" s="1"/>
      <c r="AM36" s="4"/>
      <c r="AN36" s="1"/>
      <c r="AO36" s="1"/>
      <c r="AP36" s="1"/>
      <c r="AQ36" s="1"/>
      <c r="AR36" s="1"/>
      <c r="AS36" s="1"/>
      <c r="AT36" s="1"/>
      <c r="AU36" s="1"/>
    </row>
    <row r="37" ht="15.75" customHeight="1">
      <c r="A37" s="16"/>
      <c r="B37" s="16"/>
      <c r="C37" s="16"/>
      <c r="D37" s="13" t="s">
        <v>6</v>
      </c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>
        <f t="shared" si="1"/>
        <v>0</v>
      </c>
      <c r="AK37" s="1"/>
      <c r="AL37" s="1"/>
      <c r="AM37" s="4"/>
      <c r="AN37" s="1"/>
      <c r="AO37" s="1"/>
      <c r="AP37" s="1"/>
      <c r="AQ37" s="1"/>
      <c r="AR37" s="1"/>
      <c r="AS37" s="1"/>
      <c r="AT37" s="1"/>
      <c r="AU37" s="1"/>
    </row>
    <row r="38" ht="15.75" customHeight="1">
      <c r="A38" s="10"/>
      <c r="B38" s="10"/>
      <c r="C38" s="10"/>
      <c r="D38" s="13" t="s">
        <v>7</v>
      </c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>
        <f t="shared" si="1"/>
        <v>0</v>
      </c>
      <c r="AK38" s="1"/>
      <c r="AL38" s="1"/>
      <c r="AM38" s="4"/>
      <c r="AN38" s="1"/>
      <c r="AO38" s="1"/>
      <c r="AP38" s="1"/>
      <c r="AQ38" s="1"/>
      <c r="AR38" s="1"/>
      <c r="AS38" s="1"/>
      <c r="AT38" s="1"/>
      <c r="AU38" s="1"/>
    </row>
    <row r="39" ht="15.75" customHeight="1">
      <c r="A39" s="12"/>
      <c r="B39" s="12"/>
      <c r="C39" s="12"/>
      <c r="D39" s="13" t="s">
        <v>5</v>
      </c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>
        <f t="shared" si="1"/>
        <v>0</v>
      </c>
      <c r="AK39" s="1"/>
      <c r="AL39" s="1"/>
      <c r="AM39" s="4"/>
      <c r="AN39" s="1"/>
      <c r="AO39" s="1"/>
      <c r="AP39" s="1"/>
      <c r="AQ39" s="1"/>
      <c r="AR39" s="1"/>
      <c r="AS39" s="1"/>
      <c r="AT39" s="1"/>
      <c r="AU39" s="1"/>
    </row>
    <row r="40" ht="15.75" customHeight="1">
      <c r="A40" s="16"/>
      <c r="B40" s="16"/>
      <c r="C40" s="16"/>
      <c r="D40" s="13" t="s">
        <v>6</v>
      </c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>
        <f t="shared" si="1"/>
        <v>0</v>
      </c>
      <c r="AK40" s="1"/>
      <c r="AL40" s="1"/>
      <c r="AM40" s="4"/>
      <c r="AN40" s="1"/>
      <c r="AO40" s="1"/>
      <c r="AP40" s="1"/>
      <c r="AQ40" s="1"/>
      <c r="AR40" s="1"/>
      <c r="AS40" s="1"/>
      <c r="AT40" s="1"/>
      <c r="AU40" s="1"/>
    </row>
    <row r="41" ht="15.75" customHeight="1">
      <c r="A41" s="10"/>
      <c r="B41" s="10"/>
      <c r="C41" s="10"/>
      <c r="D41" s="13" t="s">
        <v>7</v>
      </c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>
        <f t="shared" si="1"/>
        <v>0</v>
      </c>
      <c r="AK41" s="1"/>
      <c r="AL41" s="1"/>
      <c r="AM41" s="4"/>
      <c r="AN41" s="1"/>
      <c r="AO41" s="1"/>
      <c r="AP41" s="1"/>
      <c r="AQ41" s="1"/>
      <c r="AR41" s="1"/>
      <c r="AS41" s="1"/>
      <c r="AT41" s="1"/>
      <c r="AU41" s="1"/>
    </row>
    <row r="42" ht="15.75" customHeight="1">
      <c r="A42" s="12"/>
      <c r="B42" s="12"/>
      <c r="C42" s="12"/>
      <c r="D42" s="13" t="s">
        <v>5</v>
      </c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>
        <f t="shared" si="1"/>
        <v>0</v>
      </c>
      <c r="AK42" s="1"/>
      <c r="AL42" s="1"/>
      <c r="AM42" s="4"/>
      <c r="AN42" s="1"/>
      <c r="AO42" s="1"/>
      <c r="AP42" s="1"/>
      <c r="AQ42" s="1"/>
      <c r="AR42" s="1"/>
      <c r="AS42" s="1"/>
      <c r="AT42" s="1"/>
      <c r="AU42" s="1"/>
    </row>
    <row r="43" ht="15.75" customHeight="1">
      <c r="A43" s="16"/>
      <c r="B43" s="16"/>
      <c r="C43" s="16"/>
      <c r="D43" s="13" t="s">
        <v>6</v>
      </c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>
        <f t="shared" si="1"/>
        <v>0</v>
      </c>
      <c r="AK43" s="1"/>
      <c r="AL43" s="1"/>
      <c r="AM43" s="4"/>
      <c r="AN43" s="1"/>
      <c r="AO43" s="1"/>
      <c r="AP43" s="1"/>
      <c r="AQ43" s="1"/>
      <c r="AR43" s="1"/>
      <c r="AS43" s="1"/>
      <c r="AT43" s="1"/>
      <c r="AU43" s="1"/>
    </row>
    <row r="44" ht="15.75" customHeight="1">
      <c r="A44" s="10"/>
      <c r="B44" s="10"/>
      <c r="C44" s="10"/>
      <c r="D44" s="13" t="s">
        <v>7</v>
      </c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>
        <f t="shared" si="1"/>
        <v>0</v>
      </c>
      <c r="AK44" s="1"/>
      <c r="AL44" s="1"/>
      <c r="AM44" s="4"/>
      <c r="AN44" s="1"/>
      <c r="AO44" s="1"/>
      <c r="AP44" s="1"/>
      <c r="AQ44" s="1"/>
      <c r="AR44" s="1"/>
      <c r="AS44" s="1"/>
      <c r="AT44" s="1"/>
      <c r="AU44" s="1"/>
    </row>
    <row r="45" ht="15.75" customHeight="1">
      <c r="A45" s="12"/>
      <c r="B45" s="12"/>
      <c r="C45" s="12"/>
      <c r="D45" s="13" t="s">
        <v>5</v>
      </c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>
        <f t="shared" si="1"/>
        <v>0</v>
      </c>
      <c r="AK45" s="1"/>
      <c r="AL45" s="1"/>
      <c r="AM45" s="4"/>
      <c r="AN45" s="1"/>
      <c r="AO45" s="1"/>
      <c r="AP45" s="1"/>
      <c r="AQ45" s="1"/>
      <c r="AR45" s="1"/>
      <c r="AS45" s="1"/>
      <c r="AT45" s="1"/>
      <c r="AU45" s="1"/>
    </row>
    <row r="46" ht="15.75" customHeight="1">
      <c r="A46" s="16"/>
      <c r="B46" s="16"/>
      <c r="C46" s="16"/>
      <c r="D46" s="13" t="s">
        <v>6</v>
      </c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>
        <f t="shared" si="1"/>
        <v>0</v>
      </c>
      <c r="AK46" s="1"/>
      <c r="AL46" s="1"/>
      <c r="AM46" s="4"/>
      <c r="AN46" s="1"/>
      <c r="AO46" s="1"/>
      <c r="AP46" s="1"/>
      <c r="AQ46" s="1"/>
      <c r="AR46" s="1"/>
      <c r="AS46" s="1"/>
      <c r="AT46" s="1"/>
      <c r="AU46" s="1"/>
    </row>
    <row r="47" ht="15.75" customHeight="1">
      <c r="A47" s="10"/>
      <c r="B47" s="10"/>
      <c r="C47" s="10"/>
      <c r="D47" s="13" t="s">
        <v>7</v>
      </c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>
        <f t="shared" si="1"/>
        <v>0</v>
      </c>
      <c r="AK47" s="1"/>
      <c r="AL47" s="1"/>
      <c r="AM47" s="4"/>
      <c r="AN47" s="1"/>
      <c r="AO47" s="1"/>
      <c r="AP47" s="1"/>
      <c r="AQ47" s="1"/>
      <c r="AR47" s="1"/>
      <c r="AS47" s="1"/>
      <c r="AT47" s="1"/>
      <c r="AU47" s="1"/>
    </row>
    <row r="48" ht="15.75" customHeight="1">
      <c r="A48" s="12"/>
      <c r="B48" s="12"/>
      <c r="C48" s="12"/>
      <c r="D48" s="13" t="s">
        <v>5</v>
      </c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>
        <f t="shared" si="1"/>
        <v>0</v>
      </c>
      <c r="AK48" s="1"/>
      <c r="AL48" s="1"/>
      <c r="AM48" s="4"/>
      <c r="AN48" s="1"/>
      <c r="AO48" s="1"/>
      <c r="AP48" s="1"/>
      <c r="AQ48" s="1"/>
      <c r="AR48" s="1"/>
      <c r="AS48" s="1"/>
      <c r="AT48" s="1"/>
      <c r="AU48" s="1"/>
    </row>
    <row r="49" ht="15.75" customHeight="1">
      <c r="A49" s="16"/>
      <c r="B49" s="16"/>
      <c r="C49" s="16"/>
      <c r="D49" s="13" t="s">
        <v>6</v>
      </c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>
        <f t="shared" si="1"/>
        <v>0</v>
      </c>
      <c r="AK49" s="1"/>
      <c r="AL49" s="1"/>
      <c r="AM49" s="4"/>
      <c r="AN49" s="1"/>
      <c r="AO49" s="1"/>
      <c r="AP49" s="1"/>
      <c r="AQ49" s="1"/>
      <c r="AR49" s="1"/>
      <c r="AS49" s="1"/>
      <c r="AT49" s="1"/>
      <c r="AU49" s="1"/>
    </row>
    <row r="50" ht="15.75" customHeight="1">
      <c r="A50" s="10"/>
      <c r="B50" s="10"/>
      <c r="C50" s="10"/>
      <c r="D50" s="13" t="s">
        <v>7</v>
      </c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>
        <f t="shared" si="1"/>
        <v>0</v>
      </c>
      <c r="AK50" s="1"/>
      <c r="AL50" s="1"/>
      <c r="AM50" s="4"/>
      <c r="AN50" s="1"/>
      <c r="AO50" s="1"/>
      <c r="AP50" s="1"/>
      <c r="AQ50" s="1"/>
      <c r="AR50" s="1"/>
      <c r="AS50" s="1"/>
      <c r="AT50" s="1"/>
      <c r="AU50" s="1"/>
    </row>
    <row r="51" ht="15.75" customHeight="1">
      <c r="A51" s="12"/>
      <c r="B51" s="12"/>
      <c r="C51" s="12"/>
      <c r="D51" s="13" t="s">
        <v>5</v>
      </c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>
        <f t="shared" si="1"/>
        <v>0</v>
      </c>
      <c r="AK51" s="1"/>
      <c r="AL51" s="1"/>
      <c r="AM51" s="4"/>
      <c r="AN51" s="1"/>
      <c r="AO51" s="1"/>
      <c r="AP51" s="1"/>
      <c r="AQ51" s="1"/>
      <c r="AR51" s="1"/>
      <c r="AS51" s="1"/>
      <c r="AT51" s="1"/>
      <c r="AU51" s="1"/>
    </row>
    <row r="52" ht="15.75" customHeight="1">
      <c r="A52" s="16"/>
      <c r="B52" s="16"/>
      <c r="C52" s="16"/>
      <c r="D52" s="13" t="s">
        <v>6</v>
      </c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>
        <f t="shared" si="1"/>
        <v>0</v>
      </c>
      <c r="AK52" s="1"/>
      <c r="AL52" s="1"/>
      <c r="AM52" s="4"/>
      <c r="AN52" s="1"/>
      <c r="AO52" s="1"/>
      <c r="AP52" s="1"/>
      <c r="AQ52" s="1"/>
      <c r="AR52" s="1"/>
      <c r="AS52" s="1"/>
      <c r="AT52" s="1"/>
      <c r="AU52" s="1"/>
    </row>
    <row r="53" ht="15.75" customHeight="1">
      <c r="A53" s="10"/>
      <c r="B53" s="10"/>
      <c r="C53" s="10"/>
      <c r="D53" s="13" t="s">
        <v>7</v>
      </c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>
        <f t="shared" si="1"/>
        <v>0</v>
      </c>
      <c r="AK53" s="1"/>
      <c r="AL53" s="1"/>
      <c r="AM53" s="4"/>
      <c r="AN53" s="1"/>
      <c r="AO53" s="1"/>
      <c r="AP53" s="1"/>
      <c r="AQ53" s="1"/>
      <c r="AR53" s="1"/>
      <c r="AS53" s="1"/>
      <c r="AT53" s="1"/>
      <c r="AU53" s="1"/>
    </row>
    <row r="54" ht="15.75" customHeight="1">
      <c r="A54" s="12"/>
      <c r="B54" s="12"/>
      <c r="C54" s="12"/>
      <c r="D54" s="13" t="s">
        <v>5</v>
      </c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>
        <f t="shared" si="1"/>
        <v>0</v>
      </c>
      <c r="AK54" s="1"/>
      <c r="AL54" s="1"/>
      <c r="AM54" s="4"/>
      <c r="AN54" s="1"/>
      <c r="AO54" s="1"/>
      <c r="AP54" s="1"/>
      <c r="AQ54" s="1"/>
      <c r="AR54" s="1"/>
      <c r="AS54" s="1"/>
      <c r="AT54" s="1"/>
      <c r="AU54" s="1"/>
    </row>
    <row r="55" ht="15.75" customHeight="1">
      <c r="A55" s="16"/>
      <c r="B55" s="16"/>
      <c r="C55" s="16"/>
      <c r="D55" s="13" t="s">
        <v>6</v>
      </c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>
        <f t="shared" si="1"/>
        <v>0</v>
      </c>
      <c r="AK55" s="1"/>
      <c r="AL55" s="1"/>
      <c r="AM55" s="4"/>
      <c r="AN55" s="1"/>
      <c r="AO55" s="1"/>
      <c r="AP55" s="1"/>
      <c r="AQ55" s="1"/>
      <c r="AR55" s="1"/>
      <c r="AS55" s="1"/>
      <c r="AT55" s="1"/>
      <c r="AU55" s="1"/>
    </row>
    <row r="56" ht="15.75" customHeight="1">
      <c r="A56" s="10"/>
      <c r="B56" s="10"/>
      <c r="C56" s="10"/>
      <c r="D56" s="13" t="s">
        <v>7</v>
      </c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>
        <f t="shared" si="1"/>
        <v>0</v>
      </c>
      <c r="AK56" s="1"/>
      <c r="AL56" s="1"/>
      <c r="AM56" s="4"/>
      <c r="AN56" s="1"/>
      <c r="AO56" s="1"/>
      <c r="AP56" s="1"/>
      <c r="AQ56" s="1"/>
      <c r="AR56" s="1"/>
      <c r="AS56" s="1"/>
      <c r="AT56" s="1"/>
      <c r="AU56" s="1"/>
    </row>
    <row r="57" ht="15.75" customHeight="1">
      <c r="A57" s="12"/>
      <c r="B57" s="12"/>
      <c r="C57" s="12"/>
      <c r="D57" s="13" t="s">
        <v>5</v>
      </c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>
        <f t="shared" si="1"/>
        <v>0</v>
      </c>
      <c r="AK57" s="1"/>
      <c r="AL57" s="1"/>
      <c r="AM57" s="4"/>
      <c r="AN57" s="1"/>
      <c r="AO57" s="1"/>
      <c r="AP57" s="1"/>
      <c r="AQ57" s="1"/>
      <c r="AR57" s="1"/>
      <c r="AS57" s="1"/>
      <c r="AT57" s="1"/>
      <c r="AU57" s="1"/>
    </row>
    <row r="58" ht="15.75" customHeight="1">
      <c r="A58" s="16"/>
      <c r="B58" s="16"/>
      <c r="C58" s="16"/>
      <c r="D58" s="13" t="s">
        <v>6</v>
      </c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>
        <f t="shared" si="1"/>
        <v>0</v>
      </c>
      <c r="AK58" s="1"/>
      <c r="AL58" s="1"/>
      <c r="AM58" s="4"/>
      <c r="AN58" s="1"/>
      <c r="AO58" s="1"/>
      <c r="AP58" s="1"/>
      <c r="AQ58" s="1"/>
      <c r="AR58" s="1"/>
      <c r="AS58" s="1"/>
      <c r="AT58" s="1"/>
      <c r="AU58" s="1"/>
    </row>
    <row r="59" ht="15.75" customHeight="1">
      <c r="A59" s="10"/>
      <c r="B59" s="10"/>
      <c r="C59" s="10"/>
      <c r="D59" s="13" t="s">
        <v>7</v>
      </c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>
        <f t="shared" si="1"/>
        <v>0</v>
      </c>
      <c r="AK59" s="1"/>
      <c r="AL59" s="1"/>
      <c r="AM59" s="4"/>
      <c r="AN59" s="1"/>
      <c r="AO59" s="1"/>
      <c r="AP59" s="1"/>
      <c r="AQ59" s="1"/>
      <c r="AR59" s="1"/>
      <c r="AS59" s="1"/>
      <c r="AT59" s="1"/>
      <c r="AU59" s="1"/>
    </row>
    <row r="60" ht="15.75" customHeight="1">
      <c r="A60" s="12"/>
      <c r="B60" s="12"/>
      <c r="C60" s="12"/>
      <c r="D60" s="13" t="s">
        <v>5</v>
      </c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>
        <f t="shared" si="1"/>
        <v>0</v>
      </c>
      <c r="AK60" s="1"/>
      <c r="AL60" s="1"/>
      <c r="AM60" s="4"/>
      <c r="AN60" s="1"/>
      <c r="AO60" s="1"/>
      <c r="AP60" s="1"/>
      <c r="AQ60" s="1"/>
      <c r="AR60" s="1"/>
      <c r="AS60" s="1"/>
      <c r="AT60" s="1"/>
      <c r="AU60" s="1"/>
    </row>
    <row r="61" ht="15.75" customHeight="1">
      <c r="A61" s="16"/>
      <c r="B61" s="16"/>
      <c r="C61" s="16"/>
      <c r="D61" s="13" t="s">
        <v>6</v>
      </c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>
        <f t="shared" si="1"/>
        <v>0</v>
      </c>
      <c r="AK61" s="1"/>
      <c r="AL61" s="1"/>
      <c r="AM61" s="4"/>
      <c r="AN61" s="1"/>
      <c r="AO61" s="1"/>
      <c r="AP61" s="1"/>
      <c r="AQ61" s="1"/>
      <c r="AR61" s="1"/>
      <c r="AS61" s="1"/>
      <c r="AT61" s="1"/>
      <c r="AU61" s="1"/>
    </row>
    <row r="62" ht="15.75" customHeight="1">
      <c r="A62" s="10"/>
      <c r="B62" s="10"/>
      <c r="C62" s="10"/>
      <c r="D62" s="13" t="s">
        <v>7</v>
      </c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>
        <f t="shared" si="1"/>
        <v>0</v>
      </c>
      <c r="AK62" s="1"/>
      <c r="AL62" s="1"/>
      <c r="AM62" s="4"/>
      <c r="AN62" s="1"/>
      <c r="AO62" s="1"/>
      <c r="AP62" s="1"/>
      <c r="AQ62" s="1"/>
      <c r="AR62" s="1"/>
      <c r="AS62" s="1"/>
      <c r="AT62" s="1"/>
      <c r="AU62" s="1"/>
    </row>
    <row r="63" ht="15.75" customHeight="1">
      <c r="A63" s="12"/>
      <c r="B63" s="12"/>
      <c r="C63" s="12"/>
      <c r="D63" s="13" t="s">
        <v>5</v>
      </c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>
        <f t="shared" si="1"/>
        <v>0</v>
      </c>
      <c r="AK63" s="1"/>
      <c r="AL63" s="1"/>
      <c r="AM63" s="4"/>
      <c r="AN63" s="1"/>
      <c r="AO63" s="1"/>
      <c r="AP63" s="1"/>
      <c r="AQ63" s="1"/>
      <c r="AR63" s="1"/>
      <c r="AS63" s="1"/>
      <c r="AT63" s="1"/>
      <c r="AU63" s="1"/>
    </row>
    <row r="64" ht="15.75" customHeight="1">
      <c r="A64" s="16"/>
      <c r="B64" s="16"/>
      <c r="C64" s="16"/>
      <c r="D64" s="13" t="s">
        <v>6</v>
      </c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>
        <f t="shared" si="1"/>
        <v>0</v>
      </c>
      <c r="AK64" s="1"/>
      <c r="AL64" s="1"/>
      <c r="AM64" s="4"/>
      <c r="AN64" s="1"/>
      <c r="AO64" s="1"/>
      <c r="AP64" s="1"/>
      <c r="AQ64" s="1"/>
      <c r="AR64" s="1"/>
      <c r="AS64" s="1"/>
      <c r="AT64" s="1"/>
      <c r="AU64" s="1"/>
    </row>
    <row r="65" ht="15.75" customHeight="1">
      <c r="A65" s="10"/>
      <c r="B65" s="10"/>
      <c r="C65" s="10"/>
      <c r="D65" s="13" t="s">
        <v>7</v>
      </c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>
        <f t="shared" si="1"/>
        <v>0</v>
      </c>
      <c r="AK65" s="1"/>
      <c r="AL65" s="1"/>
      <c r="AM65" s="4"/>
      <c r="AN65" s="1"/>
      <c r="AO65" s="1"/>
      <c r="AP65" s="1"/>
      <c r="AQ65" s="1"/>
      <c r="AR65" s="1"/>
      <c r="AS65" s="1"/>
      <c r="AT65" s="1"/>
      <c r="AU65" s="1"/>
    </row>
    <row r="66" ht="15.75" customHeight="1">
      <c r="A66" s="12"/>
      <c r="B66" s="12"/>
      <c r="C66" s="12"/>
      <c r="D66" s="13" t="s">
        <v>5</v>
      </c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>
        <f t="shared" si="1"/>
        <v>0</v>
      </c>
      <c r="AK66" s="1"/>
      <c r="AL66" s="1"/>
      <c r="AM66" s="4"/>
      <c r="AN66" s="1"/>
      <c r="AO66" s="1"/>
      <c r="AP66" s="1"/>
      <c r="AQ66" s="1"/>
      <c r="AR66" s="1"/>
      <c r="AS66" s="1"/>
      <c r="AT66" s="1"/>
      <c r="AU66" s="1"/>
    </row>
    <row r="67" ht="15.75" customHeight="1">
      <c r="A67" s="16"/>
      <c r="B67" s="16"/>
      <c r="C67" s="16"/>
      <c r="D67" s="13" t="s">
        <v>6</v>
      </c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>
        <f t="shared" si="1"/>
        <v>0</v>
      </c>
      <c r="AK67" s="1"/>
      <c r="AL67" s="1"/>
      <c r="AM67" s="4"/>
      <c r="AN67" s="1"/>
      <c r="AO67" s="1"/>
      <c r="AP67" s="1"/>
      <c r="AQ67" s="1"/>
      <c r="AR67" s="1"/>
      <c r="AS67" s="1"/>
      <c r="AT67" s="1"/>
      <c r="AU67" s="1"/>
    </row>
    <row r="68" ht="15.75" customHeight="1">
      <c r="A68" s="10"/>
      <c r="B68" s="10"/>
      <c r="C68" s="10"/>
      <c r="D68" s="13" t="s">
        <v>7</v>
      </c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>
        <f t="shared" si="1"/>
        <v>0</v>
      </c>
      <c r="AK68" s="1"/>
      <c r="AL68" s="1"/>
      <c r="AM68" s="4"/>
      <c r="AN68" s="1"/>
      <c r="AO68" s="1"/>
      <c r="AP68" s="1"/>
      <c r="AQ68" s="1"/>
      <c r="AR68" s="1"/>
      <c r="AS68" s="1"/>
      <c r="AT68" s="1"/>
      <c r="AU68" s="1"/>
    </row>
    <row r="69" ht="15.75" customHeight="1">
      <c r="A69" s="12"/>
      <c r="B69" s="12"/>
      <c r="C69" s="12"/>
      <c r="D69" s="13" t="s">
        <v>5</v>
      </c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>
        <f t="shared" si="1"/>
        <v>0</v>
      </c>
      <c r="AK69" s="1"/>
      <c r="AL69" s="1"/>
      <c r="AM69" s="4"/>
      <c r="AN69" s="1"/>
      <c r="AO69" s="1"/>
      <c r="AP69" s="1"/>
      <c r="AQ69" s="1"/>
      <c r="AR69" s="1"/>
      <c r="AS69" s="1"/>
      <c r="AT69" s="1"/>
      <c r="AU69" s="1"/>
    </row>
    <row r="70" ht="15.75" customHeight="1">
      <c r="A70" s="16"/>
      <c r="B70" s="16"/>
      <c r="C70" s="16"/>
      <c r="D70" s="13" t="s">
        <v>6</v>
      </c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>
        <f t="shared" si="1"/>
        <v>0</v>
      </c>
      <c r="AK70" s="1"/>
      <c r="AL70" s="1"/>
      <c r="AM70" s="4"/>
      <c r="AN70" s="1"/>
      <c r="AO70" s="1"/>
      <c r="AP70" s="1"/>
      <c r="AQ70" s="1"/>
      <c r="AR70" s="1"/>
      <c r="AS70" s="1"/>
      <c r="AT70" s="1"/>
      <c r="AU70" s="1"/>
    </row>
    <row r="71" ht="15.75" customHeight="1">
      <c r="A71" s="10"/>
      <c r="B71" s="10"/>
      <c r="C71" s="10"/>
      <c r="D71" s="13" t="s">
        <v>7</v>
      </c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>
        <f t="shared" si="1"/>
        <v>0</v>
      </c>
      <c r="AK71" s="1"/>
      <c r="AL71" s="1"/>
      <c r="AM71" s="4"/>
      <c r="AN71" s="1"/>
      <c r="AO71" s="1"/>
      <c r="AP71" s="1"/>
      <c r="AQ71" s="1"/>
      <c r="AR71" s="1"/>
      <c r="AS71" s="1"/>
      <c r="AT71" s="1"/>
      <c r="AU71" s="1"/>
    </row>
    <row r="72" ht="15.75" customHeight="1">
      <c r="A72" s="31"/>
      <c r="B72" s="31"/>
      <c r="C72" s="3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4"/>
      <c r="AN72" s="1"/>
      <c r="AO72" s="1"/>
      <c r="AP72" s="1"/>
      <c r="AQ72" s="1"/>
      <c r="AR72" s="1"/>
      <c r="AS72" s="1"/>
      <c r="AT72" s="1"/>
      <c r="AU72" s="1"/>
    </row>
    <row r="73" ht="15.75" customHeight="1">
      <c r="A73" s="31"/>
      <c r="B73" s="31"/>
      <c r="C73" s="3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4"/>
      <c r="AN73" s="1"/>
      <c r="AO73" s="1"/>
      <c r="AP73" s="1"/>
      <c r="AQ73" s="1"/>
      <c r="AR73" s="1"/>
      <c r="AS73" s="1"/>
      <c r="AT73" s="1"/>
      <c r="AU73" s="1"/>
    </row>
    <row r="74" ht="15.75" customHeight="1">
      <c r="A74" s="31"/>
      <c r="B74" s="31"/>
      <c r="C74" s="3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4"/>
      <c r="AN74" s="1"/>
      <c r="AO74" s="1"/>
      <c r="AP74" s="1"/>
      <c r="AQ74" s="1"/>
      <c r="AR74" s="1"/>
      <c r="AS74" s="1"/>
      <c r="AT74" s="1"/>
      <c r="AU74" s="1"/>
    </row>
    <row r="75" ht="15.75" customHeight="1">
      <c r="A75" s="31"/>
      <c r="B75" s="31"/>
      <c r="C75" s="3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4"/>
      <c r="AN75" s="1"/>
      <c r="AO75" s="1"/>
      <c r="AP75" s="1"/>
      <c r="AQ75" s="1"/>
      <c r="AR75" s="1"/>
      <c r="AS75" s="1"/>
      <c r="AT75" s="1"/>
      <c r="AU75" s="1"/>
    </row>
    <row r="76" ht="15.75" customHeight="1">
      <c r="A76" s="31"/>
      <c r="B76" s="31"/>
      <c r="C76" s="3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4"/>
      <c r="AN76" s="1"/>
      <c r="AO76" s="1"/>
      <c r="AP76" s="1"/>
      <c r="AQ76" s="1"/>
      <c r="AR76" s="1"/>
      <c r="AS76" s="1"/>
      <c r="AT76" s="1"/>
      <c r="AU76" s="1"/>
    </row>
    <row r="77" ht="15.75" customHeight="1">
      <c r="A77" s="31"/>
      <c r="B77" s="31"/>
      <c r="C77" s="3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4"/>
      <c r="AN77" s="1"/>
      <c r="AO77" s="1"/>
      <c r="AP77" s="1"/>
      <c r="AQ77" s="1"/>
      <c r="AR77" s="1"/>
      <c r="AS77" s="1"/>
      <c r="AT77" s="1"/>
      <c r="AU77" s="1"/>
    </row>
    <row r="78" ht="15.75" customHeight="1">
      <c r="A78" s="31"/>
      <c r="B78" s="31"/>
      <c r="C78" s="3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4"/>
      <c r="AN78" s="1"/>
      <c r="AO78" s="1"/>
      <c r="AP78" s="1"/>
      <c r="AQ78" s="1"/>
      <c r="AR78" s="1"/>
      <c r="AS78" s="1"/>
      <c r="AT78" s="1"/>
      <c r="AU78" s="1"/>
    </row>
    <row r="79" ht="15.75" customHeight="1">
      <c r="A79" s="31"/>
      <c r="B79" s="31"/>
      <c r="C79" s="3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4"/>
      <c r="AN79" s="1"/>
      <c r="AO79" s="1"/>
      <c r="AP79" s="1"/>
      <c r="AQ79" s="1"/>
      <c r="AR79" s="1"/>
      <c r="AS79" s="1"/>
      <c r="AT79" s="1"/>
      <c r="AU79" s="1"/>
    </row>
    <row r="80" ht="15.75" customHeight="1">
      <c r="A80" s="31"/>
      <c r="B80" s="31"/>
      <c r="C80" s="3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4"/>
      <c r="AN80" s="1"/>
      <c r="AO80" s="1"/>
      <c r="AP80" s="1"/>
      <c r="AQ80" s="1"/>
      <c r="AR80" s="1"/>
      <c r="AS80" s="1"/>
      <c r="AT80" s="1"/>
      <c r="AU80" s="1"/>
    </row>
    <row r="81" ht="15.75" customHeight="1">
      <c r="A81" s="31"/>
      <c r="B81" s="31"/>
      <c r="C81" s="3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4"/>
      <c r="AN81" s="1"/>
      <c r="AO81" s="1"/>
      <c r="AP81" s="1"/>
      <c r="AQ81" s="1"/>
      <c r="AR81" s="1"/>
      <c r="AS81" s="1"/>
      <c r="AT81" s="1"/>
      <c r="AU81" s="1"/>
    </row>
    <row r="82" ht="15.75" customHeight="1">
      <c r="A82" s="31"/>
      <c r="B82" s="31"/>
      <c r="C82" s="3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4"/>
      <c r="AN82" s="1"/>
      <c r="AO82" s="1"/>
      <c r="AP82" s="1"/>
      <c r="AQ82" s="1"/>
      <c r="AR82" s="1"/>
      <c r="AS82" s="1"/>
      <c r="AT82" s="1"/>
      <c r="AU82" s="1"/>
    </row>
    <row r="83" ht="15.75" customHeight="1">
      <c r="A83" s="31"/>
      <c r="B83" s="31"/>
      <c r="C83" s="3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4"/>
      <c r="AN83" s="1"/>
      <c r="AO83" s="1"/>
      <c r="AP83" s="1"/>
      <c r="AQ83" s="1"/>
      <c r="AR83" s="1"/>
      <c r="AS83" s="1"/>
      <c r="AT83" s="1"/>
      <c r="AU83" s="1"/>
    </row>
    <row r="84" ht="15.75" customHeight="1">
      <c r="A84" s="31"/>
      <c r="B84" s="31"/>
      <c r="C84" s="3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4"/>
      <c r="AN84" s="1"/>
      <c r="AO84" s="1"/>
      <c r="AP84" s="1"/>
      <c r="AQ84" s="1"/>
      <c r="AR84" s="1"/>
      <c r="AS84" s="1"/>
      <c r="AT84" s="1"/>
      <c r="AU84" s="1"/>
    </row>
    <row r="85" ht="15.75" customHeight="1">
      <c r="A85" s="31"/>
      <c r="B85" s="31"/>
      <c r="C85" s="3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4"/>
      <c r="AN85" s="1"/>
      <c r="AO85" s="1"/>
      <c r="AP85" s="1"/>
      <c r="AQ85" s="1"/>
      <c r="AR85" s="1"/>
      <c r="AS85" s="1"/>
      <c r="AT85" s="1"/>
      <c r="AU85" s="1"/>
    </row>
    <row r="86" ht="15.75" customHeight="1">
      <c r="A86" s="31"/>
      <c r="B86" s="31"/>
      <c r="C86" s="3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4"/>
      <c r="AN86" s="1"/>
      <c r="AO86" s="1"/>
      <c r="AP86" s="1"/>
      <c r="AQ86" s="1"/>
      <c r="AR86" s="1"/>
      <c r="AS86" s="1"/>
      <c r="AT86" s="1"/>
      <c r="AU86" s="1"/>
    </row>
    <row r="87" ht="15.75" customHeight="1">
      <c r="A87" s="31"/>
      <c r="B87" s="31"/>
      <c r="C87" s="3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4"/>
      <c r="AN87" s="1"/>
      <c r="AO87" s="1"/>
      <c r="AP87" s="1"/>
      <c r="AQ87" s="1"/>
      <c r="AR87" s="1"/>
      <c r="AS87" s="1"/>
      <c r="AT87" s="1"/>
      <c r="AU87" s="1"/>
    </row>
    <row r="88" ht="15.75" customHeight="1">
      <c r="A88" s="31"/>
      <c r="B88" s="31"/>
      <c r="C88" s="3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4"/>
      <c r="AN88" s="1"/>
      <c r="AO88" s="1"/>
      <c r="AP88" s="1"/>
      <c r="AQ88" s="1"/>
      <c r="AR88" s="1"/>
      <c r="AS88" s="1"/>
      <c r="AT88" s="1"/>
      <c r="AU88" s="1"/>
    </row>
    <row r="89" ht="15.75" customHeight="1">
      <c r="A89" s="31"/>
      <c r="B89" s="31"/>
      <c r="C89" s="3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4"/>
      <c r="AN89" s="1"/>
      <c r="AO89" s="1"/>
      <c r="AP89" s="1"/>
      <c r="AQ89" s="1"/>
      <c r="AR89" s="1"/>
      <c r="AS89" s="1"/>
      <c r="AT89" s="1"/>
      <c r="AU89" s="1"/>
    </row>
    <row r="90" ht="15.75" customHeight="1">
      <c r="A90" s="31"/>
      <c r="B90" s="31"/>
      <c r="C90" s="3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4"/>
      <c r="AN90" s="1"/>
      <c r="AO90" s="1"/>
      <c r="AP90" s="1"/>
      <c r="AQ90" s="1"/>
      <c r="AR90" s="1"/>
      <c r="AS90" s="1"/>
      <c r="AT90" s="1"/>
      <c r="AU90" s="1"/>
    </row>
    <row r="91" ht="15.75" customHeight="1">
      <c r="A91" s="31"/>
      <c r="B91" s="31"/>
      <c r="C91" s="3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4"/>
      <c r="AN91" s="1"/>
      <c r="AO91" s="1"/>
      <c r="AP91" s="1"/>
      <c r="AQ91" s="1"/>
      <c r="AR91" s="1"/>
      <c r="AS91" s="1"/>
      <c r="AT91" s="1"/>
      <c r="AU91" s="1"/>
    </row>
    <row r="92" ht="15.75" customHeight="1">
      <c r="A92" s="31"/>
      <c r="B92" s="31"/>
      <c r="C92" s="3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4"/>
      <c r="AN92" s="1"/>
      <c r="AO92" s="1"/>
      <c r="AP92" s="1"/>
      <c r="AQ92" s="1"/>
      <c r="AR92" s="1"/>
      <c r="AS92" s="1"/>
      <c r="AT92" s="1"/>
      <c r="AU92" s="1"/>
    </row>
    <row r="93" ht="15.75" customHeight="1">
      <c r="A93" s="31"/>
      <c r="B93" s="31"/>
      <c r="C93" s="3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4"/>
      <c r="AN93" s="1"/>
      <c r="AO93" s="1"/>
      <c r="AP93" s="1"/>
      <c r="AQ93" s="1"/>
      <c r="AR93" s="1"/>
      <c r="AS93" s="1"/>
      <c r="AT93" s="1"/>
      <c r="AU93" s="1"/>
    </row>
    <row r="94" ht="15.75" customHeight="1">
      <c r="A94" s="31"/>
      <c r="B94" s="31"/>
      <c r="C94" s="3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4"/>
      <c r="AN94" s="1"/>
      <c r="AO94" s="1"/>
      <c r="AP94" s="1"/>
      <c r="AQ94" s="1"/>
      <c r="AR94" s="1"/>
      <c r="AS94" s="1"/>
      <c r="AT94" s="1"/>
      <c r="AU94" s="1"/>
    </row>
    <row r="95" ht="15.75" customHeight="1">
      <c r="A95" s="31"/>
      <c r="B95" s="31"/>
      <c r="C95" s="3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4"/>
      <c r="AN95" s="1"/>
      <c r="AO95" s="1"/>
      <c r="AP95" s="1"/>
      <c r="AQ95" s="1"/>
      <c r="AR95" s="1"/>
      <c r="AS95" s="1"/>
      <c r="AT95" s="1"/>
      <c r="AU95" s="1"/>
    </row>
    <row r="96" ht="15.75" customHeight="1">
      <c r="A96" s="31"/>
      <c r="B96" s="31"/>
      <c r="C96" s="3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4"/>
      <c r="AN96" s="1"/>
      <c r="AO96" s="1"/>
      <c r="AP96" s="1"/>
      <c r="AQ96" s="1"/>
      <c r="AR96" s="1"/>
      <c r="AS96" s="1"/>
      <c r="AT96" s="1"/>
      <c r="AU96" s="1"/>
    </row>
    <row r="97" ht="15.75" customHeight="1">
      <c r="A97" s="31"/>
      <c r="B97" s="31"/>
      <c r="C97" s="3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4"/>
      <c r="AN97" s="1"/>
      <c r="AO97" s="1"/>
      <c r="AP97" s="1"/>
      <c r="AQ97" s="1"/>
      <c r="AR97" s="1"/>
      <c r="AS97" s="1"/>
      <c r="AT97" s="1"/>
      <c r="AU97" s="1"/>
    </row>
    <row r="98" ht="15.75" customHeight="1">
      <c r="A98" s="31"/>
      <c r="B98" s="31"/>
      <c r="C98" s="3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4"/>
      <c r="AN98" s="1"/>
      <c r="AO98" s="1"/>
      <c r="AP98" s="1"/>
      <c r="AQ98" s="1"/>
      <c r="AR98" s="1"/>
      <c r="AS98" s="1"/>
      <c r="AT98" s="1"/>
      <c r="AU98" s="1"/>
    </row>
    <row r="99" ht="15.75" customHeight="1">
      <c r="A99" s="31"/>
      <c r="B99" s="31"/>
      <c r="C99" s="3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4"/>
      <c r="AN99" s="1"/>
      <c r="AO99" s="1"/>
      <c r="AP99" s="1"/>
      <c r="AQ99" s="1"/>
      <c r="AR99" s="1"/>
      <c r="AS99" s="1"/>
      <c r="AT99" s="1"/>
      <c r="AU99" s="1"/>
    </row>
    <row r="100" ht="15.75" customHeight="1">
      <c r="A100" s="31"/>
      <c r="B100" s="31"/>
      <c r="C100" s="3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4"/>
      <c r="AN100" s="1"/>
      <c r="AO100" s="1"/>
      <c r="AP100" s="1"/>
      <c r="AQ100" s="1"/>
      <c r="AR100" s="1"/>
      <c r="AS100" s="1"/>
      <c r="AT100" s="1"/>
      <c r="AU100" s="1"/>
    </row>
    <row r="101" ht="15.75" customHeight="1">
      <c r="A101" s="31"/>
      <c r="B101" s="31"/>
      <c r="C101" s="3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4"/>
      <c r="AN101" s="1"/>
      <c r="AO101" s="1"/>
      <c r="AP101" s="1"/>
      <c r="AQ101" s="1"/>
      <c r="AR101" s="1"/>
      <c r="AS101" s="1"/>
      <c r="AT101" s="1"/>
      <c r="AU101" s="1"/>
    </row>
    <row r="102" ht="15.75" customHeight="1">
      <c r="A102" s="31"/>
      <c r="B102" s="31"/>
      <c r="C102" s="3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4"/>
      <c r="AN102" s="1"/>
      <c r="AO102" s="1"/>
      <c r="AP102" s="1"/>
      <c r="AQ102" s="1"/>
      <c r="AR102" s="1"/>
      <c r="AS102" s="1"/>
      <c r="AT102" s="1"/>
      <c r="AU102" s="1"/>
    </row>
    <row r="103" ht="15.75" customHeight="1">
      <c r="A103" s="31"/>
      <c r="B103" s="31"/>
      <c r="C103" s="3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4"/>
      <c r="AN103" s="1"/>
      <c r="AO103" s="1"/>
      <c r="AP103" s="1"/>
      <c r="AQ103" s="1"/>
      <c r="AR103" s="1"/>
      <c r="AS103" s="1"/>
      <c r="AT103" s="1"/>
      <c r="AU103" s="1"/>
    </row>
    <row r="104" ht="15.75" customHeight="1">
      <c r="A104" s="31"/>
      <c r="B104" s="31"/>
      <c r="C104" s="3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4"/>
      <c r="AN104" s="1"/>
      <c r="AO104" s="1"/>
      <c r="AP104" s="1"/>
      <c r="AQ104" s="1"/>
      <c r="AR104" s="1"/>
      <c r="AS104" s="1"/>
      <c r="AT104" s="1"/>
      <c r="AU104" s="1"/>
    </row>
    <row r="105" ht="15.75" customHeight="1">
      <c r="A105" s="31"/>
      <c r="B105" s="31"/>
      <c r="C105" s="3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4"/>
      <c r="AN105" s="1"/>
      <c r="AO105" s="1"/>
      <c r="AP105" s="1"/>
      <c r="AQ105" s="1"/>
      <c r="AR105" s="1"/>
      <c r="AS105" s="1"/>
      <c r="AT105" s="1"/>
      <c r="AU105" s="1"/>
    </row>
    <row r="106" ht="15.75" customHeight="1">
      <c r="A106" s="31"/>
      <c r="B106" s="31"/>
      <c r="C106" s="3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4"/>
      <c r="AN106" s="1"/>
      <c r="AO106" s="1"/>
      <c r="AP106" s="1"/>
      <c r="AQ106" s="1"/>
      <c r="AR106" s="1"/>
      <c r="AS106" s="1"/>
      <c r="AT106" s="1"/>
      <c r="AU106" s="1"/>
    </row>
    <row r="107" ht="15.75" customHeight="1">
      <c r="A107" s="31"/>
      <c r="B107" s="31"/>
      <c r="C107" s="3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4"/>
      <c r="AN107" s="1"/>
      <c r="AO107" s="1"/>
      <c r="AP107" s="1"/>
      <c r="AQ107" s="1"/>
      <c r="AR107" s="1"/>
      <c r="AS107" s="1"/>
      <c r="AT107" s="1"/>
      <c r="AU107" s="1"/>
    </row>
    <row r="108" ht="15.75" customHeight="1">
      <c r="A108" s="31"/>
      <c r="B108" s="31"/>
      <c r="C108" s="3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4"/>
      <c r="AN108" s="1"/>
      <c r="AO108" s="1"/>
      <c r="AP108" s="1"/>
      <c r="AQ108" s="1"/>
      <c r="AR108" s="1"/>
      <c r="AS108" s="1"/>
      <c r="AT108" s="1"/>
      <c r="AU108" s="1"/>
    </row>
    <row r="109" ht="15.75" customHeight="1">
      <c r="A109" s="31"/>
      <c r="B109" s="31"/>
      <c r="C109" s="3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4"/>
      <c r="AN109" s="1"/>
      <c r="AO109" s="1"/>
      <c r="AP109" s="1"/>
      <c r="AQ109" s="1"/>
      <c r="AR109" s="1"/>
      <c r="AS109" s="1"/>
      <c r="AT109" s="1"/>
      <c r="AU109" s="1"/>
    </row>
    <row r="110" ht="15.75" customHeight="1">
      <c r="A110" s="31"/>
      <c r="B110" s="31"/>
      <c r="C110" s="3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4"/>
      <c r="AN110" s="1"/>
      <c r="AO110" s="1"/>
      <c r="AP110" s="1"/>
      <c r="AQ110" s="1"/>
      <c r="AR110" s="1"/>
      <c r="AS110" s="1"/>
      <c r="AT110" s="1"/>
      <c r="AU110" s="1"/>
    </row>
    <row r="111" ht="15.75" customHeight="1">
      <c r="A111" s="31"/>
      <c r="B111" s="31"/>
      <c r="C111" s="3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4"/>
      <c r="AN111" s="1"/>
      <c r="AO111" s="1"/>
      <c r="AP111" s="1"/>
      <c r="AQ111" s="1"/>
      <c r="AR111" s="1"/>
      <c r="AS111" s="1"/>
      <c r="AT111" s="1"/>
      <c r="AU111" s="1"/>
    </row>
    <row r="112" ht="15.75" customHeight="1">
      <c r="A112" s="31"/>
      <c r="B112" s="31"/>
      <c r="C112" s="3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4"/>
      <c r="AN112" s="1"/>
      <c r="AO112" s="1"/>
      <c r="AP112" s="1"/>
      <c r="AQ112" s="1"/>
      <c r="AR112" s="1"/>
      <c r="AS112" s="1"/>
      <c r="AT112" s="1"/>
      <c r="AU112" s="1"/>
    </row>
    <row r="113" ht="15.75" customHeight="1">
      <c r="A113" s="31"/>
      <c r="B113" s="31"/>
      <c r="C113" s="3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4"/>
      <c r="AN113" s="1"/>
      <c r="AO113" s="1"/>
      <c r="AP113" s="1"/>
      <c r="AQ113" s="1"/>
      <c r="AR113" s="1"/>
      <c r="AS113" s="1"/>
      <c r="AT113" s="1"/>
      <c r="AU113" s="1"/>
    </row>
    <row r="114" ht="15.75" customHeight="1">
      <c r="A114" s="31"/>
      <c r="B114" s="31"/>
      <c r="C114" s="3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4"/>
      <c r="AN114" s="1"/>
      <c r="AO114" s="1"/>
      <c r="AP114" s="1"/>
      <c r="AQ114" s="1"/>
      <c r="AR114" s="1"/>
      <c r="AS114" s="1"/>
      <c r="AT114" s="1"/>
      <c r="AU114" s="1"/>
    </row>
    <row r="115" ht="15.75" customHeight="1">
      <c r="A115" s="31"/>
      <c r="B115" s="31"/>
      <c r="C115" s="3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4"/>
      <c r="AN115" s="1"/>
      <c r="AO115" s="1"/>
      <c r="AP115" s="1"/>
      <c r="AQ115" s="1"/>
      <c r="AR115" s="1"/>
      <c r="AS115" s="1"/>
      <c r="AT115" s="1"/>
      <c r="AU115" s="1"/>
    </row>
    <row r="116" ht="15.75" customHeight="1">
      <c r="A116" s="31"/>
      <c r="B116" s="31"/>
      <c r="C116" s="3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4"/>
      <c r="AN116" s="1"/>
      <c r="AO116" s="1"/>
      <c r="AP116" s="1"/>
      <c r="AQ116" s="1"/>
      <c r="AR116" s="1"/>
      <c r="AS116" s="1"/>
      <c r="AT116" s="1"/>
      <c r="AU116" s="1"/>
    </row>
    <row r="117" ht="15.75" customHeight="1">
      <c r="A117" s="31"/>
      <c r="B117" s="31"/>
      <c r="C117" s="3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4"/>
      <c r="AN117" s="1"/>
      <c r="AO117" s="1"/>
      <c r="AP117" s="1"/>
      <c r="AQ117" s="1"/>
      <c r="AR117" s="1"/>
      <c r="AS117" s="1"/>
      <c r="AT117" s="1"/>
      <c r="AU117" s="1"/>
    </row>
    <row r="118" ht="15.75" customHeight="1">
      <c r="A118" s="31"/>
      <c r="B118" s="31"/>
      <c r="C118" s="3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4"/>
      <c r="AN118" s="1"/>
      <c r="AO118" s="1"/>
      <c r="AP118" s="1"/>
      <c r="AQ118" s="1"/>
      <c r="AR118" s="1"/>
      <c r="AS118" s="1"/>
      <c r="AT118" s="1"/>
      <c r="AU118" s="1"/>
    </row>
    <row r="119" ht="15.75" customHeight="1">
      <c r="A119" s="31"/>
      <c r="B119" s="31"/>
      <c r="C119" s="3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4"/>
      <c r="AN119" s="1"/>
      <c r="AO119" s="1"/>
      <c r="AP119" s="1"/>
      <c r="AQ119" s="1"/>
      <c r="AR119" s="1"/>
      <c r="AS119" s="1"/>
      <c r="AT119" s="1"/>
      <c r="AU119" s="1"/>
    </row>
    <row r="120" ht="15.75" customHeight="1">
      <c r="A120" s="31"/>
      <c r="B120" s="31"/>
      <c r="C120" s="3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4"/>
      <c r="AN120" s="1"/>
      <c r="AO120" s="1"/>
      <c r="AP120" s="1"/>
      <c r="AQ120" s="1"/>
      <c r="AR120" s="1"/>
      <c r="AS120" s="1"/>
      <c r="AT120" s="1"/>
      <c r="AU120" s="1"/>
    </row>
    <row r="121" ht="15.75" customHeight="1">
      <c r="A121" s="31"/>
      <c r="B121" s="31"/>
      <c r="C121" s="3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4"/>
      <c r="AN121" s="1"/>
      <c r="AO121" s="1"/>
      <c r="AP121" s="1"/>
      <c r="AQ121" s="1"/>
      <c r="AR121" s="1"/>
      <c r="AS121" s="1"/>
      <c r="AT121" s="1"/>
      <c r="AU121" s="1"/>
    </row>
    <row r="122" ht="15.75" customHeight="1">
      <c r="A122" s="31"/>
      <c r="B122" s="31"/>
      <c r="C122" s="3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4"/>
      <c r="AN122" s="1"/>
      <c r="AO122" s="1"/>
      <c r="AP122" s="1"/>
      <c r="AQ122" s="1"/>
      <c r="AR122" s="1"/>
      <c r="AS122" s="1"/>
      <c r="AT122" s="1"/>
      <c r="AU122" s="1"/>
    </row>
    <row r="123" ht="15.75" customHeight="1">
      <c r="A123" s="31"/>
      <c r="B123" s="31"/>
      <c r="C123" s="3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4"/>
      <c r="AN123" s="1"/>
      <c r="AO123" s="1"/>
      <c r="AP123" s="1"/>
      <c r="AQ123" s="1"/>
      <c r="AR123" s="1"/>
      <c r="AS123" s="1"/>
      <c r="AT123" s="1"/>
      <c r="AU123" s="1"/>
    </row>
    <row r="124" ht="15.75" customHeight="1">
      <c r="A124" s="31"/>
      <c r="B124" s="31"/>
      <c r="C124" s="3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4"/>
      <c r="AN124" s="1"/>
      <c r="AO124" s="1"/>
      <c r="AP124" s="1"/>
      <c r="AQ124" s="1"/>
      <c r="AR124" s="1"/>
      <c r="AS124" s="1"/>
      <c r="AT124" s="1"/>
      <c r="AU124" s="1"/>
    </row>
    <row r="125" ht="15.75" customHeight="1">
      <c r="A125" s="31"/>
      <c r="B125" s="31"/>
      <c r="C125" s="3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4"/>
      <c r="AN125" s="1"/>
      <c r="AO125" s="1"/>
      <c r="AP125" s="1"/>
      <c r="AQ125" s="1"/>
      <c r="AR125" s="1"/>
      <c r="AS125" s="1"/>
      <c r="AT125" s="1"/>
      <c r="AU125" s="1"/>
    </row>
    <row r="126" ht="15.75" customHeight="1">
      <c r="A126" s="31"/>
      <c r="B126" s="31"/>
      <c r="C126" s="3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4"/>
      <c r="AN126" s="1"/>
      <c r="AO126" s="1"/>
      <c r="AP126" s="1"/>
      <c r="AQ126" s="1"/>
      <c r="AR126" s="1"/>
      <c r="AS126" s="1"/>
      <c r="AT126" s="1"/>
      <c r="AU126" s="1"/>
    </row>
    <row r="127" ht="15.75" customHeight="1">
      <c r="A127" s="31"/>
      <c r="B127" s="31"/>
      <c r="C127" s="3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4"/>
      <c r="AN127" s="1"/>
      <c r="AO127" s="1"/>
      <c r="AP127" s="1"/>
      <c r="AQ127" s="1"/>
      <c r="AR127" s="1"/>
      <c r="AS127" s="1"/>
      <c r="AT127" s="1"/>
      <c r="AU127" s="1"/>
    </row>
    <row r="128" ht="15.75" customHeight="1">
      <c r="A128" s="31"/>
      <c r="B128" s="31"/>
      <c r="C128" s="3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4"/>
      <c r="AN128" s="1"/>
      <c r="AO128" s="1"/>
      <c r="AP128" s="1"/>
      <c r="AQ128" s="1"/>
      <c r="AR128" s="1"/>
      <c r="AS128" s="1"/>
      <c r="AT128" s="1"/>
      <c r="AU128" s="1"/>
    </row>
    <row r="129" ht="15.75" customHeight="1">
      <c r="A129" s="31"/>
      <c r="B129" s="31"/>
      <c r="C129" s="3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4"/>
      <c r="AN129" s="1"/>
      <c r="AO129" s="1"/>
      <c r="AP129" s="1"/>
      <c r="AQ129" s="1"/>
      <c r="AR129" s="1"/>
      <c r="AS129" s="1"/>
      <c r="AT129" s="1"/>
      <c r="AU129" s="1"/>
    </row>
    <row r="130" ht="15.75" customHeight="1">
      <c r="A130" s="31"/>
      <c r="B130" s="31"/>
      <c r="C130" s="3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4"/>
      <c r="AN130" s="1"/>
      <c r="AO130" s="1"/>
      <c r="AP130" s="1"/>
      <c r="AQ130" s="1"/>
      <c r="AR130" s="1"/>
      <c r="AS130" s="1"/>
      <c r="AT130" s="1"/>
      <c r="AU130" s="1"/>
    </row>
    <row r="131" ht="15.75" customHeight="1">
      <c r="A131" s="31"/>
      <c r="B131" s="31"/>
      <c r="C131" s="3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4"/>
      <c r="AN131" s="1"/>
      <c r="AO131" s="1"/>
      <c r="AP131" s="1"/>
      <c r="AQ131" s="1"/>
      <c r="AR131" s="1"/>
      <c r="AS131" s="1"/>
      <c r="AT131" s="1"/>
      <c r="AU131" s="1"/>
    </row>
    <row r="132" ht="15.75" customHeight="1">
      <c r="A132" s="31"/>
      <c r="B132" s="31"/>
      <c r="C132" s="3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4"/>
      <c r="AN132" s="1"/>
      <c r="AO132" s="1"/>
      <c r="AP132" s="1"/>
      <c r="AQ132" s="1"/>
      <c r="AR132" s="1"/>
      <c r="AS132" s="1"/>
      <c r="AT132" s="1"/>
      <c r="AU132" s="1"/>
    </row>
    <row r="133" ht="15.75" customHeight="1">
      <c r="A133" s="31"/>
      <c r="B133" s="31"/>
      <c r="C133" s="3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4"/>
      <c r="AN133" s="1"/>
      <c r="AO133" s="1"/>
      <c r="AP133" s="1"/>
      <c r="AQ133" s="1"/>
      <c r="AR133" s="1"/>
      <c r="AS133" s="1"/>
      <c r="AT133" s="1"/>
      <c r="AU133" s="1"/>
    </row>
    <row r="134" ht="15.75" customHeight="1">
      <c r="A134" s="31"/>
      <c r="B134" s="31"/>
      <c r="C134" s="3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4"/>
      <c r="AN134" s="1"/>
      <c r="AO134" s="1"/>
      <c r="AP134" s="1"/>
      <c r="AQ134" s="1"/>
      <c r="AR134" s="1"/>
      <c r="AS134" s="1"/>
      <c r="AT134" s="1"/>
      <c r="AU134" s="1"/>
    </row>
    <row r="135" ht="15.75" customHeight="1">
      <c r="A135" s="31"/>
      <c r="B135" s="31"/>
      <c r="C135" s="3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4"/>
      <c r="AN135" s="1"/>
      <c r="AO135" s="1"/>
      <c r="AP135" s="1"/>
      <c r="AQ135" s="1"/>
      <c r="AR135" s="1"/>
      <c r="AS135" s="1"/>
      <c r="AT135" s="1"/>
      <c r="AU135" s="1"/>
    </row>
    <row r="136" ht="15.75" customHeight="1">
      <c r="A136" s="31"/>
      <c r="B136" s="31"/>
      <c r="C136" s="3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4"/>
      <c r="AN136" s="1"/>
      <c r="AO136" s="1"/>
      <c r="AP136" s="1"/>
      <c r="AQ136" s="1"/>
      <c r="AR136" s="1"/>
      <c r="AS136" s="1"/>
      <c r="AT136" s="1"/>
      <c r="AU136" s="1"/>
    </row>
    <row r="137" ht="15.75" customHeight="1">
      <c r="A137" s="31"/>
      <c r="B137" s="31"/>
      <c r="C137" s="3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4"/>
      <c r="AN137" s="1"/>
      <c r="AO137" s="1"/>
      <c r="AP137" s="1"/>
      <c r="AQ137" s="1"/>
      <c r="AR137" s="1"/>
      <c r="AS137" s="1"/>
      <c r="AT137" s="1"/>
      <c r="AU137" s="1"/>
    </row>
    <row r="138" ht="15.75" customHeight="1">
      <c r="A138" s="31"/>
      <c r="B138" s="31"/>
      <c r="C138" s="3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4"/>
      <c r="AN138" s="1"/>
      <c r="AO138" s="1"/>
      <c r="AP138" s="1"/>
      <c r="AQ138" s="1"/>
      <c r="AR138" s="1"/>
      <c r="AS138" s="1"/>
      <c r="AT138" s="1"/>
      <c r="AU138" s="1"/>
    </row>
    <row r="139" ht="15.75" customHeight="1">
      <c r="A139" s="31"/>
      <c r="B139" s="31"/>
      <c r="C139" s="3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4"/>
      <c r="AN139" s="1"/>
      <c r="AO139" s="1"/>
      <c r="AP139" s="1"/>
      <c r="AQ139" s="1"/>
      <c r="AR139" s="1"/>
      <c r="AS139" s="1"/>
      <c r="AT139" s="1"/>
      <c r="AU139" s="1"/>
    </row>
    <row r="140" ht="15.75" customHeight="1">
      <c r="A140" s="31"/>
      <c r="B140" s="31"/>
      <c r="C140" s="3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4"/>
      <c r="AN140" s="1"/>
      <c r="AO140" s="1"/>
      <c r="AP140" s="1"/>
      <c r="AQ140" s="1"/>
      <c r="AR140" s="1"/>
      <c r="AS140" s="1"/>
      <c r="AT140" s="1"/>
      <c r="AU140" s="1"/>
    </row>
    <row r="141" ht="15.75" customHeight="1">
      <c r="A141" s="31"/>
      <c r="B141" s="31"/>
      <c r="C141" s="3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4"/>
      <c r="AN141" s="1"/>
      <c r="AO141" s="1"/>
      <c r="AP141" s="1"/>
      <c r="AQ141" s="1"/>
      <c r="AR141" s="1"/>
      <c r="AS141" s="1"/>
      <c r="AT141" s="1"/>
      <c r="AU141" s="1"/>
    </row>
    <row r="142" ht="15.75" customHeight="1">
      <c r="A142" s="31"/>
      <c r="B142" s="31"/>
      <c r="C142" s="3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4"/>
      <c r="AN142" s="1"/>
      <c r="AO142" s="1"/>
      <c r="AP142" s="1"/>
      <c r="AQ142" s="1"/>
      <c r="AR142" s="1"/>
      <c r="AS142" s="1"/>
      <c r="AT142" s="1"/>
      <c r="AU142" s="1"/>
    </row>
    <row r="143" ht="15.75" customHeight="1">
      <c r="A143" s="31"/>
      <c r="B143" s="31"/>
      <c r="C143" s="3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4"/>
      <c r="AN143" s="1"/>
      <c r="AO143" s="1"/>
      <c r="AP143" s="1"/>
      <c r="AQ143" s="1"/>
      <c r="AR143" s="1"/>
      <c r="AS143" s="1"/>
      <c r="AT143" s="1"/>
      <c r="AU143" s="1"/>
    </row>
    <row r="144" ht="15.75" customHeight="1">
      <c r="A144" s="31"/>
      <c r="B144" s="31"/>
      <c r="C144" s="3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4"/>
      <c r="AN144" s="1"/>
      <c r="AO144" s="1"/>
      <c r="AP144" s="1"/>
      <c r="AQ144" s="1"/>
      <c r="AR144" s="1"/>
      <c r="AS144" s="1"/>
      <c r="AT144" s="1"/>
      <c r="AU144" s="1"/>
    </row>
    <row r="145" ht="15.75" customHeight="1">
      <c r="A145" s="31"/>
      <c r="B145" s="31"/>
      <c r="C145" s="3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4"/>
      <c r="AN145" s="1"/>
      <c r="AO145" s="1"/>
      <c r="AP145" s="1"/>
      <c r="AQ145" s="1"/>
      <c r="AR145" s="1"/>
      <c r="AS145" s="1"/>
      <c r="AT145" s="1"/>
      <c r="AU145" s="1"/>
    </row>
    <row r="146" ht="15.75" customHeight="1">
      <c r="A146" s="31"/>
      <c r="B146" s="31"/>
      <c r="C146" s="3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4"/>
      <c r="AN146" s="1"/>
      <c r="AO146" s="1"/>
      <c r="AP146" s="1"/>
      <c r="AQ146" s="1"/>
      <c r="AR146" s="1"/>
      <c r="AS146" s="1"/>
      <c r="AT146" s="1"/>
      <c r="AU146" s="1"/>
    </row>
    <row r="147" ht="15.75" customHeight="1">
      <c r="A147" s="31"/>
      <c r="B147" s="31"/>
      <c r="C147" s="3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4"/>
      <c r="AN147" s="1"/>
      <c r="AO147" s="1"/>
      <c r="AP147" s="1"/>
      <c r="AQ147" s="1"/>
      <c r="AR147" s="1"/>
      <c r="AS147" s="1"/>
      <c r="AT147" s="1"/>
      <c r="AU147" s="1"/>
    </row>
    <row r="148" ht="15.75" customHeight="1">
      <c r="A148" s="31"/>
      <c r="B148" s="31"/>
      <c r="C148" s="3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4"/>
      <c r="AN148" s="1"/>
      <c r="AO148" s="1"/>
      <c r="AP148" s="1"/>
      <c r="AQ148" s="1"/>
      <c r="AR148" s="1"/>
      <c r="AS148" s="1"/>
      <c r="AT148" s="1"/>
      <c r="AU148" s="1"/>
    </row>
    <row r="149" ht="15.75" customHeight="1">
      <c r="A149" s="31"/>
      <c r="B149" s="31"/>
      <c r="C149" s="3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4"/>
      <c r="AN149" s="1"/>
      <c r="AO149" s="1"/>
      <c r="AP149" s="1"/>
      <c r="AQ149" s="1"/>
      <c r="AR149" s="1"/>
      <c r="AS149" s="1"/>
      <c r="AT149" s="1"/>
      <c r="AU149" s="1"/>
    </row>
    <row r="150" ht="15.75" customHeight="1">
      <c r="A150" s="31"/>
      <c r="B150" s="31"/>
      <c r="C150" s="3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4"/>
      <c r="AN150" s="1"/>
      <c r="AO150" s="1"/>
      <c r="AP150" s="1"/>
      <c r="AQ150" s="1"/>
      <c r="AR150" s="1"/>
      <c r="AS150" s="1"/>
      <c r="AT150" s="1"/>
      <c r="AU150" s="1"/>
    </row>
    <row r="151" ht="15.75" customHeight="1">
      <c r="A151" s="31"/>
      <c r="B151" s="31"/>
      <c r="C151" s="3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4"/>
      <c r="AN151" s="1"/>
      <c r="AO151" s="1"/>
      <c r="AP151" s="1"/>
      <c r="AQ151" s="1"/>
      <c r="AR151" s="1"/>
      <c r="AS151" s="1"/>
      <c r="AT151" s="1"/>
      <c r="AU151" s="1"/>
    </row>
    <row r="152" ht="15.75" customHeight="1">
      <c r="A152" s="31"/>
      <c r="B152" s="31"/>
      <c r="C152" s="3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4"/>
      <c r="AN152" s="1"/>
      <c r="AO152" s="1"/>
      <c r="AP152" s="1"/>
      <c r="AQ152" s="1"/>
      <c r="AR152" s="1"/>
      <c r="AS152" s="1"/>
      <c r="AT152" s="1"/>
      <c r="AU152" s="1"/>
    </row>
    <row r="153" ht="15.75" customHeight="1">
      <c r="A153" s="31"/>
      <c r="B153" s="31"/>
      <c r="C153" s="3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4"/>
      <c r="AN153" s="1"/>
      <c r="AO153" s="1"/>
      <c r="AP153" s="1"/>
      <c r="AQ153" s="1"/>
      <c r="AR153" s="1"/>
      <c r="AS153" s="1"/>
      <c r="AT153" s="1"/>
      <c r="AU153" s="1"/>
    </row>
    <row r="154" ht="15.75" customHeight="1">
      <c r="A154" s="31"/>
      <c r="B154" s="31"/>
      <c r="C154" s="3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4"/>
      <c r="AN154" s="1"/>
      <c r="AO154" s="1"/>
      <c r="AP154" s="1"/>
      <c r="AQ154" s="1"/>
      <c r="AR154" s="1"/>
      <c r="AS154" s="1"/>
      <c r="AT154" s="1"/>
      <c r="AU154" s="1"/>
    </row>
    <row r="155" ht="15.75" customHeight="1">
      <c r="A155" s="31"/>
      <c r="B155" s="31"/>
      <c r="C155" s="3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4"/>
      <c r="AN155" s="1"/>
      <c r="AO155" s="1"/>
      <c r="AP155" s="1"/>
      <c r="AQ155" s="1"/>
      <c r="AR155" s="1"/>
      <c r="AS155" s="1"/>
      <c r="AT155" s="1"/>
      <c r="AU155" s="1"/>
    </row>
    <row r="156" ht="15.75" customHeight="1">
      <c r="A156" s="31"/>
      <c r="B156" s="31"/>
      <c r="C156" s="3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4"/>
      <c r="AN156" s="1"/>
      <c r="AO156" s="1"/>
      <c r="AP156" s="1"/>
      <c r="AQ156" s="1"/>
      <c r="AR156" s="1"/>
      <c r="AS156" s="1"/>
      <c r="AT156" s="1"/>
      <c r="AU156" s="1"/>
    </row>
    <row r="157" ht="15.75" customHeight="1">
      <c r="A157" s="31"/>
      <c r="B157" s="31"/>
      <c r="C157" s="3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4"/>
      <c r="AN157" s="1"/>
      <c r="AO157" s="1"/>
      <c r="AP157" s="1"/>
      <c r="AQ157" s="1"/>
      <c r="AR157" s="1"/>
      <c r="AS157" s="1"/>
      <c r="AT157" s="1"/>
      <c r="AU157" s="1"/>
    </row>
    <row r="158" ht="15.75" customHeight="1">
      <c r="A158" s="31"/>
      <c r="B158" s="31"/>
      <c r="C158" s="3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4"/>
      <c r="AN158" s="1"/>
      <c r="AO158" s="1"/>
      <c r="AP158" s="1"/>
      <c r="AQ158" s="1"/>
      <c r="AR158" s="1"/>
      <c r="AS158" s="1"/>
      <c r="AT158" s="1"/>
      <c r="AU158" s="1"/>
    </row>
    <row r="159" ht="15.75" customHeight="1">
      <c r="A159" s="31"/>
      <c r="B159" s="31"/>
      <c r="C159" s="3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4"/>
      <c r="AN159" s="1"/>
      <c r="AO159" s="1"/>
      <c r="AP159" s="1"/>
      <c r="AQ159" s="1"/>
      <c r="AR159" s="1"/>
      <c r="AS159" s="1"/>
      <c r="AT159" s="1"/>
      <c r="AU159" s="1"/>
    </row>
    <row r="160" ht="15.75" customHeight="1">
      <c r="A160" s="31"/>
      <c r="B160" s="31"/>
      <c r="C160" s="3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4"/>
      <c r="AN160" s="1"/>
      <c r="AO160" s="1"/>
      <c r="AP160" s="1"/>
      <c r="AQ160" s="1"/>
      <c r="AR160" s="1"/>
      <c r="AS160" s="1"/>
      <c r="AT160" s="1"/>
      <c r="AU160" s="1"/>
    </row>
    <row r="161" ht="15.75" customHeight="1">
      <c r="A161" s="31"/>
      <c r="B161" s="31"/>
      <c r="C161" s="3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4"/>
      <c r="AN161" s="1"/>
      <c r="AO161" s="1"/>
      <c r="AP161" s="1"/>
      <c r="AQ161" s="1"/>
      <c r="AR161" s="1"/>
      <c r="AS161" s="1"/>
      <c r="AT161" s="1"/>
      <c r="AU161" s="1"/>
    </row>
    <row r="162" ht="15.75" customHeight="1">
      <c r="A162" s="31"/>
      <c r="B162" s="31"/>
      <c r="C162" s="3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4"/>
      <c r="AN162" s="1"/>
      <c r="AO162" s="1"/>
      <c r="AP162" s="1"/>
      <c r="AQ162" s="1"/>
      <c r="AR162" s="1"/>
      <c r="AS162" s="1"/>
      <c r="AT162" s="1"/>
      <c r="AU162" s="1"/>
    </row>
    <row r="163" ht="15.75" customHeight="1">
      <c r="A163" s="31"/>
      <c r="B163" s="31"/>
      <c r="C163" s="3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4"/>
      <c r="AN163" s="1"/>
      <c r="AO163" s="1"/>
      <c r="AP163" s="1"/>
      <c r="AQ163" s="1"/>
      <c r="AR163" s="1"/>
      <c r="AS163" s="1"/>
      <c r="AT163" s="1"/>
      <c r="AU163" s="1"/>
    </row>
    <row r="164" ht="15.75" customHeight="1">
      <c r="A164" s="31"/>
      <c r="B164" s="31"/>
      <c r="C164" s="3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4"/>
      <c r="AN164" s="1"/>
      <c r="AO164" s="1"/>
      <c r="AP164" s="1"/>
      <c r="AQ164" s="1"/>
      <c r="AR164" s="1"/>
      <c r="AS164" s="1"/>
      <c r="AT164" s="1"/>
      <c r="AU164" s="1"/>
    </row>
    <row r="165" ht="15.75" customHeight="1">
      <c r="A165" s="31"/>
      <c r="B165" s="31"/>
      <c r="C165" s="3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4"/>
      <c r="AN165" s="1"/>
      <c r="AO165" s="1"/>
      <c r="AP165" s="1"/>
      <c r="AQ165" s="1"/>
      <c r="AR165" s="1"/>
      <c r="AS165" s="1"/>
      <c r="AT165" s="1"/>
      <c r="AU165" s="1"/>
    </row>
    <row r="166" ht="15.75" customHeight="1">
      <c r="A166" s="31"/>
      <c r="B166" s="31"/>
      <c r="C166" s="3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4"/>
      <c r="AN166" s="1"/>
      <c r="AO166" s="1"/>
      <c r="AP166" s="1"/>
      <c r="AQ166" s="1"/>
      <c r="AR166" s="1"/>
      <c r="AS166" s="1"/>
      <c r="AT166" s="1"/>
      <c r="AU166" s="1"/>
    </row>
    <row r="167" ht="15.75" customHeight="1">
      <c r="A167" s="31"/>
      <c r="B167" s="31"/>
      <c r="C167" s="3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4"/>
      <c r="AN167" s="1"/>
      <c r="AO167" s="1"/>
      <c r="AP167" s="1"/>
      <c r="AQ167" s="1"/>
      <c r="AR167" s="1"/>
      <c r="AS167" s="1"/>
      <c r="AT167" s="1"/>
      <c r="AU167" s="1"/>
    </row>
    <row r="168" ht="15.75" customHeight="1">
      <c r="A168" s="31"/>
      <c r="B168" s="31"/>
      <c r="C168" s="3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4"/>
      <c r="AN168" s="1"/>
      <c r="AO168" s="1"/>
      <c r="AP168" s="1"/>
      <c r="AQ168" s="1"/>
      <c r="AR168" s="1"/>
      <c r="AS168" s="1"/>
      <c r="AT168" s="1"/>
      <c r="AU168" s="1"/>
    </row>
    <row r="169" ht="15.75" customHeight="1">
      <c r="A169" s="31"/>
      <c r="B169" s="31"/>
      <c r="C169" s="3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4"/>
      <c r="AN169" s="1"/>
      <c r="AO169" s="1"/>
      <c r="AP169" s="1"/>
      <c r="AQ169" s="1"/>
      <c r="AR169" s="1"/>
      <c r="AS169" s="1"/>
      <c r="AT169" s="1"/>
      <c r="AU169" s="1"/>
    </row>
    <row r="170" ht="15.75" customHeight="1">
      <c r="A170" s="31"/>
      <c r="B170" s="31"/>
      <c r="C170" s="3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4"/>
      <c r="AN170" s="1"/>
      <c r="AO170" s="1"/>
      <c r="AP170" s="1"/>
      <c r="AQ170" s="1"/>
      <c r="AR170" s="1"/>
      <c r="AS170" s="1"/>
      <c r="AT170" s="1"/>
      <c r="AU170" s="1"/>
    </row>
    <row r="171" ht="15.75" customHeight="1">
      <c r="A171" s="31"/>
      <c r="B171" s="31"/>
      <c r="C171" s="3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4"/>
      <c r="AN171" s="1"/>
      <c r="AO171" s="1"/>
      <c r="AP171" s="1"/>
      <c r="AQ171" s="1"/>
      <c r="AR171" s="1"/>
      <c r="AS171" s="1"/>
      <c r="AT171" s="1"/>
      <c r="AU171" s="1"/>
    </row>
    <row r="172" ht="15.75" customHeight="1">
      <c r="A172" s="31"/>
      <c r="B172" s="31"/>
      <c r="C172" s="3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4"/>
      <c r="AN172" s="1"/>
      <c r="AO172" s="1"/>
      <c r="AP172" s="1"/>
      <c r="AQ172" s="1"/>
      <c r="AR172" s="1"/>
      <c r="AS172" s="1"/>
      <c r="AT172" s="1"/>
      <c r="AU172" s="1"/>
    </row>
    <row r="173" ht="15.75" customHeight="1">
      <c r="A173" s="31"/>
      <c r="B173" s="31"/>
      <c r="C173" s="3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4"/>
      <c r="AN173" s="1"/>
      <c r="AO173" s="1"/>
      <c r="AP173" s="1"/>
      <c r="AQ173" s="1"/>
      <c r="AR173" s="1"/>
      <c r="AS173" s="1"/>
      <c r="AT173" s="1"/>
      <c r="AU173" s="1"/>
    </row>
    <row r="174" ht="15.75" customHeight="1">
      <c r="A174" s="31"/>
      <c r="B174" s="31"/>
      <c r="C174" s="3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4"/>
      <c r="AN174" s="1"/>
      <c r="AO174" s="1"/>
      <c r="AP174" s="1"/>
      <c r="AQ174" s="1"/>
      <c r="AR174" s="1"/>
      <c r="AS174" s="1"/>
      <c r="AT174" s="1"/>
      <c r="AU174" s="1"/>
    </row>
    <row r="175" ht="15.75" customHeight="1">
      <c r="A175" s="31"/>
      <c r="B175" s="31"/>
      <c r="C175" s="3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4"/>
      <c r="AN175" s="1"/>
      <c r="AO175" s="1"/>
      <c r="AP175" s="1"/>
      <c r="AQ175" s="1"/>
      <c r="AR175" s="1"/>
      <c r="AS175" s="1"/>
      <c r="AT175" s="1"/>
      <c r="AU175" s="1"/>
    </row>
    <row r="176" ht="15.75" customHeight="1">
      <c r="A176" s="31"/>
      <c r="B176" s="31"/>
      <c r="C176" s="3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4"/>
      <c r="AN176" s="1"/>
      <c r="AO176" s="1"/>
      <c r="AP176" s="1"/>
      <c r="AQ176" s="1"/>
      <c r="AR176" s="1"/>
      <c r="AS176" s="1"/>
      <c r="AT176" s="1"/>
      <c r="AU176" s="1"/>
    </row>
    <row r="177" ht="15.75" customHeight="1">
      <c r="A177" s="31"/>
      <c r="B177" s="31"/>
      <c r="C177" s="3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4"/>
      <c r="AN177" s="1"/>
      <c r="AO177" s="1"/>
      <c r="AP177" s="1"/>
      <c r="AQ177" s="1"/>
      <c r="AR177" s="1"/>
      <c r="AS177" s="1"/>
      <c r="AT177" s="1"/>
      <c r="AU177" s="1"/>
    </row>
    <row r="178" ht="15.75" customHeight="1">
      <c r="A178" s="31"/>
      <c r="B178" s="31"/>
      <c r="C178" s="3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4"/>
      <c r="AN178" s="1"/>
      <c r="AO178" s="1"/>
      <c r="AP178" s="1"/>
      <c r="AQ178" s="1"/>
      <c r="AR178" s="1"/>
      <c r="AS178" s="1"/>
      <c r="AT178" s="1"/>
      <c r="AU178" s="1"/>
    </row>
    <row r="179" ht="15.75" customHeight="1">
      <c r="A179" s="31"/>
      <c r="B179" s="31"/>
      <c r="C179" s="3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4"/>
      <c r="AN179" s="1"/>
      <c r="AO179" s="1"/>
      <c r="AP179" s="1"/>
      <c r="AQ179" s="1"/>
      <c r="AR179" s="1"/>
      <c r="AS179" s="1"/>
      <c r="AT179" s="1"/>
      <c r="AU179" s="1"/>
    </row>
    <row r="180" ht="15.75" customHeight="1">
      <c r="A180" s="31"/>
      <c r="B180" s="31"/>
      <c r="C180" s="3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4"/>
      <c r="AN180" s="1"/>
      <c r="AO180" s="1"/>
      <c r="AP180" s="1"/>
      <c r="AQ180" s="1"/>
      <c r="AR180" s="1"/>
      <c r="AS180" s="1"/>
      <c r="AT180" s="1"/>
      <c r="AU180" s="1"/>
    </row>
    <row r="181" ht="15.75" customHeight="1">
      <c r="A181" s="31"/>
      <c r="B181" s="31"/>
      <c r="C181" s="3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4"/>
      <c r="AN181" s="1"/>
      <c r="AO181" s="1"/>
      <c r="AP181" s="1"/>
      <c r="AQ181" s="1"/>
      <c r="AR181" s="1"/>
      <c r="AS181" s="1"/>
      <c r="AT181" s="1"/>
      <c r="AU181" s="1"/>
    </row>
    <row r="182" ht="15.75" customHeight="1">
      <c r="A182" s="31"/>
      <c r="B182" s="31"/>
      <c r="C182" s="3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4"/>
      <c r="AN182" s="1"/>
      <c r="AO182" s="1"/>
      <c r="AP182" s="1"/>
      <c r="AQ182" s="1"/>
      <c r="AR182" s="1"/>
      <c r="AS182" s="1"/>
      <c r="AT182" s="1"/>
      <c r="AU182" s="1"/>
    </row>
    <row r="183" ht="15.75" customHeight="1">
      <c r="A183" s="31"/>
      <c r="B183" s="31"/>
      <c r="C183" s="3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4"/>
      <c r="AN183" s="1"/>
      <c r="AO183" s="1"/>
      <c r="AP183" s="1"/>
      <c r="AQ183" s="1"/>
      <c r="AR183" s="1"/>
      <c r="AS183" s="1"/>
      <c r="AT183" s="1"/>
      <c r="AU183" s="1"/>
    </row>
    <row r="184" ht="15.75" customHeight="1">
      <c r="A184" s="31"/>
      <c r="B184" s="31"/>
      <c r="C184" s="3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4"/>
      <c r="AN184" s="1"/>
      <c r="AO184" s="1"/>
      <c r="AP184" s="1"/>
      <c r="AQ184" s="1"/>
      <c r="AR184" s="1"/>
      <c r="AS184" s="1"/>
      <c r="AT184" s="1"/>
      <c r="AU184" s="1"/>
    </row>
    <row r="185" ht="15.75" customHeight="1">
      <c r="A185" s="31"/>
      <c r="B185" s="31"/>
      <c r="C185" s="3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4"/>
      <c r="AN185" s="1"/>
      <c r="AO185" s="1"/>
      <c r="AP185" s="1"/>
      <c r="AQ185" s="1"/>
      <c r="AR185" s="1"/>
      <c r="AS185" s="1"/>
      <c r="AT185" s="1"/>
      <c r="AU185" s="1"/>
    </row>
    <row r="186" ht="15.75" customHeight="1">
      <c r="A186" s="31"/>
      <c r="B186" s="31"/>
      <c r="C186" s="3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4"/>
      <c r="AN186" s="1"/>
      <c r="AO186" s="1"/>
      <c r="AP186" s="1"/>
      <c r="AQ186" s="1"/>
      <c r="AR186" s="1"/>
      <c r="AS186" s="1"/>
      <c r="AT186" s="1"/>
      <c r="AU186" s="1"/>
    </row>
    <row r="187" ht="15.75" customHeight="1">
      <c r="A187" s="31"/>
      <c r="B187" s="31"/>
      <c r="C187" s="3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4"/>
      <c r="AN187" s="1"/>
      <c r="AO187" s="1"/>
      <c r="AP187" s="1"/>
      <c r="AQ187" s="1"/>
      <c r="AR187" s="1"/>
      <c r="AS187" s="1"/>
      <c r="AT187" s="1"/>
      <c r="AU187" s="1"/>
    </row>
    <row r="188" ht="15.75" customHeight="1">
      <c r="A188" s="31"/>
      <c r="B188" s="31"/>
      <c r="C188" s="3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4"/>
      <c r="AN188" s="1"/>
      <c r="AO188" s="1"/>
      <c r="AP188" s="1"/>
      <c r="AQ188" s="1"/>
      <c r="AR188" s="1"/>
      <c r="AS188" s="1"/>
      <c r="AT188" s="1"/>
      <c r="AU188" s="1"/>
    </row>
    <row r="189" ht="15.75" customHeight="1">
      <c r="A189" s="31"/>
      <c r="B189" s="31"/>
      <c r="C189" s="3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4"/>
      <c r="AN189" s="1"/>
      <c r="AO189" s="1"/>
      <c r="AP189" s="1"/>
      <c r="AQ189" s="1"/>
      <c r="AR189" s="1"/>
      <c r="AS189" s="1"/>
      <c r="AT189" s="1"/>
      <c r="AU189" s="1"/>
    </row>
    <row r="190" ht="15.75" customHeight="1">
      <c r="A190" s="31"/>
      <c r="B190" s="31"/>
      <c r="C190" s="3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4"/>
      <c r="AN190" s="1"/>
      <c r="AO190" s="1"/>
      <c r="AP190" s="1"/>
      <c r="AQ190" s="1"/>
      <c r="AR190" s="1"/>
      <c r="AS190" s="1"/>
      <c r="AT190" s="1"/>
      <c r="AU190" s="1"/>
    </row>
    <row r="191" ht="15.75" customHeight="1">
      <c r="A191" s="31"/>
      <c r="B191" s="31"/>
      <c r="C191" s="3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4"/>
      <c r="AN191" s="1"/>
      <c r="AO191" s="1"/>
      <c r="AP191" s="1"/>
      <c r="AQ191" s="1"/>
      <c r="AR191" s="1"/>
      <c r="AS191" s="1"/>
      <c r="AT191" s="1"/>
      <c r="AU191" s="1"/>
    </row>
    <row r="192" ht="15.75" customHeight="1">
      <c r="A192" s="31"/>
      <c r="B192" s="31"/>
      <c r="C192" s="3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4"/>
      <c r="AN192" s="1"/>
      <c r="AO192" s="1"/>
      <c r="AP192" s="1"/>
      <c r="AQ192" s="1"/>
      <c r="AR192" s="1"/>
      <c r="AS192" s="1"/>
      <c r="AT192" s="1"/>
      <c r="AU192" s="1"/>
    </row>
    <row r="193" ht="15.75" customHeight="1">
      <c r="A193" s="31"/>
      <c r="B193" s="31"/>
      <c r="C193" s="3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4"/>
      <c r="AN193" s="1"/>
      <c r="AO193" s="1"/>
      <c r="AP193" s="1"/>
      <c r="AQ193" s="1"/>
      <c r="AR193" s="1"/>
      <c r="AS193" s="1"/>
      <c r="AT193" s="1"/>
      <c r="AU193" s="1"/>
    </row>
    <row r="194" ht="15.75" customHeight="1">
      <c r="A194" s="31"/>
      <c r="B194" s="31"/>
      <c r="C194" s="3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4"/>
      <c r="AN194" s="1"/>
      <c r="AO194" s="1"/>
      <c r="AP194" s="1"/>
      <c r="AQ194" s="1"/>
      <c r="AR194" s="1"/>
      <c r="AS194" s="1"/>
      <c r="AT194" s="1"/>
      <c r="AU194" s="1"/>
    </row>
    <row r="195" ht="15.75" customHeight="1">
      <c r="A195" s="31"/>
      <c r="B195" s="31"/>
      <c r="C195" s="3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4"/>
      <c r="AN195" s="1"/>
      <c r="AO195" s="1"/>
      <c r="AP195" s="1"/>
      <c r="AQ195" s="1"/>
      <c r="AR195" s="1"/>
      <c r="AS195" s="1"/>
      <c r="AT195" s="1"/>
      <c r="AU195" s="1"/>
    </row>
    <row r="196" ht="15.75" customHeight="1">
      <c r="A196" s="31"/>
      <c r="B196" s="31"/>
      <c r="C196" s="3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4"/>
      <c r="AN196" s="1"/>
      <c r="AO196" s="1"/>
      <c r="AP196" s="1"/>
      <c r="AQ196" s="1"/>
      <c r="AR196" s="1"/>
      <c r="AS196" s="1"/>
      <c r="AT196" s="1"/>
      <c r="AU196" s="1"/>
    </row>
    <row r="197" ht="15.75" customHeight="1">
      <c r="A197" s="31"/>
      <c r="B197" s="31"/>
      <c r="C197" s="3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4"/>
      <c r="AN197" s="1"/>
      <c r="AO197" s="1"/>
      <c r="AP197" s="1"/>
      <c r="AQ197" s="1"/>
      <c r="AR197" s="1"/>
      <c r="AS197" s="1"/>
      <c r="AT197" s="1"/>
      <c r="AU197" s="1"/>
    </row>
    <row r="198" ht="15.75" customHeight="1">
      <c r="A198" s="31"/>
      <c r="B198" s="31"/>
      <c r="C198" s="3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4"/>
      <c r="AN198" s="1"/>
      <c r="AO198" s="1"/>
      <c r="AP198" s="1"/>
      <c r="AQ198" s="1"/>
      <c r="AR198" s="1"/>
      <c r="AS198" s="1"/>
      <c r="AT198" s="1"/>
      <c r="AU198" s="1"/>
    </row>
    <row r="199" ht="15.75" customHeight="1">
      <c r="A199" s="31"/>
      <c r="B199" s="31"/>
      <c r="C199" s="3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4"/>
      <c r="AN199" s="1"/>
      <c r="AO199" s="1"/>
      <c r="AP199" s="1"/>
      <c r="AQ199" s="1"/>
      <c r="AR199" s="1"/>
      <c r="AS199" s="1"/>
      <c r="AT199" s="1"/>
      <c r="AU199" s="1"/>
    </row>
    <row r="200" ht="15.75" customHeight="1">
      <c r="A200" s="31"/>
      <c r="B200" s="31"/>
      <c r="C200" s="3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4"/>
      <c r="AN200" s="1"/>
      <c r="AO200" s="1"/>
      <c r="AP200" s="1"/>
      <c r="AQ200" s="1"/>
      <c r="AR200" s="1"/>
      <c r="AS200" s="1"/>
      <c r="AT200" s="1"/>
      <c r="AU200" s="1"/>
    </row>
    <row r="201" ht="15.75" customHeight="1">
      <c r="A201" s="31"/>
      <c r="B201" s="31"/>
      <c r="C201" s="3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4"/>
      <c r="AN201" s="1"/>
      <c r="AO201" s="1"/>
      <c r="AP201" s="1"/>
      <c r="AQ201" s="1"/>
      <c r="AR201" s="1"/>
      <c r="AS201" s="1"/>
      <c r="AT201" s="1"/>
      <c r="AU201" s="1"/>
    </row>
    <row r="202" ht="15.75" customHeight="1">
      <c r="A202" s="31"/>
      <c r="B202" s="31"/>
      <c r="C202" s="3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4"/>
      <c r="AN202" s="1"/>
      <c r="AO202" s="1"/>
      <c r="AP202" s="1"/>
      <c r="AQ202" s="1"/>
      <c r="AR202" s="1"/>
      <c r="AS202" s="1"/>
      <c r="AT202" s="1"/>
      <c r="AU202" s="1"/>
    </row>
    <row r="203" ht="15.75" customHeight="1">
      <c r="A203" s="31"/>
      <c r="B203" s="31"/>
      <c r="C203" s="3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4"/>
      <c r="AN203" s="1"/>
      <c r="AO203" s="1"/>
      <c r="AP203" s="1"/>
      <c r="AQ203" s="1"/>
      <c r="AR203" s="1"/>
      <c r="AS203" s="1"/>
      <c r="AT203" s="1"/>
      <c r="AU203" s="1"/>
    </row>
    <row r="204" ht="15.75" customHeight="1">
      <c r="A204" s="31"/>
      <c r="B204" s="31"/>
      <c r="C204" s="3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4"/>
      <c r="AN204" s="1"/>
      <c r="AO204" s="1"/>
      <c r="AP204" s="1"/>
      <c r="AQ204" s="1"/>
      <c r="AR204" s="1"/>
      <c r="AS204" s="1"/>
      <c r="AT204" s="1"/>
      <c r="AU204" s="1"/>
    </row>
    <row r="205" ht="15.75" customHeight="1">
      <c r="A205" s="31"/>
      <c r="B205" s="31"/>
      <c r="C205" s="3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4"/>
      <c r="AN205" s="1"/>
      <c r="AO205" s="1"/>
      <c r="AP205" s="1"/>
      <c r="AQ205" s="1"/>
      <c r="AR205" s="1"/>
      <c r="AS205" s="1"/>
      <c r="AT205" s="1"/>
      <c r="AU205" s="1"/>
    </row>
    <row r="206" ht="15.75" customHeight="1">
      <c r="A206" s="31"/>
      <c r="B206" s="31"/>
      <c r="C206" s="3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4"/>
      <c r="AN206" s="1"/>
      <c r="AO206" s="1"/>
      <c r="AP206" s="1"/>
      <c r="AQ206" s="1"/>
      <c r="AR206" s="1"/>
      <c r="AS206" s="1"/>
      <c r="AT206" s="1"/>
      <c r="AU206" s="1"/>
    </row>
    <row r="207" ht="15.75" customHeight="1">
      <c r="A207" s="31"/>
      <c r="B207" s="31"/>
      <c r="C207" s="3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4"/>
      <c r="AN207" s="1"/>
      <c r="AO207" s="1"/>
      <c r="AP207" s="1"/>
      <c r="AQ207" s="1"/>
      <c r="AR207" s="1"/>
      <c r="AS207" s="1"/>
      <c r="AT207" s="1"/>
      <c r="AU207" s="1"/>
    </row>
    <row r="208" ht="15.75" customHeight="1">
      <c r="A208" s="31"/>
      <c r="B208" s="31"/>
      <c r="C208" s="3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4"/>
      <c r="AN208" s="1"/>
      <c r="AO208" s="1"/>
      <c r="AP208" s="1"/>
      <c r="AQ208" s="1"/>
      <c r="AR208" s="1"/>
      <c r="AS208" s="1"/>
      <c r="AT208" s="1"/>
      <c r="AU208" s="1"/>
    </row>
    <row r="209" ht="15.75" customHeight="1">
      <c r="A209" s="31"/>
      <c r="B209" s="31"/>
      <c r="C209" s="3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4"/>
      <c r="AN209" s="1"/>
      <c r="AO209" s="1"/>
      <c r="AP209" s="1"/>
      <c r="AQ209" s="1"/>
      <c r="AR209" s="1"/>
      <c r="AS209" s="1"/>
      <c r="AT209" s="1"/>
      <c r="AU209" s="1"/>
    </row>
    <row r="210" ht="15.75" customHeight="1">
      <c r="A210" s="31"/>
      <c r="B210" s="31"/>
      <c r="C210" s="3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4"/>
      <c r="AN210" s="1"/>
      <c r="AO210" s="1"/>
      <c r="AP210" s="1"/>
      <c r="AQ210" s="1"/>
      <c r="AR210" s="1"/>
      <c r="AS210" s="1"/>
      <c r="AT210" s="1"/>
      <c r="AU210" s="1"/>
    </row>
    <row r="211" ht="15.75" customHeight="1">
      <c r="A211" s="31"/>
      <c r="B211" s="31"/>
      <c r="C211" s="3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4"/>
      <c r="AN211" s="1"/>
      <c r="AO211" s="1"/>
      <c r="AP211" s="1"/>
      <c r="AQ211" s="1"/>
      <c r="AR211" s="1"/>
      <c r="AS211" s="1"/>
      <c r="AT211" s="1"/>
      <c r="AU211" s="1"/>
    </row>
    <row r="212" ht="15.75" customHeight="1">
      <c r="A212" s="31"/>
      <c r="B212" s="31"/>
      <c r="C212" s="3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4"/>
      <c r="AN212" s="1"/>
      <c r="AO212" s="1"/>
      <c r="AP212" s="1"/>
      <c r="AQ212" s="1"/>
      <c r="AR212" s="1"/>
      <c r="AS212" s="1"/>
      <c r="AT212" s="1"/>
      <c r="AU212" s="1"/>
    </row>
    <row r="213" ht="15.75" customHeight="1">
      <c r="A213" s="31"/>
      <c r="B213" s="31"/>
      <c r="C213" s="3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4"/>
      <c r="AN213" s="1"/>
      <c r="AO213" s="1"/>
      <c r="AP213" s="1"/>
      <c r="AQ213" s="1"/>
      <c r="AR213" s="1"/>
      <c r="AS213" s="1"/>
      <c r="AT213" s="1"/>
      <c r="AU213" s="1"/>
    </row>
    <row r="214" ht="15.75" customHeight="1">
      <c r="A214" s="31"/>
      <c r="B214" s="31"/>
      <c r="C214" s="3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4"/>
      <c r="AN214" s="1"/>
      <c r="AO214" s="1"/>
      <c r="AP214" s="1"/>
      <c r="AQ214" s="1"/>
      <c r="AR214" s="1"/>
      <c r="AS214" s="1"/>
      <c r="AT214" s="1"/>
      <c r="AU214" s="1"/>
    </row>
    <row r="215" ht="15.75" customHeight="1">
      <c r="A215" s="31"/>
      <c r="B215" s="31"/>
      <c r="C215" s="3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4"/>
      <c r="AN215" s="1"/>
      <c r="AO215" s="1"/>
      <c r="AP215" s="1"/>
      <c r="AQ215" s="1"/>
      <c r="AR215" s="1"/>
      <c r="AS215" s="1"/>
      <c r="AT215" s="1"/>
      <c r="AU215" s="1"/>
    </row>
    <row r="216" ht="15.75" customHeight="1">
      <c r="A216" s="31"/>
      <c r="B216" s="31"/>
      <c r="C216" s="3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4"/>
      <c r="AN216" s="1"/>
      <c r="AO216" s="1"/>
      <c r="AP216" s="1"/>
      <c r="AQ216" s="1"/>
      <c r="AR216" s="1"/>
      <c r="AS216" s="1"/>
      <c r="AT216" s="1"/>
      <c r="AU216" s="1"/>
    </row>
    <row r="217" ht="15.75" customHeight="1">
      <c r="A217" s="31"/>
      <c r="B217" s="31"/>
      <c r="C217" s="3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4"/>
      <c r="AN217" s="1"/>
      <c r="AO217" s="1"/>
      <c r="AP217" s="1"/>
      <c r="AQ217" s="1"/>
      <c r="AR217" s="1"/>
      <c r="AS217" s="1"/>
      <c r="AT217" s="1"/>
      <c r="AU217" s="1"/>
    </row>
    <row r="218" ht="15.75" customHeight="1">
      <c r="A218" s="31"/>
      <c r="B218" s="31"/>
      <c r="C218" s="3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4"/>
      <c r="AN218" s="1"/>
      <c r="AO218" s="1"/>
      <c r="AP218" s="1"/>
      <c r="AQ218" s="1"/>
      <c r="AR218" s="1"/>
      <c r="AS218" s="1"/>
      <c r="AT218" s="1"/>
      <c r="AU218" s="1"/>
    </row>
    <row r="219" ht="15.75" customHeight="1">
      <c r="A219" s="31"/>
      <c r="B219" s="31"/>
      <c r="C219" s="3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4"/>
      <c r="AN219" s="1"/>
      <c r="AO219" s="1"/>
      <c r="AP219" s="1"/>
      <c r="AQ219" s="1"/>
      <c r="AR219" s="1"/>
      <c r="AS219" s="1"/>
      <c r="AT219" s="1"/>
      <c r="AU219" s="1"/>
    </row>
    <row r="220" ht="15.75" customHeight="1">
      <c r="A220" s="31"/>
      <c r="B220" s="31"/>
      <c r="C220" s="3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4"/>
      <c r="AN220" s="1"/>
      <c r="AO220" s="1"/>
      <c r="AP220" s="1"/>
      <c r="AQ220" s="1"/>
      <c r="AR220" s="1"/>
      <c r="AS220" s="1"/>
      <c r="AT220" s="1"/>
      <c r="AU220" s="1"/>
    </row>
    <row r="221" ht="15.75" customHeight="1">
      <c r="A221" s="31"/>
      <c r="B221" s="31"/>
      <c r="C221" s="3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4"/>
      <c r="AN221" s="1"/>
      <c r="AO221" s="1"/>
      <c r="AP221" s="1"/>
      <c r="AQ221" s="1"/>
      <c r="AR221" s="1"/>
      <c r="AS221" s="1"/>
      <c r="AT221" s="1"/>
      <c r="AU221" s="1"/>
    </row>
    <row r="222" ht="15.75" customHeight="1">
      <c r="A222" s="31"/>
      <c r="B222" s="31"/>
      <c r="C222" s="3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4"/>
      <c r="AN222" s="1"/>
      <c r="AO222" s="1"/>
      <c r="AP222" s="1"/>
      <c r="AQ222" s="1"/>
      <c r="AR222" s="1"/>
      <c r="AS222" s="1"/>
      <c r="AT222" s="1"/>
      <c r="AU222" s="1"/>
    </row>
    <row r="223" ht="15.75" customHeight="1">
      <c r="A223" s="31"/>
      <c r="B223" s="31"/>
      <c r="C223" s="3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4"/>
      <c r="AN223" s="1"/>
      <c r="AO223" s="1"/>
      <c r="AP223" s="1"/>
      <c r="AQ223" s="1"/>
      <c r="AR223" s="1"/>
      <c r="AS223" s="1"/>
      <c r="AT223" s="1"/>
      <c r="AU223" s="1"/>
    </row>
    <row r="224" ht="15.75" customHeight="1">
      <c r="A224" s="31"/>
      <c r="B224" s="31"/>
      <c r="C224" s="3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4"/>
      <c r="AN224" s="1"/>
      <c r="AO224" s="1"/>
      <c r="AP224" s="1"/>
      <c r="AQ224" s="1"/>
      <c r="AR224" s="1"/>
      <c r="AS224" s="1"/>
      <c r="AT224" s="1"/>
      <c r="AU224" s="1"/>
    </row>
    <row r="225" ht="15.75" customHeight="1">
      <c r="A225" s="31"/>
      <c r="B225" s="31"/>
      <c r="C225" s="3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4"/>
      <c r="AN225" s="1"/>
      <c r="AO225" s="1"/>
      <c r="AP225" s="1"/>
      <c r="AQ225" s="1"/>
      <c r="AR225" s="1"/>
      <c r="AS225" s="1"/>
      <c r="AT225" s="1"/>
      <c r="AU225" s="1"/>
    </row>
    <row r="226" ht="15.75" customHeight="1">
      <c r="A226" s="31"/>
      <c r="B226" s="31"/>
      <c r="C226" s="3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4"/>
      <c r="AN226" s="1"/>
      <c r="AO226" s="1"/>
      <c r="AP226" s="1"/>
      <c r="AQ226" s="1"/>
      <c r="AR226" s="1"/>
      <c r="AS226" s="1"/>
      <c r="AT226" s="1"/>
      <c r="AU226" s="1"/>
    </row>
    <row r="227" ht="15.75" customHeight="1">
      <c r="A227" s="31"/>
      <c r="B227" s="31"/>
      <c r="C227" s="3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4"/>
      <c r="AN227" s="1"/>
      <c r="AO227" s="1"/>
      <c r="AP227" s="1"/>
      <c r="AQ227" s="1"/>
      <c r="AR227" s="1"/>
      <c r="AS227" s="1"/>
      <c r="AT227" s="1"/>
      <c r="AU227" s="1"/>
    </row>
    <row r="228" ht="15.75" customHeight="1">
      <c r="A228" s="31"/>
      <c r="B228" s="31"/>
      <c r="C228" s="3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4"/>
      <c r="AN228" s="1"/>
      <c r="AO228" s="1"/>
      <c r="AP228" s="1"/>
      <c r="AQ228" s="1"/>
      <c r="AR228" s="1"/>
      <c r="AS228" s="1"/>
      <c r="AT228" s="1"/>
      <c r="AU228" s="1"/>
    </row>
    <row r="229" ht="15.75" customHeight="1">
      <c r="A229" s="31"/>
      <c r="B229" s="31"/>
      <c r="C229" s="3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4"/>
      <c r="AN229" s="1"/>
      <c r="AO229" s="1"/>
      <c r="AP229" s="1"/>
      <c r="AQ229" s="1"/>
      <c r="AR229" s="1"/>
      <c r="AS229" s="1"/>
      <c r="AT229" s="1"/>
      <c r="AU229" s="1"/>
    </row>
    <row r="230" ht="15.75" customHeight="1">
      <c r="A230" s="31"/>
      <c r="B230" s="31"/>
      <c r="C230" s="3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4"/>
      <c r="AN230" s="1"/>
      <c r="AO230" s="1"/>
      <c r="AP230" s="1"/>
      <c r="AQ230" s="1"/>
      <c r="AR230" s="1"/>
      <c r="AS230" s="1"/>
      <c r="AT230" s="1"/>
      <c r="AU230" s="1"/>
    </row>
    <row r="231" ht="15.75" customHeight="1">
      <c r="A231" s="31"/>
      <c r="B231" s="31"/>
      <c r="C231" s="3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4"/>
      <c r="AN231" s="1"/>
      <c r="AO231" s="1"/>
      <c r="AP231" s="1"/>
      <c r="AQ231" s="1"/>
      <c r="AR231" s="1"/>
      <c r="AS231" s="1"/>
      <c r="AT231" s="1"/>
      <c r="AU231" s="1"/>
    </row>
    <row r="232" ht="15.75" customHeight="1">
      <c r="A232" s="31"/>
      <c r="B232" s="31"/>
      <c r="C232" s="3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4"/>
      <c r="AN232" s="1"/>
      <c r="AO232" s="1"/>
      <c r="AP232" s="1"/>
      <c r="AQ232" s="1"/>
      <c r="AR232" s="1"/>
      <c r="AS232" s="1"/>
      <c r="AT232" s="1"/>
      <c r="AU232" s="1"/>
    </row>
    <row r="233" ht="15.75" customHeight="1">
      <c r="A233" s="31"/>
      <c r="B233" s="31"/>
      <c r="C233" s="3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4"/>
      <c r="AN233" s="1"/>
      <c r="AO233" s="1"/>
      <c r="AP233" s="1"/>
      <c r="AQ233" s="1"/>
      <c r="AR233" s="1"/>
      <c r="AS233" s="1"/>
      <c r="AT233" s="1"/>
      <c r="AU233" s="1"/>
    </row>
    <row r="234" ht="15.75" customHeight="1">
      <c r="A234" s="31"/>
      <c r="B234" s="31"/>
      <c r="C234" s="3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4"/>
      <c r="AN234" s="1"/>
      <c r="AO234" s="1"/>
      <c r="AP234" s="1"/>
      <c r="AQ234" s="1"/>
      <c r="AR234" s="1"/>
      <c r="AS234" s="1"/>
      <c r="AT234" s="1"/>
      <c r="AU234" s="1"/>
    </row>
    <row r="235" ht="15.75" customHeight="1">
      <c r="A235" s="31"/>
      <c r="B235" s="31"/>
      <c r="C235" s="3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4"/>
      <c r="AN235" s="1"/>
      <c r="AO235" s="1"/>
      <c r="AP235" s="1"/>
      <c r="AQ235" s="1"/>
      <c r="AR235" s="1"/>
      <c r="AS235" s="1"/>
      <c r="AT235" s="1"/>
      <c r="AU235" s="1"/>
    </row>
    <row r="236" ht="15.75" customHeight="1">
      <c r="A236" s="31"/>
      <c r="B236" s="31"/>
      <c r="C236" s="3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4"/>
      <c r="AN236" s="1"/>
      <c r="AO236" s="1"/>
      <c r="AP236" s="1"/>
      <c r="AQ236" s="1"/>
      <c r="AR236" s="1"/>
      <c r="AS236" s="1"/>
      <c r="AT236" s="1"/>
      <c r="AU236" s="1"/>
    </row>
    <row r="237" ht="15.75" customHeight="1">
      <c r="A237" s="31"/>
      <c r="B237" s="31"/>
      <c r="C237" s="3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4"/>
      <c r="AN237" s="1"/>
      <c r="AO237" s="1"/>
      <c r="AP237" s="1"/>
      <c r="AQ237" s="1"/>
      <c r="AR237" s="1"/>
      <c r="AS237" s="1"/>
      <c r="AT237" s="1"/>
      <c r="AU237" s="1"/>
    </row>
    <row r="238" ht="15.75" customHeight="1">
      <c r="A238" s="31"/>
      <c r="B238" s="31"/>
      <c r="C238" s="3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4"/>
      <c r="AN238" s="1"/>
      <c r="AO238" s="1"/>
      <c r="AP238" s="1"/>
      <c r="AQ238" s="1"/>
      <c r="AR238" s="1"/>
      <c r="AS238" s="1"/>
      <c r="AT238" s="1"/>
      <c r="AU238" s="1"/>
    </row>
    <row r="239" ht="15.75" customHeight="1">
      <c r="A239" s="31"/>
      <c r="B239" s="31"/>
      <c r="C239" s="3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4"/>
      <c r="AN239" s="1"/>
      <c r="AO239" s="1"/>
      <c r="AP239" s="1"/>
      <c r="AQ239" s="1"/>
      <c r="AR239" s="1"/>
      <c r="AS239" s="1"/>
      <c r="AT239" s="1"/>
      <c r="AU239" s="1"/>
    </row>
    <row r="240" ht="15.75" customHeight="1">
      <c r="A240" s="31"/>
      <c r="B240" s="31"/>
      <c r="C240" s="3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4"/>
      <c r="AN240" s="1"/>
      <c r="AO240" s="1"/>
      <c r="AP240" s="1"/>
      <c r="AQ240" s="1"/>
      <c r="AR240" s="1"/>
      <c r="AS240" s="1"/>
      <c r="AT240" s="1"/>
      <c r="AU240" s="1"/>
    </row>
    <row r="241" ht="15.75" customHeight="1">
      <c r="A241" s="31"/>
      <c r="B241" s="31"/>
      <c r="C241" s="3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4"/>
      <c r="AN241" s="1"/>
      <c r="AO241" s="1"/>
      <c r="AP241" s="1"/>
      <c r="AQ241" s="1"/>
      <c r="AR241" s="1"/>
      <c r="AS241" s="1"/>
      <c r="AT241" s="1"/>
      <c r="AU241" s="1"/>
    </row>
    <row r="242" ht="15.75" customHeight="1">
      <c r="A242" s="31"/>
      <c r="B242" s="31"/>
      <c r="C242" s="3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4"/>
      <c r="AN242" s="1"/>
      <c r="AO242" s="1"/>
      <c r="AP242" s="1"/>
      <c r="AQ242" s="1"/>
      <c r="AR242" s="1"/>
      <c r="AS242" s="1"/>
      <c r="AT242" s="1"/>
      <c r="AU242" s="1"/>
    </row>
    <row r="243" ht="15.75" customHeight="1">
      <c r="A243" s="31"/>
      <c r="B243" s="31"/>
      <c r="C243" s="3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4"/>
      <c r="AN243" s="1"/>
      <c r="AO243" s="1"/>
      <c r="AP243" s="1"/>
      <c r="AQ243" s="1"/>
      <c r="AR243" s="1"/>
      <c r="AS243" s="1"/>
      <c r="AT243" s="1"/>
      <c r="AU243" s="1"/>
    </row>
    <row r="244" ht="15.75" customHeight="1">
      <c r="A244" s="31"/>
      <c r="B244" s="31"/>
      <c r="C244" s="3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4"/>
      <c r="AN244" s="1"/>
      <c r="AO244" s="1"/>
      <c r="AP244" s="1"/>
      <c r="AQ244" s="1"/>
      <c r="AR244" s="1"/>
      <c r="AS244" s="1"/>
      <c r="AT244" s="1"/>
      <c r="AU244" s="1"/>
    </row>
    <row r="245" ht="15.75" customHeight="1">
      <c r="A245" s="31"/>
      <c r="B245" s="31"/>
      <c r="C245" s="3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4"/>
      <c r="AN245" s="1"/>
      <c r="AO245" s="1"/>
      <c r="AP245" s="1"/>
      <c r="AQ245" s="1"/>
      <c r="AR245" s="1"/>
      <c r="AS245" s="1"/>
      <c r="AT245" s="1"/>
      <c r="AU245" s="1"/>
    </row>
    <row r="246" ht="15.75" customHeight="1">
      <c r="A246" s="31"/>
      <c r="B246" s="31"/>
      <c r="C246" s="3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4"/>
      <c r="AN246" s="1"/>
      <c r="AO246" s="1"/>
      <c r="AP246" s="1"/>
      <c r="AQ246" s="1"/>
      <c r="AR246" s="1"/>
      <c r="AS246" s="1"/>
      <c r="AT246" s="1"/>
      <c r="AU246" s="1"/>
    </row>
    <row r="247" ht="15.75" customHeight="1">
      <c r="A247" s="31"/>
      <c r="B247" s="31"/>
      <c r="C247" s="3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4"/>
      <c r="AN247" s="1"/>
      <c r="AO247" s="1"/>
      <c r="AP247" s="1"/>
      <c r="AQ247" s="1"/>
      <c r="AR247" s="1"/>
      <c r="AS247" s="1"/>
      <c r="AT247" s="1"/>
      <c r="AU247" s="1"/>
    </row>
    <row r="248" ht="15.75" customHeight="1">
      <c r="A248" s="31"/>
      <c r="B248" s="31"/>
      <c r="C248" s="3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4"/>
      <c r="AN248" s="1"/>
      <c r="AO248" s="1"/>
      <c r="AP248" s="1"/>
      <c r="AQ248" s="1"/>
      <c r="AR248" s="1"/>
      <c r="AS248" s="1"/>
      <c r="AT248" s="1"/>
      <c r="AU248" s="1"/>
    </row>
    <row r="249" ht="15.75" customHeight="1">
      <c r="A249" s="31"/>
      <c r="B249" s="31"/>
      <c r="C249" s="3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4"/>
      <c r="AN249" s="1"/>
      <c r="AO249" s="1"/>
      <c r="AP249" s="1"/>
      <c r="AQ249" s="1"/>
      <c r="AR249" s="1"/>
      <c r="AS249" s="1"/>
      <c r="AT249" s="1"/>
      <c r="AU249" s="1"/>
    </row>
    <row r="250" ht="15.75" customHeight="1">
      <c r="A250" s="31"/>
      <c r="B250" s="31"/>
      <c r="C250" s="3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4"/>
      <c r="AN250" s="1"/>
      <c r="AO250" s="1"/>
      <c r="AP250" s="1"/>
      <c r="AQ250" s="1"/>
      <c r="AR250" s="1"/>
      <c r="AS250" s="1"/>
      <c r="AT250" s="1"/>
      <c r="AU250" s="1"/>
    </row>
    <row r="251" ht="15.75" customHeight="1">
      <c r="A251" s="31"/>
      <c r="B251" s="31"/>
      <c r="C251" s="3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4"/>
      <c r="AN251" s="1"/>
      <c r="AO251" s="1"/>
      <c r="AP251" s="1"/>
      <c r="AQ251" s="1"/>
      <c r="AR251" s="1"/>
      <c r="AS251" s="1"/>
      <c r="AT251" s="1"/>
      <c r="AU251" s="1"/>
    </row>
    <row r="252" ht="15.75" customHeight="1">
      <c r="A252" s="31"/>
      <c r="B252" s="31"/>
      <c r="C252" s="3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4"/>
      <c r="AN252" s="1"/>
      <c r="AO252" s="1"/>
      <c r="AP252" s="1"/>
      <c r="AQ252" s="1"/>
      <c r="AR252" s="1"/>
      <c r="AS252" s="1"/>
      <c r="AT252" s="1"/>
      <c r="AU252" s="1"/>
    </row>
    <row r="253" ht="15.75" customHeight="1">
      <c r="A253" s="31"/>
      <c r="B253" s="31"/>
      <c r="C253" s="3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4"/>
      <c r="AN253" s="1"/>
      <c r="AO253" s="1"/>
      <c r="AP253" s="1"/>
      <c r="AQ253" s="1"/>
      <c r="AR253" s="1"/>
      <c r="AS253" s="1"/>
      <c r="AT253" s="1"/>
      <c r="AU253" s="1"/>
    </row>
    <row r="254" ht="15.75" customHeight="1">
      <c r="A254" s="31"/>
      <c r="B254" s="31"/>
      <c r="C254" s="3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4"/>
      <c r="AN254" s="1"/>
      <c r="AO254" s="1"/>
      <c r="AP254" s="1"/>
      <c r="AQ254" s="1"/>
      <c r="AR254" s="1"/>
      <c r="AS254" s="1"/>
      <c r="AT254" s="1"/>
      <c r="AU254" s="1"/>
    </row>
    <row r="255" ht="15.75" customHeight="1">
      <c r="A255" s="31"/>
      <c r="B255" s="31"/>
      <c r="C255" s="3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4"/>
      <c r="AN255" s="1"/>
      <c r="AO255" s="1"/>
      <c r="AP255" s="1"/>
      <c r="AQ255" s="1"/>
      <c r="AR255" s="1"/>
      <c r="AS255" s="1"/>
      <c r="AT255" s="1"/>
      <c r="AU255" s="1"/>
    </row>
    <row r="256" ht="15.75" customHeight="1">
      <c r="A256" s="31"/>
      <c r="B256" s="31"/>
      <c r="C256" s="3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4"/>
      <c r="AN256" s="1"/>
      <c r="AO256" s="1"/>
      <c r="AP256" s="1"/>
      <c r="AQ256" s="1"/>
      <c r="AR256" s="1"/>
      <c r="AS256" s="1"/>
      <c r="AT256" s="1"/>
      <c r="AU256" s="1"/>
    </row>
    <row r="257" ht="15.75" customHeight="1">
      <c r="A257" s="31"/>
      <c r="B257" s="31"/>
      <c r="C257" s="3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4"/>
      <c r="AN257" s="1"/>
      <c r="AO257" s="1"/>
      <c r="AP257" s="1"/>
      <c r="AQ257" s="1"/>
      <c r="AR257" s="1"/>
      <c r="AS257" s="1"/>
      <c r="AT257" s="1"/>
      <c r="AU257" s="1"/>
    </row>
    <row r="258" ht="15.75" customHeight="1">
      <c r="A258" s="31"/>
      <c r="B258" s="31"/>
      <c r="C258" s="3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4"/>
      <c r="AN258" s="1"/>
      <c r="AO258" s="1"/>
      <c r="AP258" s="1"/>
      <c r="AQ258" s="1"/>
      <c r="AR258" s="1"/>
      <c r="AS258" s="1"/>
      <c r="AT258" s="1"/>
      <c r="AU258" s="1"/>
    </row>
    <row r="259" ht="15.75" customHeight="1">
      <c r="A259" s="31"/>
      <c r="B259" s="31"/>
      <c r="C259" s="3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4"/>
      <c r="AN259" s="1"/>
      <c r="AO259" s="1"/>
      <c r="AP259" s="1"/>
      <c r="AQ259" s="1"/>
      <c r="AR259" s="1"/>
      <c r="AS259" s="1"/>
      <c r="AT259" s="1"/>
      <c r="AU259" s="1"/>
    </row>
    <row r="260" ht="15.75" customHeight="1">
      <c r="A260" s="31"/>
      <c r="B260" s="31"/>
      <c r="C260" s="3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4"/>
      <c r="AN260" s="1"/>
      <c r="AO260" s="1"/>
      <c r="AP260" s="1"/>
      <c r="AQ260" s="1"/>
      <c r="AR260" s="1"/>
      <c r="AS260" s="1"/>
      <c r="AT260" s="1"/>
      <c r="AU260" s="1"/>
    </row>
    <row r="261" ht="15.75" customHeight="1">
      <c r="A261" s="31"/>
      <c r="B261" s="31"/>
      <c r="C261" s="3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4"/>
      <c r="AN261" s="1"/>
      <c r="AO261" s="1"/>
      <c r="AP261" s="1"/>
      <c r="AQ261" s="1"/>
      <c r="AR261" s="1"/>
      <c r="AS261" s="1"/>
      <c r="AT261" s="1"/>
      <c r="AU261" s="1"/>
    </row>
    <row r="262" ht="15.75" customHeight="1">
      <c r="A262" s="31"/>
      <c r="B262" s="31"/>
      <c r="C262" s="3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4"/>
      <c r="AN262" s="1"/>
      <c r="AO262" s="1"/>
      <c r="AP262" s="1"/>
      <c r="AQ262" s="1"/>
      <c r="AR262" s="1"/>
      <c r="AS262" s="1"/>
      <c r="AT262" s="1"/>
      <c r="AU262" s="1"/>
    </row>
    <row r="263" ht="15.75" customHeight="1">
      <c r="A263" s="31"/>
      <c r="B263" s="31"/>
      <c r="C263" s="3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4"/>
      <c r="AN263" s="1"/>
      <c r="AO263" s="1"/>
      <c r="AP263" s="1"/>
      <c r="AQ263" s="1"/>
      <c r="AR263" s="1"/>
      <c r="AS263" s="1"/>
      <c r="AT263" s="1"/>
      <c r="AU263" s="1"/>
    </row>
    <row r="264" ht="15.75" customHeight="1">
      <c r="A264" s="31"/>
      <c r="B264" s="31"/>
      <c r="C264" s="3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4"/>
      <c r="AN264" s="1"/>
      <c r="AO264" s="1"/>
      <c r="AP264" s="1"/>
      <c r="AQ264" s="1"/>
      <c r="AR264" s="1"/>
      <c r="AS264" s="1"/>
      <c r="AT264" s="1"/>
      <c r="AU264" s="1"/>
    </row>
    <row r="265" ht="15.75" customHeight="1">
      <c r="A265" s="31"/>
      <c r="B265" s="31"/>
      <c r="C265" s="3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4"/>
      <c r="AN265" s="1"/>
      <c r="AO265" s="1"/>
      <c r="AP265" s="1"/>
      <c r="AQ265" s="1"/>
      <c r="AR265" s="1"/>
      <c r="AS265" s="1"/>
      <c r="AT265" s="1"/>
      <c r="AU265" s="1"/>
    </row>
    <row r="266" ht="15.75" customHeight="1">
      <c r="A266" s="31"/>
      <c r="B266" s="31"/>
      <c r="C266" s="3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4"/>
      <c r="AN266" s="1"/>
      <c r="AO266" s="1"/>
      <c r="AP266" s="1"/>
      <c r="AQ266" s="1"/>
      <c r="AR266" s="1"/>
      <c r="AS266" s="1"/>
      <c r="AT266" s="1"/>
      <c r="AU266" s="1"/>
    </row>
    <row r="267" ht="15.75" customHeight="1">
      <c r="A267" s="31"/>
      <c r="B267" s="31"/>
      <c r="C267" s="3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4"/>
      <c r="AN267" s="1"/>
      <c r="AO267" s="1"/>
      <c r="AP267" s="1"/>
      <c r="AQ267" s="1"/>
      <c r="AR267" s="1"/>
      <c r="AS267" s="1"/>
      <c r="AT267" s="1"/>
      <c r="AU267" s="1"/>
    </row>
    <row r="268" ht="15.75" customHeight="1">
      <c r="A268" s="31"/>
      <c r="B268" s="31"/>
      <c r="C268" s="3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4"/>
      <c r="AN268" s="1"/>
      <c r="AO268" s="1"/>
      <c r="AP268" s="1"/>
      <c r="AQ268" s="1"/>
      <c r="AR268" s="1"/>
      <c r="AS268" s="1"/>
      <c r="AT268" s="1"/>
      <c r="AU268" s="1"/>
    </row>
    <row r="269" ht="15.75" customHeight="1">
      <c r="A269" s="31"/>
      <c r="B269" s="31"/>
      <c r="C269" s="3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4"/>
      <c r="AN269" s="1"/>
      <c r="AO269" s="1"/>
      <c r="AP269" s="1"/>
      <c r="AQ269" s="1"/>
      <c r="AR269" s="1"/>
      <c r="AS269" s="1"/>
      <c r="AT269" s="1"/>
      <c r="AU269" s="1"/>
    </row>
    <row r="270" ht="15.75" customHeight="1">
      <c r="A270" s="31"/>
      <c r="B270" s="31"/>
      <c r="C270" s="3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4"/>
      <c r="AN270" s="1"/>
      <c r="AO270" s="1"/>
      <c r="AP270" s="1"/>
      <c r="AQ270" s="1"/>
      <c r="AR270" s="1"/>
      <c r="AS270" s="1"/>
      <c r="AT270" s="1"/>
      <c r="AU270" s="1"/>
    </row>
    <row r="271" ht="15.75" customHeight="1">
      <c r="A271" s="31"/>
      <c r="B271" s="31"/>
      <c r="C271" s="3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4"/>
      <c r="AN271" s="1"/>
      <c r="AO271" s="1"/>
      <c r="AP271" s="1"/>
      <c r="AQ271" s="1"/>
      <c r="AR271" s="1"/>
      <c r="AS271" s="1"/>
      <c r="AT271" s="1"/>
      <c r="AU271" s="1"/>
    </row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9">
    <mergeCell ref="B36:B38"/>
    <mergeCell ref="C36:C38"/>
    <mergeCell ref="A30:A32"/>
    <mergeCell ref="B30:B32"/>
    <mergeCell ref="C30:C32"/>
    <mergeCell ref="A33:A35"/>
    <mergeCell ref="B33:B35"/>
    <mergeCell ref="C33:C35"/>
    <mergeCell ref="A36:A38"/>
    <mergeCell ref="B45:B47"/>
    <mergeCell ref="C45:C47"/>
    <mergeCell ref="A39:A41"/>
    <mergeCell ref="B39:B41"/>
    <mergeCell ref="C39:C41"/>
    <mergeCell ref="A42:A44"/>
    <mergeCell ref="B42:B44"/>
    <mergeCell ref="C42:C44"/>
    <mergeCell ref="A45:A47"/>
    <mergeCell ref="B54:B56"/>
    <mergeCell ref="C54:C56"/>
    <mergeCell ref="A48:A50"/>
    <mergeCell ref="B48:B50"/>
    <mergeCell ref="C48:C50"/>
    <mergeCell ref="A51:A53"/>
    <mergeCell ref="B51:B53"/>
    <mergeCell ref="C51:C53"/>
    <mergeCell ref="A54:A56"/>
    <mergeCell ref="B63:B65"/>
    <mergeCell ref="C63:C65"/>
    <mergeCell ref="A57:A59"/>
    <mergeCell ref="B57:B59"/>
    <mergeCell ref="C57:C59"/>
    <mergeCell ref="A60:A62"/>
    <mergeCell ref="B60:B62"/>
    <mergeCell ref="C60:C62"/>
    <mergeCell ref="A63:A65"/>
    <mergeCell ref="B9:B11"/>
    <mergeCell ref="C9:C11"/>
    <mergeCell ref="A3:A5"/>
    <mergeCell ref="B3:B5"/>
    <mergeCell ref="C3:C5"/>
    <mergeCell ref="A6:A8"/>
    <mergeCell ref="B6:B8"/>
    <mergeCell ref="C6:C8"/>
    <mergeCell ref="A9:A11"/>
    <mergeCell ref="B18:B20"/>
    <mergeCell ref="C18:C20"/>
    <mergeCell ref="A12:A14"/>
    <mergeCell ref="B12:B14"/>
    <mergeCell ref="C12:C14"/>
    <mergeCell ref="A15:A17"/>
    <mergeCell ref="B15:B17"/>
    <mergeCell ref="C15:C17"/>
    <mergeCell ref="A18:A20"/>
    <mergeCell ref="B27:B29"/>
    <mergeCell ref="C27:C29"/>
    <mergeCell ref="A21:A23"/>
    <mergeCell ref="B21:B23"/>
    <mergeCell ref="C21:C23"/>
    <mergeCell ref="A24:A26"/>
    <mergeCell ref="B24:B26"/>
    <mergeCell ref="C24:C26"/>
    <mergeCell ref="A27:A29"/>
    <mergeCell ref="A66:A68"/>
    <mergeCell ref="B66:B68"/>
    <mergeCell ref="C66:C68"/>
    <mergeCell ref="A69:A71"/>
    <mergeCell ref="B69:B71"/>
    <mergeCell ref="C69:C71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4" width="12.63"/>
    <col customWidth="1" min="5" max="35" width="2.63"/>
    <col customWidth="1" min="36" max="36" width="5.25"/>
    <col customWidth="1" min="37" max="37" width="5.63"/>
    <col customWidth="1" min="38" max="38" width="7.63"/>
    <col customWidth="1" min="39" max="47" width="2.63"/>
  </cols>
  <sheetData>
    <row r="1" ht="15.75" customHeight="1">
      <c r="A1" s="31"/>
      <c r="B1" s="31"/>
      <c r="C1" s="3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ht="15.75" customHeight="1">
      <c r="A2" s="42" t="s">
        <v>0</v>
      </c>
      <c r="B2" s="42" t="s">
        <v>1</v>
      </c>
      <c r="C2" s="42" t="s">
        <v>2</v>
      </c>
      <c r="D2" s="43"/>
      <c r="E2" s="13">
        <v>1.0</v>
      </c>
      <c r="F2" s="13">
        <v>2.0</v>
      </c>
      <c r="G2" s="13">
        <v>3.0</v>
      </c>
      <c r="H2" s="13">
        <v>4.0</v>
      </c>
      <c r="I2" s="13">
        <v>5.0</v>
      </c>
      <c r="J2" s="13">
        <v>6.0</v>
      </c>
      <c r="K2" s="13">
        <v>7.0</v>
      </c>
      <c r="L2" s="13">
        <v>8.0</v>
      </c>
      <c r="M2" s="13">
        <v>9.0</v>
      </c>
      <c r="N2" s="13">
        <v>10.0</v>
      </c>
      <c r="O2" s="13">
        <v>11.0</v>
      </c>
      <c r="P2" s="13">
        <v>12.0</v>
      </c>
      <c r="Q2" s="13">
        <v>13.0</v>
      </c>
      <c r="R2" s="13">
        <v>14.0</v>
      </c>
      <c r="S2" s="13">
        <v>15.0</v>
      </c>
      <c r="T2" s="13">
        <v>16.0</v>
      </c>
      <c r="U2" s="13">
        <v>17.0</v>
      </c>
      <c r="V2" s="13">
        <v>18.0</v>
      </c>
      <c r="W2" s="13">
        <v>19.0</v>
      </c>
      <c r="X2" s="13">
        <v>20.0</v>
      </c>
      <c r="Y2" s="13">
        <v>21.0</v>
      </c>
      <c r="Z2" s="13">
        <v>22.0</v>
      </c>
      <c r="AA2" s="13">
        <v>23.0</v>
      </c>
      <c r="AB2" s="13">
        <v>24.0</v>
      </c>
      <c r="AC2" s="13">
        <v>25.0</v>
      </c>
      <c r="AD2" s="13">
        <v>26.0</v>
      </c>
      <c r="AE2" s="13">
        <v>27.0</v>
      </c>
      <c r="AF2" s="13">
        <v>28.0</v>
      </c>
      <c r="AG2" s="13">
        <v>29.0</v>
      </c>
      <c r="AH2" s="13">
        <v>30.0</v>
      </c>
      <c r="AI2" s="13">
        <v>31.0</v>
      </c>
      <c r="AJ2" s="13" t="s">
        <v>3</v>
      </c>
      <c r="AK2" s="9"/>
      <c r="AL2" s="8" t="s">
        <v>4</v>
      </c>
      <c r="AM2" s="1"/>
      <c r="AN2" s="1"/>
      <c r="AO2" s="1"/>
      <c r="AP2" s="1"/>
      <c r="AQ2" s="1"/>
      <c r="AR2" s="1"/>
      <c r="AS2" s="1"/>
      <c r="AT2" s="1"/>
      <c r="AU2" s="1"/>
    </row>
    <row r="3" ht="15.75" customHeight="1">
      <c r="A3" s="12" t="s">
        <v>30</v>
      </c>
      <c r="B3" s="12" t="s">
        <v>31</v>
      </c>
      <c r="C3" s="12"/>
      <c r="D3" s="13" t="s">
        <v>5</v>
      </c>
      <c r="E3" s="13" t="s">
        <v>35</v>
      </c>
      <c r="F3" s="13" t="s">
        <v>35</v>
      </c>
      <c r="G3" s="13" t="s">
        <v>35</v>
      </c>
      <c r="H3" s="13" t="s">
        <v>35</v>
      </c>
      <c r="I3" s="13" t="s">
        <v>35</v>
      </c>
      <c r="J3" s="13" t="s">
        <v>35</v>
      </c>
      <c r="K3" s="13">
        <v>1.0</v>
      </c>
      <c r="L3" s="13">
        <v>1.0</v>
      </c>
      <c r="M3" s="13">
        <v>1.0</v>
      </c>
      <c r="N3" s="13">
        <v>1.0</v>
      </c>
      <c r="O3" s="13">
        <v>1.0</v>
      </c>
      <c r="P3" s="13">
        <v>1.0</v>
      </c>
      <c r="Q3" s="13">
        <v>1.0</v>
      </c>
      <c r="R3" s="13">
        <v>1.0</v>
      </c>
      <c r="S3" s="13">
        <v>1.0</v>
      </c>
      <c r="T3" s="13">
        <v>1.0</v>
      </c>
      <c r="U3" s="13">
        <v>1.0</v>
      </c>
      <c r="V3" s="13">
        <v>1.0</v>
      </c>
      <c r="W3" s="13">
        <v>1.0</v>
      </c>
      <c r="X3" s="13">
        <v>1.0</v>
      </c>
      <c r="Y3" s="13">
        <v>1.0</v>
      </c>
      <c r="Z3" s="13">
        <v>1.0</v>
      </c>
      <c r="AA3" s="13">
        <v>1.0</v>
      </c>
      <c r="AB3" s="13">
        <v>1.0</v>
      </c>
      <c r="AC3" s="13">
        <v>1.0</v>
      </c>
      <c r="AD3" s="13">
        <v>1.0</v>
      </c>
      <c r="AE3" s="13">
        <v>1.0</v>
      </c>
      <c r="AF3" s="13">
        <v>1.0</v>
      </c>
      <c r="AG3" s="13">
        <v>1.0</v>
      </c>
      <c r="AH3" s="13">
        <v>1.0</v>
      </c>
      <c r="AI3" s="13">
        <v>1.0</v>
      </c>
      <c r="AJ3" s="13">
        <f t="shared" ref="AJ3:AJ71" si="1">SUM(E3:AI3)</f>
        <v>25</v>
      </c>
      <c r="AK3" s="14">
        <f>330*AJ3</f>
        <v>8250</v>
      </c>
      <c r="AL3" s="15"/>
      <c r="AM3" s="1"/>
      <c r="AN3" s="1"/>
      <c r="AO3" s="1"/>
      <c r="AP3" s="1"/>
      <c r="AQ3" s="1"/>
      <c r="AR3" s="1"/>
      <c r="AS3" s="1"/>
      <c r="AT3" s="1"/>
      <c r="AU3" s="1"/>
    </row>
    <row r="4" ht="15.75" customHeight="1">
      <c r="A4" s="16"/>
      <c r="B4" s="16"/>
      <c r="C4" s="16"/>
      <c r="D4" s="13" t="s">
        <v>6</v>
      </c>
      <c r="E4" s="13" t="s">
        <v>35</v>
      </c>
      <c r="F4" s="13" t="s">
        <v>35</v>
      </c>
      <c r="G4" s="13" t="s">
        <v>35</v>
      </c>
      <c r="H4" s="13" t="s">
        <v>35</v>
      </c>
      <c r="I4" s="13" t="s">
        <v>35</v>
      </c>
      <c r="J4" s="13">
        <v>1.0</v>
      </c>
      <c r="K4" s="13">
        <v>1.0</v>
      </c>
      <c r="L4" s="13">
        <v>1.0</v>
      </c>
      <c r="M4" s="13">
        <v>1.0</v>
      </c>
      <c r="N4" s="13">
        <v>1.0</v>
      </c>
      <c r="O4" s="13">
        <v>1.0</v>
      </c>
      <c r="P4" s="13">
        <v>1.0</v>
      </c>
      <c r="Q4" s="13">
        <v>1.0</v>
      </c>
      <c r="R4" s="13">
        <v>1.0</v>
      </c>
      <c r="S4" s="13">
        <v>1.0</v>
      </c>
      <c r="T4" s="13">
        <v>1.0</v>
      </c>
      <c r="U4" s="13">
        <v>1.0</v>
      </c>
      <c r="V4" s="13">
        <v>1.0</v>
      </c>
      <c r="W4" s="13">
        <v>1.0</v>
      </c>
      <c r="X4" s="13">
        <v>1.0</v>
      </c>
      <c r="Y4" s="13">
        <v>1.0</v>
      </c>
      <c r="Z4" s="13">
        <v>1.0</v>
      </c>
      <c r="AA4" s="13">
        <v>1.0</v>
      </c>
      <c r="AB4" s="13">
        <v>1.0</v>
      </c>
      <c r="AC4" s="13">
        <v>1.0</v>
      </c>
      <c r="AD4" s="13">
        <v>1.0</v>
      </c>
      <c r="AE4" s="13">
        <v>1.0</v>
      </c>
      <c r="AF4" s="13">
        <v>1.0</v>
      </c>
      <c r="AG4" s="13">
        <v>1.0</v>
      </c>
      <c r="AH4" s="13">
        <v>1.0</v>
      </c>
      <c r="AI4" s="13">
        <v>1.0</v>
      </c>
      <c r="AJ4" s="13">
        <f t="shared" si="1"/>
        <v>26</v>
      </c>
      <c r="AK4" s="14">
        <f t="shared" ref="AK4:AK5" si="2">550*AJ4</f>
        <v>14300</v>
      </c>
      <c r="AL4" s="19"/>
      <c r="AM4" s="1"/>
      <c r="AN4" s="1"/>
      <c r="AO4" s="1"/>
      <c r="AP4" s="1"/>
      <c r="AQ4" s="1"/>
      <c r="AR4" s="1"/>
      <c r="AS4" s="1"/>
      <c r="AT4" s="1"/>
      <c r="AU4" s="1"/>
    </row>
    <row r="5" ht="15.75" customHeight="1">
      <c r="A5" s="10"/>
      <c r="B5" s="10"/>
      <c r="C5" s="10"/>
      <c r="D5" s="13" t="s">
        <v>7</v>
      </c>
      <c r="E5" s="13" t="s">
        <v>35</v>
      </c>
      <c r="F5" s="13" t="s">
        <v>35</v>
      </c>
      <c r="G5" s="13" t="s">
        <v>35</v>
      </c>
      <c r="H5" s="13" t="s">
        <v>35</v>
      </c>
      <c r="I5" s="13" t="s">
        <v>35</v>
      </c>
      <c r="J5" s="13">
        <v>1.0</v>
      </c>
      <c r="K5" s="13">
        <v>1.0</v>
      </c>
      <c r="L5" s="13">
        <v>1.0</v>
      </c>
      <c r="M5" s="13">
        <v>1.0</v>
      </c>
      <c r="N5" s="13">
        <v>1.0</v>
      </c>
      <c r="O5" s="13">
        <v>1.0</v>
      </c>
      <c r="P5" s="13">
        <v>1.0</v>
      </c>
      <c r="Q5" s="13">
        <v>1.0</v>
      </c>
      <c r="R5" s="13">
        <v>1.0</v>
      </c>
      <c r="S5" s="13">
        <v>1.0</v>
      </c>
      <c r="T5" s="13">
        <v>1.0</v>
      </c>
      <c r="U5" s="13">
        <v>1.0</v>
      </c>
      <c r="V5" s="13">
        <v>1.0</v>
      </c>
      <c r="W5" s="13">
        <v>1.0</v>
      </c>
      <c r="X5" s="13">
        <v>1.0</v>
      </c>
      <c r="Y5" s="13">
        <v>1.0</v>
      </c>
      <c r="Z5" s="13">
        <v>1.0</v>
      </c>
      <c r="AA5" s="13">
        <v>1.0</v>
      </c>
      <c r="AB5" s="13">
        <v>1.0</v>
      </c>
      <c r="AC5" s="13">
        <v>1.0</v>
      </c>
      <c r="AD5" s="13">
        <v>1.0</v>
      </c>
      <c r="AE5" s="13">
        <v>1.0</v>
      </c>
      <c r="AF5" s="13">
        <v>1.0</v>
      </c>
      <c r="AG5" s="13">
        <v>1.0</v>
      </c>
      <c r="AH5" s="13">
        <v>1.0</v>
      </c>
      <c r="AI5" s="13">
        <v>1.0</v>
      </c>
      <c r="AJ5" s="13">
        <f t="shared" si="1"/>
        <v>26</v>
      </c>
      <c r="AK5" s="14">
        <f t="shared" si="2"/>
        <v>14300</v>
      </c>
      <c r="AL5" s="20">
        <f>SUM(AK3:AK5)</f>
        <v>36850</v>
      </c>
      <c r="AM5" s="1"/>
      <c r="AN5" s="1"/>
      <c r="AO5" s="1"/>
      <c r="AP5" s="1"/>
      <c r="AQ5" s="1"/>
      <c r="AR5" s="1"/>
      <c r="AS5" s="1"/>
      <c r="AT5" s="1"/>
      <c r="AU5" s="1"/>
    </row>
    <row r="6" ht="15.75" customHeight="1">
      <c r="A6" s="12" t="s">
        <v>8</v>
      </c>
      <c r="B6" s="12" t="s">
        <v>9</v>
      </c>
      <c r="C6" s="12"/>
      <c r="D6" s="13" t="s">
        <v>5</v>
      </c>
      <c r="E6" s="13" t="s">
        <v>35</v>
      </c>
      <c r="F6" s="13" t="s">
        <v>35</v>
      </c>
      <c r="G6" s="13" t="s">
        <v>35</v>
      </c>
      <c r="H6" s="13" t="s">
        <v>35</v>
      </c>
      <c r="I6" s="13" t="s">
        <v>35</v>
      </c>
      <c r="J6" s="13" t="s">
        <v>35</v>
      </c>
      <c r="K6" s="13">
        <v>1.0</v>
      </c>
      <c r="L6" s="13">
        <v>1.0</v>
      </c>
      <c r="M6" s="13">
        <v>1.0</v>
      </c>
      <c r="N6" s="13">
        <v>1.0</v>
      </c>
      <c r="O6" s="13">
        <v>1.0</v>
      </c>
      <c r="P6" s="13">
        <v>1.0</v>
      </c>
      <c r="Q6" s="13">
        <v>1.0</v>
      </c>
      <c r="R6" s="13">
        <v>1.0</v>
      </c>
      <c r="S6" s="13">
        <v>1.0</v>
      </c>
      <c r="T6" s="13">
        <v>1.0</v>
      </c>
      <c r="U6" s="13">
        <v>1.0</v>
      </c>
      <c r="V6" s="13">
        <v>1.0</v>
      </c>
      <c r="W6" s="13">
        <v>1.0</v>
      </c>
      <c r="X6" s="13">
        <v>1.0</v>
      </c>
      <c r="Y6" s="13">
        <v>1.0</v>
      </c>
      <c r="Z6" s="13">
        <v>1.0</v>
      </c>
      <c r="AA6" s="13">
        <v>1.0</v>
      </c>
      <c r="AB6" s="13">
        <v>1.0</v>
      </c>
      <c r="AC6" s="13">
        <v>1.0</v>
      </c>
      <c r="AD6" s="13">
        <v>1.0</v>
      </c>
      <c r="AE6" s="13">
        <v>1.0</v>
      </c>
      <c r="AF6" s="13">
        <v>1.0</v>
      </c>
      <c r="AG6" s="13">
        <v>1.0</v>
      </c>
      <c r="AH6" s="13">
        <v>1.0</v>
      </c>
      <c r="AI6" s="13">
        <v>1.0</v>
      </c>
      <c r="AJ6" s="13">
        <f t="shared" si="1"/>
        <v>25</v>
      </c>
      <c r="AK6" s="23">
        <f>330*AJ6</f>
        <v>8250</v>
      </c>
      <c r="AL6" s="24"/>
      <c r="AM6" s="1"/>
      <c r="AN6" s="1"/>
      <c r="AO6" s="1"/>
      <c r="AP6" s="1"/>
      <c r="AQ6" s="1"/>
      <c r="AR6" s="1"/>
      <c r="AS6" s="1"/>
      <c r="AT6" s="1"/>
      <c r="AU6" s="1"/>
    </row>
    <row r="7" ht="15.75" customHeight="1">
      <c r="A7" s="16"/>
      <c r="B7" s="16"/>
      <c r="C7" s="16"/>
      <c r="D7" s="13" t="s">
        <v>6</v>
      </c>
      <c r="E7" s="13" t="s">
        <v>35</v>
      </c>
      <c r="F7" s="13" t="s">
        <v>35</v>
      </c>
      <c r="G7" s="13" t="s">
        <v>35</v>
      </c>
      <c r="H7" s="13" t="s">
        <v>35</v>
      </c>
      <c r="I7" s="13" t="s">
        <v>35</v>
      </c>
      <c r="J7" s="13">
        <v>1.0</v>
      </c>
      <c r="K7" s="13">
        <v>1.0</v>
      </c>
      <c r="L7" s="13">
        <v>1.0</v>
      </c>
      <c r="M7" s="13">
        <v>1.0</v>
      </c>
      <c r="N7" s="13">
        <v>1.0</v>
      </c>
      <c r="O7" s="13">
        <v>1.0</v>
      </c>
      <c r="P7" s="13">
        <v>1.0</v>
      </c>
      <c r="Q7" s="13">
        <v>1.0</v>
      </c>
      <c r="R7" s="13">
        <v>1.0</v>
      </c>
      <c r="S7" s="13">
        <v>1.0</v>
      </c>
      <c r="T7" s="13">
        <v>1.0</v>
      </c>
      <c r="U7" s="13">
        <v>1.0</v>
      </c>
      <c r="V7" s="13">
        <v>1.0</v>
      </c>
      <c r="W7" s="13">
        <v>1.0</v>
      </c>
      <c r="X7" s="13">
        <v>1.0</v>
      </c>
      <c r="Y7" s="13">
        <v>1.0</v>
      </c>
      <c r="Z7" s="13">
        <v>1.0</v>
      </c>
      <c r="AA7" s="13">
        <v>1.0</v>
      </c>
      <c r="AB7" s="13">
        <v>1.0</v>
      </c>
      <c r="AC7" s="13">
        <v>1.0</v>
      </c>
      <c r="AD7" s="13">
        <v>1.0</v>
      </c>
      <c r="AE7" s="13">
        <v>1.0</v>
      </c>
      <c r="AF7" s="13">
        <v>1.0</v>
      </c>
      <c r="AG7" s="13">
        <v>1.0</v>
      </c>
      <c r="AH7" s="13">
        <v>1.0</v>
      </c>
      <c r="AI7" s="13">
        <v>1.0</v>
      </c>
      <c r="AJ7" s="13">
        <f t="shared" si="1"/>
        <v>26</v>
      </c>
      <c r="AK7" s="23">
        <f t="shared" ref="AK7:AK8" si="3">550*AJ7</f>
        <v>14300</v>
      </c>
      <c r="AL7" s="24"/>
      <c r="AM7" s="1"/>
      <c r="AN7" s="1"/>
      <c r="AO7" s="1"/>
      <c r="AP7" s="1"/>
      <c r="AQ7" s="1"/>
      <c r="AR7" s="1"/>
      <c r="AS7" s="1"/>
      <c r="AT7" s="1"/>
      <c r="AU7" s="1"/>
    </row>
    <row r="8" ht="15.75" customHeight="1">
      <c r="A8" s="10"/>
      <c r="B8" s="10"/>
      <c r="C8" s="10"/>
      <c r="D8" s="13" t="s">
        <v>7</v>
      </c>
      <c r="E8" s="13" t="s">
        <v>35</v>
      </c>
      <c r="F8" s="13" t="s">
        <v>35</v>
      </c>
      <c r="G8" s="13" t="s">
        <v>35</v>
      </c>
      <c r="H8" s="13" t="s">
        <v>35</v>
      </c>
      <c r="I8" s="13" t="s">
        <v>35</v>
      </c>
      <c r="J8" s="13">
        <v>1.0</v>
      </c>
      <c r="K8" s="13">
        <v>1.0</v>
      </c>
      <c r="L8" s="13">
        <v>1.0</v>
      </c>
      <c r="M8" s="13">
        <v>1.0</v>
      </c>
      <c r="N8" s="13">
        <v>1.0</v>
      </c>
      <c r="O8" s="13">
        <v>1.0</v>
      </c>
      <c r="P8" s="13">
        <v>1.0</v>
      </c>
      <c r="Q8" s="13">
        <v>1.0</v>
      </c>
      <c r="R8" s="13">
        <v>1.0</v>
      </c>
      <c r="S8" s="13">
        <v>1.0</v>
      </c>
      <c r="T8" s="13">
        <v>1.0</v>
      </c>
      <c r="U8" s="13">
        <v>1.0</v>
      </c>
      <c r="V8" s="13">
        <v>1.0</v>
      </c>
      <c r="W8" s="13">
        <v>1.0</v>
      </c>
      <c r="X8" s="13">
        <v>1.0</v>
      </c>
      <c r="Y8" s="13">
        <v>1.0</v>
      </c>
      <c r="Z8" s="13">
        <v>1.0</v>
      </c>
      <c r="AA8" s="13">
        <v>1.0</v>
      </c>
      <c r="AB8" s="13">
        <v>1.0</v>
      </c>
      <c r="AC8" s="13">
        <v>1.0</v>
      </c>
      <c r="AD8" s="13">
        <v>1.0</v>
      </c>
      <c r="AE8" s="13">
        <v>1.0</v>
      </c>
      <c r="AF8" s="13">
        <v>1.0</v>
      </c>
      <c r="AG8" s="13">
        <v>1.0</v>
      </c>
      <c r="AH8" s="13">
        <v>1.0</v>
      </c>
      <c r="AI8" s="13">
        <v>1.0</v>
      </c>
      <c r="AJ8" s="13">
        <f t="shared" si="1"/>
        <v>26</v>
      </c>
      <c r="AK8" s="23">
        <f t="shared" si="3"/>
        <v>14300</v>
      </c>
      <c r="AL8" s="26">
        <f>SUM(AK6:AK8)</f>
        <v>36850</v>
      </c>
      <c r="AM8" s="1"/>
      <c r="AN8" s="1"/>
      <c r="AO8" s="1"/>
      <c r="AP8" s="1"/>
      <c r="AQ8" s="1"/>
      <c r="AR8" s="1"/>
      <c r="AS8" s="1"/>
      <c r="AT8" s="1"/>
      <c r="AU8" s="1"/>
    </row>
    <row r="9" ht="15.75" customHeight="1">
      <c r="A9" s="12" t="s">
        <v>14</v>
      </c>
      <c r="B9" s="12" t="s">
        <v>15</v>
      </c>
      <c r="C9" s="12"/>
      <c r="D9" s="13" t="s">
        <v>5</v>
      </c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>
        <v>1.0</v>
      </c>
      <c r="AE9" s="13">
        <v>1.0</v>
      </c>
      <c r="AF9" s="13">
        <v>1.0</v>
      </c>
      <c r="AG9" s="13">
        <v>1.0</v>
      </c>
      <c r="AH9" s="13">
        <v>1.0</v>
      </c>
      <c r="AI9" s="13">
        <v>1.0</v>
      </c>
      <c r="AJ9" s="13">
        <f t="shared" si="1"/>
        <v>6</v>
      </c>
      <c r="AK9" s="14">
        <f>330*AJ9</f>
        <v>1980</v>
      </c>
      <c r="AL9" s="19"/>
      <c r="AM9" s="1"/>
      <c r="AN9" s="1"/>
      <c r="AO9" s="1"/>
      <c r="AP9" s="1"/>
      <c r="AQ9" s="1"/>
      <c r="AR9" s="1"/>
      <c r="AS9" s="1"/>
      <c r="AT9" s="1"/>
      <c r="AU9" s="1"/>
    </row>
    <row r="10" ht="15.75" customHeight="1">
      <c r="A10" s="16"/>
      <c r="B10" s="16"/>
      <c r="C10" s="16"/>
      <c r="D10" s="13" t="s">
        <v>6</v>
      </c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>
        <v>1.0</v>
      </c>
      <c r="AE10" s="13">
        <v>1.0</v>
      </c>
      <c r="AF10" s="13">
        <v>1.0</v>
      </c>
      <c r="AG10" s="13">
        <v>1.0</v>
      </c>
      <c r="AH10" s="13">
        <v>1.0</v>
      </c>
      <c r="AI10" s="13">
        <v>1.0</v>
      </c>
      <c r="AJ10" s="13">
        <f t="shared" si="1"/>
        <v>6</v>
      </c>
      <c r="AK10" s="14">
        <f t="shared" ref="AK10:AK11" si="4">550*AJ10</f>
        <v>3300</v>
      </c>
      <c r="AL10" s="19"/>
      <c r="AM10" s="1"/>
      <c r="AN10" s="1"/>
      <c r="AO10" s="1"/>
      <c r="AP10" s="1"/>
      <c r="AQ10" s="1"/>
      <c r="AR10" s="1"/>
      <c r="AS10" s="1"/>
      <c r="AT10" s="1"/>
      <c r="AU10" s="1"/>
    </row>
    <row r="11" ht="15.75" customHeight="1">
      <c r="A11" s="10"/>
      <c r="B11" s="10"/>
      <c r="C11" s="10"/>
      <c r="D11" s="13" t="s">
        <v>7</v>
      </c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>
        <v>1.0</v>
      </c>
      <c r="AD11" s="13">
        <v>1.0</v>
      </c>
      <c r="AE11" s="13">
        <v>1.0</v>
      </c>
      <c r="AF11" s="13">
        <v>1.0</v>
      </c>
      <c r="AG11" s="13">
        <v>1.0</v>
      </c>
      <c r="AH11" s="13">
        <v>1.0</v>
      </c>
      <c r="AI11" s="13">
        <v>1.0</v>
      </c>
      <c r="AJ11" s="13">
        <f t="shared" si="1"/>
        <v>7</v>
      </c>
      <c r="AK11" s="14">
        <f t="shared" si="4"/>
        <v>3850</v>
      </c>
      <c r="AL11" s="20">
        <f>SUM(AK9:AK11)</f>
        <v>9130</v>
      </c>
      <c r="AM11" s="1"/>
      <c r="AN11" s="1"/>
      <c r="AO11" s="1"/>
      <c r="AP11" s="1"/>
      <c r="AQ11" s="1"/>
      <c r="AR11" s="1"/>
      <c r="AS11" s="1"/>
      <c r="AT11" s="1"/>
      <c r="AU11" s="1"/>
    </row>
    <row r="12" ht="15.75" customHeight="1">
      <c r="A12" s="12"/>
      <c r="B12" s="12"/>
      <c r="C12" s="12"/>
      <c r="D12" s="13" t="s">
        <v>5</v>
      </c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>
        <f t="shared" si="1"/>
        <v>0</v>
      </c>
      <c r="AK12" s="23">
        <f>330*AJ12</f>
        <v>0</v>
      </c>
      <c r="AL12" s="24"/>
      <c r="AM12" s="1"/>
      <c r="AN12" s="1"/>
      <c r="AO12" s="1"/>
      <c r="AP12" s="1"/>
      <c r="AQ12" s="1"/>
      <c r="AR12" s="1"/>
      <c r="AS12" s="1"/>
      <c r="AT12" s="1"/>
      <c r="AU12" s="1"/>
    </row>
    <row r="13" ht="15.75" customHeight="1">
      <c r="A13" s="16"/>
      <c r="B13" s="16"/>
      <c r="C13" s="16"/>
      <c r="D13" s="13" t="s">
        <v>6</v>
      </c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>
        <f t="shared" si="1"/>
        <v>0</v>
      </c>
      <c r="AK13" s="23">
        <f t="shared" ref="AK13:AK14" si="5">550*AJ13</f>
        <v>0</v>
      </c>
      <c r="AL13" s="24"/>
      <c r="AM13" s="1"/>
      <c r="AN13" s="1"/>
      <c r="AO13" s="1"/>
      <c r="AP13" s="1"/>
      <c r="AQ13" s="1"/>
      <c r="AR13" s="1"/>
      <c r="AS13" s="1"/>
      <c r="AT13" s="1"/>
      <c r="AU13" s="1"/>
    </row>
    <row r="14" ht="15.75" customHeight="1">
      <c r="A14" s="10"/>
      <c r="B14" s="10"/>
      <c r="C14" s="10"/>
      <c r="D14" s="13" t="s">
        <v>7</v>
      </c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>
        <f t="shared" si="1"/>
        <v>0</v>
      </c>
      <c r="AK14" s="23">
        <f t="shared" si="5"/>
        <v>0</v>
      </c>
      <c r="AL14" s="26">
        <f>SUM(AK12:AK14)</f>
        <v>0</v>
      </c>
      <c r="AM14" s="1"/>
      <c r="AN14" s="1"/>
      <c r="AO14" s="1"/>
      <c r="AP14" s="1"/>
      <c r="AQ14" s="1"/>
      <c r="AR14" s="1"/>
      <c r="AS14" s="1"/>
      <c r="AT14" s="1"/>
      <c r="AU14" s="1"/>
    </row>
    <row r="15" ht="15.75" customHeight="1">
      <c r="A15" s="12"/>
      <c r="B15" s="12"/>
      <c r="C15" s="12"/>
      <c r="D15" s="13" t="s">
        <v>5</v>
      </c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>
        <f t="shared" si="1"/>
        <v>0</v>
      </c>
      <c r="AK15" s="14">
        <f>330*AJ15</f>
        <v>0</v>
      </c>
      <c r="AL15" s="19"/>
      <c r="AM15" s="1"/>
      <c r="AN15" s="1"/>
      <c r="AO15" s="1"/>
      <c r="AP15" s="1"/>
      <c r="AQ15" s="1"/>
      <c r="AR15" s="1"/>
      <c r="AS15" s="1"/>
      <c r="AT15" s="1"/>
      <c r="AU15" s="1"/>
    </row>
    <row r="16" ht="15.75" customHeight="1">
      <c r="A16" s="16"/>
      <c r="B16" s="16"/>
      <c r="C16" s="16"/>
      <c r="D16" s="13" t="s">
        <v>6</v>
      </c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>
        <f t="shared" si="1"/>
        <v>0</v>
      </c>
      <c r="AK16" s="14">
        <f t="shared" ref="AK16:AK17" si="6">550*AJ16</f>
        <v>0</v>
      </c>
      <c r="AL16" s="19"/>
      <c r="AM16" s="1"/>
      <c r="AN16" s="1"/>
      <c r="AO16" s="1"/>
      <c r="AP16" s="1"/>
      <c r="AQ16" s="1"/>
      <c r="AR16" s="1"/>
      <c r="AS16" s="1"/>
      <c r="AT16" s="1"/>
      <c r="AU16" s="1"/>
    </row>
    <row r="17" ht="15.75" customHeight="1">
      <c r="A17" s="10"/>
      <c r="B17" s="10"/>
      <c r="C17" s="10"/>
      <c r="D17" s="13" t="s">
        <v>7</v>
      </c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>
        <f t="shared" si="1"/>
        <v>0</v>
      </c>
      <c r="AK17" s="14">
        <f t="shared" si="6"/>
        <v>0</v>
      </c>
      <c r="AL17" s="20">
        <f>SUM(AK15:AK17)</f>
        <v>0</v>
      </c>
      <c r="AM17" s="1"/>
      <c r="AN17" s="1"/>
      <c r="AO17" s="1"/>
      <c r="AP17" s="1"/>
      <c r="AQ17" s="1"/>
      <c r="AR17" s="1"/>
      <c r="AS17" s="1"/>
      <c r="AT17" s="1"/>
      <c r="AU17" s="1"/>
    </row>
    <row r="18" ht="15.75" customHeight="1">
      <c r="A18" s="12"/>
      <c r="B18" s="12"/>
      <c r="C18" s="12"/>
      <c r="D18" s="13" t="s">
        <v>5</v>
      </c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>
        <f t="shared" si="1"/>
        <v>0</v>
      </c>
      <c r="AK18" s="23">
        <f>330*AJ18</f>
        <v>0</v>
      </c>
      <c r="AL18" s="24"/>
      <c r="AM18" s="1"/>
      <c r="AN18" s="1"/>
      <c r="AO18" s="1"/>
      <c r="AP18" s="1"/>
      <c r="AQ18" s="1"/>
      <c r="AR18" s="1"/>
      <c r="AS18" s="1"/>
      <c r="AT18" s="1"/>
      <c r="AU18" s="1"/>
    </row>
    <row r="19" ht="15.75" customHeight="1">
      <c r="A19" s="16"/>
      <c r="B19" s="16"/>
      <c r="C19" s="16"/>
      <c r="D19" s="13" t="s">
        <v>6</v>
      </c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>
        <f t="shared" si="1"/>
        <v>0</v>
      </c>
      <c r="AK19" s="23">
        <f t="shared" ref="AK19:AK20" si="7">550*AJ19</f>
        <v>0</v>
      </c>
      <c r="AL19" s="24"/>
      <c r="AM19" s="1"/>
      <c r="AN19" s="1"/>
      <c r="AO19" s="1"/>
      <c r="AP19" s="1"/>
      <c r="AQ19" s="1"/>
      <c r="AR19" s="1"/>
      <c r="AS19" s="1"/>
      <c r="AT19" s="1"/>
      <c r="AU19" s="1"/>
    </row>
    <row r="20" ht="15.75" customHeight="1">
      <c r="A20" s="10"/>
      <c r="B20" s="10"/>
      <c r="C20" s="10"/>
      <c r="D20" s="13" t="s">
        <v>7</v>
      </c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>
        <f t="shared" si="1"/>
        <v>0</v>
      </c>
      <c r="AK20" s="23">
        <f t="shared" si="7"/>
        <v>0</v>
      </c>
      <c r="AL20" s="26">
        <f>SUM(AK18:AK20)</f>
        <v>0</v>
      </c>
      <c r="AM20" s="1"/>
      <c r="AN20" s="1"/>
      <c r="AO20" s="1"/>
      <c r="AP20" s="1"/>
      <c r="AQ20" s="1"/>
      <c r="AR20" s="1"/>
      <c r="AS20" s="1"/>
      <c r="AT20" s="1"/>
      <c r="AU20" s="1"/>
    </row>
    <row r="21" ht="15.75" customHeight="1">
      <c r="A21" s="12"/>
      <c r="B21" s="12"/>
      <c r="C21" s="12"/>
      <c r="D21" s="13" t="s">
        <v>5</v>
      </c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>
        <f t="shared" si="1"/>
        <v>0</v>
      </c>
      <c r="AK21" s="14">
        <f>330*AJ21</f>
        <v>0</v>
      </c>
      <c r="AL21" s="19"/>
      <c r="AM21" s="1"/>
      <c r="AN21" s="1"/>
      <c r="AO21" s="1"/>
      <c r="AP21" s="1"/>
      <c r="AQ21" s="1"/>
      <c r="AR21" s="1"/>
      <c r="AS21" s="1"/>
      <c r="AT21" s="1"/>
      <c r="AU21" s="1"/>
    </row>
    <row r="22" ht="15.75" customHeight="1">
      <c r="A22" s="16"/>
      <c r="B22" s="16"/>
      <c r="C22" s="16"/>
      <c r="D22" s="13" t="s">
        <v>6</v>
      </c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>
        <f t="shared" si="1"/>
        <v>0</v>
      </c>
      <c r="AK22" s="14">
        <f t="shared" ref="AK22:AK23" si="8">550*AJ22</f>
        <v>0</v>
      </c>
      <c r="AL22" s="19"/>
      <c r="AM22" s="1"/>
      <c r="AN22" s="1"/>
      <c r="AO22" s="1"/>
      <c r="AP22" s="1"/>
      <c r="AQ22" s="1"/>
      <c r="AR22" s="1"/>
      <c r="AS22" s="1"/>
      <c r="AT22" s="1"/>
      <c r="AU22" s="1"/>
    </row>
    <row r="23" ht="15.75" customHeight="1">
      <c r="A23" s="10"/>
      <c r="B23" s="10"/>
      <c r="C23" s="10"/>
      <c r="D23" s="13" t="s">
        <v>7</v>
      </c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>
        <f t="shared" si="1"/>
        <v>0</v>
      </c>
      <c r="AK23" s="14">
        <f t="shared" si="8"/>
        <v>0</v>
      </c>
      <c r="AL23" s="20">
        <f>SUM(AK21:AK23)</f>
        <v>0</v>
      </c>
      <c r="AM23" s="1"/>
      <c r="AN23" s="1"/>
      <c r="AO23" s="1"/>
      <c r="AP23" s="1"/>
      <c r="AQ23" s="1"/>
      <c r="AR23" s="1"/>
      <c r="AS23" s="1"/>
      <c r="AT23" s="1"/>
      <c r="AU23" s="1"/>
    </row>
    <row r="24" ht="15.75" customHeight="1">
      <c r="A24" s="12"/>
      <c r="B24" s="12"/>
      <c r="C24" s="12"/>
      <c r="D24" s="13" t="s">
        <v>5</v>
      </c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>
        <f t="shared" si="1"/>
        <v>0</v>
      </c>
      <c r="AK24" s="23">
        <f>330*AJ24</f>
        <v>0</v>
      </c>
      <c r="AL24" s="24"/>
      <c r="AM24" s="1"/>
      <c r="AN24" s="1"/>
      <c r="AO24" s="1"/>
      <c r="AP24" s="1"/>
      <c r="AQ24" s="1"/>
      <c r="AR24" s="1"/>
      <c r="AS24" s="1"/>
      <c r="AT24" s="1"/>
      <c r="AU24" s="1"/>
    </row>
    <row r="25" ht="15.75" customHeight="1">
      <c r="A25" s="16"/>
      <c r="B25" s="16"/>
      <c r="C25" s="16"/>
      <c r="D25" s="13" t="s">
        <v>6</v>
      </c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>
        <f t="shared" si="1"/>
        <v>0</v>
      </c>
      <c r="AK25" s="23">
        <f t="shared" ref="AK25:AK26" si="9">550*AJ25</f>
        <v>0</v>
      </c>
      <c r="AL25" s="24"/>
      <c r="AM25" s="1"/>
      <c r="AN25" s="1"/>
      <c r="AO25" s="1"/>
      <c r="AP25" s="1"/>
      <c r="AQ25" s="1"/>
      <c r="AR25" s="1"/>
      <c r="AS25" s="1"/>
      <c r="AT25" s="1"/>
      <c r="AU25" s="1"/>
    </row>
    <row r="26" ht="15.75" customHeight="1">
      <c r="A26" s="10"/>
      <c r="B26" s="10"/>
      <c r="C26" s="10"/>
      <c r="D26" s="13" t="s">
        <v>7</v>
      </c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>
        <f t="shared" si="1"/>
        <v>0</v>
      </c>
      <c r="AK26" s="23">
        <f t="shared" si="9"/>
        <v>0</v>
      </c>
      <c r="AL26" s="26">
        <f>SUM(AK24:AK26)</f>
        <v>0</v>
      </c>
      <c r="AM26" s="1"/>
      <c r="AN26" s="1"/>
      <c r="AO26" s="1"/>
      <c r="AP26" s="1"/>
      <c r="AQ26" s="1"/>
      <c r="AR26" s="1"/>
      <c r="AS26" s="1"/>
      <c r="AT26" s="1"/>
      <c r="AU26" s="1"/>
    </row>
    <row r="27" ht="15.75" customHeight="1">
      <c r="A27" s="12"/>
      <c r="B27" s="12"/>
      <c r="C27" s="12"/>
      <c r="D27" s="13" t="s">
        <v>5</v>
      </c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>
        <f t="shared" si="1"/>
        <v>0</v>
      </c>
      <c r="AK27" s="14">
        <f>330*AJ27</f>
        <v>0</v>
      </c>
      <c r="AL27" s="19"/>
      <c r="AM27" s="1"/>
      <c r="AN27" s="1"/>
      <c r="AO27" s="1"/>
      <c r="AP27" s="1"/>
      <c r="AQ27" s="1"/>
      <c r="AR27" s="1"/>
      <c r="AS27" s="1"/>
      <c r="AT27" s="1"/>
      <c r="AU27" s="1"/>
    </row>
    <row r="28" ht="15.75" customHeight="1">
      <c r="A28" s="16"/>
      <c r="B28" s="16"/>
      <c r="C28" s="16"/>
      <c r="D28" s="13" t="s">
        <v>6</v>
      </c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>
        <f t="shared" si="1"/>
        <v>0</v>
      </c>
      <c r="AK28" s="14">
        <f t="shared" ref="AK28:AK29" si="10">550*AJ28</f>
        <v>0</v>
      </c>
      <c r="AL28" s="19"/>
      <c r="AM28" s="1"/>
      <c r="AN28" s="1"/>
      <c r="AO28" s="1"/>
      <c r="AP28" s="1"/>
      <c r="AQ28" s="1"/>
      <c r="AR28" s="1"/>
      <c r="AS28" s="1"/>
      <c r="AT28" s="1"/>
      <c r="AU28" s="1"/>
    </row>
    <row r="29" ht="15.75" customHeight="1">
      <c r="A29" s="10"/>
      <c r="B29" s="10"/>
      <c r="C29" s="10"/>
      <c r="D29" s="13" t="s">
        <v>7</v>
      </c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>
        <f t="shared" si="1"/>
        <v>0</v>
      </c>
      <c r="AK29" s="14">
        <f t="shared" si="10"/>
        <v>0</v>
      </c>
      <c r="AL29" s="20">
        <f>SUM(AK27:AK29)</f>
        <v>0</v>
      </c>
      <c r="AM29" s="1"/>
      <c r="AN29" s="1"/>
      <c r="AO29" s="1"/>
      <c r="AP29" s="1"/>
      <c r="AQ29" s="1"/>
      <c r="AR29" s="1"/>
      <c r="AS29" s="1"/>
      <c r="AT29" s="1"/>
      <c r="AU29" s="1"/>
    </row>
    <row r="30" ht="15.75" customHeight="1">
      <c r="A30" s="12"/>
      <c r="B30" s="12"/>
      <c r="C30" s="12"/>
      <c r="D30" s="13" t="s">
        <v>5</v>
      </c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>
        <f t="shared" si="1"/>
        <v>0</v>
      </c>
      <c r="AK30" s="23">
        <f>330*AJ30</f>
        <v>0</v>
      </c>
      <c r="AL30" s="24"/>
      <c r="AM30" s="1"/>
      <c r="AN30" s="1"/>
      <c r="AO30" s="1"/>
      <c r="AP30" s="1"/>
      <c r="AQ30" s="1"/>
      <c r="AR30" s="1"/>
      <c r="AS30" s="1"/>
      <c r="AT30" s="1"/>
      <c r="AU30" s="1"/>
    </row>
    <row r="31" ht="15.75" customHeight="1">
      <c r="A31" s="16"/>
      <c r="B31" s="16"/>
      <c r="C31" s="16"/>
      <c r="D31" s="13" t="s">
        <v>6</v>
      </c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>
        <f t="shared" si="1"/>
        <v>0</v>
      </c>
      <c r="AK31" s="23">
        <f t="shared" ref="AK31:AK32" si="11">550*AJ31</f>
        <v>0</v>
      </c>
      <c r="AL31" s="24"/>
      <c r="AM31" s="1"/>
      <c r="AN31" s="1"/>
      <c r="AO31" s="1"/>
      <c r="AP31" s="1"/>
      <c r="AQ31" s="1"/>
      <c r="AR31" s="1"/>
      <c r="AS31" s="1"/>
      <c r="AT31" s="1"/>
      <c r="AU31" s="1"/>
    </row>
    <row r="32" ht="15.75" customHeight="1">
      <c r="A32" s="10"/>
      <c r="B32" s="10"/>
      <c r="C32" s="10"/>
      <c r="D32" s="13" t="s">
        <v>7</v>
      </c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>
        <f t="shared" si="1"/>
        <v>0</v>
      </c>
      <c r="AK32" s="23">
        <f t="shared" si="11"/>
        <v>0</v>
      </c>
      <c r="AL32" s="26">
        <f>SUM(AK30:AK32)</f>
        <v>0</v>
      </c>
      <c r="AM32" s="1"/>
      <c r="AN32" s="1"/>
      <c r="AO32" s="1"/>
      <c r="AP32" s="1"/>
      <c r="AQ32" s="1"/>
      <c r="AR32" s="1"/>
      <c r="AS32" s="1"/>
      <c r="AT32" s="1"/>
      <c r="AU32" s="1"/>
    </row>
    <row r="33" ht="15.75" customHeight="1">
      <c r="A33" s="12"/>
      <c r="B33" s="12"/>
      <c r="C33" s="12"/>
      <c r="D33" s="13" t="s">
        <v>5</v>
      </c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>
        <f t="shared" si="1"/>
        <v>0</v>
      </c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</row>
    <row r="34" ht="15.75" customHeight="1">
      <c r="A34" s="16"/>
      <c r="B34" s="16"/>
      <c r="C34" s="16"/>
      <c r="D34" s="13" t="s">
        <v>6</v>
      </c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>
        <f t="shared" si="1"/>
        <v>0</v>
      </c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</row>
    <row r="35" ht="15.75" customHeight="1">
      <c r="A35" s="10"/>
      <c r="B35" s="10"/>
      <c r="C35" s="10"/>
      <c r="D35" s="13" t="s">
        <v>7</v>
      </c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>
        <f t="shared" si="1"/>
        <v>0</v>
      </c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</row>
    <row r="36" ht="15.75" customHeight="1">
      <c r="A36" s="12"/>
      <c r="B36" s="12"/>
      <c r="C36" s="12"/>
      <c r="D36" s="13" t="s">
        <v>5</v>
      </c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>
        <f t="shared" si="1"/>
        <v>0</v>
      </c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</row>
    <row r="37" ht="15.75" customHeight="1">
      <c r="A37" s="16"/>
      <c r="B37" s="16"/>
      <c r="C37" s="16"/>
      <c r="D37" s="13" t="s">
        <v>6</v>
      </c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>
        <f t="shared" si="1"/>
        <v>0</v>
      </c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</row>
    <row r="38" ht="15.75" customHeight="1">
      <c r="A38" s="10"/>
      <c r="B38" s="10"/>
      <c r="C38" s="10"/>
      <c r="D38" s="13" t="s">
        <v>7</v>
      </c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>
        <f t="shared" si="1"/>
        <v>0</v>
      </c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</row>
    <row r="39" ht="15.75" customHeight="1">
      <c r="A39" s="12"/>
      <c r="B39" s="12"/>
      <c r="C39" s="12"/>
      <c r="D39" s="13" t="s">
        <v>5</v>
      </c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>
        <f t="shared" si="1"/>
        <v>0</v>
      </c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</row>
    <row r="40" ht="15.75" customHeight="1">
      <c r="A40" s="16"/>
      <c r="B40" s="16"/>
      <c r="C40" s="16"/>
      <c r="D40" s="13" t="s">
        <v>6</v>
      </c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>
        <f t="shared" si="1"/>
        <v>0</v>
      </c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</row>
    <row r="41" ht="15.75" customHeight="1">
      <c r="A41" s="10"/>
      <c r="B41" s="10"/>
      <c r="C41" s="10"/>
      <c r="D41" s="13" t="s">
        <v>7</v>
      </c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>
        <f t="shared" si="1"/>
        <v>0</v>
      </c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</row>
    <row r="42" ht="15.75" customHeight="1">
      <c r="A42" s="12"/>
      <c r="B42" s="12"/>
      <c r="C42" s="12"/>
      <c r="D42" s="13" t="s">
        <v>5</v>
      </c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>
        <f t="shared" si="1"/>
        <v>0</v>
      </c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</row>
    <row r="43" ht="15.75" customHeight="1">
      <c r="A43" s="16"/>
      <c r="B43" s="16"/>
      <c r="C43" s="16"/>
      <c r="D43" s="13" t="s">
        <v>6</v>
      </c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>
        <f t="shared" si="1"/>
        <v>0</v>
      </c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</row>
    <row r="44" ht="15.75" customHeight="1">
      <c r="A44" s="10"/>
      <c r="B44" s="10"/>
      <c r="C44" s="10"/>
      <c r="D44" s="13" t="s">
        <v>7</v>
      </c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>
        <f t="shared" si="1"/>
        <v>0</v>
      </c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</row>
    <row r="45" ht="15.75" customHeight="1">
      <c r="A45" s="12"/>
      <c r="B45" s="12"/>
      <c r="C45" s="12"/>
      <c r="D45" s="13" t="s">
        <v>5</v>
      </c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>
        <f t="shared" si="1"/>
        <v>0</v>
      </c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</row>
    <row r="46" ht="15.75" customHeight="1">
      <c r="A46" s="16"/>
      <c r="B46" s="16"/>
      <c r="C46" s="16"/>
      <c r="D46" s="13" t="s">
        <v>6</v>
      </c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>
        <f t="shared" si="1"/>
        <v>0</v>
      </c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</row>
    <row r="47" ht="15.75" customHeight="1">
      <c r="A47" s="10"/>
      <c r="B47" s="10"/>
      <c r="C47" s="10"/>
      <c r="D47" s="13" t="s">
        <v>7</v>
      </c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>
        <f t="shared" si="1"/>
        <v>0</v>
      </c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</row>
    <row r="48" ht="15.75" customHeight="1">
      <c r="A48" s="12"/>
      <c r="B48" s="12"/>
      <c r="C48" s="12"/>
      <c r="D48" s="13" t="s">
        <v>5</v>
      </c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>
        <f t="shared" si="1"/>
        <v>0</v>
      </c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</row>
    <row r="49" ht="15.75" customHeight="1">
      <c r="A49" s="16"/>
      <c r="B49" s="16"/>
      <c r="C49" s="16"/>
      <c r="D49" s="13" t="s">
        <v>6</v>
      </c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>
        <f t="shared" si="1"/>
        <v>0</v>
      </c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</row>
    <row r="50" ht="15.75" customHeight="1">
      <c r="A50" s="10"/>
      <c r="B50" s="10"/>
      <c r="C50" s="10"/>
      <c r="D50" s="13" t="s">
        <v>7</v>
      </c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>
        <f t="shared" si="1"/>
        <v>0</v>
      </c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</row>
    <row r="51" ht="15.75" customHeight="1">
      <c r="A51" s="12"/>
      <c r="B51" s="12"/>
      <c r="C51" s="12"/>
      <c r="D51" s="13" t="s">
        <v>5</v>
      </c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>
        <f t="shared" si="1"/>
        <v>0</v>
      </c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</row>
    <row r="52" ht="15.75" customHeight="1">
      <c r="A52" s="16"/>
      <c r="B52" s="16"/>
      <c r="C52" s="16"/>
      <c r="D52" s="13" t="s">
        <v>6</v>
      </c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>
        <f t="shared" si="1"/>
        <v>0</v>
      </c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</row>
    <row r="53" ht="15.75" customHeight="1">
      <c r="A53" s="10"/>
      <c r="B53" s="10"/>
      <c r="C53" s="10"/>
      <c r="D53" s="13" t="s">
        <v>7</v>
      </c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>
        <f t="shared" si="1"/>
        <v>0</v>
      </c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</row>
    <row r="54" ht="15.75" customHeight="1">
      <c r="A54" s="12"/>
      <c r="B54" s="12"/>
      <c r="C54" s="12"/>
      <c r="D54" s="13" t="s">
        <v>5</v>
      </c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>
        <f t="shared" si="1"/>
        <v>0</v>
      </c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</row>
    <row r="55" ht="15.75" customHeight="1">
      <c r="A55" s="16"/>
      <c r="B55" s="16"/>
      <c r="C55" s="16"/>
      <c r="D55" s="13" t="s">
        <v>6</v>
      </c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>
        <f t="shared" si="1"/>
        <v>0</v>
      </c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</row>
    <row r="56" ht="15.75" customHeight="1">
      <c r="A56" s="10"/>
      <c r="B56" s="10"/>
      <c r="C56" s="10"/>
      <c r="D56" s="13" t="s">
        <v>7</v>
      </c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>
        <f t="shared" si="1"/>
        <v>0</v>
      </c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</row>
    <row r="57" ht="15.75" customHeight="1">
      <c r="A57" s="12"/>
      <c r="B57" s="12"/>
      <c r="C57" s="12"/>
      <c r="D57" s="13" t="s">
        <v>5</v>
      </c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>
        <f t="shared" si="1"/>
        <v>0</v>
      </c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</row>
    <row r="58" ht="15.75" customHeight="1">
      <c r="A58" s="16"/>
      <c r="B58" s="16"/>
      <c r="C58" s="16"/>
      <c r="D58" s="13" t="s">
        <v>6</v>
      </c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>
        <f t="shared" si="1"/>
        <v>0</v>
      </c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</row>
    <row r="59" ht="15.75" customHeight="1">
      <c r="A59" s="10"/>
      <c r="B59" s="10"/>
      <c r="C59" s="10"/>
      <c r="D59" s="13" t="s">
        <v>7</v>
      </c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>
        <f t="shared" si="1"/>
        <v>0</v>
      </c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</row>
    <row r="60" ht="15.75" customHeight="1">
      <c r="A60" s="12"/>
      <c r="B60" s="12"/>
      <c r="C60" s="12"/>
      <c r="D60" s="13" t="s">
        <v>5</v>
      </c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>
        <f t="shared" si="1"/>
        <v>0</v>
      </c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</row>
    <row r="61" ht="15.75" customHeight="1">
      <c r="A61" s="16"/>
      <c r="B61" s="16"/>
      <c r="C61" s="16"/>
      <c r="D61" s="13" t="s">
        <v>6</v>
      </c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>
        <f t="shared" si="1"/>
        <v>0</v>
      </c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</row>
    <row r="62" ht="15.75" customHeight="1">
      <c r="A62" s="10"/>
      <c r="B62" s="10"/>
      <c r="C62" s="10"/>
      <c r="D62" s="13" t="s">
        <v>7</v>
      </c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>
        <f t="shared" si="1"/>
        <v>0</v>
      </c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</row>
    <row r="63" ht="15.75" customHeight="1">
      <c r="A63" s="12"/>
      <c r="B63" s="12"/>
      <c r="C63" s="12"/>
      <c r="D63" s="13" t="s">
        <v>5</v>
      </c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>
        <f t="shared" si="1"/>
        <v>0</v>
      </c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</row>
    <row r="64" ht="15.75" customHeight="1">
      <c r="A64" s="16"/>
      <c r="B64" s="16"/>
      <c r="C64" s="16"/>
      <c r="D64" s="13" t="s">
        <v>6</v>
      </c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>
        <f t="shared" si="1"/>
        <v>0</v>
      </c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</row>
    <row r="65" ht="15.75" customHeight="1">
      <c r="A65" s="10"/>
      <c r="B65" s="10"/>
      <c r="C65" s="10"/>
      <c r="D65" s="13" t="s">
        <v>7</v>
      </c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>
        <f t="shared" si="1"/>
        <v>0</v>
      </c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</row>
    <row r="66" ht="15.75" customHeight="1">
      <c r="A66" s="12"/>
      <c r="B66" s="12"/>
      <c r="C66" s="12"/>
      <c r="D66" s="13" t="s">
        <v>5</v>
      </c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>
        <f t="shared" si="1"/>
        <v>0</v>
      </c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</row>
    <row r="67" ht="15.75" customHeight="1">
      <c r="A67" s="16"/>
      <c r="B67" s="16"/>
      <c r="C67" s="16"/>
      <c r="D67" s="13" t="s">
        <v>6</v>
      </c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>
        <f t="shared" si="1"/>
        <v>0</v>
      </c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</row>
    <row r="68" ht="15.75" customHeight="1">
      <c r="A68" s="10"/>
      <c r="B68" s="10"/>
      <c r="C68" s="10"/>
      <c r="D68" s="13" t="s">
        <v>7</v>
      </c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>
        <f t="shared" si="1"/>
        <v>0</v>
      </c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</row>
    <row r="69" ht="15.75" customHeight="1">
      <c r="A69" s="12"/>
      <c r="B69" s="12"/>
      <c r="C69" s="12"/>
      <c r="D69" s="13" t="s">
        <v>5</v>
      </c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>
        <f t="shared" si="1"/>
        <v>0</v>
      </c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</row>
    <row r="70" ht="15.75" customHeight="1">
      <c r="A70" s="16"/>
      <c r="B70" s="16"/>
      <c r="C70" s="16"/>
      <c r="D70" s="13" t="s">
        <v>6</v>
      </c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>
        <f t="shared" si="1"/>
        <v>0</v>
      </c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</row>
    <row r="71" ht="15.75" customHeight="1">
      <c r="A71" s="10"/>
      <c r="B71" s="10"/>
      <c r="C71" s="10"/>
      <c r="D71" s="13" t="s">
        <v>7</v>
      </c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>
        <f t="shared" si="1"/>
        <v>0</v>
      </c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</row>
    <row r="72" ht="15.75" customHeight="1">
      <c r="A72" s="31"/>
      <c r="B72" s="31"/>
      <c r="C72" s="3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</row>
    <row r="73" ht="15.75" customHeight="1">
      <c r="A73" s="31"/>
      <c r="B73" s="31"/>
      <c r="C73" s="3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</row>
    <row r="74" ht="15.75" customHeight="1">
      <c r="A74" s="31"/>
      <c r="B74" s="31"/>
      <c r="C74" s="3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</row>
    <row r="75" ht="15.75" customHeight="1">
      <c r="A75" s="31"/>
      <c r="B75" s="31"/>
      <c r="C75" s="3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</row>
    <row r="76" ht="15.75" customHeight="1">
      <c r="A76" s="31"/>
      <c r="B76" s="31"/>
      <c r="C76" s="3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</row>
    <row r="77" ht="15.75" customHeight="1">
      <c r="A77" s="31"/>
      <c r="B77" s="31"/>
      <c r="C77" s="3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</row>
    <row r="78" ht="15.75" customHeight="1">
      <c r="A78" s="31"/>
      <c r="B78" s="31"/>
      <c r="C78" s="3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</row>
    <row r="79" ht="15.75" customHeight="1">
      <c r="A79" s="31"/>
      <c r="B79" s="31"/>
      <c r="C79" s="3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</row>
    <row r="80" ht="15.75" customHeight="1">
      <c r="A80" s="31"/>
      <c r="B80" s="31"/>
      <c r="C80" s="3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</row>
    <row r="81" ht="15.75" customHeight="1">
      <c r="A81" s="31"/>
      <c r="B81" s="31"/>
      <c r="C81" s="3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</row>
    <row r="82" ht="15.75" customHeight="1">
      <c r="A82" s="31"/>
      <c r="B82" s="31"/>
      <c r="C82" s="3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</row>
    <row r="83" ht="15.75" customHeight="1">
      <c r="A83" s="31"/>
      <c r="B83" s="31"/>
      <c r="C83" s="3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</row>
    <row r="84" ht="15.75" customHeight="1">
      <c r="A84" s="31"/>
      <c r="B84" s="31"/>
      <c r="C84" s="3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</row>
    <row r="85" ht="15.75" customHeight="1">
      <c r="A85" s="31"/>
      <c r="B85" s="31"/>
      <c r="C85" s="3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</row>
    <row r="86" ht="15.75" customHeight="1">
      <c r="A86" s="31"/>
      <c r="B86" s="31"/>
      <c r="C86" s="3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</row>
    <row r="87" ht="15.75" customHeight="1">
      <c r="A87" s="31"/>
      <c r="B87" s="31"/>
      <c r="C87" s="3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</row>
    <row r="88" ht="15.75" customHeight="1">
      <c r="A88" s="31"/>
      <c r="B88" s="31"/>
      <c r="C88" s="3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</row>
    <row r="89" ht="15.75" customHeight="1">
      <c r="A89" s="31"/>
      <c r="B89" s="31"/>
      <c r="C89" s="3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</row>
    <row r="90" ht="15.75" customHeight="1">
      <c r="A90" s="31"/>
      <c r="B90" s="31"/>
      <c r="C90" s="3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</row>
    <row r="91" ht="15.75" customHeight="1">
      <c r="A91" s="31"/>
      <c r="B91" s="31"/>
      <c r="C91" s="3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</row>
    <row r="92" ht="15.75" customHeight="1">
      <c r="A92" s="31"/>
      <c r="B92" s="31"/>
      <c r="C92" s="3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</row>
    <row r="93" ht="15.75" customHeight="1">
      <c r="A93" s="31"/>
      <c r="B93" s="31"/>
      <c r="C93" s="3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</row>
    <row r="94" ht="15.75" customHeight="1">
      <c r="A94" s="31"/>
      <c r="B94" s="31"/>
      <c r="C94" s="3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</row>
    <row r="95" ht="15.75" customHeight="1">
      <c r="A95" s="31"/>
      <c r="B95" s="31"/>
      <c r="C95" s="3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</row>
    <row r="96" ht="15.75" customHeight="1">
      <c r="A96" s="31"/>
      <c r="B96" s="31"/>
      <c r="C96" s="3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</row>
    <row r="97" ht="15.75" customHeight="1">
      <c r="A97" s="31"/>
      <c r="B97" s="31"/>
      <c r="C97" s="3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</row>
    <row r="98" ht="15.75" customHeight="1">
      <c r="A98" s="31"/>
      <c r="B98" s="31"/>
      <c r="C98" s="3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</row>
    <row r="99" ht="15.75" customHeight="1">
      <c r="A99" s="31"/>
      <c r="B99" s="31"/>
      <c r="C99" s="3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</row>
    <row r="100" ht="15.75" customHeight="1">
      <c r="A100" s="31"/>
      <c r="B100" s="31"/>
      <c r="C100" s="3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</row>
    <row r="101" ht="15.75" customHeight="1">
      <c r="A101" s="31"/>
      <c r="B101" s="31"/>
      <c r="C101" s="3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</row>
    <row r="102" ht="15.75" customHeight="1">
      <c r="A102" s="31"/>
      <c r="B102" s="31"/>
      <c r="C102" s="3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</row>
    <row r="103" ht="15.75" customHeight="1">
      <c r="A103" s="31"/>
      <c r="B103" s="31"/>
      <c r="C103" s="3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</row>
    <row r="104" ht="15.75" customHeight="1">
      <c r="A104" s="31"/>
      <c r="B104" s="31"/>
      <c r="C104" s="3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</row>
    <row r="105" ht="15.75" customHeight="1">
      <c r="A105" s="31"/>
      <c r="B105" s="31"/>
      <c r="C105" s="3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</row>
    <row r="106" ht="15.75" customHeight="1">
      <c r="A106" s="31"/>
      <c r="B106" s="31"/>
      <c r="C106" s="3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</row>
    <row r="107" ht="15.75" customHeight="1">
      <c r="A107" s="31"/>
      <c r="B107" s="31"/>
      <c r="C107" s="3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</row>
    <row r="108" ht="15.75" customHeight="1">
      <c r="A108" s="31"/>
      <c r="B108" s="31"/>
      <c r="C108" s="3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</row>
    <row r="109" ht="15.75" customHeight="1">
      <c r="A109" s="31"/>
      <c r="B109" s="31"/>
      <c r="C109" s="3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</row>
    <row r="110" ht="15.75" customHeight="1">
      <c r="A110" s="31"/>
      <c r="B110" s="31"/>
      <c r="C110" s="3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</row>
    <row r="111" ht="15.75" customHeight="1">
      <c r="A111" s="31"/>
      <c r="B111" s="31"/>
      <c r="C111" s="3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</row>
    <row r="112" ht="15.75" customHeight="1">
      <c r="A112" s="31"/>
      <c r="B112" s="31"/>
      <c r="C112" s="3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</row>
    <row r="113" ht="15.75" customHeight="1">
      <c r="A113" s="31"/>
      <c r="B113" s="31"/>
      <c r="C113" s="3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</row>
    <row r="114" ht="15.75" customHeight="1">
      <c r="A114" s="31"/>
      <c r="B114" s="31"/>
      <c r="C114" s="3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</row>
    <row r="115" ht="15.75" customHeight="1">
      <c r="A115" s="31"/>
      <c r="B115" s="31"/>
      <c r="C115" s="3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</row>
    <row r="116" ht="15.75" customHeight="1">
      <c r="A116" s="31"/>
      <c r="B116" s="31"/>
      <c r="C116" s="3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</row>
    <row r="117" ht="15.75" customHeight="1">
      <c r="A117" s="31"/>
      <c r="B117" s="31"/>
      <c r="C117" s="3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</row>
    <row r="118" ht="15.75" customHeight="1">
      <c r="A118" s="31"/>
      <c r="B118" s="31"/>
      <c r="C118" s="3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</row>
    <row r="119" ht="15.75" customHeight="1">
      <c r="A119" s="31"/>
      <c r="B119" s="31"/>
      <c r="C119" s="3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</row>
    <row r="120" ht="15.75" customHeight="1">
      <c r="A120" s="31"/>
      <c r="B120" s="31"/>
      <c r="C120" s="3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</row>
    <row r="121" ht="15.75" customHeight="1">
      <c r="A121" s="31"/>
      <c r="B121" s="31"/>
      <c r="C121" s="3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</row>
    <row r="122" ht="15.75" customHeight="1">
      <c r="A122" s="31"/>
      <c r="B122" s="31"/>
      <c r="C122" s="3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</row>
    <row r="123" ht="15.75" customHeight="1">
      <c r="A123" s="31"/>
      <c r="B123" s="31"/>
      <c r="C123" s="3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</row>
    <row r="124" ht="15.75" customHeight="1">
      <c r="A124" s="31"/>
      <c r="B124" s="31"/>
      <c r="C124" s="3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</row>
    <row r="125" ht="15.75" customHeight="1">
      <c r="A125" s="31"/>
      <c r="B125" s="31"/>
      <c r="C125" s="3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</row>
    <row r="126" ht="15.75" customHeight="1">
      <c r="A126" s="31"/>
      <c r="B126" s="31"/>
      <c r="C126" s="3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</row>
    <row r="127" ht="15.75" customHeight="1">
      <c r="A127" s="31"/>
      <c r="B127" s="31"/>
      <c r="C127" s="3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</row>
    <row r="128" ht="15.75" customHeight="1">
      <c r="A128" s="31"/>
      <c r="B128" s="31"/>
      <c r="C128" s="3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</row>
    <row r="129" ht="15.75" customHeight="1">
      <c r="A129" s="31"/>
      <c r="B129" s="31"/>
      <c r="C129" s="3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</row>
    <row r="130" ht="15.75" customHeight="1">
      <c r="A130" s="31"/>
      <c r="B130" s="31"/>
      <c r="C130" s="3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</row>
    <row r="131" ht="15.75" customHeight="1">
      <c r="A131" s="31"/>
      <c r="B131" s="31"/>
      <c r="C131" s="3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</row>
    <row r="132" ht="15.75" customHeight="1">
      <c r="A132" s="31"/>
      <c r="B132" s="31"/>
      <c r="C132" s="3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</row>
    <row r="133" ht="15.75" customHeight="1">
      <c r="A133" s="31"/>
      <c r="B133" s="31"/>
      <c r="C133" s="3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</row>
    <row r="134" ht="15.75" customHeight="1">
      <c r="A134" s="31"/>
      <c r="B134" s="31"/>
      <c r="C134" s="3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</row>
    <row r="135" ht="15.75" customHeight="1">
      <c r="A135" s="31"/>
      <c r="B135" s="31"/>
      <c r="C135" s="3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</row>
    <row r="136" ht="15.75" customHeight="1">
      <c r="A136" s="31"/>
      <c r="B136" s="31"/>
      <c r="C136" s="3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</row>
    <row r="137" ht="15.75" customHeight="1">
      <c r="A137" s="31"/>
      <c r="B137" s="31"/>
      <c r="C137" s="3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</row>
    <row r="138" ht="15.75" customHeight="1">
      <c r="A138" s="31"/>
      <c r="B138" s="31"/>
      <c r="C138" s="3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</row>
    <row r="139" ht="15.75" customHeight="1">
      <c r="A139" s="31"/>
      <c r="B139" s="31"/>
      <c r="C139" s="3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</row>
    <row r="140" ht="15.75" customHeight="1">
      <c r="A140" s="31"/>
      <c r="B140" s="31"/>
      <c r="C140" s="3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</row>
    <row r="141" ht="15.75" customHeight="1">
      <c r="A141" s="31"/>
      <c r="B141" s="31"/>
      <c r="C141" s="3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</row>
    <row r="142" ht="15.75" customHeight="1">
      <c r="A142" s="31"/>
      <c r="B142" s="31"/>
      <c r="C142" s="3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</row>
    <row r="143" ht="15.75" customHeight="1">
      <c r="A143" s="31"/>
      <c r="B143" s="31"/>
      <c r="C143" s="3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</row>
    <row r="144" ht="15.75" customHeight="1">
      <c r="A144" s="31"/>
      <c r="B144" s="31"/>
      <c r="C144" s="3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</row>
    <row r="145" ht="15.75" customHeight="1">
      <c r="A145" s="31"/>
      <c r="B145" s="31"/>
      <c r="C145" s="3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</row>
    <row r="146" ht="15.75" customHeight="1">
      <c r="A146" s="31"/>
      <c r="B146" s="31"/>
      <c r="C146" s="3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</row>
    <row r="147" ht="15.75" customHeight="1">
      <c r="A147" s="31"/>
      <c r="B147" s="31"/>
      <c r="C147" s="3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</row>
    <row r="148" ht="15.75" customHeight="1">
      <c r="A148" s="31"/>
      <c r="B148" s="31"/>
      <c r="C148" s="3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</row>
    <row r="149" ht="15.75" customHeight="1">
      <c r="A149" s="31"/>
      <c r="B149" s="31"/>
      <c r="C149" s="3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</row>
    <row r="150" ht="15.75" customHeight="1">
      <c r="A150" s="31"/>
      <c r="B150" s="31"/>
      <c r="C150" s="3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</row>
    <row r="151" ht="15.75" customHeight="1">
      <c r="A151" s="31"/>
      <c r="B151" s="31"/>
      <c r="C151" s="3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</row>
    <row r="152" ht="15.75" customHeight="1">
      <c r="A152" s="31"/>
      <c r="B152" s="31"/>
      <c r="C152" s="3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</row>
    <row r="153" ht="15.75" customHeight="1">
      <c r="A153" s="31"/>
      <c r="B153" s="31"/>
      <c r="C153" s="3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</row>
    <row r="154" ht="15.75" customHeight="1">
      <c r="A154" s="31"/>
      <c r="B154" s="31"/>
      <c r="C154" s="3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</row>
    <row r="155" ht="15.75" customHeight="1">
      <c r="A155" s="31"/>
      <c r="B155" s="31"/>
      <c r="C155" s="3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</row>
    <row r="156" ht="15.75" customHeight="1">
      <c r="A156" s="31"/>
      <c r="B156" s="31"/>
      <c r="C156" s="3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</row>
    <row r="157" ht="15.75" customHeight="1">
      <c r="A157" s="31"/>
      <c r="B157" s="31"/>
      <c r="C157" s="3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</row>
    <row r="158" ht="15.75" customHeight="1">
      <c r="A158" s="31"/>
      <c r="B158" s="31"/>
      <c r="C158" s="3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</row>
    <row r="159" ht="15.75" customHeight="1">
      <c r="A159" s="31"/>
      <c r="B159" s="31"/>
      <c r="C159" s="3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</row>
    <row r="160" ht="15.75" customHeight="1">
      <c r="A160" s="31"/>
      <c r="B160" s="31"/>
      <c r="C160" s="3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</row>
    <row r="161" ht="15.75" customHeight="1">
      <c r="A161" s="31"/>
      <c r="B161" s="31"/>
      <c r="C161" s="3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</row>
    <row r="162" ht="15.75" customHeight="1">
      <c r="A162" s="31"/>
      <c r="B162" s="31"/>
      <c r="C162" s="3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</row>
    <row r="163" ht="15.75" customHeight="1">
      <c r="A163" s="31"/>
      <c r="B163" s="31"/>
      <c r="C163" s="3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</row>
    <row r="164" ht="15.75" customHeight="1">
      <c r="A164" s="31"/>
      <c r="B164" s="31"/>
      <c r="C164" s="3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</row>
    <row r="165" ht="15.75" customHeight="1">
      <c r="A165" s="31"/>
      <c r="B165" s="31"/>
      <c r="C165" s="3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</row>
    <row r="166" ht="15.75" customHeight="1">
      <c r="A166" s="31"/>
      <c r="B166" s="31"/>
      <c r="C166" s="3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</row>
    <row r="167" ht="15.75" customHeight="1">
      <c r="A167" s="31"/>
      <c r="B167" s="31"/>
      <c r="C167" s="3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</row>
    <row r="168" ht="15.75" customHeight="1">
      <c r="A168" s="31"/>
      <c r="B168" s="31"/>
      <c r="C168" s="3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</row>
    <row r="169" ht="15.75" customHeight="1">
      <c r="A169" s="31"/>
      <c r="B169" s="31"/>
      <c r="C169" s="3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</row>
    <row r="170" ht="15.75" customHeight="1">
      <c r="A170" s="31"/>
      <c r="B170" s="31"/>
      <c r="C170" s="3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</row>
    <row r="171" ht="15.75" customHeight="1">
      <c r="A171" s="31"/>
      <c r="B171" s="31"/>
      <c r="C171" s="3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</row>
    <row r="172" ht="15.75" customHeight="1">
      <c r="A172" s="31"/>
      <c r="B172" s="31"/>
      <c r="C172" s="3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</row>
    <row r="173" ht="15.75" customHeight="1">
      <c r="A173" s="31"/>
      <c r="B173" s="31"/>
      <c r="C173" s="3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</row>
    <row r="174" ht="15.75" customHeight="1">
      <c r="A174" s="31"/>
      <c r="B174" s="31"/>
      <c r="C174" s="3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</row>
    <row r="175" ht="15.75" customHeight="1">
      <c r="A175" s="31"/>
      <c r="B175" s="31"/>
      <c r="C175" s="3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</row>
    <row r="176" ht="15.75" customHeight="1">
      <c r="A176" s="31"/>
      <c r="B176" s="31"/>
      <c r="C176" s="3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</row>
    <row r="177" ht="15.75" customHeight="1">
      <c r="A177" s="31"/>
      <c r="B177" s="31"/>
      <c r="C177" s="3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</row>
    <row r="178" ht="15.75" customHeight="1">
      <c r="A178" s="31"/>
      <c r="B178" s="31"/>
      <c r="C178" s="3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</row>
    <row r="179" ht="15.75" customHeight="1">
      <c r="A179" s="31"/>
      <c r="B179" s="31"/>
      <c r="C179" s="3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</row>
    <row r="180" ht="15.75" customHeight="1">
      <c r="A180" s="31"/>
      <c r="B180" s="31"/>
      <c r="C180" s="3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</row>
    <row r="181" ht="15.75" customHeight="1">
      <c r="A181" s="31"/>
      <c r="B181" s="31"/>
      <c r="C181" s="3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</row>
    <row r="182" ht="15.75" customHeight="1">
      <c r="A182" s="31"/>
      <c r="B182" s="31"/>
      <c r="C182" s="3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</row>
    <row r="183" ht="15.75" customHeight="1">
      <c r="A183" s="31"/>
      <c r="B183" s="31"/>
      <c r="C183" s="3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</row>
    <row r="184" ht="15.75" customHeight="1">
      <c r="A184" s="31"/>
      <c r="B184" s="31"/>
      <c r="C184" s="3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</row>
    <row r="185" ht="15.75" customHeight="1">
      <c r="A185" s="31"/>
      <c r="B185" s="31"/>
      <c r="C185" s="3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</row>
    <row r="186" ht="15.75" customHeight="1">
      <c r="A186" s="31"/>
      <c r="B186" s="31"/>
      <c r="C186" s="3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</row>
    <row r="187" ht="15.75" customHeight="1">
      <c r="A187" s="31"/>
      <c r="B187" s="31"/>
      <c r="C187" s="3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</row>
    <row r="188" ht="15.75" customHeight="1">
      <c r="A188" s="31"/>
      <c r="B188" s="31"/>
      <c r="C188" s="3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</row>
    <row r="189" ht="15.75" customHeight="1">
      <c r="A189" s="31"/>
      <c r="B189" s="31"/>
      <c r="C189" s="3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</row>
    <row r="190" ht="15.75" customHeight="1">
      <c r="A190" s="31"/>
      <c r="B190" s="31"/>
      <c r="C190" s="3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</row>
    <row r="191" ht="15.75" customHeight="1">
      <c r="A191" s="31"/>
      <c r="B191" s="31"/>
      <c r="C191" s="3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</row>
    <row r="192" ht="15.75" customHeight="1">
      <c r="A192" s="31"/>
      <c r="B192" s="31"/>
      <c r="C192" s="3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</row>
    <row r="193" ht="15.75" customHeight="1">
      <c r="A193" s="31"/>
      <c r="B193" s="31"/>
      <c r="C193" s="3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</row>
    <row r="194" ht="15.75" customHeight="1">
      <c r="A194" s="31"/>
      <c r="B194" s="31"/>
      <c r="C194" s="3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</row>
    <row r="195" ht="15.75" customHeight="1">
      <c r="A195" s="31"/>
      <c r="B195" s="31"/>
      <c r="C195" s="3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</row>
    <row r="196" ht="15.75" customHeight="1">
      <c r="A196" s="31"/>
      <c r="B196" s="31"/>
      <c r="C196" s="3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</row>
    <row r="197" ht="15.75" customHeight="1">
      <c r="A197" s="31"/>
      <c r="B197" s="31"/>
      <c r="C197" s="3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</row>
    <row r="198" ht="15.75" customHeight="1">
      <c r="A198" s="31"/>
      <c r="B198" s="31"/>
      <c r="C198" s="3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</row>
    <row r="199" ht="15.75" customHeight="1">
      <c r="A199" s="31"/>
      <c r="B199" s="31"/>
      <c r="C199" s="3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</row>
    <row r="200" ht="15.75" customHeight="1">
      <c r="A200" s="31"/>
      <c r="B200" s="31"/>
      <c r="C200" s="3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</row>
    <row r="201" ht="15.75" customHeight="1">
      <c r="A201" s="31"/>
      <c r="B201" s="31"/>
      <c r="C201" s="3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</row>
    <row r="202" ht="15.75" customHeight="1">
      <c r="A202" s="31"/>
      <c r="B202" s="31"/>
      <c r="C202" s="3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</row>
    <row r="203" ht="15.75" customHeight="1">
      <c r="A203" s="31"/>
      <c r="B203" s="31"/>
      <c r="C203" s="3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</row>
    <row r="204" ht="15.75" customHeight="1">
      <c r="A204" s="31"/>
      <c r="B204" s="31"/>
      <c r="C204" s="3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</row>
    <row r="205" ht="15.75" customHeight="1">
      <c r="A205" s="31"/>
      <c r="B205" s="31"/>
      <c r="C205" s="3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</row>
    <row r="206" ht="15.75" customHeight="1">
      <c r="A206" s="31"/>
      <c r="B206" s="31"/>
      <c r="C206" s="3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</row>
    <row r="207" ht="15.75" customHeight="1">
      <c r="A207" s="31"/>
      <c r="B207" s="31"/>
      <c r="C207" s="3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</row>
    <row r="208" ht="15.75" customHeight="1">
      <c r="A208" s="31"/>
      <c r="B208" s="31"/>
      <c r="C208" s="3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</row>
    <row r="209" ht="15.75" customHeight="1">
      <c r="A209" s="31"/>
      <c r="B209" s="31"/>
      <c r="C209" s="3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</row>
    <row r="210" ht="15.75" customHeight="1">
      <c r="A210" s="31"/>
      <c r="B210" s="31"/>
      <c r="C210" s="3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</row>
    <row r="211" ht="15.75" customHeight="1">
      <c r="A211" s="31"/>
      <c r="B211" s="31"/>
      <c r="C211" s="3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</row>
    <row r="212" ht="15.75" customHeight="1">
      <c r="A212" s="31"/>
      <c r="B212" s="31"/>
      <c r="C212" s="3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</row>
    <row r="213" ht="15.75" customHeight="1">
      <c r="A213" s="31"/>
      <c r="B213" s="31"/>
      <c r="C213" s="3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</row>
    <row r="214" ht="15.75" customHeight="1">
      <c r="A214" s="31"/>
      <c r="B214" s="31"/>
      <c r="C214" s="3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</row>
    <row r="215" ht="15.75" customHeight="1">
      <c r="A215" s="31"/>
      <c r="B215" s="31"/>
      <c r="C215" s="3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</row>
    <row r="216" ht="15.75" customHeight="1">
      <c r="A216" s="31"/>
      <c r="B216" s="31"/>
      <c r="C216" s="3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</row>
    <row r="217" ht="15.75" customHeight="1">
      <c r="A217" s="31"/>
      <c r="B217" s="31"/>
      <c r="C217" s="3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</row>
    <row r="218" ht="15.75" customHeight="1">
      <c r="A218" s="31"/>
      <c r="B218" s="31"/>
      <c r="C218" s="3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</row>
    <row r="219" ht="15.75" customHeight="1">
      <c r="A219" s="31"/>
      <c r="B219" s="31"/>
      <c r="C219" s="3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</row>
    <row r="220" ht="15.75" customHeight="1">
      <c r="A220" s="31"/>
      <c r="B220" s="31"/>
      <c r="C220" s="3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</row>
    <row r="221" ht="15.75" customHeight="1">
      <c r="A221" s="31"/>
      <c r="B221" s="31"/>
      <c r="C221" s="3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</row>
    <row r="222" ht="15.75" customHeight="1">
      <c r="A222" s="31"/>
      <c r="B222" s="31"/>
      <c r="C222" s="3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</row>
    <row r="223" ht="15.75" customHeight="1">
      <c r="A223" s="31"/>
      <c r="B223" s="31"/>
      <c r="C223" s="3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</row>
    <row r="224" ht="15.75" customHeight="1">
      <c r="A224" s="31"/>
      <c r="B224" s="31"/>
      <c r="C224" s="3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</row>
    <row r="225" ht="15.75" customHeight="1">
      <c r="A225" s="31"/>
      <c r="B225" s="31"/>
      <c r="C225" s="3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</row>
    <row r="226" ht="15.75" customHeight="1">
      <c r="A226" s="31"/>
      <c r="B226" s="31"/>
      <c r="C226" s="3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</row>
    <row r="227" ht="15.75" customHeight="1">
      <c r="A227" s="31"/>
      <c r="B227" s="31"/>
      <c r="C227" s="3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</row>
    <row r="228" ht="15.75" customHeight="1">
      <c r="A228" s="31"/>
      <c r="B228" s="31"/>
      <c r="C228" s="3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</row>
    <row r="229" ht="15.75" customHeight="1">
      <c r="A229" s="31"/>
      <c r="B229" s="31"/>
      <c r="C229" s="3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</row>
    <row r="230" ht="15.75" customHeight="1">
      <c r="A230" s="31"/>
      <c r="B230" s="31"/>
      <c r="C230" s="3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</row>
    <row r="231" ht="15.75" customHeight="1">
      <c r="A231" s="31"/>
      <c r="B231" s="31"/>
      <c r="C231" s="3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</row>
    <row r="232" ht="15.75" customHeight="1">
      <c r="A232" s="31"/>
      <c r="B232" s="31"/>
      <c r="C232" s="3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</row>
    <row r="233" ht="15.75" customHeight="1">
      <c r="A233" s="31"/>
      <c r="B233" s="31"/>
      <c r="C233" s="3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</row>
    <row r="234" ht="15.75" customHeight="1">
      <c r="A234" s="31"/>
      <c r="B234" s="31"/>
      <c r="C234" s="3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</row>
    <row r="235" ht="15.75" customHeight="1">
      <c r="A235" s="31"/>
      <c r="B235" s="31"/>
      <c r="C235" s="3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</row>
    <row r="236" ht="15.75" customHeight="1">
      <c r="A236" s="31"/>
      <c r="B236" s="31"/>
      <c r="C236" s="3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</row>
    <row r="237" ht="15.75" customHeight="1">
      <c r="A237" s="31"/>
      <c r="B237" s="31"/>
      <c r="C237" s="3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</row>
    <row r="238" ht="15.75" customHeight="1">
      <c r="A238" s="31"/>
      <c r="B238" s="31"/>
      <c r="C238" s="3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</row>
    <row r="239" ht="15.75" customHeight="1">
      <c r="A239" s="31"/>
      <c r="B239" s="31"/>
      <c r="C239" s="3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</row>
    <row r="240" ht="15.75" customHeight="1">
      <c r="A240" s="31"/>
      <c r="B240" s="31"/>
      <c r="C240" s="3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</row>
    <row r="241" ht="15.75" customHeight="1">
      <c r="A241" s="31"/>
      <c r="B241" s="31"/>
      <c r="C241" s="3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</row>
    <row r="242" ht="15.75" customHeight="1">
      <c r="A242" s="31"/>
      <c r="B242" s="31"/>
      <c r="C242" s="3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</row>
    <row r="243" ht="15.75" customHeight="1">
      <c r="A243" s="31"/>
      <c r="B243" s="31"/>
      <c r="C243" s="3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</row>
    <row r="244" ht="15.75" customHeight="1">
      <c r="A244" s="31"/>
      <c r="B244" s="31"/>
      <c r="C244" s="3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</row>
    <row r="245" ht="15.75" customHeight="1">
      <c r="A245" s="31"/>
      <c r="B245" s="31"/>
      <c r="C245" s="3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</row>
    <row r="246" ht="15.75" customHeight="1">
      <c r="A246" s="31"/>
      <c r="B246" s="31"/>
      <c r="C246" s="3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</row>
    <row r="247" ht="15.75" customHeight="1">
      <c r="A247" s="31"/>
      <c r="B247" s="31"/>
      <c r="C247" s="3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</row>
    <row r="248" ht="15.75" customHeight="1">
      <c r="A248" s="31"/>
      <c r="B248" s="31"/>
      <c r="C248" s="3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</row>
    <row r="249" ht="15.75" customHeight="1">
      <c r="A249" s="31"/>
      <c r="B249" s="31"/>
      <c r="C249" s="3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</row>
    <row r="250" ht="15.75" customHeight="1">
      <c r="A250" s="31"/>
      <c r="B250" s="31"/>
      <c r="C250" s="3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</row>
    <row r="251" ht="15.75" customHeight="1">
      <c r="A251" s="31"/>
      <c r="B251" s="31"/>
      <c r="C251" s="3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</row>
    <row r="252" ht="15.75" customHeight="1">
      <c r="A252" s="31"/>
      <c r="B252" s="31"/>
      <c r="C252" s="3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</row>
    <row r="253" ht="15.75" customHeight="1">
      <c r="A253" s="31"/>
      <c r="B253" s="31"/>
      <c r="C253" s="3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</row>
    <row r="254" ht="15.75" customHeight="1">
      <c r="A254" s="31"/>
      <c r="B254" s="31"/>
      <c r="C254" s="3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</row>
    <row r="255" ht="15.75" customHeight="1">
      <c r="A255" s="31"/>
      <c r="B255" s="31"/>
      <c r="C255" s="3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</row>
    <row r="256" ht="15.75" customHeight="1">
      <c r="A256" s="31"/>
      <c r="B256" s="31"/>
      <c r="C256" s="3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</row>
    <row r="257" ht="15.75" customHeight="1">
      <c r="A257" s="31"/>
      <c r="B257" s="31"/>
      <c r="C257" s="3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</row>
    <row r="258" ht="15.75" customHeight="1">
      <c r="A258" s="31"/>
      <c r="B258" s="31"/>
      <c r="C258" s="3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</row>
    <row r="259" ht="15.75" customHeight="1">
      <c r="A259" s="31"/>
      <c r="B259" s="31"/>
      <c r="C259" s="3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</row>
    <row r="260" ht="15.75" customHeight="1">
      <c r="A260" s="31"/>
      <c r="B260" s="31"/>
      <c r="C260" s="3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</row>
    <row r="261" ht="15.75" customHeight="1">
      <c r="A261" s="31"/>
      <c r="B261" s="31"/>
      <c r="C261" s="3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</row>
    <row r="262" ht="15.75" customHeight="1">
      <c r="A262" s="31"/>
      <c r="B262" s="31"/>
      <c r="C262" s="3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</row>
    <row r="263" ht="15.75" customHeight="1">
      <c r="A263" s="31"/>
      <c r="B263" s="31"/>
      <c r="C263" s="3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</row>
    <row r="264" ht="15.75" customHeight="1">
      <c r="A264" s="31"/>
      <c r="B264" s="31"/>
      <c r="C264" s="3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</row>
    <row r="265" ht="15.75" customHeight="1">
      <c r="A265" s="31"/>
      <c r="B265" s="31"/>
      <c r="C265" s="3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</row>
    <row r="266" ht="15.75" customHeight="1">
      <c r="A266" s="31"/>
      <c r="B266" s="31"/>
      <c r="C266" s="3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</row>
    <row r="267" ht="15.75" customHeight="1">
      <c r="A267" s="31"/>
      <c r="B267" s="31"/>
      <c r="C267" s="3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</row>
    <row r="268" ht="15.75" customHeight="1">
      <c r="A268" s="31"/>
      <c r="B268" s="31"/>
      <c r="C268" s="3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</row>
    <row r="269" ht="15.75" customHeight="1">
      <c r="A269" s="31"/>
      <c r="B269" s="31"/>
      <c r="C269" s="3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</row>
    <row r="270" ht="15.75" customHeight="1">
      <c r="A270" s="31"/>
      <c r="B270" s="31"/>
      <c r="C270" s="3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</row>
    <row r="271" ht="15.75" customHeight="1">
      <c r="A271" s="31"/>
      <c r="B271" s="31"/>
      <c r="C271" s="3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</row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9">
    <mergeCell ref="B36:B38"/>
    <mergeCell ref="C36:C38"/>
    <mergeCell ref="A30:A32"/>
    <mergeCell ref="B30:B32"/>
    <mergeCell ref="C30:C32"/>
    <mergeCell ref="A33:A35"/>
    <mergeCell ref="B33:B35"/>
    <mergeCell ref="C33:C35"/>
    <mergeCell ref="A36:A38"/>
    <mergeCell ref="B45:B47"/>
    <mergeCell ref="C45:C47"/>
    <mergeCell ref="A39:A41"/>
    <mergeCell ref="B39:B41"/>
    <mergeCell ref="C39:C41"/>
    <mergeCell ref="A42:A44"/>
    <mergeCell ref="B42:B44"/>
    <mergeCell ref="C42:C44"/>
    <mergeCell ref="A45:A47"/>
    <mergeCell ref="B54:B56"/>
    <mergeCell ref="C54:C56"/>
    <mergeCell ref="A48:A50"/>
    <mergeCell ref="B48:B50"/>
    <mergeCell ref="C48:C50"/>
    <mergeCell ref="A51:A53"/>
    <mergeCell ref="B51:B53"/>
    <mergeCell ref="C51:C53"/>
    <mergeCell ref="A54:A56"/>
    <mergeCell ref="B63:B65"/>
    <mergeCell ref="C63:C65"/>
    <mergeCell ref="A57:A59"/>
    <mergeCell ref="B57:B59"/>
    <mergeCell ref="C57:C59"/>
    <mergeCell ref="A60:A62"/>
    <mergeCell ref="B60:B62"/>
    <mergeCell ref="C60:C62"/>
    <mergeCell ref="A63:A65"/>
    <mergeCell ref="B9:B11"/>
    <mergeCell ref="C9:C11"/>
    <mergeCell ref="A3:A5"/>
    <mergeCell ref="B3:B5"/>
    <mergeCell ref="C3:C5"/>
    <mergeCell ref="A6:A8"/>
    <mergeCell ref="B6:B8"/>
    <mergeCell ref="C6:C8"/>
    <mergeCell ref="A9:A11"/>
    <mergeCell ref="B18:B20"/>
    <mergeCell ref="C18:C20"/>
    <mergeCell ref="A12:A14"/>
    <mergeCell ref="B12:B14"/>
    <mergeCell ref="C12:C14"/>
    <mergeCell ref="A15:A17"/>
    <mergeCell ref="B15:B17"/>
    <mergeCell ref="C15:C17"/>
    <mergeCell ref="A18:A20"/>
    <mergeCell ref="B27:B29"/>
    <mergeCell ref="C27:C29"/>
    <mergeCell ref="A21:A23"/>
    <mergeCell ref="B21:B23"/>
    <mergeCell ref="C21:C23"/>
    <mergeCell ref="A24:A26"/>
    <mergeCell ref="B24:B26"/>
    <mergeCell ref="C24:C26"/>
    <mergeCell ref="A27:A29"/>
    <mergeCell ref="A66:A68"/>
    <mergeCell ref="B66:B68"/>
    <mergeCell ref="C66:C68"/>
    <mergeCell ref="A69:A71"/>
    <mergeCell ref="B69:B71"/>
    <mergeCell ref="C69:C71"/>
  </mergeCells>
  <drawing r:id="rId1"/>
</worksheet>
</file>