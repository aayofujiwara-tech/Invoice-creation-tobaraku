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利用者" sheetId="1" r:id="rId5"/>
    <sheet state="visible" name="すまい請求書" sheetId="2" r:id="rId6"/>
    <sheet state="visible" name="すまい領収書" sheetId="3" r:id="rId7"/>
    <sheet state="visible" name="すまい領収書 のコピー" sheetId="4" r:id="rId8"/>
    <sheet state="visible" name="合算請求書" sheetId="5" r:id="rId9"/>
    <sheet state="visible" name="R8.2" sheetId="6" r:id="rId10"/>
    <sheet state="visible" name="R8.1" sheetId="7" r:id="rId11"/>
    <sheet state="visible" name="R7.12" sheetId="8" r:id="rId12"/>
    <sheet state="visible" name="R7.11" sheetId="9" r:id="rId13"/>
    <sheet state="visible" name="R7.10" sheetId="10" r:id="rId14"/>
    <sheet state="visible" name="R7.9" sheetId="11" r:id="rId15"/>
    <sheet state="visible" name="R7.8" sheetId="12" r:id="rId16"/>
    <sheet state="visible" name="R7.7" sheetId="13" r:id="rId17"/>
    <sheet state="visible" name="R7.6" sheetId="14" r:id="rId18"/>
    <sheet state="visible" name="R7.5" sheetId="15" r:id="rId19"/>
  </sheets>
  <definedNames>
    <definedName hidden="1" localSheetId="11" name="_xlnm._FilterDatabase">'R7.8'!$A$2:$AJ$110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tc={18a75575-c27a-44c7-82e1-72b9c68083ea}</author>
    <author>tc={39d9c06e-5858-405a-827b-cc3276c7b699}</author>
    <author>tc={441f4afd-3b85-4bce-b030-7d8697195949}</author>
    <author>tc={46723aa7-a65b-4b8d-b4ba-0dacf5a7e993}</author>
    <author>tc={493ce22b-2570-4d54-a7f0-f5750418acd7}</author>
    <author>tc={498f45ff-f5d8-4072-9139-d1857cad7221}</author>
    <author>tc={55128fdf-4a48-4e7a-8d82-0712e16d6a4d}</author>
    <author>tc={55325db1-5ca0-47e8-95c6-e173149a1970}</author>
    <author>tc={5f5e8ddf-c4c4-42e2-aecc-cc27518faea1}</author>
    <author>tc={79d29ffa-9d1c-498e-8379-a2b4652ce765}</author>
    <author>tc={8b4da305-1c78-4854-8e18-a6555f20bbe3}</author>
    <author>tc={959b1a6b-1556-4721-9390-3ba4868a2e3c}</author>
    <author>tc={a9f9f525-b40f-41d0-977a-87805741d924}</author>
    <author>tc={c37541ea-bfbf-4535-82cf-67916536e603}</author>
    <author>tc={c44569ce-53df-44b1-8093-46320d976e1e}</author>
    <author>tc={d916d111-c05e-4d00-8f9e-9b2d3d8bf576}</author>
    <author>tc={d9d3ebcf-3ec5-424d-8b20-cb363e0e07c3}</author>
    <author>tc={ddc65b04-69ad-42a9-82ef-f091271bf21b}</author>
    <author>tc={e3d8fea5-39b7-4ba0-8db8-a8ebdbb63d45}</author>
    <author>tc={eff19cd4-4f3f-4caa-94e6-8f7338631278}</author>
  </authors>
  <commentList>
    <comment authorId="0" xr:uid="{18a75575-c27a-44c7-82e1-72b9c68083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39d9c06e-5858-405a-827b-cc3276c7b6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  <comment authorId="2" xr:uid="{441f4afd-3b85-4bce-b030-7d86971959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デイサービス3～6月分
</t>
      </text>
    </comment>
    <comment authorId="3" xr:uid="{46723aa7-a65b-4b8d-b4ba-0dacf5a7e9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  <comment authorId="4" xr:uid="{493ce22b-2570-4d54-a7f0-f5750418ac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5" xr:uid="{498f45ff-f5d8-4072-9139-d1857cad72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6" xr:uid="{55128fdf-4a48-4e7a-8d82-0712e16d6a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907円/1日
</t>
      </text>
    </comment>
    <comment authorId="7" xr:uid="{55325db1-5ca0-47e8-95c6-e173149a19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8" xr:uid="{5f5e8ddf-c4c4-42e2-aecc-cc27518fae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駐車場
</t>
      </text>
    </comment>
    <comment authorId="9" xr:uid="{79d29ffa-9d1c-498e-8379-a2b4652ce7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0" xr:uid="{8b4da305-1c78-4854-8e18-a6555f20bb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11" xr:uid="{959b1a6b-1556-4721-9390-3ba4868a2e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2" xr:uid="{a9f9f525-b40f-41d0-977a-87805741d9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3" xr:uid="{c37541ea-bfbf-4535-82cf-67916536e6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  <comment authorId="14" xr:uid="{c44569ce-53df-44b1-8093-46320d976e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駐輪場
</t>
      </text>
    </comment>
    <comment authorId="15" xr:uid="{d916d111-c05e-4d00-8f9e-9b2d3d8bf5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6" xr:uid="{d9d3ebcf-3ec5-424d-8b20-cb363e0e07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544円/1日
</t>
      </text>
    </comment>
    <comment authorId="17" xr:uid="{ddc65b04-69ad-42a9-82ef-f091271bf2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18" xr:uid="{e3d8fea5-39b7-4ba0-8db8-a8ebdbb63d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9" xr:uid="{eff19cd4-4f3f-4caa-94e6-8f73386312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tc={0c9f9f2a-e513-4dcc-97fa-3672f4ee4a28}</author>
    <author>tc={2623bac8-8b3d-4a95-a704-dcf8e2baca5b}</author>
    <author>tc={2b06a2c8-f4a4-49cb-bdd7-08008c8bbef4}</author>
    <author>tc={33bed003-900a-4ae7-b79f-56c1d1466e19}</author>
    <author>tc={3eba1c94-9f27-4070-81da-4fc05273c8fd}</author>
    <author>tc={6acfb820-d4eb-494d-a0e2-23a275d21f5f}</author>
    <author>tc={7b1e2c8d-66c9-4c88-bf9f-e89e28f7cb14}</author>
    <author>tc={83057e57-cd37-4737-8725-a4db96044df1}</author>
    <author>tc={a47f7959-94fe-4fcb-bc8e-0dcae321f57f}</author>
    <author>tc={c9d96a7e-897e-46be-88ca-adac86dc5d97}</author>
    <author>tc={d11fded9-a0f1-46a3-b28e-64a8fbf37ba3}</author>
    <author>tc={d5244737-638c-4557-a699-2db2c1c146fa}</author>
    <author>tc={e20df14d-5c4e-4790-baff-fb607180748e}</author>
    <author>tc={ea872037-8bad-427f-8a26-82cbad126b8a}</author>
    <author>tc={f2eaf53e-109c-45e4-a4dc-371d833c5f62}</author>
  </authors>
  <commentList>
    <comment authorId="0" xr:uid="{0c9f9f2a-e513-4dcc-97fa-3672f4ee4a28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  <comment authorId="1" xr:uid="{2623bac8-8b3d-4a95-a704-dcf8e2baca5b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2b06a2c8-f4a4-49cb-bdd7-08008c8bbef4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545円/1日
</t>
      </text>
    </comment>
    <comment authorId="3" xr:uid="{33bed003-900a-4ae7-b79f-56c1d1466e19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  <comment authorId="4" xr:uid="{3eba1c94-9f27-4070-81da-4fc05273c8fd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5" xr:uid="{6acfb820-d4eb-494d-a0e2-23a275d21f5f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6" xr:uid="{7b1e2c8d-66c9-4c88-bf9f-e89e28f7cb14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7" xr:uid="{83057e57-cd37-4737-8725-a4db96044df1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8" xr:uid="{a47f7959-94fe-4fcb-bc8e-0dcae321f57f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9" xr:uid="{c9d96a7e-897e-46be-88ca-adac86dc5d97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0" xr:uid="{d11fded9-a0f1-46a3-b28e-64a8fbf37ba3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908円/1日
</t>
      </text>
    </comment>
    <comment authorId="11" xr:uid="{d5244737-638c-4557-a699-2db2c1c146fa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2" xr:uid="{e20df14d-5c4e-4790-baff-fb607180748e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13" xr:uid="{ea872037-8bad-427f-8a26-82cbad126b8a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4" xr:uid="{f2eaf53e-109c-45e4-a4dc-371d833c5f62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tc={02f787a4-06f3-4325-9f77-a331897201c7}</author>
    <author>tc={07047fda-b827-475b-8bdd-f2ba9e6950e8}</author>
    <author>tc={5d61eba3-0824-4453-85bb-1fbb434c82d8}</author>
    <author>tc={6438c4d8-91a4-4b56-b72e-918b688f1e5b}</author>
    <author>tc={7cd7a0fb-a2d7-4b36-9a7c-5b42643c968e}</author>
    <author>tc={7e8aa7c0-73ae-49c7-b5dd-98580e58e168}</author>
    <author>tc={c5271379-6f7a-4631-a25c-71d5a600af21}</author>
    <author>tc={c96e7c3b-f79d-4672-abc9-e2f46fd9acfa}</author>
    <author>tc={d9e20429-bfee-4eac-a161-715cdc184db4}</author>
  </authors>
  <commentList>
    <comment authorId="0" xr:uid="{02f787a4-06f3-4325-9f77-a331897201c7}" ref="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19670円固定
</t>
      </text>
    </comment>
    <comment authorId="1" xr:uid="{07047fda-b827-475b-8bdd-f2ba9e6950e8}" ref="T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駐車場代
</t>
      </text>
    </comment>
    <comment authorId="2" xr:uid="{5d61eba3-0824-4453-85bb-1fbb434c82d8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駐輪場代
</t>
      </text>
    </comment>
    <comment authorId="3" xr:uid="{6438c4d8-91a4-4b56-b72e-918b688f1e5b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242円/１日
</t>
      </text>
    </comment>
    <comment authorId="4" xr:uid="{7cd7a0fb-a2d7-4b36-9a7c-5b42643c968e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363円/１日
</t>
      </text>
    </comment>
    <comment authorId="5" xr:uid="{7e8aa7c0-73ae-49c7-b5dd-98580e58e168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73円/１日
</t>
      </text>
    </comment>
    <comment authorId="6" xr:uid="{c5271379-6f7a-4631-a25c-71d5a600af21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73円/１日
</t>
      </text>
    </comment>
    <comment authorId="7" xr:uid="{c96e7c3b-f79d-4672-abc9-e2f46fd9acfa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73円/１日
</t>
      </text>
    </comment>
    <comment authorId="8" xr:uid="{d9e20429-bfee-4eac-a161-715cdc184db4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242円/１日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tc={2a244a4f-5e49-47e8-9580-f5eb55f0cc0c}</author>
  </authors>
  <commentList>
    <comment authorId="0" xr:uid="{2a244a4f-5e49-47e8-9580-f5eb55f0cc0c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駐輪場
</t>
      </text>
    </comment>
  </commentList>
</comments>
</file>

<file path=xl/sharedStrings.xml><?xml version="1.0" encoding="utf-8"?>
<sst xmlns="http://schemas.openxmlformats.org/spreadsheetml/2006/main" count="1496" uniqueCount="168">
  <si>
    <t>居室</t>
  </si>
  <si>
    <t>利用者名</t>
  </si>
  <si>
    <t>請求摘要</t>
  </si>
  <si>
    <t>対象期間</t>
  </si>
  <si>
    <t>杉田誠一</t>
  </si>
  <si>
    <t>家賃</t>
  </si>
  <si>
    <t>来月分</t>
  </si>
  <si>
    <t>林郁子</t>
  </si>
  <si>
    <t>管理費</t>
  </si>
  <si>
    <t>西中照彦</t>
  </si>
  <si>
    <t>共益費</t>
  </si>
  <si>
    <t>211✕</t>
  </si>
  <si>
    <t>鈴木信子</t>
  </si>
  <si>
    <t>水道料金</t>
  </si>
  <si>
    <t>長谷部融子</t>
  </si>
  <si>
    <t>定額光熱費</t>
  </si>
  <si>
    <t>畑㞍真一</t>
  </si>
  <si>
    <t>食事</t>
  </si>
  <si>
    <t>当月分</t>
  </si>
  <si>
    <t>三代正治</t>
  </si>
  <si>
    <t>調整額</t>
  </si>
  <si>
    <t>オムツ</t>
  </si>
  <si>
    <t>日用品</t>
  </si>
  <si>
    <t>上村春子</t>
  </si>
  <si>
    <t>分割支払い</t>
  </si>
  <si>
    <t>河田晃晁</t>
  </si>
  <si>
    <t>事務手数料</t>
  </si>
  <si>
    <t>サポート費</t>
  </si>
  <si>
    <t>北村繁弘</t>
  </si>
  <si>
    <t>その他</t>
  </si>
  <si>
    <t>デイサービス</t>
  </si>
  <si>
    <t>金坂孝信</t>
  </si>
  <si>
    <t>福祉用具</t>
  </si>
  <si>
    <t>前月分</t>
  </si>
  <si>
    <t>榎本裕子</t>
  </si>
  <si>
    <t>しろくま薬局</t>
  </si>
  <si>
    <t>西川太</t>
  </si>
  <si>
    <t>往診診療費</t>
  </si>
  <si>
    <t>斧義也</t>
  </si>
  <si>
    <t>日川敬達</t>
  </si>
  <si>
    <t>内田克政</t>
  </si>
  <si>
    <t>210✕</t>
  </si>
  <si>
    <t>ええすまい御請求書</t>
  </si>
  <si>
    <t>R7.8から使用可能</t>
  </si>
  <si>
    <t>様</t>
  </si>
  <si>
    <t>発行日：</t>
  </si>
  <si>
    <t>R8.1</t>
  </si>
  <si>
    <t>当月</t>
  </si>
  <si>
    <t>前月</t>
  </si>
  <si>
    <t>パシフィック塚本（ええすまい）</t>
  </si>
  <si>
    <t>号室</t>
  </si>
  <si>
    <t>株式会社AA
代表取締役 大石佐智子</t>
  </si>
  <si>
    <t>※分割払いの管理</t>
  </si>
  <si>
    <t>ご請求金額</t>
  </si>
  <si>
    <t>大阪市西淀川区柏里2-9-3-102</t>
  </si>
  <si>
    <t>内　　容</t>
  </si>
  <si>
    <t xml:space="preserve">単 価 </t>
  </si>
  <si>
    <t>数量</t>
  </si>
  <si>
    <t>小計</t>
  </si>
  <si>
    <t>備考</t>
  </si>
  <si>
    <t>1か月</t>
  </si>
  <si>
    <t>ご請求額合計</t>
  </si>
  <si>
    <t>※家賃、共益費、管理費、光熱費は消費税不要</t>
  </si>
  <si>
    <t>8%対象　合計</t>
  </si>
  <si>
    <t>消費税（８％）</t>
  </si>
  <si>
    <t>10％対象　合計</t>
  </si>
  <si>
    <t>消費税（10％）</t>
  </si>
  <si>
    <t>税込合計</t>
  </si>
  <si>
    <t xml:space="preserve">　</t>
  </si>
  <si>
    <t>領　収　書</t>
  </si>
  <si>
    <t>受領日</t>
  </si>
  <si>
    <t>但し　家賃、共益費、管理費、水道代、自費分として</t>
  </si>
  <si>
    <t>上記の金額正に受領いたしました</t>
  </si>
  <si>
    <t>株式会社AA</t>
  </si>
  <si>
    <t>〒555-0022</t>
  </si>
  <si>
    <t>TEL・FAX 06-4400-2901</t>
  </si>
  <si>
    <t>奥谷 國治</t>
  </si>
  <si>
    <t>但し　家賃、固定光熱費、共益費、管理費、自費分として</t>
  </si>
  <si>
    <t>ご利用金額のお知らせ</t>
  </si>
  <si>
    <t>合計金額</t>
  </si>
  <si>
    <t>請求金額</t>
  </si>
  <si>
    <t>お支払期限</t>
  </si>
  <si>
    <t>ええすまい</t>
  </si>
  <si>
    <t>請求書別紙</t>
  </si>
  <si>
    <t>ええかいご</t>
  </si>
  <si>
    <t>ええかんご</t>
  </si>
  <si>
    <t>お支払につきましては下記口座へお願いいたします。</t>
  </si>
  <si>
    <t>振込手数料につきましてはお客様ご負担にてお願い申し上げます。</t>
  </si>
  <si>
    <t>振込先</t>
  </si>
  <si>
    <t>銀行名：</t>
  </si>
  <si>
    <t>住信ＳＢＩネット銀行（金融機関コード0038）</t>
  </si>
  <si>
    <t>支店名：</t>
  </si>
  <si>
    <t>法人第一支店（支店コード106）</t>
  </si>
  <si>
    <t>口座番号：</t>
  </si>
  <si>
    <t>普通 　2555848</t>
  </si>
  <si>
    <t>口座名義：</t>
  </si>
  <si>
    <t xml:space="preserve">株式会社AA </t>
  </si>
  <si>
    <t>カ）エーエー</t>
  </si>
  <si>
    <t>請求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</si>
  <si>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</si>
  <si>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</si>
  <si>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</si>
  <si>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</si>
  <si>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</si>
  <si>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</si>
  <si>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</si>
  <si>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</si>
  <si>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</si>
  <si>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</si>
  <si>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</si>
  <si>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</si>
  <si>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</si>
  <si>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</si>
  <si>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</si>
  <si>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</si>
  <si>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</si>
  <si>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</si>
  <si>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</si>
  <si>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</si>
  <si>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</si>
  <si>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</si>
  <si>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</si>
  <si>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</si>
  <si>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</si>
  <si>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分納残</t>
  </si>
  <si>
    <t>計</t>
  </si>
  <si>
    <t>一部負担(介護)</t>
  </si>
  <si>
    <t>一部負担(看護)</t>
  </si>
  <si>
    <t>合計</t>
  </si>
  <si>
    <t>請求書</t>
  </si>
  <si>
    <t>分割残高</t>
  </si>
  <si>
    <t>未作成</t>
  </si>
  <si>
    <t>通常請求</t>
  </si>
  <si>
    <t>9○+初期1</t>
  </si>
  <si>
    <t>10○+初期1万</t>
  </si>
  <si>
    <t>入院中一旦請求停止</t>
  </si>
  <si>
    <t>金澤喜乎</t>
  </si>
  <si>
    <t>12万程度</t>
  </si>
  <si>
    <t>発行済</t>
  </si>
  <si>
    <t>分割金額</t>
  </si>
  <si>
    <t>介護一部負担</t>
  </si>
  <si>
    <t>介護保険料</t>
  </si>
  <si>
    <t>健康保険料</t>
  </si>
  <si>
    <t>外部利用</t>
  </si>
  <si>
    <t>一部負担</t>
  </si>
  <si>
    <t>本人支払い</t>
  </si>
  <si>
    <t>未納金額</t>
  </si>
  <si>
    <t>入金額</t>
  </si>
  <si>
    <t>入金日</t>
  </si>
  <si>
    <t>差引額</t>
  </si>
  <si>
    <t>2A</t>
  </si>
  <si>
    <t>2B</t>
  </si>
  <si>
    <t>笠岡康志</t>
  </si>
  <si>
    <t>2E</t>
  </si>
  <si>
    <t>藤本敏博</t>
  </si>
  <si>
    <t>5B</t>
  </si>
  <si>
    <t>中込和人</t>
  </si>
  <si>
    <t>5C</t>
  </si>
  <si>
    <t>上田清江</t>
  </si>
  <si>
    <t>6A</t>
  </si>
  <si>
    <t>6B</t>
  </si>
  <si>
    <t>小山美由紀</t>
  </si>
  <si>
    <t>6C</t>
  </si>
  <si>
    <t>宮本浩行</t>
  </si>
  <si>
    <t>6D</t>
  </si>
  <si>
    <t>6E</t>
  </si>
  <si>
    <t>岡村三男</t>
  </si>
  <si>
    <t>国保連　月請求分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</si>
</sst>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¥&quot;#,##0;&quot;¥&quot;\-#,##0"/>
    <numFmt numFmtId="165" formatCode="0月分"/>
    <numFmt numFmtId="166" formatCode="m"/>
    <numFmt numFmtId="167" formatCode="yyyy&quot;年&quot;m&quot;月&quot;d&quot;日&quot;"/>
    <numFmt numFmtId="168" formatCode="月分"/>
    <numFmt numFmtId="169" formatCode="&quot;¥&quot;#,##0;[Red]&quot;¥&quot;\-#,##0"/>
    <numFmt numFmtId="170" formatCode="yyyy年 m月 d日"/>
    <numFmt numFmtId="171" formatCode="&quot;¥&quot;#,##0\-_ ;&quot;¥&quot;\-#,##0\-_ ;_ &quot;¥&quot;* &quot;-&quot;_ ;_ @_ "/>
    <numFmt numFmtId="172" formatCode="[$-F800]dddd\,\ mmmm\ dd\,\ yyyy"/>
    <numFmt numFmtId="173" formatCode="yyyy年m月d日"/>
    <numFmt numFmtId="174" formatCode="0月ご利用分"/>
    <numFmt numFmtId="175" formatCode="yyyy/MM/dd"/>
    <numFmt numFmtId="176" formatCode="[$¥]#,##0"/>
    <numFmt numFmtId="177" formatCode="[$¥-411]#,##0"/>
  </numFmts>
  <fonts count="35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游ゴシック"/>
    </font>
    <font>
      <sz val="11.0"/>
      <color theme="1"/>
      <name val="游ゴシック"/>
    </font>
    <font>
      <sz val="11.0"/>
      <color theme="1"/>
      <name val="Arial"/>
    </font>
    <font>
      <b/>
      <u/>
      <sz val="20.0"/>
      <color theme="1"/>
      <name val="游ゴシック"/>
    </font>
    <font>
      <sz val="14.0"/>
      <color theme="1"/>
      <name val="游ゴシック"/>
    </font>
    <font>
      <b/>
      <sz val="11.0"/>
      <color theme="1"/>
      <name val="游ゴシック"/>
    </font>
    <font/>
    <font>
      <sz val="10.0"/>
      <color theme="1"/>
      <name val="游ゴシック"/>
    </font>
    <font>
      <b/>
      <sz val="12.0"/>
      <color theme="1"/>
      <name val="游ゴシック"/>
    </font>
    <font>
      <b/>
      <sz val="18.0"/>
      <color theme="1"/>
      <name val="游ゴシック"/>
    </font>
    <font>
      <b/>
      <sz val="13.0"/>
      <color theme="1"/>
      <name val="游ゴシック"/>
    </font>
    <font>
      <sz val="12.0"/>
      <color theme="1"/>
      <name val="游ゴシック"/>
    </font>
    <font>
      <sz val="13.0"/>
      <color theme="1"/>
      <name val="Calibri"/>
    </font>
    <font>
      <sz val="12.0"/>
      <color rgb="FFFF0000"/>
      <name val="游ゴシック"/>
    </font>
    <font>
      <sz val="9.0"/>
      <color theme="1"/>
      <name val="游ゴシック"/>
    </font>
    <font>
      <sz val="10.0"/>
      <color theme="1"/>
      <name val="Meiryo"/>
    </font>
    <font>
      <sz val="11.0"/>
      <color theme="1"/>
      <name val="Calibri"/>
    </font>
    <font>
      <sz val="14.0"/>
      <color theme="1"/>
      <name val="Arial"/>
    </font>
    <font>
      <sz val="14.0"/>
      <color theme="1"/>
      <name val="游ゴシック light"/>
    </font>
    <font>
      <sz val="24.0"/>
      <color theme="1"/>
      <name val="游ゴシック light"/>
    </font>
    <font>
      <sz val="11.0"/>
      <color theme="1"/>
      <name val="游ゴシック light"/>
    </font>
    <font>
      <u/>
      <sz val="14.0"/>
      <color theme="1"/>
      <name val="游ゴシック light"/>
    </font>
    <font>
      <sz val="18.0"/>
      <color theme="1"/>
      <name val="游ゴシック light"/>
    </font>
    <font>
      <sz val="28.0"/>
      <color theme="1"/>
      <name val="游ゴシック light"/>
    </font>
    <font>
      <sz val="9.0"/>
      <color theme="1"/>
      <name val="游ゴシック light"/>
    </font>
    <font>
      <sz val="12.0"/>
      <color theme="1"/>
      <name val="游ゴシック light"/>
    </font>
    <font>
      <b/>
      <sz val="16.0"/>
      <color theme="1"/>
      <name val="游ゴシック light"/>
    </font>
    <font>
      <sz val="16.0"/>
      <color theme="1"/>
      <name val="游ゴシック light"/>
    </font>
    <font>
      <b/>
      <sz val="15.0"/>
      <color theme="1"/>
      <name val="Arial"/>
    </font>
    <font>
      <b/>
      <color rgb="FFFF0000"/>
      <name val="Arial"/>
    </font>
    <font>
      <color rgb="FF000000"/>
      <name val="Arial"/>
    </font>
    <font>
      <b/>
      <sz val="11.0"/>
      <color rgb="FFFF0000"/>
      <name val="Arial"/>
    </font>
    <font>
      <color rgb="FFFF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3" numFmtId="166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center"/>
    </xf>
    <xf borderId="0" fillId="0" fontId="3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4" fillId="0" fontId="7" numFmtId="168" xfId="0" applyAlignment="1" applyBorder="1" applyFont="1" applyNumberFormat="1">
      <alignment horizontal="center" vertical="center"/>
    </xf>
    <xf borderId="5" fillId="0" fontId="8" numFmtId="0" xfId="0" applyBorder="1" applyFont="1"/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0" xfId="0" applyAlignment="1" applyFont="1">
      <alignment vertical="center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6" fillId="3" fontId="3" numFmtId="0" xfId="0" applyAlignment="1" applyBorder="1" applyFont="1">
      <alignment horizontal="center" vertical="center"/>
    </xf>
    <xf borderId="7" fillId="0" fontId="8" numFmtId="0" xfId="0" applyBorder="1" applyFont="1"/>
    <xf borderId="6" fillId="0" fontId="11" numFmtId="169" xfId="0" applyAlignment="1" applyBorder="1" applyFont="1" applyNumberFormat="1">
      <alignment horizontal="center" vertical="center"/>
    </xf>
    <xf borderId="8" fillId="0" fontId="8" numFmtId="0" xfId="0" applyBorder="1" applyFont="1"/>
    <xf borderId="0" fillId="0" fontId="10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9" fillId="3" fontId="12" numFmtId="0" xfId="0" applyAlignment="1" applyBorder="1" applyFont="1">
      <alignment horizontal="center" vertical="center"/>
    </xf>
    <xf borderId="10" fillId="0" fontId="8" numFmtId="0" xfId="0" applyBorder="1" applyFont="1"/>
    <xf borderId="10" fillId="3" fontId="12" numFmtId="0" xfId="0" applyAlignment="1" applyBorder="1" applyFont="1">
      <alignment horizontal="center" vertical="center"/>
    </xf>
    <xf borderId="11" fillId="0" fontId="8" numFmtId="0" xfId="0" applyBorder="1" applyFont="1"/>
    <xf borderId="12" fillId="0" fontId="13" numFmtId="164" xfId="0" applyAlignment="1" applyBorder="1" applyFont="1" applyNumberFormat="1">
      <alignment horizontal="center" shrinkToFit="1" vertical="center" wrapText="0"/>
    </xf>
    <xf borderId="0" fillId="0" fontId="13" numFmtId="169" xfId="0" applyAlignment="1" applyFont="1" applyNumberFormat="1">
      <alignment horizontal="right" vertical="center"/>
    </xf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horizontal="right" vertical="center"/>
    </xf>
    <xf borderId="0" fillId="0" fontId="14" numFmtId="165" xfId="0" applyAlignment="1" applyFont="1" applyNumberFormat="1">
      <alignment horizontal="center" vertical="center"/>
    </xf>
    <xf borderId="13" fillId="0" fontId="8" numFmtId="0" xfId="0" applyBorder="1" applyFont="1"/>
    <xf borderId="12" fillId="3" fontId="13" numFmtId="164" xfId="0" applyAlignment="1" applyBorder="1" applyFont="1" applyNumberFormat="1">
      <alignment horizontal="center" shrinkToFit="1" vertical="center" wrapText="0"/>
    </xf>
    <xf borderId="0" fillId="3" fontId="13" numFmtId="169" xfId="0" applyAlignment="1" applyFont="1" applyNumberFormat="1">
      <alignment horizontal="right" vertical="center"/>
    </xf>
    <xf borderId="0" fillId="3" fontId="13" numFmtId="0" xfId="0" applyAlignment="1" applyFont="1">
      <alignment horizontal="center" vertical="center"/>
    </xf>
    <xf borderId="0" fillId="3" fontId="13" numFmtId="164" xfId="0" applyAlignment="1" applyFont="1" applyNumberFormat="1">
      <alignment horizontal="right" vertical="center"/>
    </xf>
    <xf borderId="0" fillId="3" fontId="14" numFmtId="165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5" numFmtId="164" xfId="0" applyAlignment="1" applyFont="1" applyNumberFormat="1">
      <alignment horizontal="right" vertical="center"/>
    </xf>
    <xf borderId="0" fillId="0" fontId="13" numFmtId="164" xfId="0" applyAlignment="1" applyFont="1" applyNumberFormat="1">
      <alignment horizontal="center" shrinkToFit="1" vertical="center" wrapText="0"/>
    </xf>
    <xf borderId="14" fillId="3" fontId="13" numFmtId="164" xfId="0" applyAlignment="1" applyBorder="1" applyFont="1" applyNumberFormat="1">
      <alignment horizontal="center" vertical="center"/>
    </xf>
    <xf borderId="15" fillId="0" fontId="8" numFmtId="0" xfId="0" applyBorder="1" applyFont="1"/>
    <xf borderId="15" fillId="3" fontId="13" numFmtId="164" xfId="0" applyAlignment="1" applyBorder="1" applyFont="1" applyNumberFormat="1">
      <alignment horizontal="right" vertical="center"/>
    </xf>
    <xf borderId="15" fillId="3" fontId="13" numFmtId="0" xfId="0" applyAlignment="1" applyBorder="1" applyFont="1">
      <alignment horizontal="center" vertical="center"/>
    </xf>
    <xf borderId="16" fillId="0" fontId="8" numFmtId="0" xfId="0" applyBorder="1" applyFont="1"/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6" fillId="5" fontId="17" numFmtId="0" xfId="0" applyAlignment="1" applyBorder="1" applyFill="1" applyFont="1">
      <alignment horizontal="center" vertical="center"/>
    </xf>
    <xf borderId="6" fillId="0" fontId="13" numFmtId="169" xfId="0" applyAlignment="1" applyBorder="1" applyFont="1" applyNumberFormat="1">
      <alignment horizontal="right" vertical="center"/>
    </xf>
    <xf borderId="6" fillId="3" fontId="13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/>
    </xf>
    <xf borderId="0" fillId="0" fontId="1" numFmtId="0" xfId="0" applyFont="1"/>
    <xf borderId="0" fillId="0" fontId="19" numFmtId="0" xfId="0" applyFont="1"/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vertical="center"/>
    </xf>
    <xf borderId="0" fillId="0" fontId="20" numFmtId="49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2" numFmtId="170" xfId="0" applyAlignment="1" applyFont="1" applyNumberFormat="1">
      <alignment horizontal="center" vertical="center"/>
    </xf>
    <xf borderId="15" fillId="0" fontId="24" numFmtId="0" xfId="0" applyAlignment="1" applyBorder="1" applyFont="1">
      <alignment horizontal="center" vertical="center"/>
    </xf>
    <xf borderId="17" fillId="6" fontId="20" numFmtId="0" xfId="0" applyAlignment="1" applyBorder="1" applyFill="1" applyFont="1">
      <alignment vertical="center"/>
    </xf>
    <xf borderId="18" fillId="6" fontId="25" numFmtId="171" xfId="0" applyAlignment="1" applyBorder="1" applyFont="1" applyNumberFormat="1">
      <alignment horizontal="center" vertical="center"/>
    </xf>
    <xf borderId="19" fillId="0" fontId="8" numFmtId="0" xfId="0" applyBorder="1" applyFont="1"/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8" numFmtId="172" xfId="0" applyAlignment="1" applyFont="1" applyNumberFormat="1">
      <alignment vertical="center"/>
    </xf>
    <xf borderId="0" fillId="0" fontId="29" numFmtId="0" xfId="0" applyAlignment="1" applyFont="1">
      <alignment horizontal="left" vertical="center"/>
    </xf>
    <xf borderId="0" fillId="0" fontId="29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22" numFmtId="173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0" fillId="0" fontId="11" numFmtId="169" xfId="0" applyAlignment="1" applyFont="1" applyNumberFormat="1">
      <alignment horizontal="center" vertical="center"/>
    </xf>
    <xf borderId="20" fillId="7" fontId="13" numFmtId="0" xfId="0" applyAlignment="1" applyBorder="1" applyFill="1" applyFont="1">
      <alignment horizontal="center" vertical="center"/>
    </xf>
    <xf borderId="21" fillId="0" fontId="8" numFmtId="0" xfId="0" applyBorder="1" applyFont="1"/>
    <xf borderId="20" fillId="7" fontId="3" numFmtId="0" xfId="0" applyAlignment="1" applyBorder="1" applyFont="1">
      <alignment horizontal="center" vertical="center"/>
    </xf>
    <xf borderId="22" fillId="0" fontId="8" numFmtId="0" xfId="0" applyBorder="1" applyFont="1"/>
    <xf borderId="14" fillId="0" fontId="13" numFmtId="164" xfId="0" applyAlignment="1" applyBorder="1" applyFont="1" applyNumberFormat="1">
      <alignment horizontal="center" shrinkToFit="1" vertical="center" wrapText="0"/>
    </xf>
    <xf borderId="14" fillId="0" fontId="13" numFmtId="169" xfId="0" applyAlignment="1" applyBorder="1" applyFont="1" applyNumberFormat="1">
      <alignment horizontal="right" vertical="center"/>
    </xf>
    <xf borderId="6" fillId="0" fontId="13" numFmtId="167" xfId="0" applyAlignment="1" applyBorder="1" applyFont="1" applyNumberFormat="1">
      <alignment horizontal="center" vertical="center"/>
    </xf>
    <xf borderId="14" fillId="0" fontId="14" numFmtId="174" xfId="0" applyAlignment="1" applyBorder="1" applyFont="1" applyNumberFormat="1">
      <alignment horizontal="center" vertical="center"/>
    </xf>
    <xf borderId="10" fillId="0" fontId="16" numFmtId="0" xfId="0" applyAlignment="1" applyBorder="1" applyFont="1">
      <alignment horizontal="left" vertical="center"/>
    </xf>
    <xf borderId="6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0" fillId="0" fontId="1" numFmtId="0" xfId="0" applyAlignment="1" applyFont="1">
      <alignment vertical="center"/>
    </xf>
    <xf borderId="13" fillId="0" fontId="1" numFmtId="0" xfId="0" applyAlignment="1" applyBorder="1" applyFont="1">
      <alignment vertical="center"/>
    </xf>
    <xf borderId="14" fillId="0" fontId="8" numFmtId="0" xfId="0" applyBorder="1" applyFont="1"/>
    <xf borderId="15" fillId="0" fontId="19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0" fillId="0" fontId="30" numFmtId="175" xfId="0" applyAlignment="1" applyFont="1" applyNumberFormat="1">
      <alignment horizontal="right" vertical="center"/>
    </xf>
    <xf borderId="0" fillId="0" fontId="30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3" fillId="8" fontId="1" numFmtId="0" xfId="0" applyAlignment="1" applyBorder="1" applyFill="1" applyFont="1">
      <alignment horizontal="center" vertical="center"/>
    </xf>
    <xf borderId="3" fillId="8" fontId="31" numFmtId="0" xfId="0" applyAlignment="1" applyBorder="1" applyFont="1">
      <alignment horizontal="center" vertical="center"/>
    </xf>
    <xf borderId="3" fillId="3" fontId="32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176" xfId="0" applyAlignment="1" applyBorder="1" applyFont="1" applyNumberFormat="1">
      <alignment vertical="center"/>
    </xf>
    <xf borderId="3" fillId="0" fontId="4" numFmtId="176" xfId="0" applyAlignment="1" applyBorder="1" applyFont="1" applyNumberFormat="1">
      <alignment vertical="center"/>
    </xf>
    <xf borderId="3" fillId="2" fontId="4" numFmtId="176" xfId="0" applyAlignment="1" applyBorder="1" applyFont="1" applyNumberFormat="1">
      <alignment vertical="center"/>
    </xf>
    <xf borderId="3" fillId="2" fontId="33" numFmtId="176" xfId="0" applyAlignment="1" applyBorder="1" applyFont="1" applyNumberFormat="1">
      <alignment vertical="center"/>
    </xf>
    <xf borderId="3" fillId="2" fontId="34" numFmtId="176" xfId="0" applyAlignment="1" applyBorder="1" applyFont="1" applyNumberFormat="1">
      <alignment vertical="center"/>
    </xf>
    <xf borderId="3" fillId="3" fontId="32" numFmtId="176" xfId="0" applyAlignment="1" applyBorder="1" applyFont="1" applyNumberFormat="1">
      <alignment vertical="center"/>
    </xf>
    <xf borderId="3" fillId="5" fontId="1" numFmtId="176" xfId="0" applyAlignment="1" applyBorder="1" applyFont="1" applyNumberFormat="1">
      <alignment vertical="center"/>
    </xf>
    <xf borderId="3" fillId="2" fontId="1" numFmtId="176" xfId="0" applyAlignment="1" applyBorder="1" applyFont="1" applyNumberFormat="1">
      <alignment vertical="center"/>
    </xf>
    <xf borderId="3" fillId="9" fontId="1" numFmtId="176" xfId="0" applyAlignment="1" applyBorder="1" applyFont="1" applyNumberFormat="1">
      <alignment vertical="center"/>
    </xf>
    <xf borderId="0" fillId="0" fontId="1" numFmtId="176" xfId="0" applyAlignment="1" applyFont="1" applyNumberFormat="1">
      <alignment vertical="center"/>
    </xf>
    <xf borderId="3" fillId="0" fontId="1" numFmtId="177" xfId="0" applyAlignment="1" applyBorder="1" applyFont="1" applyNumberFormat="1">
      <alignment vertical="center"/>
    </xf>
    <xf borderId="3" fillId="9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5" fontId="4" numFmtId="176" xfId="0" applyAlignment="1" applyBorder="1" applyFont="1" applyNumberFormat="1">
      <alignment vertical="center"/>
    </xf>
    <xf borderId="3" fillId="2" fontId="1" numFmtId="177" xfId="0" applyAlignment="1" applyBorder="1" applyFont="1" applyNumberFormat="1">
      <alignment vertical="center"/>
    </xf>
    <xf borderId="3" fillId="9" fontId="4" numFmtId="176" xfId="0" applyAlignment="1" applyBorder="1" applyFont="1" applyNumberFormat="1">
      <alignment vertical="center"/>
    </xf>
    <xf borderId="0" fillId="2" fontId="1" numFmtId="0" xfId="0" applyAlignment="1" applyFont="1">
      <alignment vertical="center"/>
    </xf>
    <xf borderId="0" fillId="2" fontId="1" numFmtId="0" xfId="0" applyFont="1"/>
    <xf borderId="0" fillId="2" fontId="1" numFmtId="176" xfId="0" applyAlignment="1" applyFont="1" applyNumberFormat="1">
      <alignment vertical="center"/>
    </xf>
    <xf borderId="3" fillId="9" fontId="31" numFmtId="176" xfId="0" applyAlignment="1" applyBorder="1" applyFont="1" applyNumberFormat="1">
      <alignment vertical="center"/>
    </xf>
    <xf borderId="3" fillId="3" fontId="1" numFmtId="176" xfId="0" applyAlignment="1" applyBorder="1" applyFont="1" applyNumberFormat="1">
      <alignment vertical="center"/>
    </xf>
    <xf borderId="0" fillId="0" fontId="1" numFmtId="176" xfId="0" applyFont="1" applyNumberFormat="1"/>
    <xf borderId="0" fillId="3" fontId="1" numFmtId="176" xfId="0" applyFont="1" applyNumberFormat="1"/>
    <xf borderId="3" fillId="10" fontId="4" numFmtId="176" xfId="0" applyAlignment="1" applyBorder="1" applyFill="1" applyFont="1" applyNumberFormat="1">
      <alignment vertical="center"/>
    </xf>
    <xf borderId="0" fillId="0" fontId="30" numFmtId="175" xfId="0" applyAlignment="1" applyFont="1" applyNumberFormat="1">
      <alignment horizontal="right"/>
    </xf>
    <xf borderId="0" fillId="0" fontId="30" numFmtId="0" xfId="0" applyFont="1"/>
    <xf borderId="3" fillId="3" fontId="1" numFmtId="0" xfId="0" applyAlignment="1" applyBorder="1" applyFont="1">
      <alignment horizontal="center"/>
    </xf>
    <xf borderId="3" fillId="8" fontId="1" numFmtId="0" xfId="0" applyAlignment="1" applyBorder="1" applyFont="1">
      <alignment horizontal="center"/>
    </xf>
    <xf borderId="3" fillId="8" fontId="31" numFmtId="0" xfId="0" applyAlignment="1" applyBorder="1" applyFont="1">
      <alignment horizontal="center"/>
    </xf>
    <xf borderId="3" fillId="3" fontId="32" numFmtId="0" xfId="0" applyAlignment="1" applyBorder="1" applyFont="1">
      <alignment horizontal="center"/>
    </xf>
    <xf borderId="3" fillId="9" fontId="1" numFmtId="0" xfId="0" applyAlignment="1" applyBorder="1" applyFont="1">
      <alignment horizontal="center"/>
    </xf>
    <xf borderId="3" fillId="0" fontId="1" numFmtId="176" xfId="0" applyBorder="1" applyFont="1" applyNumberFormat="1"/>
    <xf borderId="3" fillId="0" fontId="4" numFmtId="176" xfId="0" applyBorder="1" applyFont="1" applyNumberFormat="1"/>
    <xf borderId="3" fillId="2" fontId="4" numFmtId="176" xfId="0" applyBorder="1" applyFont="1" applyNumberFormat="1"/>
    <xf borderId="3" fillId="2" fontId="33" numFmtId="176" xfId="0" applyBorder="1" applyFont="1" applyNumberFormat="1"/>
    <xf borderId="3" fillId="2" fontId="34" numFmtId="176" xfId="0" applyBorder="1" applyFont="1" applyNumberFormat="1"/>
    <xf borderId="3" fillId="3" fontId="32" numFmtId="176" xfId="0" applyBorder="1" applyFont="1" applyNumberFormat="1"/>
    <xf borderId="3" fillId="5" fontId="1" numFmtId="176" xfId="0" applyBorder="1" applyFont="1" applyNumberFormat="1"/>
    <xf borderId="3" fillId="2" fontId="1" numFmtId="176" xfId="0" applyBorder="1" applyFont="1" applyNumberFormat="1"/>
    <xf borderId="3" fillId="9" fontId="1" numFmtId="176" xfId="0" applyBorder="1" applyFont="1" applyNumberFormat="1"/>
    <xf borderId="3" fillId="0" fontId="1" numFmtId="177" xfId="0" applyBorder="1" applyFont="1" applyNumberFormat="1"/>
    <xf borderId="3" fillId="9" fontId="4" numFmtId="176" xfId="0" applyBorder="1" applyFont="1" applyNumberFormat="1"/>
    <xf borderId="3" fillId="5" fontId="4" numFmtId="176" xfId="0" applyBorder="1" applyFont="1" applyNumberFormat="1"/>
    <xf borderId="3" fillId="2" fontId="1" numFmtId="177" xfId="0" applyBorder="1" applyFont="1" applyNumberFormat="1"/>
    <xf borderId="0" fillId="2" fontId="1" numFmtId="176" xfId="0" applyFont="1" applyNumberFormat="1"/>
    <xf borderId="3" fillId="9" fontId="31" numFmtId="176" xfId="0" applyBorder="1" applyFont="1" applyNumberFormat="1"/>
    <xf borderId="3" fillId="3" fontId="1" numFmtId="176" xfId="0" applyBorder="1" applyFont="1" applyNumberFormat="1"/>
    <xf borderId="3" fillId="0" fontId="1" numFmtId="0" xfId="0" applyBorder="1" applyFont="1"/>
    <xf borderId="3" fillId="2" fontId="31" numFmtId="176" xfId="0" applyBorder="1" applyFont="1" applyNumberFormat="1"/>
    <xf borderId="3" fillId="11" fontId="1" numFmtId="176" xfId="0" applyBorder="1" applyFill="1" applyFont="1" applyNumberFormat="1"/>
    <xf borderId="3" fillId="5" fontId="1" numFmtId="0" xfId="0" applyAlignment="1" applyBorder="1" applyFont="1">
      <alignment horizontal="center"/>
    </xf>
    <xf borderId="3" fillId="5" fontId="34" numFmtId="176" xfId="0" applyBorder="1" applyFont="1" applyNumberFormat="1"/>
    <xf borderId="3" fillId="11" fontId="1" numFmtId="176" xfId="0" applyAlignment="1" applyBorder="1" applyFont="1" applyNumberFormat="1">
      <alignment horizontal="center"/>
    </xf>
    <xf borderId="3" fillId="12" fontId="1" numFmtId="176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3</xdr:row>
      <xdr:rowOff>19050</xdr:rowOff>
    </xdr:from>
    <xdr:ext cx="809625" cy="8001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3" name="Shape 3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95250</xdr:colOff>
      <xdr:row>8</xdr:row>
      <xdr:rowOff>133350</xdr:rowOff>
    </xdr:from>
    <xdr:ext cx="809625" cy="8001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5" name="Shape 5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609600</xdr:colOff>
      <xdr:row>8</xdr:row>
      <xdr:rowOff>85725</xdr:rowOff>
    </xdr:from>
    <xdr:ext cx="809625" cy="8001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35f387a0-dfa4-4b84-b2c3-e3da5ebce4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02T07:48:22.00" personId="{35f387a0-dfa4-4b84-b2c3-e3da5ebce43f}" id="{5f5e8ddf-c4c4-42e2-aecc-cc27518faea1}" done="0">
    <x18tc:text xml:space="preserve">駐車場</x18tc:text>
  </x18tc:threadedComment>
  <x18tc:threadedComment ref="A1" dT="2025-08-21T03:07:46.00" personId="{35f387a0-dfa4-4b84-b2c3-e3da5ebce43f}" id="{55128fdf-4a48-4e7a-8d82-0712e16d6a4d}" done="0">
    <x18tc:text xml:space="preserve">907円/1日</x18tc:text>
  </x18tc:threadedComment>
  <x18tc:threadedComment ref="A1" dT="2025-08-21T03:07:11.00" personId="{35f387a0-dfa4-4b84-b2c3-e3da5ebce43f}" id="{ddc65b04-69ad-42a9-82ef-f091271bf21b}" done="0">
    <x18tc:text xml:space="preserve">242円/1日</x18tc:text>
  </x18tc:threadedComment>
  <x18tc:threadedComment ref="A1" dT="2025-07-21T05:38:31.00" personId="{35f387a0-dfa4-4b84-b2c3-e3da5ebce43f}" id="{498f45ff-f5d8-4072-9139-d1857cad7221}" done="0">
    <x18tc:text xml:space="preserve">363円/1日</x18tc:text>
  </x18tc:threadedComment>
  <x18tc:threadedComment ref="A1" dT="2025-08-21T03:06:50.00" personId="{35f387a0-dfa4-4b84-b2c3-e3da5ebce43f}" id="{a9f9f525-b40f-41d0-977a-87805741d924}" done="0">
    <x18tc:text xml:space="preserve">73円/1日</x18tc:text>
  </x18tc:threadedComment>
  <x18tc:threadedComment ref="A1" dT="2025-07-21T05:39:10.00" personId="{35f387a0-dfa4-4b84-b2c3-e3da5ebce43f}" id="{d916d111-c05e-4d00-8f9e-9b2d3d8bf576}" done="0">
    <x18tc:text xml:space="preserve">73円/1日</x18tc:text>
  </x18tc:threadedComment>
  <x18tc:threadedComment ref="A1" dT="2025-08-21T03:08:23.00" personId="{35f387a0-dfa4-4b84-b2c3-e3da5ebce43f}" id="{79d29ffa-9d1c-498e-8379-a2b4652ce765}" done="0">
    <x18tc:text xml:space="preserve">73円/1日</x18tc:text>
  </x18tc:threadedComment>
  <x18tc:threadedComment ref="A1" dT="2025-08-21T03:05:55.00" personId="{35f387a0-dfa4-4b84-b2c3-e3da5ebce43f}" id="{eff19cd4-4f3f-4caa-94e6-8f7338631278}" done="0">
    <x18tc:text xml:space="preserve">73円/1日</x18tc:text>
  </x18tc:threadedComment>
  <x18tc:threadedComment ref="A1" dT="2025-08-21T03:07:23.00" personId="{35f387a0-dfa4-4b84-b2c3-e3da5ebce43f}" id="{39d9c06e-5858-405a-827b-cc3276c7b699}" done="0">
    <x18tc:text xml:space="preserve">145円/1日</x18tc:text>
  </x18tc:threadedComment>
  <x18tc:threadedComment ref="A1" dT="2025-07-21T05:38:45.00" personId="{35f387a0-dfa4-4b84-b2c3-e3da5ebce43f}" id="{55325db1-5ca0-47e8-95c6-e173149a1970}" done="0">
    <x18tc:text xml:space="preserve">242円/1日</x18tc:text>
  </x18tc:threadedComment>
  <x18tc:threadedComment ref="A1" dT="2025-08-21T03:06:27.00" personId="{35f387a0-dfa4-4b84-b2c3-e3da5ebce43f}" id="{e3d8fea5-39b7-4ba0-8db8-a8ebdbb63d45}" done="0">
    <x18tc:text xml:space="preserve">73円/1日</x18tc:text>
  </x18tc:threadedComment>
  <x18tc:threadedComment ref="A1" dT="2025-08-21T03:07:57.00" personId="{35f387a0-dfa4-4b84-b2c3-e3da5ebce43f}" id="{c37541ea-bfbf-4535-82cf-67916536e603}" done="0">
    <x18tc:text xml:space="preserve">145円/1日</x18tc:text>
  </x18tc:threadedComment>
  <x18tc:threadedComment ref="A1" dT="2025-08-21T03:05:44.00" personId="{35f387a0-dfa4-4b84-b2c3-e3da5ebce43f}" id="{d9d3ebcf-3ec5-424d-8b20-cb363e0e07c3}" done="0">
    <x18tc:text xml:space="preserve">544円/1日</x18tc:text>
  </x18tc:threadedComment>
  <x18tc:threadedComment ref="A1" dT="2025-07-02T07:48:12.00" personId="{35f387a0-dfa4-4b84-b2c3-e3da5ebce43f}" id="{c44569ce-53df-44b1-8093-46320d976e1e}" done="0">
    <x18tc:text xml:space="preserve">駐輪場</x18tc:text>
  </x18tc:threadedComment>
  <x18tc:threadedComment ref="A1" dT="2025-08-21T03:08:14.00" personId="{35f387a0-dfa4-4b84-b2c3-e3da5ebce43f}" id="{8b4da305-1c78-4854-8e18-a6555f20bbe3}" done="0">
    <x18tc:text xml:space="preserve">242円/1日</x18tc:text>
  </x18tc:threadedComment>
  <x18tc:threadedComment ref="A1" dT="2025-08-21T03:06:17.00" personId="{35f387a0-dfa4-4b84-b2c3-e3da5ebce43f}" id="{493ce22b-2570-4d54-a7f0-f5750418acd7}" done="0">
    <x18tc:text xml:space="preserve">363円/1日</x18tc:text>
  </x18tc:threadedComment>
  <x18tc:threadedComment ref="A1" dT="2025-07-21T05:39:22.00" personId="{35f387a0-dfa4-4b84-b2c3-e3da5ebce43f}" id="{18a75575-c27a-44c7-82e1-72b9c68083ea}" done="0">
    <x18tc:text xml:space="preserve">73円/1日</x18tc:text>
  </x18tc:threadedComment>
  <x18tc:threadedComment ref="A1" dT="2025-07-21T05:28:44.00" personId="{35f387a0-dfa4-4b84-b2c3-e3da5ebce43f}" id="{441f4afd-3b85-4bce-b030-7d8697195949}" done="0">
    <x18tc:text xml:space="preserve">デイサービス3～6月分</x18tc:text>
  </x18tc:threadedComment>
  <x18tc:threadedComment ref="A1" dT="2025-08-21T03:05:15.00" personId="{35f387a0-dfa4-4b84-b2c3-e3da5ebce43f}" id="{46723aa7-a65b-4b8d-b4ba-0dacf5a7e993}" done="0">
    <x18tc:text xml:space="preserve">121円/1日</x18tc:text>
  </x18tc:threadedComment>
  <x18tc:threadedComment ref="A1" dT="2025-08-21T03:05:24.00" personId="{35f387a0-dfa4-4b84-b2c3-e3da5ebce43f}" id="{959b1a6b-1556-4721-9390-3ba4868a2e3c}" done="0">
    <x18tc:text xml:space="preserve">73円/1日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2" dT="2025-08-25T02:04:40.00" personId="{35f387a0-dfa4-4b84-b2c3-e3da5ebce43f}" id="{7b1e2c8d-66c9-4c88-bf9f-e89e28f7cb14}" done="0">
    <x18tc:text xml:space="preserve">73円/1日</x18tc:text>
  </x18tc:threadedComment>
  <x18tc:threadedComment ref="K11" dT="2025-08-25T01:55:26.00" personId="{35f387a0-dfa4-4b84-b2c3-e3da5ebce43f}" id="{d11fded9-a0f1-46a3-b28e-64a8fbf37ba3}" done="0">
    <x18tc:text xml:space="preserve">908円/1日</x18tc:text>
  </x18tc:threadedComment>
  <x18tc:threadedComment ref="K7" dT="2025-08-25T02:04:04.00" personId="{35f387a0-dfa4-4b84-b2c3-e3da5ebce43f}" id="{c9d96a7e-897e-46be-88ca-adac86dc5d97}" done="0">
    <x18tc:text xml:space="preserve">363円/1日</x18tc:text>
  </x18tc:threadedComment>
  <x18tc:threadedComment ref="L3" dT="2025-08-25T01:59:11.00" personId="{35f387a0-dfa4-4b84-b2c3-e3da5ebce43f}" id="{ea872037-8bad-427f-8a26-82cbad126b8a}" done="0">
    <x18tc:text xml:space="preserve">73円/1日</x18tc:text>
  </x18tc:threadedComment>
  <x18tc:threadedComment ref="L9" dT="2025-08-25T01:55:04.00" personId="{35f387a0-dfa4-4b84-b2c3-e3da5ebce43f}" id="{0c9f9f2a-e513-4dcc-97fa-3672f4ee4a28}" done="0">
    <x18tc:text xml:space="preserve">145円/1日</x18tc:text>
  </x18tc:threadedComment>
  <x18tc:threadedComment ref="K3" dT="2025-08-25T01:59:04.00" personId="{35f387a0-dfa4-4b84-b2c3-e3da5ebce43f}" id="{f2eaf53e-109c-45e4-a4dc-371d833c5f62}" done="0">
    <x18tc:text xml:space="preserve">121円/1日</x18tc:text>
  </x18tc:threadedComment>
  <x18tc:threadedComment ref="K9" dT="2025-08-25T01:54:48.00" personId="{35f387a0-dfa4-4b84-b2c3-e3da5ebce43f}" id="{6acfb820-d4eb-494d-a0e2-23a275d21f5f}" done="0">
    <x18tc:text xml:space="preserve">242円/1日</x18tc:text>
  </x18tc:threadedComment>
  <x18tc:threadedComment ref="L11" dT="2025-08-25T01:55:43.00" personId="{35f387a0-dfa4-4b84-b2c3-e3da5ebce43f}" id="{33bed003-900a-4ae7-b79f-56c1d1466e19}" done="0">
    <x18tc:text xml:space="preserve">145円/1日</x18tc:text>
  </x18tc:threadedComment>
  <x18tc:threadedComment ref="L7" dT="2025-08-25T02:04:17.00" personId="{35f387a0-dfa4-4b84-b2c3-e3da5ebce43f}" id="{d5244737-638c-4557-a699-2db2c1c146fa}" done="0">
    <x18tc:text xml:space="preserve">73円/1日</x18tc:text>
  </x18tc:threadedComment>
  <x18tc:threadedComment ref="K6" dT="2025-08-25T02:00:08.00" personId="{35f387a0-dfa4-4b84-b2c3-e3da5ebce43f}" id="{2b06a2c8-f4a4-49cb-bdd7-08008c8bbef4}" done="0">
    <x18tc:text xml:space="preserve">545円/1日</x18tc:text>
  </x18tc:threadedComment>
  <x18tc:threadedComment ref="L8" dT="2025-08-25T01:56:45.00" personId="{35f387a0-dfa4-4b84-b2c3-e3da5ebce43f}" id="{83057e57-cd37-4737-8725-a4db96044df1}" done="0">
    <x18tc:text xml:space="preserve">73円/1日</x18tc:text>
  </x18tc:threadedComment>
  <x18tc:threadedComment ref="L6" dT="2025-08-25T02:02:46.00" personId="{35f387a0-dfa4-4b84-b2c3-e3da5ebce43f}" id="{2623bac8-8b3d-4a95-a704-dcf8e2baca5b}" done="0">
    <x18tc:text xml:space="preserve">73円/1日</x18tc:text>
  </x18tc:threadedComment>
  <x18tc:threadedComment ref="L5" dT="2025-08-21T02:46:16.00" personId="{35f387a0-dfa4-4b84-b2c3-e3da5ebce43f}" id="{a47f7959-94fe-4fcb-bc8e-0dcae321f57f}" done="0">
    <x18tc:text xml:space="preserve">73円/1日</x18tc:text>
  </x18tc:threadedComment>
  <x18tc:threadedComment ref="K5" dT="2025-08-21T02:45:29.00" personId="{35f387a0-dfa4-4b84-b2c3-e3da5ebce43f}" id="{e20df14d-5c4e-4790-baff-fb607180748e}" done="0">
    <x18tc:text xml:space="preserve">242円/1日</x18tc:text>
  </x18tc:threadedComment>
  <x18tc:threadedComment ref="K8" dT="2025-08-25T01:56:36.00" personId="{35f387a0-dfa4-4b84-b2c3-e3da5ebce43f}" id="{3eba1c94-9f27-4070-81da-4fc05273c8fd}" done="0">
    <x18tc:text xml:space="preserve">242円/1日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8" dT="2025-06-23T03:21:02.00" personId="{35f387a0-dfa4-4b84-b2c3-e3da5ebce43f}" id="{6438c4d8-91a4-4b56-b72e-918b688f1e5b}" done="0">
    <x18tc:text xml:space="preserve">242円/１日</x18tc:text>
  </x18tc:threadedComment>
  <x18tc:threadedComment ref="T13" dT="2025-06-23T03:21:58.00" personId="{35f387a0-dfa4-4b84-b2c3-e3da5ebce43f}" id="{5d61eba3-0824-4453-85bb-1fbb434c82d8}" done="0">
    <x18tc:text xml:space="preserve">駐輪場代</x18tc:text>
  </x18tc:threadedComment>
  <x18tc:threadedComment ref="T25" dT="2025-06-23T03:22:11.00" personId="{35f387a0-dfa4-4b84-b2c3-e3da5ebce43f}" id="{07047fda-b827-475b-8bdd-f2ba9e6950e8}" done="0">
    <x18tc:text xml:space="preserve">駐車場代</x18tc:text>
  </x18tc:threadedComment>
  <x18tc:threadedComment ref="K7" dT="2025-06-23T03:21:21.00" personId="{35f387a0-dfa4-4b84-b2c3-e3da5ebce43f}" id="{7e8aa7c0-73ae-49c7-b5dd-98580e58e168}" done="0">
    <x18tc:text xml:space="preserve">73円/１日</x18tc:text>
  </x18tc:threadedComment>
  <x18tc:threadedComment ref="J7" dT="2025-06-23T03:20:47.00" personId="{35f387a0-dfa4-4b84-b2c3-e3da5ebce43f}" id="{7cd7a0fb-a2d7-4b36-9a7c-5b42643c968e}" done="0">
    <x18tc:text xml:space="preserve">363円/１日</x18tc:text>
  </x18tc:threadedComment>
  <x18tc:threadedComment ref="J25" dT="2025-06-23T03:22:38.00" personId="{35f387a0-dfa4-4b84-b2c3-e3da5ebce43f}" id="{d9e20429-bfee-4eac-a161-715cdc184db4}" done="0">
    <x18tc:text xml:space="preserve">242円/１日</x18tc:text>
  </x18tc:threadedComment>
  <x18tc:threadedComment ref="K8" dT="2025-06-23T03:21:34.00" personId="{35f387a0-dfa4-4b84-b2c3-e3da5ebce43f}" id="{c5271379-6f7a-4631-a25c-71d5a600af21}" done="0">
    <x18tc:text xml:space="preserve">73円/１日</x18tc:text>
  </x18tc:threadedComment>
  <x18tc:threadedComment ref="K19" dT="2025-06-23T03:21:44.00" personId="{35f387a0-dfa4-4b84-b2c3-e3da5ebce43f}" id="{c96e7c3b-f79d-4672-abc9-e2f46fd9acfa}" done="0">
    <x18tc:text xml:space="preserve">73円/１日</x18tc:text>
  </x18tc:threadedComment>
  <x18tc:threadedComment ref="Q22" dT="2025-06-23T03:32:42.00" personId="{35f387a0-dfa4-4b84-b2c3-e3da5ebce43f}" id="{02f787a4-06f3-4325-9f77-a331897201c7}" done="0">
    <x18tc:text xml:space="preserve">19670円固定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3" dT="2025-05-11T02:37:41.00" personId="{35f387a0-dfa4-4b84-b2c3-e3da5ebce43f}" id="{2a244a4f-5e49-47e8-9580-f5eb55f0cc0c}" done="0">
    <x18tc:text xml:space="preserve">駐輪場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108.0</v>
      </c>
      <c r="B2" s="3" t="s">
        <v>4</v>
      </c>
      <c r="C2" s="4" t="s">
        <v>5</v>
      </c>
      <c r="D2" s="5" t="s">
        <v>6</v>
      </c>
    </row>
    <row r="3" ht="15.75" customHeight="1">
      <c r="A3" s="6">
        <v>206.0</v>
      </c>
      <c r="B3" s="6" t="s">
        <v>7</v>
      </c>
      <c r="C3" s="7" t="s">
        <v>8</v>
      </c>
      <c r="D3" s="8" t="s">
        <v>6</v>
      </c>
    </row>
    <row r="4" ht="15.75" customHeight="1">
      <c r="A4" s="6">
        <v>210.0</v>
      </c>
      <c r="B4" s="9" t="s">
        <v>9</v>
      </c>
      <c r="C4" s="7" t="s">
        <v>10</v>
      </c>
      <c r="D4" s="8" t="s">
        <v>6</v>
      </c>
    </row>
    <row r="5" ht="15.75" customHeight="1">
      <c r="A5" s="6" t="s">
        <v>11</v>
      </c>
      <c r="B5" s="6" t="s">
        <v>12</v>
      </c>
      <c r="C5" s="7" t="s">
        <v>13</v>
      </c>
      <c r="D5" s="8" t="s">
        <v>6</v>
      </c>
    </row>
    <row r="6" ht="15.75" customHeight="1">
      <c r="A6" s="6">
        <v>212.0</v>
      </c>
      <c r="B6" s="9" t="s">
        <v>14</v>
      </c>
      <c r="C6" s="7" t="s">
        <v>15</v>
      </c>
      <c r="D6" s="8" t="s">
        <v>6</v>
      </c>
    </row>
    <row r="7" ht="15.75" customHeight="1">
      <c r="A7" s="6">
        <v>303.0</v>
      </c>
      <c r="B7" s="9" t="s">
        <v>16</v>
      </c>
      <c r="C7" s="7" t="s">
        <v>17</v>
      </c>
      <c r="D7" s="8" t="s">
        <v>18</v>
      </c>
    </row>
    <row r="8" ht="15.75" customHeight="1">
      <c r="A8" s="6">
        <v>310.0</v>
      </c>
      <c r="B8" s="9" t="s">
        <v>19</v>
      </c>
      <c r="C8" s="7" t="s">
        <v>20</v>
      </c>
      <c r="D8" s="8" t="s">
        <v>18</v>
      </c>
    </row>
    <row r="9" ht="15.75" customHeight="1">
      <c r="A9" s="6">
        <v>401.0</v>
      </c>
      <c r="B9" s="6"/>
      <c r="C9" s="7" t="s">
        <v>21</v>
      </c>
      <c r="D9" s="8" t="s">
        <v>18</v>
      </c>
    </row>
    <row r="10" ht="15.75" customHeight="1">
      <c r="A10" s="6">
        <v>402.0</v>
      </c>
      <c r="B10" s="6" t="s">
        <v>12</v>
      </c>
      <c r="C10" s="7" t="s">
        <v>22</v>
      </c>
      <c r="D10" s="8" t="s">
        <v>18</v>
      </c>
    </row>
    <row r="11" ht="15.75" customHeight="1">
      <c r="A11" s="6">
        <v>403.0</v>
      </c>
      <c r="B11" s="6" t="s">
        <v>23</v>
      </c>
      <c r="C11" s="7" t="s">
        <v>24</v>
      </c>
      <c r="D11" s="8" t="s">
        <v>18</v>
      </c>
    </row>
    <row r="12" ht="15.75" customHeight="1">
      <c r="A12" s="6">
        <v>405.0</v>
      </c>
      <c r="B12" s="6" t="s">
        <v>25</v>
      </c>
      <c r="C12" s="7" t="s">
        <v>26</v>
      </c>
      <c r="D12" s="8" t="s">
        <v>18</v>
      </c>
    </row>
    <row r="13" ht="15.75" customHeight="1">
      <c r="A13" s="6">
        <v>406.0</v>
      </c>
      <c r="B13" s="6"/>
      <c r="C13" s="7" t="s">
        <v>27</v>
      </c>
      <c r="D13" s="8" t="s">
        <v>18</v>
      </c>
    </row>
    <row r="14" ht="15.75" customHeight="1">
      <c r="A14" s="9">
        <v>407.0</v>
      </c>
      <c r="B14" s="9" t="s">
        <v>28</v>
      </c>
      <c r="C14" s="7" t="s">
        <v>29</v>
      </c>
      <c r="D14" s="8" t="s">
        <v>18</v>
      </c>
    </row>
    <row r="15" ht="15.75" customHeight="1">
      <c r="A15" s="9">
        <v>408.0</v>
      </c>
      <c r="B15" s="9"/>
      <c r="C15" s="7" t="s">
        <v>30</v>
      </c>
      <c r="D15" s="8" t="s">
        <v>18</v>
      </c>
    </row>
    <row r="16" ht="15.75" customHeight="1">
      <c r="A16" s="9">
        <v>415.0</v>
      </c>
      <c r="B16" s="9" t="s">
        <v>31</v>
      </c>
      <c r="C16" s="7" t="s">
        <v>32</v>
      </c>
      <c r="D16" s="8" t="s">
        <v>33</v>
      </c>
    </row>
    <row r="17" ht="15.75" customHeight="1">
      <c r="A17" s="6">
        <v>601.0</v>
      </c>
      <c r="B17" s="6" t="s">
        <v>34</v>
      </c>
      <c r="C17" s="7" t="s">
        <v>35</v>
      </c>
      <c r="D17" s="8" t="s">
        <v>33</v>
      </c>
    </row>
    <row r="18" ht="15.75" customHeight="1">
      <c r="A18" s="6">
        <v>608.0</v>
      </c>
      <c r="B18" s="6" t="s">
        <v>36</v>
      </c>
      <c r="C18" s="7" t="s">
        <v>37</v>
      </c>
      <c r="D18" s="8" t="s">
        <v>33</v>
      </c>
    </row>
    <row r="19" ht="15.75" customHeight="1">
      <c r="A19" s="6">
        <v>703.0</v>
      </c>
      <c r="B19" s="6" t="s">
        <v>38</v>
      </c>
      <c r="C19" s="7"/>
      <c r="D19" s="8"/>
    </row>
    <row r="20" ht="15.75" customHeight="1">
      <c r="A20" s="6">
        <v>715.0</v>
      </c>
      <c r="B20" s="6" t="s">
        <v>39</v>
      </c>
      <c r="C20" s="6"/>
      <c r="D20" s="6"/>
    </row>
    <row r="21" ht="15.75" customHeight="1">
      <c r="A21" s="6">
        <v>716.0</v>
      </c>
      <c r="B21" s="6" t="s">
        <v>40</v>
      </c>
      <c r="C21" s="6"/>
      <c r="D21" s="6"/>
    </row>
    <row r="22" ht="15.75" customHeight="1">
      <c r="A22" s="9"/>
      <c r="B22" s="9"/>
      <c r="C22" s="6"/>
      <c r="D22" s="6"/>
    </row>
    <row r="23" ht="15.75" customHeight="1">
      <c r="A23" s="9"/>
      <c r="B23" s="9"/>
      <c r="C23" s="6"/>
      <c r="D23" s="6"/>
    </row>
    <row r="24" ht="15.75" customHeight="1">
      <c r="A24" s="9"/>
      <c r="B24" s="9"/>
      <c r="C24" s="6"/>
      <c r="D24" s="6"/>
    </row>
    <row r="25" ht="15.75" customHeight="1">
      <c r="A25" s="6" t="s">
        <v>41</v>
      </c>
      <c r="B25" s="9" t="s">
        <v>28</v>
      </c>
      <c r="C25" s="6"/>
      <c r="D25" s="6"/>
    </row>
    <row r="26" ht="15.75" customHeight="1">
      <c r="A26" s="9"/>
      <c r="B26" s="9"/>
      <c r="C26" s="10"/>
      <c r="D26" s="10"/>
    </row>
    <row r="27" ht="15.75" customHeight="1">
      <c r="A27" s="9"/>
      <c r="B27" s="9"/>
      <c r="C27" s="10"/>
      <c r="D27" s="10"/>
    </row>
    <row r="28" ht="15.75" customHeight="1">
      <c r="A28" s="9"/>
      <c r="B28" s="9"/>
      <c r="C28" s="10"/>
      <c r="D28" s="10"/>
    </row>
    <row r="29" ht="15.75" customHeight="1">
      <c r="A29" s="9"/>
      <c r="B29" s="9"/>
      <c r="C29" s="10"/>
      <c r="D29" s="10"/>
    </row>
    <row r="30" ht="15.75" customHeight="1">
      <c r="A30" s="9"/>
      <c r="B30" s="9"/>
      <c r="C30" s="10"/>
      <c r="D30" s="10"/>
    </row>
    <row r="31" ht="15.75" customHeight="1">
      <c r="A31" s="9"/>
      <c r="B31" s="9"/>
      <c r="C31" s="10"/>
      <c r="D31" s="10"/>
    </row>
    <row r="32" ht="15.75" customHeight="1">
      <c r="A32" s="9"/>
      <c r="B32" s="9"/>
      <c r="C32" s="10"/>
      <c r="D32" s="10"/>
    </row>
    <row r="33" ht="15.75" customHeight="1">
      <c r="A33" s="9"/>
      <c r="B33" s="9"/>
      <c r="C33" s="10"/>
      <c r="D33" s="10"/>
    </row>
    <row r="34" ht="15.75" customHeight="1">
      <c r="A34" s="9"/>
      <c r="B34" s="9"/>
      <c r="C34" s="10"/>
      <c r="D34" s="10"/>
    </row>
    <row r="35" ht="15.75" customHeight="1">
      <c r="A35" s="9"/>
      <c r="B35" s="9"/>
      <c r="C35" s="10"/>
      <c r="D35" s="10"/>
    </row>
    <row r="36" ht="15.75" customHeight="1">
      <c r="A36" s="9"/>
      <c r="B36" s="9"/>
      <c r="C36" s="10"/>
      <c r="D36" s="10"/>
    </row>
    <row r="37" ht="15.75" customHeight="1">
      <c r="A37" s="9"/>
      <c r="B37" s="9"/>
      <c r="C37" s="10"/>
      <c r="D37" s="10"/>
    </row>
    <row r="38" ht="15.75" customHeight="1">
      <c r="A38" s="9"/>
      <c r="B38" s="9"/>
      <c r="C38" s="10"/>
      <c r="D38" s="10"/>
    </row>
    <row r="39" ht="15.75" customHeight="1">
      <c r="A39" s="9"/>
      <c r="B39" s="9"/>
      <c r="C39" s="10"/>
      <c r="D39" s="10"/>
    </row>
    <row r="40" ht="15.75" customHeight="1">
      <c r="A40" s="9"/>
      <c r="B40" s="9"/>
      <c r="C40" s="10"/>
      <c r="D40" s="10"/>
    </row>
    <row r="41" ht="15.75" customHeight="1">
      <c r="A41" s="9"/>
      <c r="B41" s="9"/>
      <c r="C41" s="10"/>
      <c r="D41" s="10"/>
    </row>
    <row r="42" ht="15.75" customHeight="1">
      <c r="A42" s="9"/>
      <c r="B42" s="9"/>
      <c r="C42" s="10"/>
      <c r="D42" s="10"/>
    </row>
    <row r="43" ht="15.75" customHeight="1">
      <c r="A43" s="9"/>
      <c r="B43" s="9"/>
      <c r="C43" s="10"/>
      <c r="D43" s="10"/>
    </row>
    <row r="44" ht="15.75" customHeight="1">
      <c r="A44" s="9"/>
      <c r="B44" s="9"/>
      <c r="C44" s="10"/>
      <c r="D44" s="10"/>
    </row>
    <row r="45" ht="15.75" customHeight="1">
      <c r="A45" s="9"/>
      <c r="B45" s="9"/>
      <c r="C45" s="10"/>
      <c r="D45" s="10"/>
    </row>
    <row r="46" ht="15.75" customHeight="1">
      <c r="A46" s="9"/>
      <c r="B46" s="9"/>
      <c r="C46" s="10"/>
      <c r="D46" s="10"/>
    </row>
    <row r="47" ht="15.75" customHeight="1">
      <c r="A47" s="9"/>
      <c r="B47" s="9"/>
      <c r="C47" s="10"/>
      <c r="D47" s="10"/>
    </row>
    <row r="48" ht="15.75" customHeight="1">
      <c r="A48" s="9"/>
      <c r="B48" s="9"/>
      <c r="C48" s="10"/>
      <c r="D48" s="10"/>
    </row>
    <row r="49" ht="15.75" customHeight="1">
      <c r="A49" s="9"/>
      <c r="B49" s="9"/>
      <c r="C49" s="10"/>
      <c r="D49" s="10"/>
    </row>
    <row r="50" ht="15.75" customHeight="1">
      <c r="A50" s="9"/>
      <c r="B50" s="9"/>
      <c r="C50" s="10"/>
      <c r="D50" s="10"/>
    </row>
    <row r="51" ht="15.75" customHeight="1">
      <c r="A51" s="9"/>
      <c r="B51" s="9"/>
      <c r="C51" s="10"/>
      <c r="D51" s="10"/>
    </row>
    <row r="52" ht="15.75" customHeight="1">
      <c r="A52" s="9"/>
      <c r="B52" s="9"/>
      <c r="C52" s="10"/>
      <c r="D52" s="10"/>
    </row>
    <row r="53" ht="15.75" customHeight="1">
      <c r="A53" s="9"/>
      <c r="B53" s="9"/>
      <c r="C53" s="10"/>
      <c r="D53" s="10"/>
    </row>
    <row r="54" ht="15.75" customHeight="1">
      <c r="A54" s="9"/>
      <c r="B54" s="9"/>
      <c r="C54" s="10"/>
      <c r="D54" s="10"/>
    </row>
    <row r="55" ht="15.75" customHeight="1">
      <c r="A55" s="9"/>
      <c r="B55" s="9"/>
      <c r="C55" s="10"/>
      <c r="D55" s="10"/>
    </row>
    <row r="56" ht="15.75" customHeight="1">
      <c r="A56" s="9"/>
      <c r="B56" s="9"/>
      <c r="C56" s="10"/>
      <c r="D56" s="10"/>
    </row>
    <row r="57" ht="15.75" customHeight="1">
      <c r="A57" s="9"/>
      <c r="B57" s="9"/>
      <c r="C57" s="10"/>
      <c r="D57" s="10"/>
    </row>
    <row r="58" ht="15.75" customHeight="1">
      <c r="A58" s="9"/>
      <c r="B58" s="9"/>
      <c r="C58" s="10"/>
      <c r="D58" s="10"/>
    </row>
    <row r="59" ht="15.75" customHeight="1">
      <c r="A59" s="9"/>
      <c r="B59" s="9"/>
      <c r="C59" s="10"/>
      <c r="D59" s="10"/>
    </row>
    <row r="60" ht="15.75" customHeight="1">
      <c r="A60" s="9"/>
      <c r="B60" s="9"/>
      <c r="C60" s="10"/>
      <c r="D60" s="10"/>
    </row>
    <row r="61" ht="15.75" customHeight="1">
      <c r="A61" s="9"/>
      <c r="B61" s="9"/>
      <c r="C61" s="10"/>
      <c r="D61" s="10"/>
    </row>
    <row r="62" ht="15.75" customHeight="1">
      <c r="A62" s="9"/>
      <c r="B62" s="9"/>
      <c r="C62" s="10"/>
      <c r="D62" s="10"/>
    </row>
    <row r="63" ht="15.75" customHeight="1">
      <c r="A63" s="9"/>
      <c r="B63" s="9"/>
      <c r="C63" s="10"/>
      <c r="D63" s="10"/>
    </row>
    <row r="64" ht="15.75" customHeight="1">
      <c r="A64" s="9"/>
      <c r="B64" s="9"/>
      <c r="C64" s="10"/>
      <c r="D64" s="10"/>
    </row>
    <row r="65" ht="15.75" customHeight="1">
      <c r="A65" s="9"/>
      <c r="B65" s="9"/>
      <c r="C65" s="10"/>
      <c r="D65" s="10"/>
    </row>
    <row r="66" ht="15.75" customHeight="1">
      <c r="A66" s="9"/>
      <c r="B66" s="9"/>
      <c r="C66" s="10"/>
      <c r="D66" s="10"/>
    </row>
    <row r="67" ht="15.75" customHeight="1">
      <c r="A67" s="9"/>
      <c r="B67" s="9"/>
      <c r="C67" s="10"/>
      <c r="D67" s="10"/>
    </row>
    <row r="68" ht="15.75" customHeight="1">
      <c r="A68" s="9"/>
      <c r="B68" s="9"/>
      <c r="C68" s="10"/>
      <c r="D68" s="10"/>
    </row>
    <row r="69" ht="15.75" customHeight="1">
      <c r="A69" s="9"/>
      <c r="B69" s="9"/>
      <c r="C69" s="10"/>
      <c r="D69" s="10"/>
    </row>
    <row r="70" ht="15.75" customHeight="1">
      <c r="A70" s="9"/>
      <c r="B70" s="9"/>
      <c r="C70" s="10"/>
      <c r="D70" s="10"/>
    </row>
    <row r="71" ht="15.75" customHeight="1">
      <c r="A71" s="9"/>
      <c r="B71" s="9"/>
      <c r="C71" s="10"/>
      <c r="D71" s="10"/>
    </row>
    <row r="72" ht="15.75" customHeight="1">
      <c r="A72" s="9"/>
      <c r="B72" s="9"/>
      <c r="C72" s="10"/>
      <c r="D72" s="10"/>
    </row>
    <row r="73" ht="15.75" customHeight="1">
      <c r="A73" s="9"/>
      <c r="B73" s="9"/>
      <c r="C73" s="10"/>
      <c r="D73" s="10"/>
    </row>
    <row r="74" ht="15.75" customHeight="1">
      <c r="A74" s="9"/>
      <c r="B74" s="9"/>
      <c r="C74" s="10"/>
      <c r="D74" s="10"/>
    </row>
    <row r="75" ht="15.75" customHeight="1">
      <c r="A75" s="9"/>
      <c r="B75" s="9"/>
      <c r="C75" s="10"/>
      <c r="D75" s="10"/>
    </row>
    <row r="76" ht="15.75" customHeight="1">
      <c r="A76" s="9"/>
      <c r="B76" s="9"/>
      <c r="C76" s="10"/>
      <c r="D76" s="10"/>
    </row>
    <row r="77" ht="15.75" customHeight="1">
      <c r="A77" s="9"/>
      <c r="B77" s="9"/>
      <c r="C77" s="10"/>
      <c r="D77" s="10"/>
    </row>
    <row r="78" ht="15.75" customHeight="1">
      <c r="A78" s="9"/>
      <c r="B78" s="9"/>
      <c r="C78" s="10"/>
      <c r="D78" s="10"/>
    </row>
    <row r="79" ht="15.75" customHeight="1">
      <c r="A79" s="9"/>
      <c r="B79" s="9"/>
      <c r="C79" s="10"/>
      <c r="D79" s="10"/>
    </row>
    <row r="80" ht="15.75" customHeight="1">
      <c r="A80" s="9"/>
      <c r="B80" s="9"/>
      <c r="C80" s="10"/>
      <c r="D80" s="10"/>
    </row>
    <row r="81" ht="15.75" customHeight="1">
      <c r="A81" s="9"/>
      <c r="B81" s="9"/>
      <c r="C81" s="10"/>
      <c r="D81" s="10"/>
    </row>
    <row r="82" ht="15.75" customHeight="1">
      <c r="A82" s="9"/>
      <c r="B82" s="9"/>
      <c r="C82" s="10"/>
      <c r="D82" s="10"/>
    </row>
    <row r="83" ht="15.75" customHeight="1">
      <c r="A83" s="9"/>
      <c r="B83" s="9"/>
      <c r="C83" s="10"/>
      <c r="D83" s="10"/>
    </row>
    <row r="84" ht="15.75" customHeight="1">
      <c r="A84" s="9"/>
      <c r="B84" s="9"/>
      <c r="C84" s="10"/>
      <c r="D84" s="10"/>
    </row>
    <row r="85" ht="15.75" customHeight="1">
      <c r="A85" s="9"/>
      <c r="B85" s="9"/>
      <c r="C85" s="10"/>
      <c r="D85" s="10"/>
    </row>
    <row r="86" ht="15.75" customHeight="1">
      <c r="A86" s="9"/>
      <c r="B86" s="9"/>
      <c r="C86" s="10"/>
      <c r="D86" s="10"/>
    </row>
    <row r="87" ht="15.75" customHeight="1">
      <c r="A87" s="9"/>
      <c r="B87" s="9"/>
      <c r="C87" s="10"/>
      <c r="D87" s="10"/>
    </row>
    <row r="88" ht="15.75" customHeight="1">
      <c r="A88" s="9"/>
      <c r="B88" s="9"/>
      <c r="C88" s="10"/>
      <c r="D88" s="10"/>
    </row>
    <row r="89" ht="15.75" customHeight="1">
      <c r="A89" s="9"/>
      <c r="B89" s="9"/>
      <c r="C89" s="10"/>
      <c r="D89" s="10"/>
    </row>
    <row r="90" ht="15.75" customHeight="1">
      <c r="A90" s="9"/>
      <c r="B90" s="9"/>
      <c r="C90" s="10"/>
      <c r="D90" s="10"/>
    </row>
    <row r="91" ht="15.75" customHeight="1">
      <c r="A91" s="9"/>
      <c r="B91" s="9"/>
      <c r="C91" s="10"/>
      <c r="D91" s="10"/>
    </row>
    <row r="92" ht="15.75" customHeight="1">
      <c r="A92" s="9"/>
      <c r="B92" s="9"/>
      <c r="C92" s="10"/>
      <c r="D92" s="10"/>
    </row>
    <row r="93" ht="15.75" customHeight="1">
      <c r="A93" s="9"/>
      <c r="B93" s="9"/>
      <c r="C93" s="10"/>
      <c r="D93" s="10"/>
    </row>
    <row r="94" ht="15.75" customHeight="1">
      <c r="A94" s="9"/>
      <c r="B94" s="9"/>
      <c r="C94" s="10"/>
      <c r="D94" s="10"/>
    </row>
    <row r="95" ht="15.75" customHeight="1">
      <c r="A95" s="9"/>
      <c r="B95" s="9"/>
      <c r="C95" s="10"/>
      <c r="D95" s="10"/>
    </row>
    <row r="96" ht="15.75" customHeight="1">
      <c r="A96" s="9"/>
      <c r="B96" s="9"/>
      <c r="C96" s="10"/>
      <c r="D96" s="10"/>
    </row>
    <row r="97" ht="15.75" customHeight="1">
      <c r="A97" s="9"/>
      <c r="B97" s="9"/>
      <c r="C97" s="10"/>
      <c r="D97" s="10"/>
    </row>
    <row r="98" ht="15.75" customHeight="1">
      <c r="A98" s="9"/>
      <c r="B98" s="9"/>
      <c r="C98" s="10"/>
      <c r="D98" s="10"/>
    </row>
    <row r="99" ht="15.75" customHeight="1">
      <c r="A99" s="9"/>
      <c r="B99" s="9"/>
      <c r="C99" s="10"/>
      <c r="D99" s="10"/>
    </row>
    <row r="100" ht="15.75" customHeight="1">
      <c r="A100" s="9"/>
      <c r="B100" s="9"/>
      <c r="C100" s="10"/>
      <c r="D100" s="10"/>
    </row>
    <row r="101" ht="15.75" customHeight="1">
      <c r="A101" s="9"/>
      <c r="B101" s="9"/>
      <c r="C101" s="10"/>
      <c r="D101" s="10"/>
    </row>
    <row r="102" ht="15.75" customHeight="1">
      <c r="A102" s="9"/>
      <c r="B102" s="9"/>
      <c r="C102" s="10"/>
      <c r="D102" s="10"/>
    </row>
    <row r="103" ht="15.75" customHeight="1">
      <c r="A103" s="9"/>
      <c r="B103" s="9"/>
      <c r="C103" s="10"/>
      <c r="D103" s="10"/>
    </row>
    <row r="104" ht="15.75" customHeight="1">
      <c r="A104" s="9"/>
      <c r="B104" s="9"/>
      <c r="C104" s="10"/>
      <c r="D104" s="10"/>
    </row>
    <row r="105" ht="15.75" customHeight="1">
      <c r="A105" s="9"/>
      <c r="B105" s="9"/>
      <c r="C105" s="10"/>
      <c r="D105" s="10"/>
    </row>
    <row r="106" ht="15.75" customHeight="1">
      <c r="A106" s="9"/>
      <c r="B106" s="9"/>
      <c r="C106" s="10"/>
      <c r="D106" s="10"/>
    </row>
    <row r="107" ht="15.75" customHeight="1">
      <c r="A107" s="9"/>
      <c r="B107" s="9"/>
      <c r="C107" s="10"/>
      <c r="D107" s="10"/>
    </row>
    <row r="108" ht="15.75" customHeight="1">
      <c r="A108" s="6" t="s">
        <v>41</v>
      </c>
      <c r="B108" s="9" t="s">
        <v>28</v>
      </c>
      <c r="C108" s="10"/>
      <c r="D108" s="10"/>
    </row>
    <row r="109" ht="15.75" customHeight="1">
      <c r="A109" s="6" t="s">
        <v>11</v>
      </c>
      <c r="B109" s="6" t="s">
        <v>12</v>
      </c>
      <c r="C109" s="10"/>
      <c r="D109" s="10"/>
    </row>
    <row r="110" ht="15.75" customHeight="1">
      <c r="A110" s="10"/>
      <c r="B110" s="10"/>
      <c r="C110" s="10"/>
      <c r="D110" s="10"/>
    </row>
    <row r="111" ht="15.75" customHeight="1">
      <c r="A111" s="10"/>
      <c r="B111" s="10"/>
      <c r="C111" s="10"/>
      <c r="D111" s="10"/>
    </row>
    <row r="112" ht="15.75" customHeight="1">
      <c r="A112" s="10"/>
      <c r="B112" s="10"/>
      <c r="C112" s="10"/>
      <c r="D112" s="10"/>
    </row>
    <row r="113" ht="15.75" customHeight="1">
      <c r="A113" s="10"/>
      <c r="B113" s="10"/>
      <c r="C113" s="10"/>
      <c r="D113" s="10"/>
    </row>
    <row r="114" ht="15.75" customHeight="1">
      <c r="A114" s="10"/>
      <c r="B114" s="10"/>
      <c r="C114" s="10"/>
      <c r="D114" s="10"/>
    </row>
    <row r="115" ht="15.75" customHeight="1">
      <c r="A115" s="10"/>
      <c r="B115" s="10"/>
      <c r="C115" s="10"/>
      <c r="D115" s="10"/>
    </row>
    <row r="116" ht="15.75" customHeight="1">
      <c r="A116" s="10"/>
      <c r="B116" s="10"/>
      <c r="C116" s="10"/>
      <c r="D116" s="10"/>
    </row>
    <row r="117" ht="15.75" customHeight="1">
      <c r="A117" s="10"/>
      <c r="B117" s="10"/>
      <c r="C117" s="10"/>
      <c r="D117" s="10"/>
    </row>
    <row r="118" ht="15.75" customHeight="1">
      <c r="A118" s="10"/>
      <c r="B118" s="10"/>
      <c r="C118" s="10"/>
      <c r="D118" s="10"/>
    </row>
    <row r="119" ht="15.75" customHeight="1">
      <c r="A119" s="10"/>
      <c r="B119" s="10"/>
      <c r="C119" s="10"/>
      <c r="D119" s="10"/>
    </row>
    <row r="120" ht="15.75" customHeight="1">
      <c r="A120" s="10"/>
      <c r="B120" s="10"/>
      <c r="C120" s="10"/>
      <c r="D120" s="10"/>
    </row>
    <row r="121" ht="15.75" customHeight="1">
      <c r="A121" s="10"/>
      <c r="B121" s="10"/>
      <c r="C121" s="10"/>
      <c r="D121" s="10"/>
    </row>
    <row r="122" ht="15.75" customHeight="1">
      <c r="A122" s="10"/>
      <c r="B122" s="10"/>
      <c r="C122" s="10"/>
      <c r="D122" s="10"/>
    </row>
    <row r="123" ht="15.75" customHeight="1">
      <c r="A123" s="10"/>
      <c r="B123" s="10"/>
      <c r="C123" s="10"/>
      <c r="D123" s="10"/>
    </row>
    <row r="124" ht="15.75" customHeight="1">
      <c r="A124" s="10"/>
      <c r="B124" s="10"/>
      <c r="C124" s="10"/>
      <c r="D124" s="10"/>
    </row>
    <row r="125" ht="15.75" customHeight="1">
      <c r="A125" s="10"/>
      <c r="B125" s="10"/>
      <c r="C125" s="10"/>
      <c r="D125" s="10"/>
    </row>
    <row r="126" ht="15.75" customHeight="1">
      <c r="A126" s="10"/>
      <c r="B126" s="10"/>
      <c r="C126" s="10"/>
      <c r="D126" s="10"/>
    </row>
    <row r="127" ht="15.75" customHeight="1">
      <c r="A127" s="10"/>
      <c r="B127" s="10"/>
      <c r="C127" s="10"/>
      <c r="D127" s="10"/>
    </row>
    <row r="128" ht="15.75" customHeight="1">
      <c r="A128" s="10"/>
      <c r="B128" s="10"/>
      <c r="C128" s="10"/>
      <c r="D128" s="10"/>
    </row>
    <row r="129" ht="15.75" customHeight="1">
      <c r="A129" s="10"/>
      <c r="B129" s="10"/>
      <c r="C129" s="10"/>
      <c r="D129" s="10"/>
    </row>
    <row r="130" ht="15.75" customHeight="1">
      <c r="A130" s="10"/>
      <c r="B130" s="10"/>
      <c r="C130" s="10"/>
      <c r="D130" s="10"/>
    </row>
    <row r="131" ht="15.75" customHeight="1">
      <c r="A131" s="10"/>
      <c r="B131" s="10"/>
      <c r="C131" s="10"/>
      <c r="D131" s="10"/>
    </row>
    <row r="132" ht="15.75" customHeight="1">
      <c r="A132" s="10"/>
      <c r="B132" s="10"/>
      <c r="C132" s="10"/>
      <c r="D132" s="10"/>
    </row>
    <row r="133" ht="15.75" customHeight="1">
      <c r="A133" s="10"/>
      <c r="B133" s="10"/>
      <c r="C133" s="10"/>
      <c r="D133" s="10"/>
    </row>
    <row r="134" ht="15.75" customHeight="1">
      <c r="A134" s="10"/>
      <c r="B134" s="10"/>
      <c r="C134" s="10"/>
      <c r="D134" s="10"/>
    </row>
    <row r="135" ht="15.75" customHeight="1">
      <c r="A135" s="10"/>
      <c r="B135" s="10"/>
      <c r="C135" s="10"/>
      <c r="D135" s="10"/>
    </row>
    <row r="136" ht="15.75" customHeight="1">
      <c r="A136" s="10"/>
      <c r="B136" s="10"/>
      <c r="C136" s="10"/>
      <c r="D136" s="10"/>
    </row>
    <row r="137" ht="15.75" customHeight="1">
      <c r="A137" s="10"/>
      <c r="B137" s="10"/>
      <c r="C137" s="10"/>
      <c r="D137" s="10"/>
    </row>
    <row r="138" ht="15.75" customHeight="1">
      <c r="A138" s="10"/>
      <c r="B138" s="10"/>
      <c r="C138" s="10"/>
      <c r="D138" s="10"/>
    </row>
    <row r="139" ht="15.75" customHeight="1">
      <c r="A139" s="10"/>
      <c r="B139" s="10"/>
      <c r="C139" s="10"/>
      <c r="D139" s="10"/>
    </row>
    <row r="140" ht="15.75" customHeight="1">
      <c r="A140" s="10"/>
      <c r="B140" s="10"/>
      <c r="C140" s="10"/>
      <c r="D140" s="10"/>
    </row>
    <row r="141" ht="15.75" customHeight="1">
      <c r="A141" s="10"/>
      <c r="B141" s="10"/>
      <c r="C141" s="10"/>
      <c r="D141" s="10"/>
    </row>
    <row r="142" ht="15.75" customHeight="1">
      <c r="A142" s="10"/>
      <c r="B142" s="10"/>
      <c r="C142" s="10"/>
      <c r="D142" s="10"/>
    </row>
    <row r="143" ht="15.75" customHeight="1">
      <c r="A143" s="10"/>
      <c r="B143" s="10"/>
      <c r="C143" s="10"/>
      <c r="D143" s="10"/>
    </row>
    <row r="144" ht="15.75" customHeight="1">
      <c r="A144" s="10"/>
      <c r="B144" s="10"/>
      <c r="C144" s="10"/>
      <c r="D144" s="10"/>
    </row>
    <row r="145" ht="15.75" customHeight="1">
      <c r="A145" s="10"/>
      <c r="B145" s="10"/>
      <c r="C145" s="10"/>
      <c r="D145" s="10"/>
    </row>
    <row r="146" ht="15.75" customHeight="1">
      <c r="A146" s="10"/>
      <c r="B146" s="10"/>
      <c r="C146" s="10"/>
      <c r="D146" s="10"/>
    </row>
    <row r="147" ht="15.75" customHeight="1">
      <c r="A147" s="10"/>
      <c r="B147" s="10"/>
      <c r="C147" s="10"/>
      <c r="D147" s="10"/>
    </row>
    <row r="148" ht="15.75" customHeight="1">
      <c r="A148" s="10"/>
      <c r="B148" s="10"/>
      <c r="C148" s="10"/>
      <c r="D148" s="10"/>
    </row>
    <row r="149" ht="15.75" customHeight="1">
      <c r="A149" s="10"/>
      <c r="B149" s="10"/>
      <c r="C149" s="10"/>
      <c r="D149" s="10"/>
    </row>
    <row r="150" ht="15.75" customHeight="1">
      <c r="A150" s="10"/>
      <c r="B150" s="10"/>
      <c r="C150" s="10"/>
      <c r="D150" s="10"/>
    </row>
    <row r="151" ht="15.75" customHeight="1">
      <c r="A151" s="10"/>
      <c r="B151" s="10"/>
      <c r="C151" s="10"/>
      <c r="D151" s="10"/>
    </row>
    <row r="152" ht="15.75" customHeight="1">
      <c r="A152" s="10"/>
      <c r="B152" s="10"/>
      <c r="C152" s="10"/>
      <c r="D152" s="10"/>
    </row>
    <row r="153" ht="15.75" customHeight="1">
      <c r="A153" s="10"/>
      <c r="B153" s="10"/>
      <c r="C153" s="10"/>
      <c r="D153" s="10"/>
    </row>
    <row r="154" ht="15.75" customHeight="1">
      <c r="A154" s="10"/>
      <c r="B154" s="10"/>
      <c r="C154" s="10"/>
      <c r="D154" s="10"/>
    </row>
    <row r="155" ht="15.75" customHeight="1">
      <c r="A155" s="10"/>
      <c r="B155" s="10"/>
      <c r="C155" s="10"/>
      <c r="D155" s="10"/>
    </row>
    <row r="156" ht="15.75" customHeight="1">
      <c r="A156" s="10"/>
      <c r="B156" s="10"/>
      <c r="C156" s="10"/>
      <c r="D156" s="10"/>
    </row>
    <row r="157" ht="15.75" customHeight="1">
      <c r="A157" s="10"/>
      <c r="B157" s="10"/>
      <c r="C157" s="10"/>
      <c r="D157" s="10"/>
    </row>
    <row r="158" ht="15.75" customHeight="1">
      <c r="A158" s="10"/>
      <c r="B158" s="10"/>
      <c r="C158" s="10"/>
      <c r="D158" s="10"/>
    </row>
    <row r="159" ht="15.75" customHeight="1">
      <c r="A159" s="10"/>
      <c r="B159" s="10"/>
      <c r="C159" s="10"/>
      <c r="D159" s="10"/>
    </row>
    <row r="160" ht="15.75" customHeight="1">
      <c r="A160" s="10"/>
      <c r="B160" s="10"/>
      <c r="C160" s="10"/>
      <c r="D160" s="10"/>
    </row>
    <row r="161" ht="15.75" customHeight="1">
      <c r="A161" s="10"/>
      <c r="B161" s="10"/>
      <c r="C161" s="10"/>
      <c r="D161" s="10"/>
    </row>
    <row r="162" ht="15.75" customHeight="1">
      <c r="A162" s="10"/>
      <c r="B162" s="10"/>
      <c r="C162" s="10"/>
      <c r="D162" s="10"/>
    </row>
    <row r="163" ht="15.75" customHeight="1">
      <c r="A163" s="10"/>
      <c r="B163" s="10"/>
      <c r="C163" s="10"/>
      <c r="D163" s="10"/>
    </row>
    <row r="164" ht="15.75" customHeight="1">
      <c r="A164" s="10"/>
      <c r="B164" s="10"/>
      <c r="C164" s="10"/>
      <c r="D164" s="10"/>
    </row>
    <row r="165" ht="15.75" customHeight="1">
      <c r="A165" s="10"/>
      <c r="B165" s="10"/>
      <c r="C165" s="10"/>
      <c r="D165" s="10"/>
    </row>
    <row r="166" ht="15.75" customHeight="1">
      <c r="A166" s="10"/>
      <c r="B166" s="10"/>
      <c r="C166" s="10"/>
      <c r="D166" s="10"/>
    </row>
    <row r="167" ht="15.75" customHeight="1">
      <c r="A167" s="10"/>
      <c r="B167" s="10"/>
      <c r="C167" s="10"/>
      <c r="D167" s="10"/>
    </row>
    <row r="168" ht="15.75" customHeight="1">
      <c r="A168" s="10"/>
      <c r="B168" s="10"/>
      <c r="C168" s="10"/>
      <c r="D168" s="10"/>
    </row>
    <row r="169" ht="15.75" customHeight="1">
      <c r="A169" s="10"/>
      <c r="B169" s="10"/>
      <c r="C169" s="10"/>
      <c r="D169" s="10"/>
    </row>
    <row r="170" ht="15.75" customHeight="1">
      <c r="A170" s="10"/>
      <c r="B170" s="10"/>
      <c r="C170" s="10"/>
      <c r="D170" s="10"/>
    </row>
    <row r="171" ht="15.75" customHeight="1">
      <c r="A171" s="10"/>
      <c r="B171" s="10"/>
      <c r="C171" s="10"/>
      <c r="D171" s="10"/>
    </row>
    <row r="172" ht="15.75" customHeight="1">
      <c r="A172" s="10"/>
      <c r="B172" s="10"/>
      <c r="C172" s="10"/>
      <c r="D172" s="10"/>
    </row>
    <row r="173" ht="15.75" customHeight="1">
      <c r="A173" s="10"/>
      <c r="B173" s="10"/>
      <c r="C173" s="10"/>
      <c r="D173" s="10"/>
    </row>
    <row r="174" ht="15.75" customHeight="1">
      <c r="A174" s="10"/>
      <c r="B174" s="10"/>
      <c r="C174" s="10"/>
      <c r="D174" s="10"/>
    </row>
    <row r="175" ht="15.75" customHeight="1">
      <c r="A175" s="10"/>
      <c r="B175" s="10"/>
      <c r="C175" s="10"/>
      <c r="D175" s="10"/>
    </row>
    <row r="176" ht="15.75" customHeight="1">
      <c r="A176" s="10"/>
      <c r="B176" s="10"/>
      <c r="C176" s="10"/>
      <c r="D176" s="10"/>
    </row>
    <row r="177" ht="15.75" customHeight="1">
      <c r="A177" s="10"/>
      <c r="B177" s="10"/>
      <c r="C177" s="10"/>
      <c r="D177" s="10"/>
    </row>
    <row r="178" ht="15.75" customHeight="1">
      <c r="A178" s="10"/>
      <c r="B178" s="10"/>
      <c r="C178" s="10"/>
      <c r="D178" s="10"/>
    </row>
    <row r="179" ht="15.75" customHeight="1">
      <c r="A179" s="10"/>
      <c r="B179" s="10"/>
      <c r="C179" s="10"/>
      <c r="D179" s="10"/>
    </row>
    <row r="180" ht="15.75" customHeight="1">
      <c r="A180" s="10"/>
      <c r="B180" s="10"/>
      <c r="C180" s="10"/>
      <c r="D180" s="10"/>
    </row>
    <row r="181" ht="15.75" customHeight="1">
      <c r="A181" s="10"/>
      <c r="B181" s="10"/>
      <c r="C181" s="10"/>
      <c r="D181" s="10"/>
    </row>
    <row r="182" ht="15.75" customHeight="1">
      <c r="A182" s="10"/>
      <c r="B182" s="10"/>
      <c r="C182" s="10"/>
      <c r="D182" s="10"/>
    </row>
    <row r="183" ht="15.75" customHeight="1">
      <c r="A183" s="10"/>
      <c r="B183" s="10"/>
      <c r="C183" s="10"/>
      <c r="D183" s="10"/>
    </row>
    <row r="184" ht="15.75" customHeight="1">
      <c r="A184" s="10"/>
      <c r="B184" s="10"/>
      <c r="C184" s="10"/>
      <c r="D184" s="10"/>
    </row>
    <row r="185" ht="15.75" customHeight="1">
      <c r="A185" s="10"/>
      <c r="B185" s="10"/>
      <c r="C185" s="10"/>
      <c r="D185" s="10"/>
    </row>
    <row r="186" ht="15.75" customHeight="1">
      <c r="A186" s="10"/>
      <c r="B186" s="10"/>
      <c r="C186" s="10"/>
      <c r="D186" s="10"/>
    </row>
    <row r="187" ht="15.75" customHeight="1">
      <c r="A187" s="10"/>
      <c r="B187" s="10"/>
      <c r="C187" s="10"/>
      <c r="D187" s="10"/>
    </row>
    <row r="188" ht="15.75" customHeight="1">
      <c r="A188" s="10"/>
      <c r="B188" s="10"/>
      <c r="C188" s="10"/>
      <c r="D188" s="10"/>
    </row>
    <row r="189" ht="15.75" customHeight="1">
      <c r="A189" s="10"/>
      <c r="B189" s="10"/>
      <c r="C189" s="10"/>
      <c r="D189" s="10"/>
    </row>
    <row r="190" ht="15.75" customHeight="1">
      <c r="A190" s="10"/>
      <c r="B190" s="10"/>
      <c r="C190" s="10"/>
      <c r="D190" s="10"/>
    </row>
    <row r="191" ht="15.75" customHeight="1">
      <c r="A191" s="10"/>
      <c r="B191" s="10"/>
      <c r="C191" s="10"/>
      <c r="D191" s="10"/>
    </row>
    <row r="192" ht="15.75" customHeight="1">
      <c r="A192" s="10"/>
      <c r="B192" s="10"/>
      <c r="C192" s="10"/>
      <c r="D192" s="10"/>
    </row>
    <row r="193" ht="15.75" customHeight="1">
      <c r="A193" s="10"/>
      <c r="B193" s="10"/>
      <c r="C193" s="10"/>
      <c r="D193" s="10"/>
    </row>
    <row r="194" ht="15.75" customHeight="1">
      <c r="A194" s="10"/>
      <c r="B194" s="10"/>
      <c r="C194" s="10"/>
      <c r="D194" s="10"/>
    </row>
    <row r="195" ht="15.75" customHeight="1">
      <c r="A195" s="10"/>
      <c r="B195" s="10"/>
      <c r="C195" s="10"/>
      <c r="D195" s="10"/>
    </row>
    <row r="196" ht="15.75" customHeight="1">
      <c r="A196" s="10"/>
      <c r="B196" s="10"/>
      <c r="C196" s="10"/>
      <c r="D196" s="10"/>
    </row>
    <row r="197" ht="15.75" customHeight="1">
      <c r="A197" s="10"/>
      <c r="B197" s="10"/>
      <c r="C197" s="10"/>
      <c r="D197" s="10"/>
    </row>
    <row r="198" ht="15.75" customHeight="1">
      <c r="A198" s="10"/>
      <c r="B198" s="10"/>
      <c r="C198" s="10"/>
      <c r="D198" s="10"/>
    </row>
    <row r="199" ht="15.75" customHeight="1">
      <c r="A199" s="10"/>
      <c r="B199" s="10"/>
      <c r="C199" s="10"/>
      <c r="D199" s="10"/>
    </row>
    <row r="200" ht="15.75" customHeight="1">
      <c r="A200" s="10"/>
      <c r="B200" s="10"/>
      <c r="C200" s="10"/>
      <c r="D200" s="10"/>
    </row>
    <row r="201" ht="15.75" customHeight="1">
      <c r="A201" s="10"/>
      <c r="B201" s="10"/>
      <c r="C201" s="10"/>
      <c r="D201" s="10"/>
    </row>
    <row r="202" ht="15.75" customHeight="1">
      <c r="A202" s="10"/>
      <c r="B202" s="10"/>
      <c r="C202" s="10"/>
      <c r="D202" s="10"/>
    </row>
    <row r="203" ht="15.75" customHeight="1">
      <c r="A203" s="10"/>
      <c r="B203" s="10"/>
      <c r="C203" s="10"/>
      <c r="D203" s="10"/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>
      <c r="A230" s="10"/>
      <c r="B230" s="10"/>
      <c r="C230" s="10"/>
      <c r="D230" s="10"/>
    </row>
    <row r="231" ht="15.75" customHeight="1">
      <c r="A231" s="10"/>
      <c r="B231" s="10"/>
      <c r="C231" s="10"/>
      <c r="D231" s="10"/>
    </row>
    <row r="232" ht="15.75" customHeight="1">
      <c r="A232" s="10"/>
      <c r="B232" s="10"/>
      <c r="C232" s="10"/>
      <c r="D232" s="10"/>
    </row>
    <row r="233" ht="15.75" customHeight="1">
      <c r="A233" s="10"/>
      <c r="B233" s="10"/>
      <c r="C233" s="10"/>
      <c r="D233" s="10"/>
    </row>
    <row r="234" ht="15.75" customHeight="1">
      <c r="A234" s="10"/>
      <c r="B234" s="10"/>
      <c r="C234" s="10"/>
      <c r="D234" s="10"/>
    </row>
    <row r="235" ht="15.75" customHeight="1">
      <c r="A235" s="10"/>
      <c r="B235" s="10"/>
      <c r="C235" s="10"/>
      <c r="D235" s="10"/>
    </row>
    <row r="236" ht="15.75" customHeight="1">
      <c r="A236" s="10"/>
      <c r="B236" s="10"/>
      <c r="C236" s="10"/>
      <c r="D236" s="10"/>
    </row>
    <row r="237" ht="15.75" customHeight="1">
      <c r="A237" s="10"/>
      <c r="B237" s="10"/>
      <c r="C237" s="10"/>
      <c r="D237" s="10"/>
    </row>
    <row r="238" ht="15.75" customHeight="1">
      <c r="A238" s="10"/>
      <c r="B238" s="10"/>
      <c r="C238" s="10"/>
      <c r="D238" s="10"/>
    </row>
    <row r="239" ht="15.75" customHeight="1">
      <c r="A239" s="10"/>
      <c r="B239" s="10"/>
      <c r="C239" s="10"/>
      <c r="D239" s="10"/>
    </row>
    <row r="240" ht="15.75" customHeight="1">
      <c r="A240" s="10"/>
      <c r="B240" s="10"/>
      <c r="C240" s="10"/>
      <c r="D240" s="10"/>
    </row>
    <row r="241" ht="15.75" customHeight="1">
      <c r="A241" s="10"/>
      <c r="B241" s="10"/>
      <c r="C241" s="10"/>
      <c r="D241" s="10"/>
    </row>
    <row r="242" ht="15.75" customHeight="1">
      <c r="A242" s="10"/>
      <c r="B242" s="10"/>
      <c r="C242" s="10"/>
      <c r="D242" s="10"/>
    </row>
    <row r="243" ht="15.75" customHeight="1">
      <c r="A243" s="10"/>
      <c r="B243" s="10"/>
      <c r="C243" s="10"/>
      <c r="D243" s="10"/>
    </row>
    <row r="244" ht="15.75" customHeight="1">
      <c r="A244" s="10"/>
      <c r="B244" s="10"/>
      <c r="C244" s="10"/>
      <c r="D244" s="10"/>
    </row>
    <row r="245" ht="15.75" customHeight="1">
      <c r="A245" s="10"/>
      <c r="B245" s="10"/>
      <c r="C245" s="10"/>
      <c r="D245" s="10"/>
    </row>
    <row r="246" ht="15.75" customHeight="1">
      <c r="A246" s="10"/>
      <c r="B246" s="10"/>
      <c r="C246" s="10"/>
      <c r="D246" s="10"/>
    </row>
    <row r="247" ht="15.75" customHeight="1">
      <c r="A247" s="10"/>
      <c r="B247" s="10"/>
      <c r="C247" s="10"/>
      <c r="D247" s="10"/>
    </row>
    <row r="248" ht="15.75" customHeight="1">
      <c r="A248" s="10"/>
      <c r="B248" s="10"/>
      <c r="C248" s="10"/>
      <c r="D248" s="10"/>
    </row>
    <row r="249" ht="15.75" customHeight="1">
      <c r="A249" s="10"/>
      <c r="B249" s="10"/>
      <c r="C249" s="10"/>
      <c r="D249" s="10"/>
    </row>
    <row r="250" ht="15.75" customHeight="1">
      <c r="A250" s="10"/>
      <c r="B250" s="10"/>
      <c r="C250" s="10"/>
      <c r="D250" s="10"/>
    </row>
    <row r="251" ht="15.75" customHeight="1">
      <c r="A251" s="10"/>
      <c r="B251" s="10"/>
      <c r="C251" s="10"/>
      <c r="D251" s="10"/>
    </row>
    <row r="252" ht="15.75" customHeight="1">
      <c r="A252" s="10"/>
      <c r="B252" s="10"/>
      <c r="C252" s="10"/>
      <c r="D252" s="10"/>
    </row>
    <row r="253" ht="15.75" customHeight="1">
      <c r="A253" s="10"/>
      <c r="B253" s="10"/>
      <c r="C253" s="10"/>
      <c r="D253" s="10"/>
    </row>
    <row r="254" ht="15.75" customHeight="1">
      <c r="A254" s="10"/>
      <c r="B254" s="10"/>
      <c r="C254" s="10"/>
      <c r="D254" s="10"/>
    </row>
    <row r="255" ht="15.75" customHeight="1">
      <c r="A255" s="10"/>
      <c r="B255" s="10"/>
      <c r="C255" s="10"/>
      <c r="D255" s="10"/>
    </row>
    <row r="256" ht="15.75" customHeight="1">
      <c r="A256" s="10"/>
      <c r="B256" s="10"/>
      <c r="C256" s="10"/>
      <c r="D256" s="10"/>
    </row>
    <row r="257" ht="15.75" customHeight="1">
      <c r="A257" s="10"/>
      <c r="B257" s="10"/>
      <c r="C257" s="10"/>
      <c r="D257" s="10"/>
    </row>
    <row r="258" ht="15.75" customHeight="1">
      <c r="A258" s="10"/>
      <c r="B258" s="10"/>
      <c r="C258" s="10"/>
      <c r="D258" s="10"/>
    </row>
    <row r="259" ht="15.75" customHeight="1">
      <c r="A259" s="10"/>
      <c r="B259" s="10"/>
      <c r="C259" s="10"/>
      <c r="D259" s="10"/>
    </row>
    <row r="260" ht="15.75" customHeight="1">
      <c r="A260" s="10"/>
      <c r="B260" s="10"/>
      <c r="C260" s="10"/>
      <c r="D260" s="10"/>
    </row>
    <row r="261" ht="15.75" customHeight="1">
      <c r="A261" s="10"/>
      <c r="B261" s="10"/>
      <c r="C261" s="10"/>
      <c r="D261" s="10"/>
    </row>
    <row r="262" ht="15.75" customHeight="1">
      <c r="A262" s="10"/>
      <c r="B262" s="10"/>
      <c r="C262" s="10"/>
      <c r="D262" s="10"/>
    </row>
    <row r="263" ht="15.75" customHeight="1">
      <c r="A263" s="10"/>
      <c r="B263" s="10"/>
      <c r="C263" s="10"/>
      <c r="D263" s="10"/>
    </row>
    <row r="264" ht="15.75" customHeight="1">
      <c r="A264" s="10"/>
      <c r="B264" s="10"/>
      <c r="C264" s="10"/>
      <c r="D264" s="10"/>
    </row>
    <row r="265" ht="15.75" customHeight="1">
      <c r="A265" s="10"/>
      <c r="B265" s="10"/>
      <c r="C265" s="10"/>
      <c r="D265" s="10"/>
    </row>
    <row r="266" ht="15.75" customHeight="1">
      <c r="A266" s="10"/>
      <c r="B266" s="10"/>
      <c r="C266" s="10"/>
      <c r="D266" s="10"/>
    </row>
    <row r="267" ht="15.75" customHeight="1">
      <c r="A267" s="10"/>
      <c r="B267" s="10"/>
      <c r="C267" s="10"/>
      <c r="D267" s="10"/>
    </row>
    <row r="268" ht="15.75" customHeight="1">
      <c r="A268" s="10"/>
      <c r="B268" s="10"/>
      <c r="C268" s="10"/>
      <c r="D268" s="10"/>
    </row>
    <row r="269" ht="15.75" customHeight="1">
      <c r="A269" s="10"/>
      <c r="B269" s="10"/>
      <c r="C269" s="10"/>
      <c r="D269" s="10"/>
    </row>
    <row r="270" ht="15.75" customHeight="1">
      <c r="A270" s="10"/>
      <c r="B270" s="10"/>
      <c r="C270" s="10"/>
      <c r="D270" s="10"/>
    </row>
    <row r="271" ht="15.75" customHeight="1">
      <c r="A271" s="10"/>
      <c r="B271" s="10"/>
      <c r="C271" s="10"/>
      <c r="D271" s="10"/>
    </row>
    <row r="272" ht="15.75" customHeight="1">
      <c r="A272" s="10"/>
      <c r="B272" s="10"/>
      <c r="C272" s="10"/>
      <c r="D272" s="10"/>
    </row>
    <row r="273" ht="15.75" customHeight="1">
      <c r="A273" s="10"/>
      <c r="B273" s="10"/>
      <c r="C273" s="10"/>
      <c r="D273" s="10"/>
    </row>
    <row r="274" ht="15.75" customHeight="1">
      <c r="A274" s="10"/>
      <c r="B274" s="10"/>
      <c r="C274" s="10"/>
      <c r="D274" s="10"/>
    </row>
    <row r="275" ht="15.75" customHeight="1">
      <c r="A275" s="10"/>
      <c r="B275" s="10"/>
      <c r="C275" s="10"/>
      <c r="D275" s="10"/>
    </row>
    <row r="276" ht="15.75" customHeight="1">
      <c r="A276" s="10"/>
      <c r="B276" s="10"/>
      <c r="C276" s="10"/>
      <c r="D276" s="10"/>
    </row>
    <row r="277" ht="15.75" customHeight="1">
      <c r="A277" s="10"/>
      <c r="B277" s="10"/>
      <c r="C277" s="10"/>
      <c r="D277" s="10"/>
    </row>
    <row r="278" ht="15.75" customHeight="1">
      <c r="A278" s="10"/>
      <c r="B278" s="10"/>
      <c r="C278" s="10"/>
      <c r="D278" s="10"/>
    </row>
    <row r="279" ht="15.75" customHeight="1">
      <c r="A279" s="10"/>
      <c r="B279" s="10"/>
      <c r="C279" s="10"/>
      <c r="D279" s="10"/>
    </row>
    <row r="280" ht="15.75" customHeight="1">
      <c r="A280" s="10"/>
      <c r="B280" s="10"/>
      <c r="C280" s="10"/>
      <c r="D280" s="10"/>
    </row>
    <row r="281" ht="15.75" customHeight="1">
      <c r="A281" s="10"/>
      <c r="B281" s="10"/>
      <c r="C281" s="10"/>
      <c r="D281" s="10"/>
    </row>
    <row r="282" ht="15.75" customHeight="1">
      <c r="A282" s="10"/>
      <c r="B282" s="10"/>
      <c r="C282" s="10"/>
      <c r="D282" s="10"/>
    </row>
    <row r="283" ht="15.75" customHeight="1">
      <c r="A283" s="10"/>
      <c r="B283" s="10"/>
      <c r="C283" s="10"/>
      <c r="D283" s="10"/>
    </row>
    <row r="284" ht="15.75" customHeight="1">
      <c r="A284" s="10"/>
      <c r="B284" s="10"/>
      <c r="C284" s="10"/>
      <c r="D284" s="10"/>
    </row>
    <row r="285" ht="15.75" customHeight="1">
      <c r="A285" s="10"/>
      <c r="B285" s="10"/>
      <c r="C285" s="10"/>
      <c r="D285" s="10"/>
    </row>
    <row r="286" ht="15.75" customHeight="1">
      <c r="A286" s="10"/>
      <c r="B286" s="10"/>
      <c r="C286" s="10"/>
      <c r="D286" s="10"/>
    </row>
    <row r="287" ht="15.75" customHeight="1">
      <c r="A287" s="10"/>
      <c r="B287" s="10"/>
      <c r="C287" s="10"/>
      <c r="D287" s="10"/>
    </row>
    <row r="288" ht="15.75" customHeight="1">
      <c r="A288" s="10"/>
      <c r="B288" s="10"/>
      <c r="C288" s="10"/>
      <c r="D288" s="10"/>
    </row>
    <row r="289" ht="15.75" customHeight="1">
      <c r="A289" s="10"/>
      <c r="B289" s="10"/>
      <c r="C289" s="10"/>
      <c r="D289" s="10"/>
    </row>
    <row r="290" ht="15.75" customHeight="1">
      <c r="A290" s="10"/>
      <c r="B290" s="10"/>
      <c r="C290" s="10"/>
      <c r="D290" s="10"/>
    </row>
    <row r="291" ht="15.75" customHeight="1">
      <c r="A291" s="10"/>
      <c r="B291" s="10"/>
      <c r="C291" s="10"/>
      <c r="D291" s="10"/>
    </row>
    <row r="292" ht="15.75" customHeight="1">
      <c r="A292" s="10"/>
      <c r="B292" s="10"/>
      <c r="C292" s="10"/>
      <c r="D292" s="10"/>
    </row>
    <row r="293" ht="15.75" customHeight="1">
      <c r="A293" s="10"/>
      <c r="B293" s="10"/>
      <c r="C293" s="10"/>
      <c r="D293" s="10"/>
    </row>
    <row r="294" ht="15.75" customHeight="1">
      <c r="A294" s="10"/>
      <c r="B294" s="10"/>
      <c r="C294" s="10"/>
      <c r="D294" s="10"/>
    </row>
    <row r="295" ht="15.75" customHeight="1">
      <c r="A295" s="10"/>
      <c r="B295" s="10"/>
      <c r="C295" s="10"/>
      <c r="D295" s="10"/>
    </row>
    <row r="296" ht="15.75" customHeight="1">
      <c r="A296" s="10"/>
      <c r="B296" s="10"/>
      <c r="C296" s="10"/>
      <c r="D296" s="10"/>
    </row>
    <row r="297" ht="15.75" customHeight="1">
      <c r="A297" s="10"/>
      <c r="B297" s="10"/>
      <c r="C297" s="10"/>
      <c r="D297" s="10"/>
    </row>
    <row r="298" ht="15.75" customHeight="1">
      <c r="A298" s="10"/>
      <c r="B298" s="10"/>
      <c r="C298" s="10"/>
      <c r="D298" s="10"/>
    </row>
    <row r="299" ht="15.75" customHeight="1">
      <c r="A299" s="10"/>
      <c r="B299" s="10"/>
      <c r="C299" s="10"/>
      <c r="D299" s="10"/>
    </row>
    <row r="300" ht="15.75" customHeight="1">
      <c r="A300" s="10"/>
      <c r="B300" s="10"/>
      <c r="C300" s="10"/>
      <c r="D300" s="10"/>
    </row>
    <row r="301" ht="15.75" customHeight="1">
      <c r="A301" s="10"/>
      <c r="B301" s="10"/>
      <c r="C301" s="10"/>
      <c r="D301" s="10"/>
    </row>
    <row r="302" ht="15.75" customHeight="1">
      <c r="A302" s="10"/>
      <c r="B302" s="10"/>
      <c r="C302" s="10"/>
      <c r="D302" s="10"/>
    </row>
    <row r="303" ht="15.75" customHeight="1">
      <c r="A303" s="10"/>
      <c r="B303" s="10"/>
      <c r="C303" s="10"/>
      <c r="D303" s="10"/>
    </row>
    <row r="304" ht="15.75" customHeight="1">
      <c r="A304" s="10"/>
      <c r="B304" s="10"/>
      <c r="C304" s="10"/>
      <c r="D304" s="10"/>
    </row>
    <row r="305" ht="15.75" customHeight="1">
      <c r="A305" s="10"/>
      <c r="B305" s="10"/>
      <c r="C305" s="10"/>
      <c r="D305" s="10"/>
    </row>
    <row r="306" ht="15.75" customHeight="1">
      <c r="A306" s="10"/>
      <c r="B306" s="10"/>
      <c r="C306" s="10"/>
      <c r="D306" s="10"/>
    </row>
    <row r="307" ht="15.75" customHeight="1">
      <c r="A307" s="10"/>
      <c r="B307" s="10"/>
      <c r="C307" s="10"/>
      <c r="D307" s="10"/>
    </row>
    <row r="308" ht="15.75" customHeight="1">
      <c r="A308" s="10"/>
      <c r="B308" s="10"/>
      <c r="C308" s="10"/>
      <c r="D308" s="10"/>
    </row>
    <row r="309" ht="15.75" customHeight="1">
      <c r="A309" s="10"/>
      <c r="B309" s="10"/>
      <c r="C309" s="10"/>
      <c r="D309" s="10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5" width="8.25"/>
    <col customWidth="1" min="6" max="6" width="9.63"/>
    <col customWidth="1" min="7" max="11" width="8.25"/>
    <col customWidth="1" min="12" max="26" width="7.13"/>
  </cols>
  <sheetData>
    <row r="1" ht="33.0" customHeight="1">
      <c r="A1" s="11" t="s">
        <v>42</v>
      </c>
      <c r="L1" s="12"/>
      <c r="M1" s="13" t="s">
        <v>43</v>
      </c>
      <c r="O1" s="14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15" t="str">
        <f t="array" ref="A2">VLOOKUP(F$4,INDIRECT(M$2&amp;"!A3:U109"),2,FALSE)</f>
        <v>内田克政</v>
      </c>
      <c r="E2" s="16" t="s">
        <v>44</v>
      </c>
      <c r="F2" s="12"/>
      <c r="G2" s="12"/>
      <c r="H2" s="17" t="s">
        <v>45</v>
      </c>
      <c r="J2" s="18">
        <v>46056.0</v>
      </c>
      <c r="L2" s="19"/>
      <c r="M2" s="20" t="s">
        <v>46</v>
      </c>
      <c r="N2" s="2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F3" s="12"/>
      <c r="G3" s="12"/>
      <c r="H3" s="12"/>
      <c r="I3" s="12"/>
      <c r="J3" s="12"/>
      <c r="K3" s="12"/>
      <c r="L3" s="12"/>
      <c r="M3" s="22" t="s">
        <v>5</v>
      </c>
      <c r="N3" s="23">
        <v>2.0</v>
      </c>
      <c r="O3" s="12" t="s">
        <v>47</v>
      </c>
      <c r="P3" s="24">
        <v>1.0</v>
      </c>
      <c r="Q3" s="12" t="s">
        <v>48</v>
      </c>
      <c r="R3" s="24">
        <v>12.0</v>
      </c>
      <c r="S3" s="12"/>
      <c r="T3" s="12"/>
      <c r="U3" s="12"/>
      <c r="V3" s="12"/>
      <c r="W3" s="12"/>
      <c r="X3" s="12"/>
      <c r="Y3" s="12"/>
      <c r="Z3" s="12"/>
    </row>
    <row r="4" ht="18.75" customHeight="1">
      <c r="A4" s="25" t="s">
        <v>49</v>
      </c>
      <c r="F4" s="22">
        <v>716.0</v>
      </c>
      <c r="G4" s="12" t="s">
        <v>50</v>
      </c>
      <c r="H4" s="26" t="s">
        <v>51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22"/>
      <c r="B5" s="22"/>
      <c r="C5" s="22"/>
      <c r="D5" s="12"/>
      <c r="E5" s="12"/>
      <c r="F5" s="12"/>
      <c r="G5" s="12"/>
      <c r="L5" s="27"/>
      <c r="M5" s="27" t="s">
        <v>52</v>
      </c>
      <c r="N5" s="27"/>
      <c r="O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7.75" customHeight="1">
      <c r="A6" s="28" t="s">
        <v>53</v>
      </c>
      <c r="B6" s="29"/>
      <c r="C6" s="30">
        <f>I34</f>
        <v>81800</v>
      </c>
      <c r="D6" s="31"/>
      <c r="E6" s="31"/>
      <c r="F6" s="31"/>
      <c r="G6" s="29"/>
      <c r="H6" s="32" t="s">
        <v>54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0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33"/>
      <c r="M7" s="33"/>
      <c r="N7" s="3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0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33"/>
      <c r="M8" s="33"/>
      <c r="N8" s="3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2.5" customHeight="1">
      <c r="A9" s="34" t="s">
        <v>55</v>
      </c>
      <c r="B9" s="35"/>
      <c r="C9" s="36" t="s">
        <v>56</v>
      </c>
      <c r="D9" s="35"/>
      <c r="E9" s="36" t="s">
        <v>57</v>
      </c>
      <c r="F9" s="35"/>
      <c r="G9" s="36" t="s">
        <v>58</v>
      </c>
      <c r="H9" s="35"/>
      <c r="I9" s="36" t="s">
        <v>59</v>
      </c>
      <c r="J9" s="35"/>
      <c r="K9" s="37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2.5" customHeight="1">
      <c r="A10" s="38" t="str">
        <f t="array" ref="A10">INDIRECT(M$2&amp;"!D2")</f>
        <v>家賃</v>
      </c>
      <c r="C10" s="39">
        <f t="array" ref="C10">VLOOKUP(F$4,INDIRECT(M$2&amp;"!A3:Y109"),4,FALSE)</f>
        <v>40000</v>
      </c>
      <c r="E10" s="40" t="s">
        <v>60</v>
      </c>
      <c r="G10" s="41">
        <f t="shared" ref="G10:G28" si="1">C10</f>
        <v>40000</v>
      </c>
      <c r="I10" s="42">
        <f>N3</f>
        <v>2</v>
      </c>
      <c r="K10" s="4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2.5" customHeight="1">
      <c r="A11" s="44" t="str">
        <f t="array" ref="A11">INDIRECT(M$2&amp;"!E2")</f>
        <v>管理費</v>
      </c>
      <c r="C11" s="45">
        <f t="array" ref="C11">VLOOKUP(F$4,INDIRECT(M$2&amp;"!A3:Y109"),5,FALSE)</f>
        <v>5000</v>
      </c>
      <c r="E11" s="46" t="s">
        <v>60</v>
      </c>
      <c r="G11" s="47">
        <f t="shared" si="1"/>
        <v>5000</v>
      </c>
      <c r="I11" s="48">
        <f>N3</f>
        <v>2</v>
      </c>
      <c r="K11" s="4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38" t="str">
        <f t="array" ref="A12">INDIRECT(M$2&amp;"!F2")</f>
        <v>共益費</v>
      </c>
      <c r="C12" s="39">
        <f t="array" ref="C12">VLOOKUP(F$4,INDIRECT(M$2&amp;"!A3:Y109"),6,FALSE)</f>
        <v>5000</v>
      </c>
      <c r="E12" s="40" t="s">
        <v>60</v>
      </c>
      <c r="G12" s="41">
        <f t="shared" si="1"/>
        <v>5000</v>
      </c>
      <c r="I12" s="42">
        <f>N3</f>
        <v>2</v>
      </c>
      <c r="K12" s="43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2.5" customHeight="1">
      <c r="A13" s="44" t="str">
        <f t="array" ref="A13">INDIRECT(M$2&amp;"!G2")</f>
        <v>水道料金</v>
      </c>
      <c r="C13" s="45">
        <f t="array" ref="C13">VLOOKUP(F$4,INDIRECT(M$2&amp;"!A3:Y109"),7,FALSE)</f>
        <v>2000</v>
      </c>
      <c r="E13" s="46" t="s">
        <v>60</v>
      </c>
      <c r="G13" s="47">
        <f t="shared" si="1"/>
        <v>2000</v>
      </c>
      <c r="I13" s="48">
        <f>N3</f>
        <v>2</v>
      </c>
      <c r="K13" s="43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38" t="str">
        <f t="array" ref="A14">INDIRECT(M$2&amp;"!H2")</f>
        <v>定額光熱費</v>
      </c>
      <c r="C14" s="39">
        <f t="array" ref="C14">VLOOKUP(F$4,INDIRECT(M$2&amp;"!A3:Y109"),8,FALSE)</f>
        <v>10000</v>
      </c>
      <c r="E14" s="40" t="s">
        <v>60</v>
      </c>
      <c r="G14" s="41">
        <f t="shared" si="1"/>
        <v>10000</v>
      </c>
      <c r="I14" s="42">
        <f>N3</f>
        <v>2</v>
      </c>
      <c r="K14" s="43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44" t="str">
        <f t="array" ref="A15">INDIRECT(M$2&amp;"!I2")</f>
        <v>食事</v>
      </c>
      <c r="C15" s="45">
        <f t="array" ref="C15">VLOOKUP(F$4,INDIRECT(M$2&amp;"!A3:Y109"),9,FALSE)</f>
        <v>19800</v>
      </c>
      <c r="E15" s="46" t="s">
        <v>60</v>
      </c>
      <c r="G15" s="47">
        <f t="shared" si="1"/>
        <v>19800</v>
      </c>
      <c r="I15" s="48">
        <f>P3</f>
        <v>1</v>
      </c>
      <c r="K15" s="43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38" t="str">
        <f t="array" ref="A16">INDIRECT(M$2&amp;"!J2")</f>
        <v>調整額</v>
      </c>
      <c r="C16" s="39" t="str">
        <f t="array" ref="C16">VLOOKUP(F$4,INDIRECT(M$2&amp;"!A3:Y109"),10,FALSE)</f>
        <v/>
      </c>
      <c r="E16" s="40" t="s">
        <v>60</v>
      </c>
      <c r="G16" s="50" t="str">
        <f t="shared" si="1"/>
        <v/>
      </c>
      <c r="I16" s="42">
        <f>P3</f>
        <v>1</v>
      </c>
      <c r="K16" s="4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2.5" customHeight="1">
      <c r="A17" s="44" t="str">
        <f t="array" ref="A17">INDIRECT(M$2&amp;"!K2")</f>
        <v>オムツ</v>
      </c>
      <c r="C17" s="45" t="str">
        <f t="array" ref="C17">VLOOKUP(F$4,INDIRECT(M$2&amp;"!A3:Y109"),11,FALSE)</f>
        <v/>
      </c>
      <c r="E17" s="46" t="s">
        <v>60</v>
      </c>
      <c r="G17" s="47" t="str">
        <f t="shared" si="1"/>
        <v/>
      </c>
      <c r="I17" s="48">
        <f>P3</f>
        <v>1</v>
      </c>
      <c r="K17" s="4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2.5" customHeight="1">
      <c r="A18" s="38" t="str">
        <f t="array" ref="A18">INDIRECT(M$2&amp;"!L2")</f>
        <v>日用品</v>
      </c>
      <c r="C18" s="39" t="str">
        <f t="array" ref="C18">VLOOKUP(F$4,INDIRECT(M$2&amp;"!A3:Y109"),12,FALSE)</f>
        <v/>
      </c>
      <c r="E18" s="40" t="s">
        <v>60</v>
      </c>
      <c r="G18" s="41" t="str">
        <f t="shared" si="1"/>
        <v/>
      </c>
      <c r="I18" s="42">
        <f>P3</f>
        <v>1</v>
      </c>
      <c r="K18" s="4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22.5" customHeight="1">
      <c r="A19" s="44" t="str">
        <f t="array" ref="A19">INDIRECT(M$2&amp;"!M2")</f>
        <v>分割支払い</v>
      </c>
      <c r="C19" s="45" t="str">
        <f t="array" ref="C19">VLOOKUP(F$4,INDIRECT(M$2&amp;"!A3:Y109"),13,FALSE)</f>
        <v/>
      </c>
      <c r="E19" s="46" t="s">
        <v>60</v>
      </c>
      <c r="G19" s="47" t="str">
        <f t="shared" si="1"/>
        <v/>
      </c>
      <c r="I19" s="48">
        <f>P3</f>
        <v>1</v>
      </c>
      <c r="K19" s="4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2.5" customHeight="1">
      <c r="A20" s="38" t="str">
        <f t="array" ref="A20">INDIRECT(M$2&amp;"!N2")</f>
        <v>事務手数料</v>
      </c>
      <c r="C20" s="39" t="str">
        <f t="array" ref="C20">VLOOKUP(F$4,INDIRECT(M$2&amp;"!A3:Y109"),14,FALSE)</f>
        <v/>
      </c>
      <c r="E20" s="40" t="s">
        <v>60</v>
      </c>
      <c r="G20" s="41" t="str">
        <f t="shared" si="1"/>
        <v/>
      </c>
      <c r="I20" s="42">
        <f>P3</f>
        <v>1</v>
      </c>
      <c r="K20" s="4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2.5" customHeight="1">
      <c r="A21" s="44" t="str">
        <f t="array" ref="A21">INDIRECT(M$2&amp;"!O2")</f>
        <v>デイサービス</v>
      </c>
      <c r="C21" s="45" t="str">
        <f t="array" ref="C21">VLOOKUP(F$4,INDIRECT(M$2&amp;"!A3:Y109"),15,FALSE)</f>
        <v/>
      </c>
      <c r="E21" s="46" t="s">
        <v>60</v>
      </c>
      <c r="G21" s="47" t="str">
        <f t="shared" si="1"/>
        <v/>
      </c>
      <c r="I21" s="48">
        <f>R3</f>
        <v>12</v>
      </c>
      <c r="K21" s="4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2.5" customHeight="1">
      <c r="A22" s="38" t="str">
        <f t="array" ref="A22">INDIRECT(M$2&amp;"!P2")</f>
        <v>福祉用具</v>
      </c>
      <c r="C22" s="39" t="str">
        <f t="array" ref="C22">VLOOKUP(F$4,INDIRECT(M$2&amp;"!A3:Y109"),16,FALSE)</f>
        <v/>
      </c>
      <c r="E22" s="40" t="s">
        <v>60</v>
      </c>
      <c r="G22" s="41" t="str">
        <f t="shared" si="1"/>
        <v/>
      </c>
      <c r="I22" s="42">
        <f>R3</f>
        <v>12</v>
      </c>
      <c r="K22" s="43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22.5" customHeight="1">
      <c r="A23" s="44" t="str">
        <f t="array" ref="A23">INDIRECT(M$2&amp;"!Q2")</f>
        <v>しろくま薬局</v>
      </c>
      <c r="C23" s="45" t="str">
        <f t="array" ref="C23">VLOOKUP(F$4,INDIRECT(M$2&amp;"!A3:Y109"),17,FALSE)</f>
        <v/>
      </c>
      <c r="E23" s="46" t="s">
        <v>60</v>
      </c>
      <c r="G23" s="47" t="str">
        <f t="shared" si="1"/>
        <v/>
      </c>
      <c r="I23" s="48">
        <f>R3</f>
        <v>12</v>
      </c>
      <c r="K23" s="43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22.5" customHeight="1">
      <c r="A24" s="38" t="str">
        <f t="array" ref="A24">INDIRECT(M$2&amp;"!R2")</f>
        <v>往診診療費</v>
      </c>
      <c r="C24" s="39" t="str">
        <f t="array" ref="C24">VLOOKUP(F$4,INDIRECT(M$2&amp;"!A3:Y109"),18,FALSE)</f>
        <v/>
      </c>
      <c r="E24" s="51" t="s">
        <v>60</v>
      </c>
      <c r="G24" s="41" t="str">
        <f t="shared" si="1"/>
        <v/>
      </c>
      <c r="I24" s="42">
        <f>R3</f>
        <v>12</v>
      </c>
      <c r="K24" s="43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22.5" customHeight="1">
      <c r="A25" s="44" t="str">
        <f t="array" ref="A25">INDIRECT(M$2&amp;"!S2")</f>
        <v>サポート費</v>
      </c>
      <c r="C25" s="45" t="str">
        <f t="array" ref="C25">VLOOKUP(F$4,INDIRECT(M$2&amp;"!A3:Y109"),19,FALSE)</f>
        <v/>
      </c>
      <c r="E25" s="46" t="s">
        <v>60</v>
      </c>
      <c r="G25" s="47" t="str">
        <f t="shared" si="1"/>
        <v/>
      </c>
      <c r="I25" s="48">
        <f>R3</f>
        <v>12</v>
      </c>
      <c r="K25" s="43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22.5" customHeight="1">
      <c r="A26" s="38" t="str">
        <f t="array" ref="A26">INDIRECT(M$2&amp;"!T2")</f>
        <v>その他</v>
      </c>
      <c r="C26" s="39" t="str">
        <f t="array" ref="C26">VLOOKUP(F$4,INDIRECT(M$2&amp;"!A3:Y109"),20,FALSE)</f>
        <v/>
      </c>
      <c r="E26" s="51" t="s">
        <v>60</v>
      </c>
      <c r="G26" s="41" t="str">
        <f t="shared" si="1"/>
        <v/>
      </c>
      <c r="I26" s="42">
        <f>R3</f>
        <v>12</v>
      </c>
      <c r="K26" s="43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22.5" customHeight="1">
      <c r="A27" s="44" t="str">
        <f t="array" ref="A27">INDIRECT(M$2&amp;"!U2")</f>
        <v/>
      </c>
      <c r="C27" s="45" t="str">
        <f t="array" ref="C27">VLOOKUP(F$4,INDIRECT(M$2&amp;"!A3:Y109"),21,FALSE)</f>
        <v/>
      </c>
      <c r="E27" s="46" t="s">
        <v>60</v>
      </c>
      <c r="G27" s="47" t="str">
        <f t="shared" si="1"/>
        <v/>
      </c>
      <c r="I27" s="48"/>
      <c r="K27" s="43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22.5" customHeight="1">
      <c r="A28" s="38" t="str">
        <f t="array" ref="A28">INDIRECT(M$2&amp;"!V2")</f>
        <v/>
      </c>
      <c r="C28" s="39" t="str">
        <f t="array" ref="C28">VLOOKUP(F$4,INDIRECT(M$2&amp;"!A3:Y109"),22,FALSE)</f>
        <v/>
      </c>
      <c r="E28" s="51"/>
      <c r="G28" s="41" t="str">
        <f t="shared" si="1"/>
        <v/>
      </c>
      <c r="I28" s="42"/>
      <c r="K28" s="43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2.5" customHeight="1">
      <c r="A29" s="52" t="s">
        <v>61</v>
      </c>
      <c r="B29" s="53"/>
      <c r="C29" s="53"/>
      <c r="D29" s="53"/>
      <c r="E29" s="53"/>
      <c r="F29" s="53"/>
      <c r="G29" s="54">
        <f>SUM(G10:H28)</f>
        <v>81800</v>
      </c>
      <c r="H29" s="53"/>
      <c r="I29" s="55"/>
      <c r="J29" s="53"/>
      <c r="K29" s="56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6.5" customHeight="1">
      <c r="A30" s="57" t="s">
        <v>62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22.5" customHeight="1">
      <c r="A31" s="5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22.5" customHeight="1">
      <c r="A32" s="59" t="s">
        <v>63</v>
      </c>
      <c r="B32" s="29"/>
      <c r="C32" s="60">
        <v>0.0</v>
      </c>
      <c r="D32" s="29"/>
      <c r="E32" s="40"/>
      <c r="F32" s="49"/>
      <c r="G32" s="59" t="s">
        <v>64</v>
      </c>
      <c r="H32" s="29"/>
      <c r="I32" s="60">
        <v>0.0</v>
      </c>
      <c r="J32" s="2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22.5" customHeight="1">
      <c r="A33" s="59" t="s">
        <v>65</v>
      </c>
      <c r="B33" s="29"/>
      <c r="C33" s="60">
        <v>0.0</v>
      </c>
      <c r="D33" s="29"/>
      <c r="E33" s="40"/>
      <c r="F33" s="49"/>
      <c r="G33" s="59" t="s">
        <v>66</v>
      </c>
      <c r="H33" s="29"/>
      <c r="I33" s="60">
        <v>0.0</v>
      </c>
      <c r="J33" s="2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22.5" customHeight="1">
      <c r="A34" s="49"/>
      <c r="B34" s="49"/>
      <c r="C34" s="49"/>
      <c r="D34" s="49"/>
      <c r="E34" s="49"/>
      <c r="F34" s="49"/>
      <c r="G34" s="61" t="s">
        <v>67</v>
      </c>
      <c r="H34" s="29"/>
      <c r="I34" s="60">
        <f>G29</f>
        <v>81800</v>
      </c>
      <c r="J34" s="2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22.5" customHeight="1">
      <c r="A35" s="12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22.5" customHeight="1">
      <c r="A36" s="62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2.5" customHeight="1">
      <c r="A37" s="12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8.0" customHeight="1">
      <c r="A38" s="63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8.0" customHeight="1">
      <c r="A39" s="63"/>
      <c r="C39" s="65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8.0" customHeight="1">
      <c r="A40" s="63"/>
      <c r="C40" s="6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9.5" customHeight="1">
      <c r="A41" s="63"/>
      <c r="C41" s="65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24.0" customHeight="1">
      <c r="A42" s="63"/>
      <c r="C42" s="6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24.0" customHeight="1">
      <c r="C43" s="65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24.0" customHeight="1">
      <c r="A44" s="64"/>
      <c r="B44" s="64"/>
      <c r="C44" s="64"/>
      <c r="D44" s="64"/>
      <c r="E44" s="64"/>
      <c r="F44" s="64"/>
      <c r="G44" s="6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7.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4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4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4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2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4.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0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8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8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8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8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8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8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8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8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8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8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8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8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8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8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8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8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8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8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8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8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8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8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8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8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8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8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8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8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8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8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8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8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8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8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8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8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8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8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8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8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8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8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8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8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8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8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8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8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8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8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8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8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8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8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8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8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8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8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8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8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8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8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8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8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8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8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8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8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8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8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8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8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8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8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8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8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8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8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8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8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8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8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8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8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8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8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8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8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8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8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8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8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8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8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8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8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8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8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8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8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8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8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8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8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8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8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8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8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8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8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8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8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8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8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8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8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8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8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8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8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8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8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8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8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8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8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8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8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8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8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8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8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8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8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8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8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8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1:K1"/>
    <mergeCell ref="A2:D3"/>
    <mergeCell ref="E2:E3"/>
    <mergeCell ref="H2:I2"/>
    <mergeCell ref="J2:K2"/>
    <mergeCell ref="M2:N2"/>
    <mergeCell ref="H4:K5"/>
    <mergeCell ref="G9:H9"/>
    <mergeCell ref="I9:K9"/>
    <mergeCell ref="A4:E4"/>
    <mergeCell ref="A6:B6"/>
    <mergeCell ref="C6:G6"/>
    <mergeCell ref="H6:K6"/>
    <mergeCell ref="A9:B9"/>
    <mergeCell ref="C9:D9"/>
    <mergeCell ref="E9:F9"/>
    <mergeCell ref="E11:F11"/>
    <mergeCell ref="G11:H11"/>
    <mergeCell ref="A10:B10"/>
    <mergeCell ref="C10:D10"/>
    <mergeCell ref="E10:F10"/>
    <mergeCell ref="G10:H10"/>
    <mergeCell ref="I10:K10"/>
    <mergeCell ref="C11:D11"/>
    <mergeCell ref="I11:K11"/>
    <mergeCell ref="G13:H13"/>
    <mergeCell ref="I13:K13"/>
    <mergeCell ref="I14:K14"/>
    <mergeCell ref="A11:B11"/>
    <mergeCell ref="A12:B12"/>
    <mergeCell ref="C12:D12"/>
    <mergeCell ref="E12:F12"/>
    <mergeCell ref="G12:H12"/>
    <mergeCell ref="I12:K12"/>
    <mergeCell ref="A13:B13"/>
    <mergeCell ref="C19:D19"/>
    <mergeCell ref="E19:F19"/>
    <mergeCell ref="I19:K19"/>
    <mergeCell ref="A19:B19"/>
    <mergeCell ref="A20:B20"/>
    <mergeCell ref="C20:D20"/>
    <mergeCell ref="E20:F20"/>
    <mergeCell ref="G20:H20"/>
    <mergeCell ref="I20:K20"/>
    <mergeCell ref="A21:B21"/>
    <mergeCell ref="G21:H21"/>
    <mergeCell ref="I21:K21"/>
    <mergeCell ref="I22:K22"/>
    <mergeCell ref="C21:D21"/>
    <mergeCell ref="E21:F21"/>
    <mergeCell ref="A22:B22"/>
    <mergeCell ref="C22:D22"/>
    <mergeCell ref="E22:F22"/>
    <mergeCell ref="G22:H22"/>
    <mergeCell ref="G23:H23"/>
    <mergeCell ref="C23:D23"/>
    <mergeCell ref="E23:F23"/>
    <mergeCell ref="I23:K23"/>
    <mergeCell ref="A23:B23"/>
    <mergeCell ref="A24:B24"/>
    <mergeCell ref="C24:D24"/>
    <mergeCell ref="E24:F24"/>
    <mergeCell ref="G24:H24"/>
    <mergeCell ref="I24:K24"/>
    <mergeCell ref="A25:B25"/>
    <mergeCell ref="G25:H25"/>
    <mergeCell ref="I25:K25"/>
    <mergeCell ref="I26:K26"/>
    <mergeCell ref="C25:D25"/>
    <mergeCell ref="E25:F25"/>
    <mergeCell ref="A26:B26"/>
    <mergeCell ref="C26:D26"/>
    <mergeCell ref="E26:F26"/>
    <mergeCell ref="G26:H26"/>
    <mergeCell ref="G27:H27"/>
    <mergeCell ref="C27:D27"/>
    <mergeCell ref="E27:F27"/>
    <mergeCell ref="I27:K27"/>
    <mergeCell ref="A27:B27"/>
    <mergeCell ref="C28:D28"/>
    <mergeCell ref="E28:F28"/>
    <mergeCell ref="G28:H28"/>
    <mergeCell ref="I28:K28"/>
    <mergeCell ref="A29:F29"/>
    <mergeCell ref="A30:G30"/>
    <mergeCell ref="C15:D15"/>
    <mergeCell ref="E15:F15"/>
    <mergeCell ref="I15:K15"/>
    <mergeCell ref="C13:D13"/>
    <mergeCell ref="E13:F13"/>
    <mergeCell ref="A14:B14"/>
    <mergeCell ref="C14:D14"/>
    <mergeCell ref="E14:F14"/>
    <mergeCell ref="G14:H14"/>
    <mergeCell ref="G15:H15"/>
    <mergeCell ref="G17:H17"/>
    <mergeCell ref="I17:K17"/>
    <mergeCell ref="I18:K18"/>
    <mergeCell ref="A15:B15"/>
    <mergeCell ref="A16:B16"/>
    <mergeCell ref="C16:D16"/>
    <mergeCell ref="E16:F16"/>
    <mergeCell ref="G16:H16"/>
    <mergeCell ref="I16:K16"/>
    <mergeCell ref="A17:B17"/>
    <mergeCell ref="C17:D17"/>
    <mergeCell ref="E17:F17"/>
    <mergeCell ref="A18:B18"/>
    <mergeCell ref="C18:D18"/>
    <mergeCell ref="E18:F18"/>
    <mergeCell ref="G18:H18"/>
    <mergeCell ref="G19:H19"/>
    <mergeCell ref="G29:H29"/>
    <mergeCell ref="I29:K29"/>
    <mergeCell ref="G32:H32"/>
    <mergeCell ref="I32:J32"/>
    <mergeCell ref="G33:H33"/>
    <mergeCell ref="I33:J33"/>
    <mergeCell ref="G34:H34"/>
    <mergeCell ref="I34:J34"/>
    <mergeCell ref="A40:B40"/>
    <mergeCell ref="A41:B41"/>
    <mergeCell ref="A42:B43"/>
    <mergeCell ref="A28:B28"/>
    <mergeCell ref="A32:B32"/>
    <mergeCell ref="C32:D32"/>
    <mergeCell ref="A33:B33"/>
    <mergeCell ref="C33:D33"/>
    <mergeCell ref="A38:B38"/>
    <mergeCell ref="A39:B39"/>
  </mergeCells>
  <dataValidations>
    <dataValidation type="list" allowBlank="1" showErrorMessage="1" sqref="F4">
      <formula1>'利用者'!$A$2:$A$109</formula1>
    </dataValidation>
  </dataValidations>
  <printOptions horizontalCentered="1"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66" t="s">
        <v>68</v>
      </c>
      <c r="B1" s="67" t="s">
        <v>69</v>
      </c>
      <c r="H1" s="68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3.25" customHeight="1">
      <c r="A2" s="67"/>
      <c r="B2" s="67"/>
      <c r="C2" s="67"/>
      <c r="D2" s="67"/>
      <c r="E2" s="69"/>
      <c r="G2" s="70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23.25" customHeight="1">
      <c r="A3" s="66"/>
      <c r="B3" s="71"/>
      <c r="C3" s="66"/>
      <c r="D3" s="66"/>
      <c r="E3" s="69" t="s">
        <v>70</v>
      </c>
      <c r="G3" s="72">
        <v>46058.0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34.5" customHeight="1">
      <c r="A4" s="66"/>
      <c r="B4" s="73" t="str">
        <f>'すまい請求書'!A2</f>
        <v>内田克政</v>
      </c>
      <c r="C4" s="53"/>
      <c r="D4" s="66" t="s">
        <v>44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2.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48.0" customHeight="1">
      <c r="A6" s="66"/>
      <c r="B6" s="74"/>
      <c r="C6" s="75">
        <f>'すまい請求書'!C6</f>
        <v>81800</v>
      </c>
      <c r="D6" s="76"/>
      <c r="E6" s="76"/>
      <c r="F6" s="74"/>
      <c r="G6" s="74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7.75" customHeight="1">
      <c r="A7" s="66"/>
      <c r="B7" s="77" t="s">
        <v>71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38.25" customHeight="1">
      <c r="A8" s="66"/>
      <c r="B8" s="66"/>
      <c r="C8" s="78" t="s">
        <v>72</v>
      </c>
      <c r="D8" s="66"/>
      <c r="E8" s="79"/>
      <c r="F8" s="79"/>
      <c r="G8" s="79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6.25" customHeight="1">
      <c r="A9" s="66"/>
      <c r="B9" s="66"/>
      <c r="C9" s="80" t="s">
        <v>73</v>
      </c>
      <c r="G9" s="81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66"/>
      <c r="B10" s="66"/>
      <c r="C10" s="82" t="s">
        <v>74</v>
      </c>
      <c r="D10" s="82"/>
      <c r="E10" s="83"/>
      <c r="F10" s="66"/>
      <c r="G10" s="78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66"/>
      <c r="C11" s="82" t="s">
        <v>54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66"/>
      <c r="C12" s="84" t="s">
        <v>75</v>
      </c>
      <c r="D12" s="83"/>
      <c r="E12" s="83"/>
      <c r="F12" s="83"/>
      <c r="G12" s="78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7.25" customHeight="1">
      <c r="A13" s="81"/>
      <c r="B13" s="81"/>
      <c r="C13" s="82"/>
      <c r="D13" s="83"/>
      <c r="E13" s="83"/>
      <c r="F13" s="81"/>
      <c r="G13" s="78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7.25" customHeight="1">
      <c r="A14" s="81"/>
      <c r="B14" s="81"/>
      <c r="C14" s="82"/>
      <c r="D14" s="83"/>
      <c r="E14" s="83"/>
      <c r="F14" s="81"/>
      <c r="G14" s="78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7.25" customHeight="1">
      <c r="A15" s="81"/>
      <c r="B15" s="81"/>
      <c r="C15" s="81"/>
      <c r="D15" s="81"/>
      <c r="E15" s="81"/>
      <c r="F15" s="81"/>
      <c r="G15" s="78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24.0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2.0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4.0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4.0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4.0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4.0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4.0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4.0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4.0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4.0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0.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2.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2.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2.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0.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4.0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4.0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4.0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4.0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4.0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4.0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4.0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4.0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4.0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4.0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4.0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4.0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4.0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4.0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4.0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4.0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4.0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4.0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4.0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4.0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4.0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4.0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4.0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4.0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4.0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4.0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4.0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4.0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4.0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4.0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4.0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4.0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4.0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4.0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4.0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4.0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4.0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4.0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4.0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4.0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4.0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4.0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4.0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4.0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4.0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4.0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4.0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4.0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4.0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4.0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4.0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4.0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4.0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4.0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4.0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4.0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4.0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4.0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4.0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4.0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4.0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4.0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4.0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4.0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4.0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4.0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4.0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24.0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24.0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4.0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4.0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4.0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24.0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24.0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24.0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24.0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4.0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4.0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4.0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24.0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4.0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24.0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24.0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4.0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4.0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24.0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24.0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24.0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24.0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4.0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4.0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24.0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24.0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24.0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4.0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4.0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4.0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4.0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4.0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4.0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4.0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4.0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4.0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4.0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4.0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4.0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4.0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4.0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4.0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4.0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4.0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4.0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4.0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4.0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4.0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4.0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4.0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4.0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4.0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4.0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24.0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4.0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24.0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24.0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24.0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24.0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24.0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4.0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24.0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4.0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24.0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24.0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4.0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24.0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4.0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4.0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4.0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24.0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4.0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4.0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24.0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4.0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4.0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4.0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4.0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24.0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4.0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4.0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4.0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24.0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4.0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4.0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24.0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4.0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4.0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4.0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4.0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24.0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24.0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4.0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4.0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24.0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24.0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24.0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24.0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24.0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24.0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4.0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24.0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4.0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24.0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4.0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24.0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4.0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24.0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4.0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4.0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24.0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4.0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24.0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24.0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24.0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24.0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24.0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24.0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4.0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24.0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24.0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24.0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66" t="s">
        <v>68</v>
      </c>
      <c r="B1" s="67" t="s">
        <v>69</v>
      </c>
      <c r="H1" s="68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3.25" customHeight="1">
      <c r="A2" s="67"/>
      <c r="B2" s="67"/>
      <c r="C2" s="67"/>
      <c r="D2" s="67"/>
      <c r="E2" s="69"/>
      <c r="G2" s="70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23.25" customHeight="1">
      <c r="A3" s="66"/>
      <c r="B3" s="71"/>
      <c r="C3" s="66"/>
      <c r="D3" s="66"/>
      <c r="E3" s="69" t="s">
        <v>70</v>
      </c>
      <c r="G3" s="85">
        <v>46015.0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34.5" customHeight="1">
      <c r="A4" s="66"/>
      <c r="B4" s="73" t="s">
        <v>76</v>
      </c>
      <c r="C4" s="53"/>
      <c r="D4" s="66" t="s">
        <v>44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2.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48.0" customHeight="1">
      <c r="A6" s="66"/>
      <c r="B6" s="74"/>
      <c r="C6" s="75">
        <v>86000.0</v>
      </c>
      <c r="D6" s="76"/>
      <c r="E6" s="76"/>
      <c r="F6" s="74"/>
      <c r="G6" s="74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7.75" customHeight="1">
      <c r="A7" s="66"/>
      <c r="B7" s="77" t="s">
        <v>77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38.25" customHeight="1">
      <c r="A8" s="66"/>
      <c r="B8" s="66"/>
      <c r="C8" s="78" t="s">
        <v>72</v>
      </c>
      <c r="D8" s="66"/>
      <c r="E8" s="79"/>
      <c r="F8" s="79"/>
      <c r="G8" s="79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6.25" customHeight="1">
      <c r="A9" s="66"/>
      <c r="B9" s="66"/>
      <c r="C9" s="80" t="s">
        <v>73</v>
      </c>
      <c r="G9" s="81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66"/>
      <c r="B10" s="66"/>
      <c r="C10" s="82" t="s">
        <v>74</v>
      </c>
      <c r="D10" s="82"/>
      <c r="E10" s="83"/>
      <c r="F10" s="66"/>
      <c r="G10" s="78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66"/>
      <c r="C11" s="82" t="s">
        <v>54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66"/>
      <c r="C12" s="84" t="s">
        <v>75</v>
      </c>
      <c r="D12" s="83"/>
      <c r="E12" s="83"/>
      <c r="F12" s="83"/>
      <c r="G12" s="78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7.25" customHeight="1">
      <c r="A13" s="81"/>
      <c r="B13" s="81"/>
      <c r="C13" s="82"/>
      <c r="D13" s="83"/>
      <c r="E13" s="83"/>
      <c r="F13" s="81"/>
      <c r="G13" s="78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7.25" customHeight="1">
      <c r="A14" s="81"/>
      <c r="B14" s="81"/>
      <c r="C14" s="82"/>
      <c r="D14" s="83"/>
      <c r="E14" s="83"/>
      <c r="F14" s="81"/>
      <c r="G14" s="78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7.25" customHeight="1">
      <c r="A15" s="81"/>
      <c r="B15" s="81"/>
      <c r="C15" s="81"/>
      <c r="D15" s="81"/>
      <c r="E15" s="81"/>
      <c r="F15" s="81"/>
      <c r="G15" s="78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24.0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2.0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4.0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4.0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4.0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4.0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4.0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4.0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4.0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4.0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0.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2.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2.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2.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0.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4.0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4.0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4.0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4.0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4.0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4.0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4.0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4.0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4.0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4.0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4.0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4.0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4.0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4.0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4.0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4.0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4.0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4.0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4.0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4.0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4.0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4.0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4.0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4.0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4.0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4.0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4.0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4.0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4.0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4.0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4.0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4.0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4.0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4.0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4.0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4.0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4.0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4.0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4.0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4.0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4.0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4.0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4.0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4.0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4.0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4.0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4.0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4.0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4.0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4.0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4.0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4.0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4.0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4.0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4.0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4.0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4.0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4.0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4.0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4.0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4.0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4.0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4.0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4.0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4.0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4.0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4.0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24.0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24.0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4.0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4.0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4.0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24.0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24.0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24.0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24.0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4.0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4.0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4.0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24.0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4.0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24.0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24.0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4.0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4.0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24.0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24.0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24.0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24.0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4.0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4.0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24.0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24.0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24.0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4.0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4.0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4.0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4.0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4.0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4.0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4.0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4.0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4.0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4.0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4.0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4.0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4.0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4.0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4.0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4.0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4.0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4.0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4.0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4.0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4.0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4.0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4.0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4.0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4.0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4.0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24.0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4.0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24.0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24.0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24.0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24.0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24.0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4.0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24.0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4.0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24.0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24.0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4.0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24.0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4.0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4.0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4.0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24.0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4.0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4.0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24.0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4.0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4.0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4.0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4.0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24.0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4.0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4.0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4.0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24.0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4.0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4.0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24.0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4.0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4.0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4.0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4.0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24.0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24.0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4.0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4.0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24.0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24.0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24.0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24.0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24.0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24.0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4.0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24.0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4.0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24.0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4.0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24.0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4.0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24.0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4.0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4.0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24.0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4.0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24.0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24.0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24.0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24.0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24.0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24.0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4.0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24.0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24.0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24.0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9" width="8.25"/>
    <col customWidth="1" min="10" max="26" width="7.13"/>
  </cols>
  <sheetData>
    <row r="1" ht="33.0" customHeight="1">
      <c r="A1" s="86" t="s">
        <v>78</v>
      </c>
      <c r="J1" s="86"/>
      <c r="K1" s="86"/>
      <c r="L1" s="12"/>
      <c r="O1" s="14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15" t="str">
        <f t="array" ref="A2">VLOOKUP(F$4,INDIRECT(M$2&amp;"!A3:U109"),2,FALSE)</f>
        <v>上村春子</v>
      </c>
      <c r="E2" s="16" t="s">
        <v>44</v>
      </c>
      <c r="F2" s="17" t="s">
        <v>45</v>
      </c>
      <c r="H2" s="18">
        <v>46055.0</v>
      </c>
      <c r="L2" s="19"/>
      <c r="M2" s="20" t="s">
        <v>46</v>
      </c>
      <c r="N2" s="2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F3" s="12"/>
      <c r="G3" s="12"/>
      <c r="H3" s="12"/>
      <c r="I3" s="12"/>
      <c r="J3" s="12"/>
      <c r="K3" s="12"/>
      <c r="L3" s="12"/>
      <c r="M3" s="22"/>
      <c r="N3" s="2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75" customHeight="1">
      <c r="A4" s="25" t="s">
        <v>49</v>
      </c>
      <c r="F4" s="22">
        <v>403.0</v>
      </c>
      <c r="G4" s="12" t="s">
        <v>50</v>
      </c>
      <c r="H4" s="26"/>
      <c r="I4" s="26"/>
      <c r="J4" s="26"/>
      <c r="K4" s="2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22"/>
      <c r="B5" s="22"/>
      <c r="C5" s="22"/>
      <c r="D5" s="12"/>
      <c r="E5" s="12"/>
      <c r="F5" s="12"/>
      <c r="G5" s="12"/>
      <c r="H5" s="26"/>
      <c r="I5" s="26"/>
      <c r="J5" s="26"/>
      <c r="K5" s="26"/>
      <c r="L5" s="27"/>
      <c r="M5" s="27"/>
      <c r="N5" s="27"/>
      <c r="O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0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33"/>
      <c r="M6" s="33"/>
      <c r="N6" s="3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B7" s="87" t="s">
        <v>79</v>
      </c>
      <c r="C7" s="29"/>
      <c r="D7" s="30">
        <f>SUM(C10:C12)</f>
        <v>108913</v>
      </c>
      <c r="E7" s="31"/>
      <c r="F7" s="31"/>
      <c r="G7" s="31"/>
      <c r="H7" s="29"/>
      <c r="I7" s="88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0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2.5" customHeight="1">
      <c r="A9" s="89" t="s">
        <v>55</v>
      </c>
      <c r="B9" s="90"/>
      <c r="C9" s="91" t="s">
        <v>80</v>
      </c>
      <c r="D9" s="90"/>
      <c r="E9" s="91" t="s">
        <v>81</v>
      </c>
      <c r="F9" s="90"/>
      <c r="G9" s="91" t="s">
        <v>59</v>
      </c>
      <c r="H9" s="92"/>
      <c r="I9" s="9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2.5" customHeight="1">
      <c r="A10" s="93" t="s">
        <v>82</v>
      </c>
      <c r="B10" s="56"/>
      <c r="C10" s="94">
        <f t="array" ref="C10">VLOOKUP(F$4,INDIRECT(M$2&amp;"!A3:Y109"),23,FALSE)</f>
        <v>83772</v>
      </c>
      <c r="D10" s="56"/>
      <c r="E10" s="95">
        <f>H2+20</f>
        <v>46075</v>
      </c>
      <c r="F10" s="29"/>
      <c r="G10" s="96" t="s">
        <v>83</v>
      </c>
      <c r="H10" s="53"/>
      <c r="I10" s="5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2.5" customHeight="1">
      <c r="A11" s="93" t="s">
        <v>84</v>
      </c>
      <c r="B11" s="56"/>
      <c r="C11" s="94">
        <f t="array" ref="C11">VLOOKUP(F$4,INDIRECT(M$2&amp;"!A3:Y109"),24,FALSE)</f>
        <v>25141</v>
      </c>
      <c r="D11" s="56"/>
      <c r="E11" s="95">
        <f>H2+20</f>
        <v>46075</v>
      </c>
      <c r="F11" s="29"/>
      <c r="G11" s="96" t="s">
        <v>83</v>
      </c>
      <c r="H11" s="53"/>
      <c r="I11" s="56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93" t="s">
        <v>85</v>
      </c>
      <c r="B12" s="56"/>
      <c r="C12" s="94" t="str">
        <f t="array" ref="C12">VLOOKUP(F$4,INDIRECT(M$2&amp;"!A3:Y109"),25,FALSE)</f>
        <v/>
      </c>
      <c r="D12" s="56"/>
      <c r="E12" s="95">
        <f>H2+20</f>
        <v>46075</v>
      </c>
      <c r="F12" s="29"/>
      <c r="G12" s="96" t="s">
        <v>83</v>
      </c>
      <c r="H12" s="53"/>
      <c r="I12" s="56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6.5" customHeight="1">
      <c r="A13" s="97"/>
      <c r="B13" s="35"/>
      <c r="C13" s="35"/>
      <c r="D13" s="35"/>
      <c r="E13" s="35"/>
      <c r="F13" s="35"/>
      <c r="G13" s="35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12" t="s">
        <v>86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62" t="s">
        <v>87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12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8.0" customHeight="1">
      <c r="A17" s="98" t="s">
        <v>88</v>
      </c>
      <c r="B17" s="31"/>
      <c r="C17" s="31"/>
      <c r="D17" s="31"/>
      <c r="E17" s="31"/>
      <c r="F17" s="31"/>
      <c r="G17" s="31"/>
      <c r="H17" s="31"/>
      <c r="I17" s="29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27.75" customHeight="1">
      <c r="A18" s="99" t="s">
        <v>89</v>
      </c>
      <c r="C18" s="100" t="s">
        <v>90</v>
      </c>
      <c r="D18" s="101"/>
      <c r="E18" s="101"/>
      <c r="F18" s="101"/>
      <c r="G18" s="101"/>
      <c r="H18" s="101"/>
      <c r="I18" s="102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27.75" customHeight="1">
      <c r="A19" s="99" t="s">
        <v>91</v>
      </c>
      <c r="C19" s="100" t="s">
        <v>92</v>
      </c>
      <c r="D19" s="101"/>
      <c r="E19" s="101"/>
      <c r="F19" s="101"/>
      <c r="G19" s="101"/>
      <c r="H19" s="101"/>
      <c r="I19" s="102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27.75" customHeight="1">
      <c r="A20" s="99" t="s">
        <v>93</v>
      </c>
      <c r="C20" s="100" t="s">
        <v>94</v>
      </c>
      <c r="D20" s="101"/>
      <c r="E20" s="101"/>
      <c r="F20" s="101"/>
      <c r="G20" s="101"/>
      <c r="H20" s="101"/>
      <c r="I20" s="102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27.75" customHeight="1">
      <c r="A21" s="99" t="s">
        <v>95</v>
      </c>
      <c r="C21" s="100" t="s">
        <v>96</v>
      </c>
      <c r="D21" s="101"/>
      <c r="E21" s="101"/>
      <c r="F21" s="101"/>
      <c r="G21" s="101"/>
      <c r="H21" s="101"/>
      <c r="I21" s="102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27.75" customHeight="1">
      <c r="A22" s="103"/>
      <c r="B22" s="53"/>
      <c r="C22" s="104" t="s">
        <v>97</v>
      </c>
      <c r="D22" s="105"/>
      <c r="E22" s="105"/>
      <c r="F22" s="105"/>
      <c r="G22" s="105"/>
      <c r="H22" s="105"/>
      <c r="I22" s="106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24.0" customHeight="1">
      <c r="A23" s="64"/>
      <c r="B23" s="64"/>
      <c r="C23" s="64"/>
      <c r="D23" s="64"/>
      <c r="E23" s="64"/>
      <c r="F23" s="64"/>
      <c r="G23" s="64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7.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4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4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2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4.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0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8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8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8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8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8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8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8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8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8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8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8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8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8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8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8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8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8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8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8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8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8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8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8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8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8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8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8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8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8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8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8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8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8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8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8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8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8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8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8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8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8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8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8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8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8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8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8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8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8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8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8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8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8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8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8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8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8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8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8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8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8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8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8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8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8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8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8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8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8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8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8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8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8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8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8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8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8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8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8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8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8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8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8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8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8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8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8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8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8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8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8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8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8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8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8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8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8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8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8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8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8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8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8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8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8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8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8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8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8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8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8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8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8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8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8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8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8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8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8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8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8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8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8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8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8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8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8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8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8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8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8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D3"/>
    <mergeCell ref="E2:E3"/>
    <mergeCell ref="F2:G2"/>
    <mergeCell ref="H2:I2"/>
    <mergeCell ref="M2:N2"/>
    <mergeCell ref="A4:E4"/>
    <mergeCell ref="B7:C7"/>
    <mergeCell ref="D7:H7"/>
    <mergeCell ref="A9:B9"/>
    <mergeCell ref="C9:D9"/>
    <mergeCell ref="E9:F9"/>
    <mergeCell ref="G9:I9"/>
    <mergeCell ref="A10:B10"/>
    <mergeCell ref="G10:I10"/>
    <mergeCell ref="C12:D12"/>
    <mergeCell ref="E12:F12"/>
    <mergeCell ref="A12:B12"/>
    <mergeCell ref="A13:G13"/>
    <mergeCell ref="A17:I17"/>
    <mergeCell ref="A18:B18"/>
    <mergeCell ref="A19:B19"/>
    <mergeCell ref="A20:B20"/>
    <mergeCell ref="A21:B22"/>
    <mergeCell ref="C10:D10"/>
    <mergeCell ref="E10:F10"/>
    <mergeCell ref="A11:B11"/>
    <mergeCell ref="C11:D11"/>
    <mergeCell ref="E11:F11"/>
    <mergeCell ref="G11:I11"/>
    <mergeCell ref="G12:I12"/>
  </mergeCells>
  <dataValidations>
    <dataValidation type="list" allowBlank="1" showErrorMessage="1" sqref="F4">
      <formula1>'利用者'!$A$2:$A$109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07">
        <v>46081.0</v>
      </c>
      <c r="C1" s="108" t="s">
        <v>98</v>
      </c>
      <c r="D1" s="109" t="s">
        <v>99</v>
      </c>
      <c r="E1" s="109" t="s">
        <v>100</v>
      </c>
      <c r="F1" s="109" t="s">
        <v>101</v>
      </c>
      <c r="G1" s="109" t="s">
        <v>102</v>
      </c>
      <c r="H1" s="109" t="s">
        <v>103</v>
      </c>
      <c r="I1" s="109" t="s">
        <v>104</v>
      </c>
      <c r="J1" s="109" t="s">
        <v>105</v>
      </c>
      <c r="K1" s="109" t="s">
        <v>106</v>
      </c>
      <c r="L1" s="109" t="s">
        <v>107</v>
      </c>
      <c r="M1" s="109" t="s">
        <v>108</v>
      </c>
      <c r="N1" s="109" t="s">
        <v>109</v>
      </c>
      <c r="O1" s="109" t="s">
        <v>110</v>
      </c>
      <c r="P1" s="109" t="s">
        <v>111</v>
      </c>
      <c r="Q1" s="109" t="s">
        <v>112</v>
      </c>
      <c r="R1" s="109" t="s">
        <v>113</v>
      </c>
      <c r="S1" s="109" t="s">
        <v>114</v>
      </c>
      <c r="T1" s="109" t="s">
        <v>115</v>
      </c>
      <c r="U1" s="109" t="s">
        <v>116</v>
      </c>
      <c r="V1" s="109" t="s">
        <v>117</v>
      </c>
      <c r="W1" s="109" t="s">
        <v>118</v>
      </c>
      <c r="X1" s="109" t="s">
        <v>119</v>
      </c>
      <c r="Y1" s="109" t="s">
        <v>120</v>
      </c>
      <c r="Z1" s="109" t="s">
        <v>121</v>
      </c>
      <c r="AA1" s="109" t="s">
        <v>122</v>
      </c>
      <c r="AB1" s="109" t="s">
        <v>123</v>
      </c>
      <c r="AC1" s="101"/>
      <c r="AD1" s="101"/>
    </row>
    <row r="2" ht="22.5" customHeight="1">
      <c r="A2" s="110" t="s">
        <v>0</v>
      </c>
      <c r="B2" s="110" t="s">
        <v>1</v>
      </c>
      <c r="C2" s="111" t="s">
        <v>124</v>
      </c>
      <c r="D2" s="112" t="s">
        <v>5</v>
      </c>
      <c r="E2" s="112" t="s">
        <v>8</v>
      </c>
      <c r="F2" s="112" t="s">
        <v>10</v>
      </c>
      <c r="G2" s="112" t="s">
        <v>13</v>
      </c>
      <c r="H2" s="113" t="s">
        <v>15</v>
      </c>
      <c r="I2" s="113" t="s">
        <v>17</v>
      </c>
      <c r="J2" s="114" t="s">
        <v>20</v>
      </c>
      <c r="K2" s="113" t="s">
        <v>21</v>
      </c>
      <c r="L2" s="113" t="s">
        <v>22</v>
      </c>
      <c r="M2" s="113" t="s">
        <v>24</v>
      </c>
      <c r="N2" s="113" t="s">
        <v>26</v>
      </c>
      <c r="O2" s="113" t="s">
        <v>30</v>
      </c>
      <c r="P2" s="112" t="s">
        <v>32</v>
      </c>
      <c r="Q2" s="112" t="s">
        <v>35</v>
      </c>
      <c r="R2" s="112" t="s">
        <v>37</v>
      </c>
      <c r="S2" s="112" t="s">
        <v>27</v>
      </c>
      <c r="T2" s="112" t="s">
        <v>29</v>
      </c>
      <c r="U2" s="112"/>
      <c r="V2" s="112"/>
      <c r="W2" s="115" t="s">
        <v>125</v>
      </c>
      <c r="X2" s="111" t="s">
        <v>126</v>
      </c>
      <c r="Y2" s="111" t="s">
        <v>127</v>
      </c>
      <c r="Z2" s="116" t="s">
        <v>128</v>
      </c>
      <c r="AA2" s="117" t="s">
        <v>59</v>
      </c>
      <c r="AB2" s="117" t="s">
        <v>129</v>
      </c>
      <c r="AC2" s="110" t="s">
        <v>130</v>
      </c>
      <c r="AD2" s="117"/>
      <c r="AE2" s="10"/>
      <c r="AF2" s="10"/>
      <c r="AG2" s="10"/>
      <c r="AH2" s="10"/>
      <c r="AI2" s="10"/>
      <c r="AJ2" s="10"/>
    </row>
    <row r="3" ht="22.5" customHeight="1">
      <c r="A3" s="110">
        <v>108.0</v>
      </c>
      <c r="B3" s="111" t="s">
        <v>4</v>
      </c>
      <c r="C3" s="118">
        <v>185667.0</v>
      </c>
      <c r="D3" s="119">
        <v>40000.0</v>
      </c>
      <c r="E3" s="119">
        <v>5000.0</v>
      </c>
      <c r="F3" s="119">
        <v>5000.0</v>
      </c>
      <c r="G3" s="119">
        <v>2000.0</v>
      </c>
      <c r="H3" s="120">
        <v>10000.0</v>
      </c>
      <c r="I3" s="120"/>
      <c r="J3" s="121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2"/>
      <c r="V3" s="122"/>
      <c r="W3" s="123">
        <f t="shared" ref="W3:W8" si="1">SUM(D3:V3)</f>
        <v>62000</v>
      </c>
      <c r="X3" s="124"/>
      <c r="Y3" s="125"/>
      <c r="Z3" s="126">
        <f t="shared" ref="Z3:Z8" si="2">SUM(W3:Y3)</f>
        <v>62000</v>
      </c>
      <c r="AA3" s="127">
        <v>80000.0</v>
      </c>
      <c r="AB3" s="101" t="s">
        <v>131</v>
      </c>
      <c r="AC3" s="118">
        <f t="shared" ref="AC3:AC8" si="3">C3-M3</f>
        <v>185667</v>
      </c>
      <c r="AD3" s="101"/>
    </row>
    <row r="4" ht="22.5" customHeight="1">
      <c r="A4" s="110">
        <v>206.0</v>
      </c>
      <c r="B4" s="111" t="s">
        <v>7</v>
      </c>
      <c r="C4" s="128"/>
      <c r="D4" s="119">
        <v>40000.0</v>
      </c>
      <c r="E4" s="119">
        <v>5000.0</v>
      </c>
      <c r="F4" s="119">
        <v>5000.0</v>
      </c>
      <c r="G4" s="119">
        <v>2000.0</v>
      </c>
      <c r="H4" s="120">
        <v>10000.0</v>
      </c>
      <c r="I4" s="120"/>
      <c r="J4" s="121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5"/>
      <c r="V4" s="125"/>
      <c r="W4" s="123">
        <f t="shared" si="1"/>
        <v>62000</v>
      </c>
      <c r="X4" s="124"/>
      <c r="Y4" s="125"/>
      <c r="Z4" s="126">
        <f t="shared" si="2"/>
        <v>62000</v>
      </c>
      <c r="AA4" s="127" t="s">
        <v>132</v>
      </c>
      <c r="AB4" s="101" t="s">
        <v>131</v>
      </c>
      <c r="AC4" s="128">
        <f t="shared" si="3"/>
        <v>0</v>
      </c>
      <c r="AD4" s="101"/>
    </row>
    <row r="5" ht="22.5" customHeight="1">
      <c r="A5" s="110">
        <v>210.0</v>
      </c>
      <c r="B5" s="111" t="s">
        <v>9</v>
      </c>
      <c r="C5" s="128">
        <v>130000.0</v>
      </c>
      <c r="D5" s="119">
        <v>0.0</v>
      </c>
      <c r="E5" s="119">
        <v>0.0</v>
      </c>
      <c r="F5" s="119">
        <v>0.0</v>
      </c>
      <c r="G5" s="119">
        <v>0.0</v>
      </c>
      <c r="H5" s="120">
        <v>0.0</v>
      </c>
      <c r="I5" s="120"/>
      <c r="J5" s="121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5"/>
      <c r="V5" s="125"/>
      <c r="W5" s="123">
        <f t="shared" si="1"/>
        <v>0</v>
      </c>
      <c r="X5" s="124"/>
      <c r="Y5" s="125"/>
      <c r="Z5" s="126">
        <f t="shared" si="2"/>
        <v>0</v>
      </c>
      <c r="AA5" s="127" t="s">
        <v>133</v>
      </c>
      <c r="AB5" s="101" t="s">
        <v>131</v>
      </c>
      <c r="AC5" s="128">
        <f t="shared" si="3"/>
        <v>130000</v>
      </c>
      <c r="AD5" s="101"/>
    </row>
    <row r="6" ht="22.5" customHeight="1">
      <c r="A6" s="110">
        <v>211.0</v>
      </c>
      <c r="B6" s="111"/>
      <c r="C6" s="128"/>
      <c r="D6" s="118"/>
      <c r="E6" s="118"/>
      <c r="F6" s="118"/>
      <c r="G6" s="118"/>
      <c r="H6" s="120"/>
      <c r="I6" s="120"/>
      <c r="J6" s="121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5"/>
      <c r="V6" s="125"/>
      <c r="W6" s="123">
        <f t="shared" si="1"/>
        <v>0</v>
      </c>
      <c r="X6" s="124"/>
      <c r="Y6" s="125"/>
      <c r="Z6" s="126">
        <f t="shared" si="2"/>
        <v>0</v>
      </c>
      <c r="AA6" s="127"/>
      <c r="AB6" s="101" t="s">
        <v>131</v>
      </c>
      <c r="AC6" s="128">
        <f t="shared" si="3"/>
        <v>0</v>
      </c>
      <c r="AD6" s="101"/>
    </row>
    <row r="7" ht="22.5" customHeight="1">
      <c r="A7" s="110">
        <v>212.0</v>
      </c>
      <c r="B7" s="111" t="s">
        <v>14</v>
      </c>
      <c r="C7" s="128"/>
      <c r="D7" s="119">
        <v>40000.0</v>
      </c>
      <c r="E7" s="119">
        <v>5000.0</v>
      </c>
      <c r="F7" s="119">
        <v>5000.0</v>
      </c>
      <c r="G7" s="119">
        <v>2000.0</v>
      </c>
      <c r="H7" s="120">
        <v>10000.0</v>
      </c>
      <c r="I7" s="120"/>
      <c r="J7" s="121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5"/>
      <c r="V7" s="125"/>
      <c r="W7" s="123">
        <f t="shared" si="1"/>
        <v>62000</v>
      </c>
      <c r="X7" s="118"/>
      <c r="Y7" s="118"/>
      <c r="Z7" s="126">
        <f t="shared" si="2"/>
        <v>62000</v>
      </c>
      <c r="AA7" s="127" t="s">
        <v>132</v>
      </c>
      <c r="AB7" s="101" t="s">
        <v>131</v>
      </c>
      <c r="AC7" s="128">
        <f t="shared" si="3"/>
        <v>0</v>
      </c>
      <c r="AD7" s="101"/>
    </row>
    <row r="8" ht="22.5" customHeight="1">
      <c r="A8" s="110">
        <v>303.0</v>
      </c>
      <c r="B8" s="111" t="s">
        <v>16</v>
      </c>
      <c r="C8" s="128"/>
      <c r="D8" s="119"/>
      <c r="E8" s="119"/>
      <c r="F8" s="119"/>
      <c r="G8" s="119"/>
      <c r="H8" s="120"/>
      <c r="I8" s="120"/>
      <c r="J8" s="121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5"/>
      <c r="V8" s="125"/>
      <c r="W8" s="123">
        <f t="shared" si="1"/>
        <v>0</v>
      </c>
      <c r="X8" s="118"/>
      <c r="Y8" s="119"/>
      <c r="Z8" s="126">
        <f t="shared" si="2"/>
        <v>0</v>
      </c>
      <c r="AA8" s="127"/>
      <c r="AB8" s="101" t="s">
        <v>131</v>
      </c>
      <c r="AC8" s="128">
        <f t="shared" si="3"/>
        <v>0</v>
      </c>
      <c r="AD8" s="101"/>
    </row>
    <row r="9" ht="22.5" customHeight="1">
      <c r="A9" s="110">
        <v>310.0</v>
      </c>
      <c r="B9" s="111" t="s">
        <v>19</v>
      </c>
      <c r="C9" s="128"/>
      <c r="D9" s="119"/>
      <c r="E9" s="119"/>
      <c r="F9" s="119"/>
      <c r="G9" s="119"/>
      <c r="H9" s="120"/>
      <c r="I9" s="120"/>
      <c r="J9" s="121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5"/>
      <c r="V9" s="125"/>
      <c r="W9" s="123"/>
      <c r="X9" s="118"/>
      <c r="Y9" s="119"/>
      <c r="Z9" s="129"/>
      <c r="AA9" s="127"/>
      <c r="AB9" s="101"/>
      <c r="AC9" s="130"/>
      <c r="AD9" s="101"/>
    </row>
    <row r="10" ht="22.5" customHeight="1">
      <c r="A10" s="110">
        <v>401.0</v>
      </c>
      <c r="B10" s="111"/>
      <c r="C10" s="128"/>
      <c r="D10" s="118"/>
      <c r="E10" s="118"/>
      <c r="F10" s="118"/>
      <c r="G10" s="118"/>
      <c r="H10" s="120"/>
      <c r="I10" s="120"/>
      <c r="J10" s="121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5"/>
      <c r="V10" s="125"/>
      <c r="W10" s="123">
        <f t="shared" ref="W10:W110" si="4">SUM(D10:V10)</f>
        <v>0</v>
      </c>
      <c r="X10" s="131"/>
      <c r="Y10" s="125"/>
      <c r="Z10" s="126">
        <f t="shared" ref="Z10:Z111" si="5">SUM(W10:Y10)</f>
        <v>0</v>
      </c>
      <c r="AA10" s="127"/>
      <c r="AB10" s="101" t="s">
        <v>131</v>
      </c>
      <c r="AC10" s="128">
        <f t="shared" ref="AC10:AC110" si="6">C10-M10</f>
        <v>0</v>
      </c>
      <c r="AD10" s="101"/>
    </row>
    <row r="11" ht="22.5" customHeight="1">
      <c r="A11" s="110">
        <v>402.0</v>
      </c>
      <c r="B11" s="111" t="s">
        <v>12</v>
      </c>
      <c r="C11" s="132"/>
      <c r="D11" s="119">
        <v>40000.0</v>
      </c>
      <c r="E11" s="119">
        <v>5000.0</v>
      </c>
      <c r="F11" s="119">
        <v>5000.0</v>
      </c>
      <c r="G11" s="119">
        <v>2000.0</v>
      </c>
      <c r="H11" s="120">
        <v>10000.0</v>
      </c>
      <c r="I11" s="120"/>
      <c r="J11" s="121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5"/>
      <c r="V11" s="125"/>
      <c r="W11" s="123">
        <f t="shared" si="4"/>
        <v>62000</v>
      </c>
      <c r="X11" s="125"/>
      <c r="Y11" s="125"/>
      <c r="Z11" s="126">
        <f t="shared" si="5"/>
        <v>62000</v>
      </c>
      <c r="AA11" s="127">
        <v>105000.0</v>
      </c>
      <c r="AB11" s="101" t="s">
        <v>131</v>
      </c>
      <c r="AC11" s="128">
        <f t="shared" si="6"/>
        <v>0</v>
      </c>
      <c r="AD11" s="101"/>
    </row>
    <row r="12" ht="22.5" customHeight="1">
      <c r="A12" s="110">
        <v>403.0</v>
      </c>
      <c r="B12" s="111" t="s">
        <v>23</v>
      </c>
      <c r="C12" s="132">
        <v>100000.0</v>
      </c>
      <c r="D12" s="119">
        <v>40000.0</v>
      </c>
      <c r="E12" s="119">
        <v>5000.0</v>
      </c>
      <c r="F12" s="119">
        <v>5000.0</v>
      </c>
      <c r="G12" s="119">
        <v>2000.0</v>
      </c>
      <c r="H12" s="120">
        <v>10000.0</v>
      </c>
      <c r="I12" s="120"/>
      <c r="J12" s="121"/>
      <c r="K12" s="120"/>
      <c r="L12" s="120"/>
      <c r="M12" s="120"/>
      <c r="N12" s="120"/>
      <c r="O12" s="120"/>
      <c r="P12" s="120"/>
      <c r="Q12" s="125"/>
      <c r="R12" s="120"/>
      <c r="S12" s="120"/>
      <c r="T12" s="120"/>
      <c r="U12" s="125"/>
      <c r="V12" s="125"/>
      <c r="W12" s="123">
        <f t="shared" si="4"/>
        <v>62000</v>
      </c>
      <c r="X12" s="131"/>
      <c r="Y12" s="125"/>
      <c r="Z12" s="126">
        <f t="shared" si="5"/>
        <v>62000</v>
      </c>
      <c r="AA12" s="127" t="s">
        <v>134</v>
      </c>
      <c r="AB12" s="101" t="s">
        <v>131</v>
      </c>
      <c r="AC12" s="128">
        <f t="shared" si="6"/>
        <v>100000</v>
      </c>
      <c r="AD12" s="101" t="s">
        <v>135</v>
      </c>
    </row>
    <row r="13" ht="22.5" customHeight="1">
      <c r="A13" s="110">
        <v>405.0</v>
      </c>
      <c r="B13" s="111" t="s">
        <v>25</v>
      </c>
      <c r="C13" s="132"/>
      <c r="D13" s="119">
        <v>40000.0</v>
      </c>
      <c r="E13" s="119">
        <v>5000.0</v>
      </c>
      <c r="F13" s="119">
        <v>5000.0</v>
      </c>
      <c r="G13" s="119">
        <v>2000.0</v>
      </c>
      <c r="H13" s="120"/>
      <c r="I13" s="120"/>
      <c r="J13" s="121"/>
      <c r="K13" s="133"/>
      <c r="L13" s="133"/>
      <c r="M13" s="120"/>
      <c r="N13" s="120"/>
      <c r="O13" s="120"/>
      <c r="P13" s="120"/>
      <c r="Q13" s="120"/>
      <c r="R13" s="120"/>
      <c r="S13" s="120"/>
      <c r="T13" s="120"/>
      <c r="U13" s="125"/>
      <c r="V13" s="125"/>
      <c r="W13" s="123">
        <f t="shared" si="4"/>
        <v>52000</v>
      </c>
      <c r="X13" s="125"/>
      <c r="Y13" s="125"/>
      <c r="Z13" s="126">
        <f t="shared" si="5"/>
        <v>52000</v>
      </c>
      <c r="AA13" s="127"/>
      <c r="AB13" s="101" t="s">
        <v>131</v>
      </c>
      <c r="AC13" s="128">
        <f t="shared" si="6"/>
        <v>0</v>
      </c>
      <c r="AD13" s="101"/>
    </row>
    <row r="14" ht="22.5" customHeight="1">
      <c r="A14" s="110">
        <v>406.0</v>
      </c>
      <c r="B14" s="111"/>
      <c r="C14" s="132"/>
      <c r="D14" s="118"/>
      <c r="E14" s="118"/>
      <c r="F14" s="118"/>
      <c r="G14" s="118"/>
      <c r="H14" s="120"/>
      <c r="I14" s="120"/>
      <c r="J14" s="121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5"/>
      <c r="V14" s="125"/>
      <c r="W14" s="123">
        <f t="shared" si="4"/>
        <v>0</v>
      </c>
      <c r="X14" s="125"/>
      <c r="Y14" s="125"/>
      <c r="Z14" s="126">
        <f t="shared" si="5"/>
        <v>0</v>
      </c>
      <c r="AA14" s="127"/>
      <c r="AB14" s="101" t="s">
        <v>131</v>
      </c>
      <c r="AC14" s="128">
        <f t="shared" si="6"/>
        <v>0</v>
      </c>
      <c r="AD14" s="101"/>
    </row>
    <row r="15" ht="22.5" customHeight="1">
      <c r="A15" s="110">
        <v>407.0</v>
      </c>
      <c r="B15" s="111" t="s">
        <v>28</v>
      </c>
      <c r="C15" s="132"/>
      <c r="D15" s="119">
        <v>40000.0</v>
      </c>
      <c r="E15" s="119">
        <v>5000.0</v>
      </c>
      <c r="F15" s="119">
        <v>5000.0</v>
      </c>
      <c r="G15" s="119">
        <v>2000.0</v>
      </c>
      <c r="H15" s="120">
        <v>10000.0</v>
      </c>
      <c r="I15" s="120"/>
      <c r="J15" s="121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5"/>
      <c r="V15" s="125"/>
      <c r="W15" s="123">
        <f t="shared" si="4"/>
        <v>62000</v>
      </c>
      <c r="X15" s="125"/>
      <c r="Y15" s="125"/>
      <c r="Z15" s="126">
        <f t="shared" si="5"/>
        <v>62000</v>
      </c>
      <c r="AA15" s="127">
        <v>100000.0</v>
      </c>
      <c r="AB15" s="101" t="s">
        <v>131</v>
      </c>
      <c r="AC15" s="128">
        <f t="shared" si="6"/>
        <v>0</v>
      </c>
      <c r="AD15" s="134"/>
      <c r="AE15" s="135"/>
      <c r="AF15" s="135"/>
      <c r="AG15" s="135"/>
      <c r="AH15" s="135"/>
      <c r="AI15" s="135"/>
      <c r="AJ15" s="135"/>
    </row>
    <row r="16" ht="22.5" customHeight="1">
      <c r="A16" s="110">
        <v>408.0</v>
      </c>
      <c r="B16" s="111"/>
      <c r="C16" s="132"/>
      <c r="D16" s="125"/>
      <c r="E16" s="125"/>
      <c r="F16" s="125"/>
      <c r="G16" s="125"/>
      <c r="H16" s="120"/>
      <c r="I16" s="120"/>
      <c r="J16" s="121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5"/>
      <c r="V16" s="125"/>
      <c r="W16" s="123">
        <f t="shared" si="4"/>
        <v>0</v>
      </c>
      <c r="X16" s="125"/>
      <c r="Y16" s="125"/>
      <c r="Z16" s="126">
        <f t="shared" si="5"/>
        <v>0</v>
      </c>
      <c r="AA16" s="136"/>
      <c r="AB16" s="101" t="s">
        <v>131</v>
      </c>
      <c r="AC16" s="128">
        <f t="shared" si="6"/>
        <v>0</v>
      </c>
      <c r="AD16" s="134"/>
      <c r="AE16" s="135"/>
      <c r="AF16" s="135"/>
      <c r="AG16" s="135"/>
      <c r="AH16" s="135"/>
      <c r="AI16" s="135"/>
      <c r="AJ16" s="135"/>
    </row>
    <row r="17" ht="22.5" customHeight="1">
      <c r="A17" s="110">
        <v>415.0</v>
      </c>
      <c r="B17" s="111" t="s">
        <v>31</v>
      </c>
      <c r="C17" s="132">
        <v>128000.0</v>
      </c>
      <c r="D17" s="125">
        <v>40000.0</v>
      </c>
      <c r="E17" s="125">
        <v>5000.0</v>
      </c>
      <c r="F17" s="125">
        <v>5000.0</v>
      </c>
      <c r="G17" s="125">
        <v>2000.0</v>
      </c>
      <c r="H17" s="120">
        <v>0.0</v>
      </c>
      <c r="I17" s="120"/>
      <c r="J17" s="121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5"/>
      <c r="V17" s="125"/>
      <c r="W17" s="123">
        <f t="shared" si="4"/>
        <v>52000</v>
      </c>
      <c r="X17" s="125"/>
      <c r="Y17" s="125"/>
      <c r="Z17" s="126">
        <f t="shared" si="5"/>
        <v>52000</v>
      </c>
      <c r="AA17" s="136"/>
      <c r="AB17" s="101" t="s">
        <v>131</v>
      </c>
      <c r="AC17" s="128">
        <f t="shared" si="6"/>
        <v>128000</v>
      </c>
      <c r="AD17" s="134"/>
      <c r="AE17" s="135"/>
      <c r="AF17" s="135"/>
      <c r="AG17" s="135"/>
      <c r="AH17" s="135"/>
      <c r="AI17" s="135"/>
      <c r="AJ17" s="135"/>
    </row>
    <row r="18" ht="22.5" customHeight="1">
      <c r="A18" s="110">
        <v>601.0</v>
      </c>
      <c r="B18" s="111" t="s">
        <v>34</v>
      </c>
      <c r="C18" s="132">
        <v>134000.0</v>
      </c>
      <c r="D18" s="119">
        <v>40000.0</v>
      </c>
      <c r="E18" s="119">
        <v>5000.0</v>
      </c>
      <c r="F18" s="119">
        <v>5000.0</v>
      </c>
      <c r="G18" s="119">
        <v>2000.0</v>
      </c>
      <c r="H18" s="120">
        <v>10000.0</v>
      </c>
      <c r="I18" s="120"/>
      <c r="J18" s="121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5"/>
      <c r="V18" s="125"/>
      <c r="W18" s="123">
        <f t="shared" si="4"/>
        <v>62000</v>
      </c>
      <c r="X18" s="125"/>
      <c r="Y18" s="125"/>
      <c r="Z18" s="126">
        <f t="shared" si="5"/>
        <v>62000</v>
      </c>
      <c r="AA18" s="127">
        <v>100000.0</v>
      </c>
      <c r="AB18" s="101" t="s">
        <v>131</v>
      </c>
      <c r="AC18" s="128">
        <f t="shared" si="6"/>
        <v>134000</v>
      </c>
      <c r="AD18" s="134"/>
      <c r="AE18" s="135"/>
      <c r="AF18" s="135"/>
      <c r="AG18" s="135"/>
      <c r="AH18" s="135"/>
      <c r="AI18" s="135"/>
      <c r="AJ18" s="135"/>
    </row>
    <row r="19" ht="22.5" customHeight="1">
      <c r="A19" s="110">
        <v>608.0</v>
      </c>
      <c r="B19" s="111"/>
      <c r="C19" s="132"/>
      <c r="D19" s="125">
        <v>0.0</v>
      </c>
      <c r="E19" s="125">
        <v>0.0</v>
      </c>
      <c r="F19" s="125">
        <v>0.0</v>
      </c>
      <c r="G19" s="125">
        <v>0.0</v>
      </c>
      <c r="H19" s="120">
        <v>0.0</v>
      </c>
      <c r="I19" s="120"/>
      <c r="J19" s="121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5"/>
      <c r="V19" s="125"/>
      <c r="W19" s="123">
        <f t="shared" si="4"/>
        <v>0</v>
      </c>
      <c r="X19" s="125"/>
      <c r="Y19" s="125"/>
      <c r="Z19" s="126">
        <f t="shared" si="5"/>
        <v>0</v>
      </c>
      <c r="AA19" s="136">
        <v>62000.0</v>
      </c>
      <c r="AB19" s="101" t="s">
        <v>131</v>
      </c>
      <c r="AC19" s="128">
        <f t="shared" si="6"/>
        <v>0</v>
      </c>
      <c r="AD19" s="134"/>
      <c r="AE19" s="135"/>
      <c r="AF19" s="135"/>
      <c r="AG19" s="135"/>
      <c r="AH19" s="135"/>
      <c r="AI19" s="135"/>
      <c r="AJ19" s="135"/>
    </row>
    <row r="20" ht="22.5" customHeight="1">
      <c r="A20" s="110">
        <v>703.0</v>
      </c>
      <c r="B20" s="111" t="s">
        <v>38</v>
      </c>
      <c r="C20" s="132"/>
      <c r="D20" s="119">
        <v>40000.0</v>
      </c>
      <c r="E20" s="119">
        <v>5000.0</v>
      </c>
      <c r="F20" s="119">
        <v>5000.0</v>
      </c>
      <c r="G20" s="119">
        <v>2000.0</v>
      </c>
      <c r="H20" s="120">
        <v>10000.0</v>
      </c>
      <c r="I20" s="120"/>
      <c r="J20" s="121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5"/>
      <c r="V20" s="125"/>
      <c r="W20" s="123">
        <f t="shared" si="4"/>
        <v>62000</v>
      </c>
      <c r="X20" s="125"/>
      <c r="Y20" s="125"/>
      <c r="Z20" s="126">
        <f t="shared" si="5"/>
        <v>62000</v>
      </c>
      <c r="AA20" s="127">
        <v>80000.0</v>
      </c>
      <c r="AB20" s="101" t="s">
        <v>131</v>
      </c>
      <c r="AC20" s="128">
        <f t="shared" si="6"/>
        <v>0</v>
      </c>
      <c r="AD20" s="134"/>
      <c r="AE20" s="135"/>
      <c r="AF20" s="135"/>
      <c r="AG20" s="135"/>
      <c r="AH20" s="135"/>
      <c r="AI20" s="135"/>
      <c r="AJ20" s="135"/>
    </row>
    <row r="21" ht="22.5" customHeight="1">
      <c r="A21" s="110">
        <v>715.0</v>
      </c>
      <c r="B21" s="111" t="s">
        <v>39</v>
      </c>
      <c r="C21" s="132"/>
      <c r="D21" s="119">
        <v>40000.0</v>
      </c>
      <c r="E21" s="119">
        <v>5000.0</v>
      </c>
      <c r="F21" s="119">
        <v>5000.0</v>
      </c>
      <c r="G21" s="119">
        <v>2000.0</v>
      </c>
      <c r="H21" s="120">
        <v>10000.0</v>
      </c>
      <c r="I21" s="120"/>
      <c r="J21" s="121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5"/>
      <c r="V21" s="125"/>
      <c r="W21" s="123">
        <f t="shared" si="4"/>
        <v>62000</v>
      </c>
      <c r="X21" s="125"/>
      <c r="Y21" s="125"/>
      <c r="Z21" s="126">
        <f t="shared" si="5"/>
        <v>62000</v>
      </c>
      <c r="AA21" s="127">
        <v>116000.0</v>
      </c>
      <c r="AB21" s="101" t="s">
        <v>131</v>
      </c>
      <c r="AC21" s="128">
        <f t="shared" si="6"/>
        <v>0</v>
      </c>
      <c r="AD21" s="134"/>
      <c r="AE21" s="135"/>
      <c r="AF21" s="135"/>
      <c r="AG21" s="135"/>
      <c r="AH21" s="135"/>
      <c r="AI21" s="135"/>
      <c r="AJ21" s="135"/>
    </row>
    <row r="22" ht="22.5" customHeight="1">
      <c r="A22" s="110">
        <v>716.0</v>
      </c>
      <c r="B22" s="111" t="s">
        <v>40</v>
      </c>
      <c r="C22" s="132"/>
      <c r="D22" s="119">
        <v>40000.0</v>
      </c>
      <c r="E22" s="119">
        <v>5000.0</v>
      </c>
      <c r="F22" s="119">
        <v>5000.0</v>
      </c>
      <c r="G22" s="119">
        <v>2000.0</v>
      </c>
      <c r="H22" s="120">
        <v>10000.0</v>
      </c>
      <c r="I22" s="120"/>
      <c r="J22" s="121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5"/>
      <c r="V22" s="125"/>
      <c r="W22" s="123">
        <f t="shared" si="4"/>
        <v>62000</v>
      </c>
      <c r="X22" s="125"/>
      <c r="Y22" s="125"/>
      <c r="Z22" s="126">
        <f t="shared" si="5"/>
        <v>62000</v>
      </c>
      <c r="AA22" s="127" t="s">
        <v>132</v>
      </c>
      <c r="AB22" s="101" t="s">
        <v>131</v>
      </c>
      <c r="AC22" s="128">
        <f t="shared" si="6"/>
        <v>0</v>
      </c>
      <c r="AD22" s="134"/>
      <c r="AE22" s="135"/>
      <c r="AF22" s="135"/>
      <c r="AG22" s="135"/>
      <c r="AH22" s="135"/>
      <c r="AI22" s="135"/>
      <c r="AJ22" s="135"/>
    </row>
    <row r="23" ht="22.5" hidden="1" customHeight="1">
      <c r="A23" s="110" t="str">
        <f>'利用者'!A30</f>
        <v/>
      </c>
      <c r="B23" s="111" t="str">
        <f>'利用者'!B30</f>
        <v/>
      </c>
      <c r="C23" s="132"/>
      <c r="D23" s="125"/>
      <c r="E23" s="125"/>
      <c r="F23" s="125"/>
      <c r="G23" s="125"/>
      <c r="H23" s="120"/>
      <c r="I23" s="120"/>
      <c r="J23" s="121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5"/>
      <c r="V23" s="125"/>
      <c r="W23" s="123">
        <f t="shared" si="4"/>
        <v>0</v>
      </c>
      <c r="X23" s="125"/>
      <c r="Y23" s="125"/>
      <c r="Z23" s="126">
        <f t="shared" si="5"/>
        <v>0</v>
      </c>
      <c r="AA23" s="136"/>
      <c r="AB23" s="101" t="s">
        <v>131</v>
      </c>
      <c r="AC23" s="128">
        <f t="shared" si="6"/>
        <v>0</v>
      </c>
      <c r="AD23" s="134"/>
      <c r="AE23" s="135"/>
      <c r="AF23" s="135"/>
      <c r="AG23" s="135"/>
      <c r="AH23" s="135"/>
      <c r="AI23" s="135"/>
      <c r="AJ23" s="135"/>
    </row>
    <row r="24" ht="22.5" hidden="1" customHeight="1">
      <c r="A24" s="110" t="str">
        <f>'利用者'!A31</f>
        <v/>
      </c>
      <c r="B24" s="111" t="str">
        <f>'利用者'!B31</f>
        <v/>
      </c>
      <c r="C24" s="132"/>
      <c r="D24" s="125"/>
      <c r="E24" s="125"/>
      <c r="F24" s="125"/>
      <c r="G24" s="125"/>
      <c r="H24" s="120"/>
      <c r="I24" s="120"/>
      <c r="J24" s="121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5"/>
      <c r="V24" s="125"/>
      <c r="W24" s="123">
        <f t="shared" si="4"/>
        <v>0</v>
      </c>
      <c r="X24" s="125"/>
      <c r="Y24" s="125"/>
      <c r="Z24" s="126">
        <f t="shared" si="5"/>
        <v>0</v>
      </c>
      <c r="AA24" s="136"/>
      <c r="AB24" s="101" t="s">
        <v>131</v>
      </c>
      <c r="AC24" s="128">
        <f t="shared" si="6"/>
        <v>0</v>
      </c>
      <c r="AD24" s="134"/>
      <c r="AE24" s="135"/>
      <c r="AF24" s="135"/>
      <c r="AG24" s="135"/>
      <c r="AH24" s="135"/>
      <c r="AI24" s="135"/>
      <c r="AJ24" s="135"/>
    </row>
    <row r="25" ht="22.5" hidden="1" customHeight="1">
      <c r="A25" s="110" t="str">
        <f>'利用者'!A32</f>
        <v/>
      </c>
      <c r="B25" s="111" t="str">
        <f>'利用者'!B32</f>
        <v/>
      </c>
      <c r="C25" s="132"/>
      <c r="D25" s="125"/>
      <c r="E25" s="125"/>
      <c r="F25" s="125"/>
      <c r="G25" s="125"/>
      <c r="H25" s="120"/>
      <c r="I25" s="120"/>
      <c r="J25" s="121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5"/>
      <c r="V25" s="125"/>
      <c r="W25" s="123">
        <f t="shared" si="4"/>
        <v>0</v>
      </c>
      <c r="X25" s="125"/>
      <c r="Y25" s="125"/>
      <c r="Z25" s="126">
        <f t="shared" si="5"/>
        <v>0</v>
      </c>
      <c r="AA25" s="136"/>
      <c r="AB25" s="101" t="s">
        <v>131</v>
      </c>
      <c r="AC25" s="128">
        <f t="shared" si="6"/>
        <v>0</v>
      </c>
      <c r="AD25" s="134"/>
      <c r="AE25" s="135"/>
      <c r="AF25" s="135"/>
      <c r="AG25" s="135"/>
      <c r="AH25" s="135"/>
      <c r="AI25" s="135"/>
      <c r="AJ25" s="135"/>
    </row>
    <row r="26" ht="22.5" hidden="1" customHeight="1">
      <c r="A26" s="110" t="str">
        <f>'利用者'!A33</f>
        <v/>
      </c>
      <c r="B26" s="111" t="str">
        <f>'利用者'!B33</f>
        <v/>
      </c>
      <c r="C26" s="132"/>
      <c r="D26" s="125"/>
      <c r="E26" s="125"/>
      <c r="F26" s="125"/>
      <c r="G26" s="125"/>
      <c r="H26" s="120"/>
      <c r="I26" s="120"/>
      <c r="J26" s="121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5"/>
      <c r="V26" s="125"/>
      <c r="W26" s="123">
        <f t="shared" si="4"/>
        <v>0</v>
      </c>
      <c r="X26" s="125"/>
      <c r="Y26" s="125"/>
      <c r="Z26" s="126">
        <f t="shared" si="5"/>
        <v>0</v>
      </c>
      <c r="AA26" s="136"/>
      <c r="AB26" s="101" t="s">
        <v>131</v>
      </c>
      <c r="AC26" s="128">
        <f t="shared" si="6"/>
        <v>0</v>
      </c>
      <c r="AD26" s="134"/>
      <c r="AE26" s="135"/>
      <c r="AF26" s="135"/>
      <c r="AG26" s="135"/>
      <c r="AH26" s="135"/>
      <c r="AI26" s="135"/>
      <c r="AJ26" s="135"/>
    </row>
    <row r="27" ht="22.5" hidden="1" customHeight="1">
      <c r="A27" s="110" t="str">
        <f>'利用者'!A34</f>
        <v/>
      </c>
      <c r="B27" s="111" t="str">
        <f>'利用者'!B34</f>
        <v/>
      </c>
      <c r="C27" s="132"/>
      <c r="D27" s="125"/>
      <c r="E27" s="125"/>
      <c r="F27" s="125"/>
      <c r="G27" s="125"/>
      <c r="H27" s="120"/>
      <c r="I27" s="120"/>
      <c r="J27" s="121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5"/>
      <c r="V27" s="125"/>
      <c r="W27" s="123">
        <f t="shared" si="4"/>
        <v>0</v>
      </c>
      <c r="X27" s="125"/>
      <c r="Y27" s="125"/>
      <c r="Z27" s="126">
        <f t="shared" si="5"/>
        <v>0</v>
      </c>
      <c r="AA27" s="136"/>
      <c r="AB27" s="101" t="s">
        <v>131</v>
      </c>
      <c r="AC27" s="128">
        <f t="shared" si="6"/>
        <v>0</v>
      </c>
      <c r="AD27" s="134"/>
      <c r="AE27" s="135"/>
      <c r="AF27" s="135"/>
      <c r="AG27" s="135"/>
      <c r="AH27" s="135"/>
      <c r="AI27" s="135"/>
      <c r="AJ27" s="135"/>
    </row>
    <row r="28" ht="22.5" hidden="1" customHeight="1">
      <c r="A28" s="110" t="str">
        <f>'利用者'!A35</f>
        <v/>
      </c>
      <c r="B28" s="111" t="str">
        <f>'利用者'!B35</f>
        <v/>
      </c>
      <c r="C28" s="132"/>
      <c r="D28" s="125"/>
      <c r="E28" s="125"/>
      <c r="F28" s="125"/>
      <c r="G28" s="125"/>
      <c r="H28" s="120"/>
      <c r="I28" s="120"/>
      <c r="J28" s="121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5"/>
      <c r="V28" s="125"/>
      <c r="W28" s="123">
        <f t="shared" si="4"/>
        <v>0</v>
      </c>
      <c r="X28" s="125"/>
      <c r="Y28" s="125"/>
      <c r="Z28" s="126">
        <f t="shared" si="5"/>
        <v>0</v>
      </c>
      <c r="AA28" s="136"/>
      <c r="AB28" s="101" t="s">
        <v>131</v>
      </c>
      <c r="AC28" s="128">
        <f t="shared" si="6"/>
        <v>0</v>
      </c>
      <c r="AD28" s="134"/>
      <c r="AE28" s="135"/>
      <c r="AF28" s="135"/>
      <c r="AG28" s="135"/>
      <c r="AH28" s="135"/>
      <c r="AI28" s="135"/>
      <c r="AJ28" s="135"/>
    </row>
    <row r="29" ht="22.5" hidden="1" customHeight="1">
      <c r="A29" s="110" t="str">
        <f>'利用者'!A36</f>
        <v/>
      </c>
      <c r="B29" s="111" t="str">
        <f>'利用者'!B36</f>
        <v/>
      </c>
      <c r="C29" s="132"/>
      <c r="D29" s="125"/>
      <c r="E29" s="125"/>
      <c r="F29" s="125"/>
      <c r="G29" s="125"/>
      <c r="H29" s="120"/>
      <c r="I29" s="120"/>
      <c r="J29" s="121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5"/>
      <c r="V29" s="125"/>
      <c r="W29" s="123">
        <f t="shared" si="4"/>
        <v>0</v>
      </c>
      <c r="X29" s="125"/>
      <c r="Y29" s="125"/>
      <c r="Z29" s="126">
        <f t="shared" si="5"/>
        <v>0</v>
      </c>
      <c r="AA29" s="136"/>
      <c r="AB29" s="101" t="s">
        <v>131</v>
      </c>
      <c r="AC29" s="128">
        <f t="shared" si="6"/>
        <v>0</v>
      </c>
      <c r="AD29" s="134"/>
      <c r="AE29" s="135"/>
      <c r="AF29" s="135"/>
      <c r="AG29" s="135"/>
      <c r="AH29" s="135"/>
      <c r="AI29" s="135"/>
      <c r="AJ29" s="135"/>
    </row>
    <row r="30" ht="22.5" hidden="1" customHeight="1">
      <c r="A30" s="110" t="str">
        <f>'利用者'!A37</f>
        <v/>
      </c>
      <c r="B30" s="111" t="str">
        <f>'利用者'!B37</f>
        <v/>
      </c>
      <c r="C30" s="132"/>
      <c r="D30" s="125"/>
      <c r="E30" s="125"/>
      <c r="F30" s="125"/>
      <c r="G30" s="125"/>
      <c r="H30" s="120"/>
      <c r="I30" s="120"/>
      <c r="J30" s="12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5"/>
      <c r="V30" s="125"/>
      <c r="W30" s="123">
        <f t="shared" si="4"/>
        <v>0</v>
      </c>
      <c r="X30" s="125"/>
      <c r="Y30" s="125"/>
      <c r="Z30" s="126">
        <f t="shared" si="5"/>
        <v>0</v>
      </c>
      <c r="AA30" s="136"/>
      <c r="AB30" s="101" t="s">
        <v>131</v>
      </c>
      <c r="AC30" s="128">
        <f t="shared" si="6"/>
        <v>0</v>
      </c>
      <c r="AD30" s="134"/>
      <c r="AE30" s="135"/>
      <c r="AF30" s="135"/>
      <c r="AG30" s="135"/>
      <c r="AH30" s="135"/>
      <c r="AI30" s="135"/>
      <c r="AJ30" s="135"/>
    </row>
    <row r="31" ht="22.5" hidden="1" customHeight="1">
      <c r="A31" s="110" t="str">
        <f>'利用者'!A38</f>
        <v/>
      </c>
      <c r="B31" s="111" t="str">
        <f>'利用者'!B38</f>
        <v/>
      </c>
      <c r="C31" s="132"/>
      <c r="D31" s="125"/>
      <c r="E31" s="125"/>
      <c r="F31" s="125"/>
      <c r="G31" s="125"/>
      <c r="H31" s="120"/>
      <c r="I31" s="120"/>
      <c r="J31" s="121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5"/>
      <c r="V31" s="125"/>
      <c r="W31" s="123">
        <f t="shared" si="4"/>
        <v>0</v>
      </c>
      <c r="X31" s="125"/>
      <c r="Y31" s="125"/>
      <c r="Z31" s="126">
        <f t="shared" si="5"/>
        <v>0</v>
      </c>
      <c r="AA31" s="136"/>
      <c r="AB31" s="101" t="s">
        <v>131</v>
      </c>
      <c r="AC31" s="128">
        <f t="shared" si="6"/>
        <v>0</v>
      </c>
      <c r="AD31" s="134"/>
      <c r="AE31" s="135"/>
      <c r="AF31" s="135"/>
      <c r="AG31" s="135"/>
      <c r="AH31" s="135"/>
      <c r="AI31" s="135"/>
      <c r="AJ31" s="135"/>
    </row>
    <row r="32" ht="22.5" hidden="1" customHeight="1">
      <c r="A32" s="110" t="str">
        <f>'利用者'!A39</f>
        <v/>
      </c>
      <c r="B32" s="111" t="str">
        <f>'利用者'!B39</f>
        <v/>
      </c>
      <c r="C32" s="132"/>
      <c r="D32" s="125"/>
      <c r="E32" s="125"/>
      <c r="F32" s="125"/>
      <c r="G32" s="125"/>
      <c r="H32" s="120"/>
      <c r="I32" s="120"/>
      <c r="J32" s="121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5"/>
      <c r="V32" s="125"/>
      <c r="W32" s="123">
        <f t="shared" si="4"/>
        <v>0</v>
      </c>
      <c r="X32" s="125"/>
      <c r="Y32" s="125"/>
      <c r="Z32" s="126">
        <f t="shared" si="5"/>
        <v>0</v>
      </c>
      <c r="AA32" s="136"/>
      <c r="AB32" s="101" t="s">
        <v>131</v>
      </c>
      <c r="AC32" s="128">
        <f t="shared" si="6"/>
        <v>0</v>
      </c>
      <c r="AD32" s="134"/>
      <c r="AE32" s="135"/>
      <c r="AF32" s="135"/>
      <c r="AG32" s="135"/>
      <c r="AH32" s="135"/>
      <c r="AI32" s="135"/>
      <c r="AJ32" s="135"/>
    </row>
    <row r="33" ht="22.5" hidden="1" customHeight="1">
      <c r="A33" s="110" t="str">
        <f>'利用者'!A40</f>
        <v/>
      </c>
      <c r="B33" s="111" t="str">
        <f>'利用者'!B40</f>
        <v/>
      </c>
      <c r="C33" s="132"/>
      <c r="D33" s="125"/>
      <c r="E33" s="125"/>
      <c r="F33" s="125"/>
      <c r="G33" s="125"/>
      <c r="H33" s="120"/>
      <c r="I33" s="120"/>
      <c r="J33" s="121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5"/>
      <c r="V33" s="125"/>
      <c r="W33" s="123">
        <f t="shared" si="4"/>
        <v>0</v>
      </c>
      <c r="X33" s="125"/>
      <c r="Y33" s="125"/>
      <c r="Z33" s="126">
        <f t="shared" si="5"/>
        <v>0</v>
      </c>
      <c r="AA33" s="136"/>
      <c r="AB33" s="101" t="s">
        <v>131</v>
      </c>
      <c r="AC33" s="128">
        <f t="shared" si="6"/>
        <v>0</v>
      </c>
      <c r="AD33" s="134"/>
      <c r="AE33" s="135"/>
      <c r="AF33" s="135"/>
      <c r="AG33" s="135"/>
      <c r="AH33" s="135"/>
      <c r="AI33" s="135"/>
      <c r="AJ33" s="135"/>
    </row>
    <row r="34" ht="22.5" hidden="1" customHeight="1">
      <c r="A34" s="110" t="str">
        <f>'利用者'!A41</f>
        <v/>
      </c>
      <c r="B34" s="111" t="str">
        <f>'利用者'!B41</f>
        <v/>
      </c>
      <c r="C34" s="132"/>
      <c r="D34" s="125"/>
      <c r="E34" s="125"/>
      <c r="F34" s="125"/>
      <c r="G34" s="125"/>
      <c r="H34" s="120"/>
      <c r="I34" s="120"/>
      <c r="J34" s="121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5"/>
      <c r="V34" s="125"/>
      <c r="W34" s="123">
        <f t="shared" si="4"/>
        <v>0</v>
      </c>
      <c r="X34" s="125"/>
      <c r="Y34" s="125"/>
      <c r="Z34" s="126">
        <f t="shared" si="5"/>
        <v>0</v>
      </c>
      <c r="AA34" s="136"/>
      <c r="AB34" s="101" t="s">
        <v>131</v>
      </c>
      <c r="AC34" s="128">
        <f t="shared" si="6"/>
        <v>0</v>
      </c>
      <c r="AD34" s="134"/>
      <c r="AE34" s="135"/>
      <c r="AF34" s="135"/>
      <c r="AG34" s="135"/>
      <c r="AH34" s="135"/>
      <c r="AI34" s="135"/>
      <c r="AJ34" s="135"/>
    </row>
    <row r="35" ht="22.5" hidden="1" customHeight="1">
      <c r="A35" s="110" t="str">
        <f>'利用者'!A42</f>
        <v/>
      </c>
      <c r="B35" s="111" t="str">
        <f>'利用者'!B42</f>
        <v/>
      </c>
      <c r="C35" s="132"/>
      <c r="D35" s="125"/>
      <c r="E35" s="125"/>
      <c r="F35" s="125"/>
      <c r="G35" s="125"/>
      <c r="H35" s="120"/>
      <c r="I35" s="120"/>
      <c r="J35" s="12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5"/>
      <c r="V35" s="125"/>
      <c r="W35" s="123">
        <f t="shared" si="4"/>
        <v>0</v>
      </c>
      <c r="X35" s="125"/>
      <c r="Y35" s="125"/>
      <c r="Z35" s="126">
        <f t="shared" si="5"/>
        <v>0</v>
      </c>
      <c r="AA35" s="136"/>
      <c r="AB35" s="101" t="s">
        <v>131</v>
      </c>
      <c r="AC35" s="128">
        <f t="shared" si="6"/>
        <v>0</v>
      </c>
      <c r="AD35" s="134"/>
      <c r="AE35" s="135"/>
      <c r="AF35" s="135"/>
      <c r="AG35" s="135"/>
      <c r="AH35" s="135"/>
      <c r="AI35" s="135"/>
      <c r="AJ35" s="135"/>
    </row>
    <row r="36" ht="22.5" hidden="1" customHeight="1">
      <c r="A36" s="110" t="str">
        <f>'利用者'!A43</f>
        <v/>
      </c>
      <c r="B36" s="111" t="str">
        <f>'利用者'!B43</f>
        <v/>
      </c>
      <c r="C36" s="132"/>
      <c r="D36" s="125"/>
      <c r="E36" s="125"/>
      <c r="F36" s="125"/>
      <c r="G36" s="125"/>
      <c r="H36" s="120"/>
      <c r="I36" s="120"/>
      <c r="J36" s="12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5"/>
      <c r="V36" s="125"/>
      <c r="W36" s="123">
        <f t="shared" si="4"/>
        <v>0</v>
      </c>
      <c r="X36" s="125"/>
      <c r="Y36" s="125"/>
      <c r="Z36" s="126">
        <f t="shared" si="5"/>
        <v>0</v>
      </c>
      <c r="AA36" s="136"/>
      <c r="AB36" s="101" t="s">
        <v>131</v>
      </c>
      <c r="AC36" s="128">
        <f t="shared" si="6"/>
        <v>0</v>
      </c>
      <c r="AD36" s="134"/>
      <c r="AE36" s="135"/>
      <c r="AF36" s="135"/>
      <c r="AG36" s="135"/>
      <c r="AH36" s="135"/>
      <c r="AI36" s="135"/>
      <c r="AJ36" s="135"/>
    </row>
    <row r="37" ht="22.5" hidden="1" customHeight="1">
      <c r="A37" s="110" t="str">
        <f>'利用者'!A44</f>
        <v/>
      </c>
      <c r="B37" s="111" t="str">
        <f>'利用者'!B44</f>
        <v/>
      </c>
      <c r="C37" s="132"/>
      <c r="D37" s="125"/>
      <c r="E37" s="125"/>
      <c r="F37" s="125"/>
      <c r="G37" s="125"/>
      <c r="H37" s="120"/>
      <c r="I37" s="120"/>
      <c r="J37" s="121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5"/>
      <c r="V37" s="125"/>
      <c r="W37" s="123">
        <f t="shared" si="4"/>
        <v>0</v>
      </c>
      <c r="X37" s="125"/>
      <c r="Y37" s="125"/>
      <c r="Z37" s="126">
        <f t="shared" si="5"/>
        <v>0</v>
      </c>
      <c r="AA37" s="136"/>
      <c r="AB37" s="101" t="s">
        <v>131</v>
      </c>
      <c r="AC37" s="128">
        <f t="shared" si="6"/>
        <v>0</v>
      </c>
      <c r="AD37" s="134"/>
      <c r="AE37" s="135"/>
      <c r="AF37" s="135"/>
      <c r="AG37" s="135"/>
      <c r="AH37" s="135"/>
      <c r="AI37" s="135"/>
      <c r="AJ37" s="135"/>
    </row>
    <row r="38" ht="22.5" hidden="1" customHeight="1">
      <c r="A38" s="110" t="str">
        <f>'利用者'!A45</f>
        <v/>
      </c>
      <c r="B38" s="111" t="str">
        <f>'利用者'!B45</f>
        <v/>
      </c>
      <c r="C38" s="132"/>
      <c r="D38" s="125"/>
      <c r="E38" s="125"/>
      <c r="F38" s="125"/>
      <c r="G38" s="125"/>
      <c r="H38" s="120"/>
      <c r="I38" s="120"/>
      <c r="J38" s="121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5"/>
      <c r="V38" s="125"/>
      <c r="W38" s="123">
        <f t="shared" si="4"/>
        <v>0</v>
      </c>
      <c r="X38" s="125"/>
      <c r="Y38" s="125"/>
      <c r="Z38" s="126">
        <f t="shared" si="5"/>
        <v>0</v>
      </c>
      <c r="AA38" s="136"/>
      <c r="AB38" s="101" t="s">
        <v>131</v>
      </c>
      <c r="AC38" s="128">
        <f t="shared" si="6"/>
        <v>0</v>
      </c>
      <c r="AD38" s="134"/>
      <c r="AE38" s="135"/>
      <c r="AF38" s="135"/>
      <c r="AG38" s="135"/>
      <c r="AH38" s="135"/>
      <c r="AI38" s="135"/>
      <c r="AJ38" s="135"/>
    </row>
    <row r="39" ht="22.5" hidden="1" customHeight="1">
      <c r="A39" s="110" t="str">
        <f>'利用者'!A46</f>
        <v/>
      </c>
      <c r="B39" s="111" t="str">
        <f>'利用者'!B46</f>
        <v/>
      </c>
      <c r="C39" s="132"/>
      <c r="D39" s="125"/>
      <c r="E39" s="125"/>
      <c r="F39" s="125"/>
      <c r="G39" s="125"/>
      <c r="H39" s="120"/>
      <c r="I39" s="120"/>
      <c r="J39" s="121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5"/>
      <c r="V39" s="125"/>
      <c r="W39" s="123">
        <f t="shared" si="4"/>
        <v>0</v>
      </c>
      <c r="X39" s="125"/>
      <c r="Y39" s="125"/>
      <c r="Z39" s="126">
        <f t="shared" si="5"/>
        <v>0</v>
      </c>
      <c r="AA39" s="136"/>
      <c r="AB39" s="101" t="s">
        <v>131</v>
      </c>
      <c r="AC39" s="128">
        <f t="shared" si="6"/>
        <v>0</v>
      </c>
      <c r="AD39" s="134"/>
      <c r="AE39" s="135"/>
      <c r="AF39" s="135"/>
      <c r="AG39" s="135"/>
      <c r="AH39" s="135"/>
      <c r="AI39" s="135"/>
      <c r="AJ39" s="135"/>
    </row>
    <row r="40" ht="22.5" hidden="1" customHeight="1">
      <c r="A40" s="110" t="str">
        <f>'利用者'!A47</f>
        <v/>
      </c>
      <c r="B40" s="111" t="str">
        <f>'利用者'!B47</f>
        <v/>
      </c>
      <c r="C40" s="132"/>
      <c r="D40" s="125"/>
      <c r="E40" s="125"/>
      <c r="F40" s="125"/>
      <c r="G40" s="125"/>
      <c r="H40" s="120"/>
      <c r="I40" s="120"/>
      <c r="J40" s="121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5"/>
      <c r="V40" s="125"/>
      <c r="W40" s="123">
        <f t="shared" si="4"/>
        <v>0</v>
      </c>
      <c r="X40" s="125"/>
      <c r="Y40" s="125"/>
      <c r="Z40" s="126">
        <f t="shared" si="5"/>
        <v>0</v>
      </c>
      <c r="AA40" s="136"/>
      <c r="AB40" s="101" t="s">
        <v>131</v>
      </c>
      <c r="AC40" s="128">
        <f t="shared" si="6"/>
        <v>0</v>
      </c>
      <c r="AD40" s="134"/>
      <c r="AE40" s="135"/>
      <c r="AF40" s="135"/>
      <c r="AG40" s="135"/>
      <c r="AH40" s="135"/>
      <c r="AI40" s="135"/>
      <c r="AJ40" s="135"/>
    </row>
    <row r="41" ht="22.5" hidden="1" customHeight="1">
      <c r="A41" s="110" t="str">
        <f>'利用者'!A48</f>
        <v/>
      </c>
      <c r="B41" s="111" t="str">
        <f>'利用者'!B48</f>
        <v/>
      </c>
      <c r="C41" s="132"/>
      <c r="D41" s="125"/>
      <c r="E41" s="125"/>
      <c r="F41" s="125"/>
      <c r="G41" s="125"/>
      <c r="H41" s="120"/>
      <c r="I41" s="120"/>
      <c r="J41" s="121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5"/>
      <c r="V41" s="125"/>
      <c r="W41" s="123">
        <f t="shared" si="4"/>
        <v>0</v>
      </c>
      <c r="X41" s="125"/>
      <c r="Y41" s="125"/>
      <c r="Z41" s="126">
        <f t="shared" si="5"/>
        <v>0</v>
      </c>
      <c r="AA41" s="136"/>
      <c r="AB41" s="101" t="s">
        <v>131</v>
      </c>
      <c r="AC41" s="128">
        <f t="shared" si="6"/>
        <v>0</v>
      </c>
      <c r="AD41" s="134"/>
      <c r="AE41" s="135"/>
      <c r="AF41" s="135"/>
      <c r="AG41" s="135"/>
      <c r="AH41" s="135"/>
      <c r="AI41" s="135"/>
      <c r="AJ41" s="135"/>
    </row>
    <row r="42" ht="22.5" hidden="1" customHeight="1">
      <c r="A42" s="110" t="str">
        <f>'利用者'!A49</f>
        <v/>
      </c>
      <c r="B42" s="111" t="str">
        <f>'利用者'!B49</f>
        <v/>
      </c>
      <c r="C42" s="132"/>
      <c r="D42" s="125"/>
      <c r="E42" s="125"/>
      <c r="F42" s="125"/>
      <c r="G42" s="125"/>
      <c r="H42" s="120"/>
      <c r="I42" s="120"/>
      <c r="J42" s="121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5"/>
      <c r="V42" s="125"/>
      <c r="W42" s="123">
        <f t="shared" si="4"/>
        <v>0</v>
      </c>
      <c r="X42" s="125"/>
      <c r="Y42" s="125"/>
      <c r="Z42" s="126">
        <f t="shared" si="5"/>
        <v>0</v>
      </c>
      <c r="AA42" s="136"/>
      <c r="AB42" s="101" t="s">
        <v>131</v>
      </c>
      <c r="AC42" s="128">
        <f t="shared" si="6"/>
        <v>0</v>
      </c>
      <c r="AD42" s="134"/>
      <c r="AE42" s="135"/>
      <c r="AF42" s="135"/>
      <c r="AG42" s="135"/>
      <c r="AH42" s="135"/>
      <c r="AI42" s="135"/>
      <c r="AJ42" s="135"/>
    </row>
    <row r="43" ht="22.5" hidden="1" customHeight="1">
      <c r="A43" s="110" t="str">
        <f>'利用者'!A50</f>
        <v/>
      </c>
      <c r="B43" s="111" t="str">
        <f>'利用者'!B50</f>
        <v/>
      </c>
      <c r="C43" s="132"/>
      <c r="D43" s="125"/>
      <c r="E43" s="125"/>
      <c r="F43" s="125"/>
      <c r="G43" s="125"/>
      <c r="H43" s="120"/>
      <c r="I43" s="120"/>
      <c r="J43" s="121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5"/>
      <c r="V43" s="125"/>
      <c r="W43" s="123">
        <f t="shared" si="4"/>
        <v>0</v>
      </c>
      <c r="X43" s="125"/>
      <c r="Y43" s="125"/>
      <c r="Z43" s="126">
        <f t="shared" si="5"/>
        <v>0</v>
      </c>
      <c r="AA43" s="136"/>
      <c r="AB43" s="101" t="s">
        <v>131</v>
      </c>
      <c r="AC43" s="128">
        <f t="shared" si="6"/>
        <v>0</v>
      </c>
      <c r="AD43" s="134"/>
      <c r="AE43" s="135"/>
      <c r="AF43" s="135"/>
      <c r="AG43" s="135"/>
      <c r="AH43" s="135"/>
      <c r="AI43" s="135"/>
      <c r="AJ43" s="135"/>
    </row>
    <row r="44" ht="22.5" hidden="1" customHeight="1">
      <c r="A44" s="110" t="str">
        <f>'利用者'!A51</f>
        <v/>
      </c>
      <c r="B44" s="111" t="str">
        <f>'利用者'!B51</f>
        <v/>
      </c>
      <c r="C44" s="132"/>
      <c r="D44" s="125"/>
      <c r="E44" s="125"/>
      <c r="F44" s="125"/>
      <c r="G44" s="125"/>
      <c r="H44" s="120"/>
      <c r="I44" s="120"/>
      <c r="J44" s="121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5"/>
      <c r="V44" s="125"/>
      <c r="W44" s="123">
        <f t="shared" si="4"/>
        <v>0</v>
      </c>
      <c r="X44" s="125"/>
      <c r="Y44" s="125"/>
      <c r="Z44" s="126">
        <f t="shared" si="5"/>
        <v>0</v>
      </c>
      <c r="AA44" s="136"/>
      <c r="AB44" s="101" t="s">
        <v>131</v>
      </c>
      <c r="AC44" s="128">
        <f t="shared" si="6"/>
        <v>0</v>
      </c>
      <c r="AD44" s="134"/>
      <c r="AE44" s="135"/>
      <c r="AF44" s="135"/>
      <c r="AG44" s="135"/>
      <c r="AH44" s="135"/>
      <c r="AI44" s="135"/>
      <c r="AJ44" s="135"/>
    </row>
    <row r="45" ht="22.5" hidden="1" customHeight="1">
      <c r="A45" s="110" t="str">
        <f>'利用者'!A52</f>
        <v/>
      </c>
      <c r="B45" s="111" t="str">
        <f>'利用者'!B52</f>
        <v/>
      </c>
      <c r="C45" s="132"/>
      <c r="D45" s="125"/>
      <c r="E45" s="125"/>
      <c r="F45" s="125"/>
      <c r="G45" s="125"/>
      <c r="H45" s="120"/>
      <c r="I45" s="120"/>
      <c r="J45" s="121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5"/>
      <c r="V45" s="125"/>
      <c r="W45" s="123">
        <f t="shared" si="4"/>
        <v>0</v>
      </c>
      <c r="X45" s="125"/>
      <c r="Y45" s="125"/>
      <c r="Z45" s="126">
        <f t="shared" si="5"/>
        <v>0</v>
      </c>
      <c r="AA45" s="136"/>
      <c r="AB45" s="101" t="s">
        <v>131</v>
      </c>
      <c r="AC45" s="128">
        <f t="shared" si="6"/>
        <v>0</v>
      </c>
      <c r="AD45" s="134"/>
      <c r="AE45" s="135"/>
      <c r="AF45" s="135"/>
      <c r="AG45" s="135"/>
      <c r="AH45" s="135"/>
      <c r="AI45" s="135"/>
      <c r="AJ45" s="135"/>
    </row>
    <row r="46" ht="22.5" hidden="1" customHeight="1">
      <c r="A46" s="110" t="str">
        <f>'利用者'!A53</f>
        <v/>
      </c>
      <c r="B46" s="111" t="str">
        <f>'利用者'!B53</f>
        <v/>
      </c>
      <c r="C46" s="132"/>
      <c r="D46" s="125"/>
      <c r="E46" s="125"/>
      <c r="F46" s="125"/>
      <c r="G46" s="125"/>
      <c r="H46" s="120"/>
      <c r="I46" s="120"/>
      <c r="J46" s="121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5"/>
      <c r="V46" s="125"/>
      <c r="W46" s="123">
        <f t="shared" si="4"/>
        <v>0</v>
      </c>
      <c r="X46" s="125"/>
      <c r="Y46" s="125"/>
      <c r="Z46" s="126">
        <f t="shared" si="5"/>
        <v>0</v>
      </c>
      <c r="AA46" s="136"/>
      <c r="AB46" s="101" t="s">
        <v>131</v>
      </c>
      <c r="AC46" s="128">
        <f t="shared" si="6"/>
        <v>0</v>
      </c>
      <c r="AD46" s="134"/>
      <c r="AE46" s="135"/>
      <c r="AF46" s="135"/>
      <c r="AG46" s="135"/>
      <c r="AH46" s="135"/>
      <c r="AI46" s="135"/>
      <c r="AJ46" s="135"/>
    </row>
    <row r="47" ht="22.5" hidden="1" customHeight="1">
      <c r="A47" s="110" t="str">
        <f>'利用者'!A54</f>
        <v/>
      </c>
      <c r="B47" s="111" t="str">
        <f>'利用者'!B54</f>
        <v/>
      </c>
      <c r="C47" s="132"/>
      <c r="D47" s="125"/>
      <c r="E47" s="125"/>
      <c r="F47" s="125"/>
      <c r="G47" s="125"/>
      <c r="H47" s="120"/>
      <c r="I47" s="120"/>
      <c r="J47" s="121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5"/>
      <c r="V47" s="125"/>
      <c r="W47" s="123">
        <f t="shared" si="4"/>
        <v>0</v>
      </c>
      <c r="X47" s="125"/>
      <c r="Y47" s="125"/>
      <c r="Z47" s="126">
        <f t="shared" si="5"/>
        <v>0</v>
      </c>
      <c r="AA47" s="136"/>
      <c r="AB47" s="101" t="s">
        <v>131</v>
      </c>
      <c r="AC47" s="128">
        <f t="shared" si="6"/>
        <v>0</v>
      </c>
      <c r="AD47" s="134"/>
      <c r="AE47" s="135"/>
      <c r="AF47" s="135"/>
      <c r="AG47" s="135"/>
      <c r="AH47" s="135"/>
      <c r="AI47" s="135"/>
      <c r="AJ47" s="135"/>
    </row>
    <row r="48" ht="22.5" hidden="1" customHeight="1">
      <c r="A48" s="110" t="str">
        <f>'利用者'!A55</f>
        <v/>
      </c>
      <c r="B48" s="111" t="str">
        <f>'利用者'!B55</f>
        <v/>
      </c>
      <c r="C48" s="132"/>
      <c r="D48" s="125"/>
      <c r="E48" s="125"/>
      <c r="F48" s="125"/>
      <c r="G48" s="125"/>
      <c r="H48" s="120"/>
      <c r="I48" s="120"/>
      <c r="J48" s="121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5"/>
      <c r="V48" s="125"/>
      <c r="W48" s="123">
        <f t="shared" si="4"/>
        <v>0</v>
      </c>
      <c r="X48" s="125"/>
      <c r="Y48" s="125"/>
      <c r="Z48" s="126">
        <f t="shared" si="5"/>
        <v>0</v>
      </c>
      <c r="AA48" s="136"/>
      <c r="AB48" s="101" t="s">
        <v>131</v>
      </c>
      <c r="AC48" s="128">
        <f t="shared" si="6"/>
        <v>0</v>
      </c>
      <c r="AD48" s="134"/>
      <c r="AE48" s="135"/>
      <c r="AF48" s="135"/>
      <c r="AG48" s="135"/>
      <c r="AH48" s="135"/>
      <c r="AI48" s="135"/>
      <c r="AJ48" s="135"/>
    </row>
    <row r="49" ht="22.5" hidden="1" customHeight="1">
      <c r="A49" s="110" t="str">
        <f>'利用者'!A56</f>
        <v/>
      </c>
      <c r="B49" s="111" t="str">
        <f>'利用者'!B56</f>
        <v/>
      </c>
      <c r="C49" s="132"/>
      <c r="D49" s="125"/>
      <c r="E49" s="125"/>
      <c r="F49" s="125"/>
      <c r="G49" s="125"/>
      <c r="H49" s="120"/>
      <c r="I49" s="120"/>
      <c r="J49" s="121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5"/>
      <c r="V49" s="125"/>
      <c r="W49" s="123">
        <f t="shared" si="4"/>
        <v>0</v>
      </c>
      <c r="X49" s="125"/>
      <c r="Y49" s="125"/>
      <c r="Z49" s="126">
        <f t="shared" si="5"/>
        <v>0</v>
      </c>
      <c r="AA49" s="136"/>
      <c r="AB49" s="101" t="s">
        <v>131</v>
      </c>
      <c r="AC49" s="128">
        <f t="shared" si="6"/>
        <v>0</v>
      </c>
      <c r="AD49" s="134"/>
      <c r="AE49" s="135"/>
      <c r="AF49" s="135"/>
      <c r="AG49" s="135"/>
      <c r="AH49" s="135"/>
      <c r="AI49" s="135"/>
      <c r="AJ49" s="135"/>
    </row>
    <row r="50" ht="22.5" hidden="1" customHeight="1">
      <c r="A50" s="110" t="str">
        <f>'利用者'!A57</f>
        <v/>
      </c>
      <c r="B50" s="111" t="str">
        <f>'利用者'!B57</f>
        <v/>
      </c>
      <c r="C50" s="132"/>
      <c r="D50" s="125"/>
      <c r="E50" s="125"/>
      <c r="F50" s="125"/>
      <c r="G50" s="125"/>
      <c r="H50" s="120"/>
      <c r="I50" s="120"/>
      <c r="J50" s="121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5"/>
      <c r="V50" s="125"/>
      <c r="W50" s="123">
        <f t="shared" si="4"/>
        <v>0</v>
      </c>
      <c r="X50" s="125"/>
      <c r="Y50" s="125"/>
      <c r="Z50" s="126">
        <f t="shared" si="5"/>
        <v>0</v>
      </c>
      <c r="AA50" s="136"/>
      <c r="AB50" s="101" t="s">
        <v>131</v>
      </c>
      <c r="AC50" s="128">
        <f t="shared" si="6"/>
        <v>0</v>
      </c>
      <c r="AD50" s="134"/>
      <c r="AE50" s="135"/>
      <c r="AF50" s="135"/>
      <c r="AG50" s="135"/>
      <c r="AH50" s="135"/>
      <c r="AI50" s="135"/>
      <c r="AJ50" s="135"/>
    </row>
    <row r="51" ht="22.5" hidden="1" customHeight="1">
      <c r="A51" s="110" t="str">
        <f>'利用者'!A58</f>
        <v/>
      </c>
      <c r="B51" s="111" t="str">
        <f>'利用者'!B58</f>
        <v/>
      </c>
      <c r="C51" s="132"/>
      <c r="D51" s="125"/>
      <c r="E51" s="125"/>
      <c r="F51" s="125"/>
      <c r="G51" s="125"/>
      <c r="H51" s="120"/>
      <c r="I51" s="120"/>
      <c r="J51" s="121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5"/>
      <c r="V51" s="125"/>
      <c r="W51" s="123">
        <f t="shared" si="4"/>
        <v>0</v>
      </c>
      <c r="X51" s="125"/>
      <c r="Y51" s="125"/>
      <c r="Z51" s="126">
        <f t="shared" si="5"/>
        <v>0</v>
      </c>
      <c r="AA51" s="136"/>
      <c r="AB51" s="101" t="s">
        <v>131</v>
      </c>
      <c r="AC51" s="128">
        <f t="shared" si="6"/>
        <v>0</v>
      </c>
      <c r="AD51" s="134"/>
      <c r="AE51" s="135"/>
      <c r="AF51" s="135"/>
      <c r="AG51" s="135"/>
      <c r="AH51" s="135"/>
      <c r="AI51" s="135"/>
      <c r="AJ51" s="135"/>
    </row>
    <row r="52" ht="22.5" hidden="1" customHeight="1">
      <c r="A52" s="110" t="str">
        <f>'利用者'!A59</f>
        <v/>
      </c>
      <c r="B52" s="111" t="str">
        <f>'利用者'!B59</f>
        <v/>
      </c>
      <c r="C52" s="132"/>
      <c r="D52" s="125"/>
      <c r="E52" s="125"/>
      <c r="F52" s="125"/>
      <c r="G52" s="125"/>
      <c r="H52" s="120"/>
      <c r="I52" s="120"/>
      <c r="J52" s="121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5"/>
      <c r="V52" s="125"/>
      <c r="W52" s="123">
        <f t="shared" si="4"/>
        <v>0</v>
      </c>
      <c r="X52" s="125"/>
      <c r="Y52" s="125"/>
      <c r="Z52" s="126">
        <f t="shared" si="5"/>
        <v>0</v>
      </c>
      <c r="AA52" s="136"/>
      <c r="AB52" s="101" t="s">
        <v>131</v>
      </c>
      <c r="AC52" s="128">
        <f t="shared" si="6"/>
        <v>0</v>
      </c>
      <c r="AD52" s="134"/>
      <c r="AE52" s="135"/>
      <c r="AF52" s="135"/>
      <c r="AG52" s="135"/>
      <c r="AH52" s="135"/>
      <c r="AI52" s="135"/>
      <c r="AJ52" s="135"/>
    </row>
    <row r="53" ht="22.5" hidden="1" customHeight="1">
      <c r="A53" s="110" t="str">
        <f>'利用者'!A60</f>
        <v/>
      </c>
      <c r="B53" s="111" t="str">
        <f>'利用者'!B60</f>
        <v/>
      </c>
      <c r="C53" s="132"/>
      <c r="D53" s="125"/>
      <c r="E53" s="125"/>
      <c r="F53" s="125"/>
      <c r="G53" s="125"/>
      <c r="H53" s="120"/>
      <c r="I53" s="120"/>
      <c r="J53" s="121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5"/>
      <c r="V53" s="125"/>
      <c r="W53" s="123">
        <f t="shared" si="4"/>
        <v>0</v>
      </c>
      <c r="X53" s="125"/>
      <c r="Y53" s="125"/>
      <c r="Z53" s="126">
        <f t="shared" si="5"/>
        <v>0</v>
      </c>
      <c r="AA53" s="136"/>
      <c r="AB53" s="101" t="s">
        <v>131</v>
      </c>
      <c r="AC53" s="128">
        <f t="shared" si="6"/>
        <v>0</v>
      </c>
      <c r="AD53" s="134"/>
      <c r="AE53" s="135"/>
      <c r="AF53" s="135"/>
      <c r="AG53" s="135"/>
      <c r="AH53" s="135"/>
      <c r="AI53" s="135"/>
      <c r="AJ53" s="135"/>
    </row>
    <row r="54" ht="22.5" hidden="1" customHeight="1">
      <c r="A54" s="110" t="str">
        <f>'利用者'!A61</f>
        <v/>
      </c>
      <c r="B54" s="111" t="str">
        <f>'利用者'!B61</f>
        <v/>
      </c>
      <c r="C54" s="132"/>
      <c r="D54" s="125"/>
      <c r="E54" s="125"/>
      <c r="F54" s="125"/>
      <c r="G54" s="125"/>
      <c r="H54" s="120"/>
      <c r="I54" s="120"/>
      <c r="J54" s="121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5"/>
      <c r="V54" s="125"/>
      <c r="W54" s="123">
        <f t="shared" si="4"/>
        <v>0</v>
      </c>
      <c r="X54" s="125"/>
      <c r="Y54" s="125"/>
      <c r="Z54" s="126">
        <f t="shared" si="5"/>
        <v>0</v>
      </c>
      <c r="AA54" s="136"/>
      <c r="AB54" s="101" t="s">
        <v>131</v>
      </c>
      <c r="AC54" s="128">
        <f t="shared" si="6"/>
        <v>0</v>
      </c>
      <c r="AD54" s="134"/>
      <c r="AE54" s="135"/>
      <c r="AF54" s="135"/>
      <c r="AG54" s="135"/>
      <c r="AH54" s="135"/>
      <c r="AI54" s="135"/>
      <c r="AJ54" s="135"/>
    </row>
    <row r="55" ht="22.5" hidden="1" customHeight="1">
      <c r="A55" s="110" t="str">
        <f>'利用者'!A62</f>
        <v/>
      </c>
      <c r="B55" s="111" t="str">
        <f>'利用者'!B62</f>
        <v/>
      </c>
      <c r="C55" s="132"/>
      <c r="D55" s="125"/>
      <c r="E55" s="125"/>
      <c r="F55" s="125"/>
      <c r="G55" s="125"/>
      <c r="H55" s="120"/>
      <c r="I55" s="120"/>
      <c r="J55" s="121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5"/>
      <c r="V55" s="125"/>
      <c r="W55" s="123">
        <f t="shared" si="4"/>
        <v>0</v>
      </c>
      <c r="X55" s="125"/>
      <c r="Y55" s="125"/>
      <c r="Z55" s="126">
        <f t="shared" si="5"/>
        <v>0</v>
      </c>
      <c r="AA55" s="136"/>
      <c r="AB55" s="101" t="s">
        <v>131</v>
      </c>
      <c r="AC55" s="128">
        <f t="shared" si="6"/>
        <v>0</v>
      </c>
      <c r="AD55" s="134"/>
      <c r="AE55" s="135"/>
      <c r="AF55" s="135"/>
      <c r="AG55" s="135"/>
      <c r="AH55" s="135"/>
      <c r="AI55" s="135"/>
      <c r="AJ55" s="135"/>
    </row>
    <row r="56" ht="22.5" hidden="1" customHeight="1">
      <c r="A56" s="110" t="str">
        <f>'利用者'!A63</f>
        <v/>
      </c>
      <c r="B56" s="111" t="str">
        <f>'利用者'!B63</f>
        <v/>
      </c>
      <c r="C56" s="132"/>
      <c r="D56" s="125"/>
      <c r="E56" s="125"/>
      <c r="F56" s="125"/>
      <c r="G56" s="125"/>
      <c r="H56" s="120"/>
      <c r="I56" s="120"/>
      <c r="J56" s="121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5"/>
      <c r="V56" s="125"/>
      <c r="W56" s="123">
        <f t="shared" si="4"/>
        <v>0</v>
      </c>
      <c r="X56" s="125"/>
      <c r="Y56" s="125"/>
      <c r="Z56" s="126">
        <f t="shared" si="5"/>
        <v>0</v>
      </c>
      <c r="AA56" s="136"/>
      <c r="AB56" s="101" t="s">
        <v>131</v>
      </c>
      <c r="AC56" s="128">
        <f t="shared" si="6"/>
        <v>0</v>
      </c>
      <c r="AD56" s="134"/>
      <c r="AE56" s="135"/>
      <c r="AF56" s="135"/>
      <c r="AG56" s="135"/>
      <c r="AH56" s="135"/>
      <c r="AI56" s="135"/>
      <c r="AJ56" s="135"/>
    </row>
    <row r="57" ht="22.5" hidden="1" customHeight="1">
      <c r="A57" s="110" t="str">
        <f>'利用者'!A64</f>
        <v/>
      </c>
      <c r="B57" s="111" t="str">
        <f>'利用者'!B64</f>
        <v/>
      </c>
      <c r="C57" s="132"/>
      <c r="D57" s="125"/>
      <c r="E57" s="125"/>
      <c r="F57" s="125"/>
      <c r="G57" s="125"/>
      <c r="H57" s="120"/>
      <c r="I57" s="120"/>
      <c r="J57" s="121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5"/>
      <c r="V57" s="125"/>
      <c r="W57" s="123">
        <f t="shared" si="4"/>
        <v>0</v>
      </c>
      <c r="X57" s="125"/>
      <c r="Y57" s="125"/>
      <c r="Z57" s="126">
        <f t="shared" si="5"/>
        <v>0</v>
      </c>
      <c r="AA57" s="136"/>
      <c r="AB57" s="101" t="s">
        <v>131</v>
      </c>
      <c r="AC57" s="128">
        <f t="shared" si="6"/>
        <v>0</v>
      </c>
      <c r="AD57" s="134"/>
      <c r="AE57" s="135"/>
      <c r="AF57" s="135"/>
      <c r="AG57" s="135"/>
      <c r="AH57" s="135"/>
      <c r="AI57" s="135"/>
      <c r="AJ57" s="135"/>
    </row>
    <row r="58" ht="22.5" hidden="1" customHeight="1">
      <c r="A58" s="110" t="str">
        <f>'利用者'!A65</f>
        <v/>
      </c>
      <c r="B58" s="111" t="str">
        <f>'利用者'!B65</f>
        <v/>
      </c>
      <c r="C58" s="132"/>
      <c r="D58" s="125"/>
      <c r="E58" s="125"/>
      <c r="F58" s="125"/>
      <c r="G58" s="125"/>
      <c r="H58" s="120"/>
      <c r="I58" s="120"/>
      <c r="J58" s="121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5"/>
      <c r="V58" s="125"/>
      <c r="W58" s="123">
        <f t="shared" si="4"/>
        <v>0</v>
      </c>
      <c r="X58" s="125"/>
      <c r="Y58" s="125"/>
      <c r="Z58" s="126">
        <f t="shared" si="5"/>
        <v>0</v>
      </c>
      <c r="AA58" s="136"/>
      <c r="AB58" s="101" t="s">
        <v>131</v>
      </c>
      <c r="AC58" s="128">
        <f t="shared" si="6"/>
        <v>0</v>
      </c>
      <c r="AD58" s="134"/>
      <c r="AE58" s="135"/>
      <c r="AF58" s="135"/>
      <c r="AG58" s="135"/>
      <c r="AH58" s="135"/>
      <c r="AI58" s="135"/>
      <c r="AJ58" s="135"/>
    </row>
    <row r="59" ht="22.5" hidden="1" customHeight="1">
      <c r="A59" s="110" t="str">
        <f>'利用者'!A66</f>
        <v/>
      </c>
      <c r="B59" s="111" t="str">
        <f>'利用者'!B66</f>
        <v/>
      </c>
      <c r="C59" s="132"/>
      <c r="D59" s="125"/>
      <c r="E59" s="125"/>
      <c r="F59" s="125"/>
      <c r="G59" s="125"/>
      <c r="H59" s="120"/>
      <c r="I59" s="120"/>
      <c r="J59" s="121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5"/>
      <c r="V59" s="125"/>
      <c r="W59" s="123">
        <f t="shared" si="4"/>
        <v>0</v>
      </c>
      <c r="X59" s="125"/>
      <c r="Y59" s="125"/>
      <c r="Z59" s="126">
        <f t="shared" si="5"/>
        <v>0</v>
      </c>
      <c r="AA59" s="136"/>
      <c r="AB59" s="101" t="s">
        <v>131</v>
      </c>
      <c r="AC59" s="128">
        <f t="shared" si="6"/>
        <v>0</v>
      </c>
      <c r="AD59" s="134"/>
      <c r="AE59" s="135"/>
      <c r="AF59" s="135"/>
      <c r="AG59" s="135"/>
      <c r="AH59" s="135"/>
      <c r="AI59" s="135"/>
      <c r="AJ59" s="135"/>
    </row>
    <row r="60" ht="22.5" hidden="1" customHeight="1">
      <c r="A60" s="110" t="str">
        <f>'利用者'!A67</f>
        <v/>
      </c>
      <c r="B60" s="111" t="str">
        <f>'利用者'!B67</f>
        <v/>
      </c>
      <c r="C60" s="132"/>
      <c r="D60" s="125"/>
      <c r="E60" s="125"/>
      <c r="F60" s="125"/>
      <c r="G60" s="125"/>
      <c r="H60" s="120"/>
      <c r="I60" s="120"/>
      <c r="J60" s="121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5"/>
      <c r="V60" s="125"/>
      <c r="W60" s="123">
        <f t="shared" si="4"/>
        <v>0</v>
      </c>
      <c r="X60" s="125"/>
      <c r="Y60" s="125"/>
      <c r="Z60" s="126">
        <f t="shared" si="5"/>
        <v>0</v>
      </c>
      <c r="AA60" s="136"/>
      <c r="AB60" s="101" t="s">
        <v>131</v>
      </c>
      <c r="AC60" s="128">
        <f t="shared" si="6"/>
        <v>0</v>
      </c>
      <c r="AD60" s="134"/>
      <c r="AE60" s="135"/>
      <c r="AF60" s="135"/>
      <c r="AG60" s="135"/>
      <c r="AH60" s="135"/>
      <c r="AI60" s="135"/>
      <c r="AJ60" s="135"/>
    </row>
    <row r="61" ht="22.5" hidden="1" customHeight="1">
      <c r="A61" s="110" t="str">
        <f>'利用者'!A68</f>
        <v/>
      </c>
      <c r="B61" s="111" t="str">
        <f>'利用者'!B68</f>
        <v/>
      </c>
      <c r="C61" s="132"/>
      <c r="D61" s="125"/>
      <c r="E61" s="125"/>
      <c r="F61" s="125"/>
      <c r="G61" s="125"/>
      <c r="H61" s="120"/>
      <c r="I61" s="120"/>
      <c r="J61" s="121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5"/>
      <c r="V61" s="125"/>
      <c r="W61" s="123">
        <f t="shared" si="4"/>
        <v>0</v>
      </c>
      <c r="X61" s="125"/>
      <c r="Y61" s="125"/>
      <c r="Z61" s="126">
        <f t="shared" si="5"/>
        <v>0</v>
      </c>
      <c r="AA61" s="136"/>
      <c r="AB61" s="101" t="s">
        <v>131</v>
      </c>
      <c r="AC61" s="128">
        <f t="shared" si="6"/>
        <v>0</v>
      </c>
      <c r="AD61" s="134"/>
      <c r="AE61" s="135"/>
      <c r="AF61" s="135"/>
      <c r="AG61" s="135"/>
      <c r="AH61" s="135"/>
      <c r="AI61" s="135"/>
      <c r="AJ61" s="135"/>
    </row>
    <row r="62" ht="22.5" hidden="1" customHeight="1">
      <c r="A62" s="110" t="str">
        <f>'利用者'!A69</f>
        <v/>
      </c>
      <c r="B62" s="111" t="str">
        <f>'利用者'!B69</f>
        <v/>
      </c>
      <c r="C62" s="132"/>
      <c r="D62" s="125"/>
      <c r="E62" s="125"/>
      <c r="F62" s="125"/>
      <c r="G62" s="125"/>
      <c r="H62" s="120"/>
      <c r="I62" s="120"/>
      <c r="J62" s="121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5"/>
      <c r="V62" s="125"/>
      <c r="W62" s="123">
        <f t="shared" si="4"/>
        <v>0</v>
      </c>
      <c r="X62" s="125"/>
      <c r="Y62" s="125"/>
      <c r="Z62" s="126">
        <f t="shared" si="5"/>
        <v>0</v>
      </c>
      <c r="AA62" s="136"/>
      <c r="AB62" s="101" t="s">
        <v>131</v>
      </c>
      <c r="AC62" s="128">
        <f t="shared" si="6"/>
        <v>0</v>
      </c>
      <c r="AD62" s="134"/>
      <c r="AE62" s="135"/>
      <c r="AF62" s="135"/>
      <c r="AG62" s="135"/>
      <c r="AH62" s="135"/>
      <c r="AI62" s="135"/>
      <c r="AJ62" s="135"/>
    </row>
    <row r="63" ht="22.5" hidden="1" customHeight="1">
      <c r="A63" s="110" t="str">
        <f>'利用者'!A70</f>
        <v/>
      </c>
      <c r="B63" s="111" t="str">
        <f>'利用者'!B70</f>
        <v/>
      </c>
      <c r="C63" s="132"/>
      <c r="D63" s="125"/>
      <c r="E63" s="125"/>
      <c r="F63" s="125"/>
      <c r="G63" s="125"/>
      <c r="H63" s="120"/>
      <c r="I63" s="120"/>
      <c r="J63" s="121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5"/>
      <c r="V63" s="125"/>
      <c r="W63" s="123">
        <f t="shared" si="4"/>
        <v>0</v>
      </c>
      <c r="X63" s="125"/>
      <c r="Y63" s="125"/>
      <c r="Z63" s="126">
        <f t="shared" si="5"/>
        <v>0</v>
      </c>
      <c r="AA63" s="136"/>
      <c r="AB63" s="101" t="s">
        <v>131</v>
      </c>
      <c r="AC63" s="128">
        <f t="shared" si="6"/>
        <v>0</v>
      </c>
      <c r="AD63" s="134"/>
      <c r="AE63" s="135"/>
      <c r="AF63" s="135"/>
      <c r="AG63" s="135"/>
      <c r="AH63" s="135"/>
      <c r="AI63" s="135"/>
      <c r="AJ63" s="135"/>
    </row>
    <row r="64" ht="22.5" hidden="1" customHeight="1">
      <c r="A64" s="110" t="str">
        <f>'利用者'!A71</f>
        <v/>
      </c>
      <c r="B64" s="111" t="str">
        <f>'利用者'!B71</f>
        <v/>
      </c>
      <c r="C64" s="132"/>
      <c r="D64" s="125"/>
      <c r="E64" s="125"/>
      <c r="F64" s="125"/>
      <c r="G64" s="125"/>
      <c r="H64" s="120"/>
      <c r="I64" s="120"/>
      <c r="J64" s="121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5"/>
      <c r="V64" s="125"/>
      <c r="W64" s="123">
        <f t="shared" si="4"/>
        <v>0</v>
      </c>
      <c r="X64" s="125"/>
      <c r="Y64" s="125"/>
      <c r="Z64" s="126">
        <f t="shared" si="5"/>
        <v>0</v>
      </c>
      <c r="AA64" s="136"/>
      <c r="AB64" s="101" t="s">
        <v>131</v>
      </c>
      <c r="AC64" s="128">
        <f t="shared" si="6"/>
        <v>0</v>
      </c>
      <c r="AD64" s="134"/>
      <c r="AE64" s="135"/>
      <c r="AF64" s="135"/>
      <c r="AG64" s="135"/>
      <c r="AH64" s="135"/>
      <c r="AI64" s="135"/>
      <c r="AJ64" s="135"/>
    </row>
    <row r="65" ht="22.5" hidden="1" customHeight="1">
      <c r="A65" s="110" t="str">
        <f>'利用者'!A72</f>
        <v/>
      </c>
      <c r="B65" s="111" t="str">
        <f>'利用者'!B72</f>
        <v/>
      </c>
      <c r="C65" s="132"/>
      <c r="D65" s="125"/>
      <c r="E65" s="125"/>
      <c r="F65" s="125"/>
      <c r="G65" s="125"/>
      <c r="H65" s="120"/>
      <c r="I65" s="120"/>
      <c r="J65" s="121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5"/>
      <c r="V65" s="125"/>
      <c r="W65" s="123">
        <f t="shared" si="4"/>
        <v>0</v>
      </c>
      <c r="X65" s="125"/>
      <c r="Y65" s="125"/>
      <c r="Z65" s="126">
        <f t="shared" si="5"/>
        <v>0</v>
      </c>
      <c r="AA65" s="136"/>
      <c r="AB65" s="101" t="s">
        <v>131</v>
      </c>
      <c r="AC65" s="128">
        <f t="shared" si="6"/>
        <v>0</v>
      </c>
      <c r="AD65" s="134"/>
      <c r="AE65" s="135"/>
      <c r="AF65" s="135"/>
      <c r="AG65" s="135"/>
      <c r="AH65" s="135"/>
      <c r="AI65" s="135"/>
      <c r="AJ65" s="135"/>
    </row>
    <row r="66" ht="22.5" hidden="1" customHeight="1">
      <c r="A66" s="110" t="str">
        <f>'利用者'!A73</f>
        <v/>
      </c>
      <c r="B66" s="111" t="str">
        <f>'利用者'!B73</f>
        <v/>
      </c>
      <c r="C66" s="132"/>
      <c r="D66" s="125"/>
      <c r="E66" s="125"/>
      <c r="F66" s="125"/>
      <c r="G66" s="125"/>
      <c r="H66" s="120"/>
      <c r="I66" s="120"/>
      <c r="J66" s="121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5"/>
      <c r="V66" s="125"/>
      <c r="W66" s="123">
        <f t="shared" si="4"/>
        <v>0</v>
      </c>
      <c r="X66" s="125"/>
      <c r="Y66" s="125"/>
      <c r="Z66" s="126">
        <f t="shared" si="5"/>
        <v>0</v>
      </c>
      <c r="AA66" s="136"/>
      <c r="AB66" s="101" t="s">
        <v>131</v>
      </c>
      <c r="AC66" s="128">
        <f t="shared" si="6"/>
        <v>0</v>
      </c>
      <c r="AD66" s="134"/>
      <c r="AE66" s="135"/>
      <c r="AF66" s="135"/>
      <c r="AG66" s="135"/>
      <c r="AH66" s="135"/>
      <c r="AI66" s="135"/>
      <c r="AJ66" s="135"/>
    </row>
    <row r="67" ht="22.5" hidden="1" customHeight="1">
      <c r="A67" s="110" t="str">
        <f>'利用者'!A74</f>
        <v/>
      </c>
      <c r="B67" s="111" t="str">
        <f>'利用者'!B74</f>
        <v/>
      </c>
      <c r="C67" s="132"/>
      <c r="D67" s="125"/>
      <c r="E67" s="125"/>
      <c r="F67" s="125"/>
      <c r="G67" s="125"/>
      <c r="H67" s="120"/>
      <c r="I67" s="120"/>
      <c r="J67" s="121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5"/>
      <c r="V67" s="125"/>
      <c r="W67" s="123">
        <f t="shared" si="4"/>
        <v>0</v>
      </c>
      <c r="X67" s="125"/>
      <c r="Y67" s="125"/>
      <c r="Z67" s="126">
        <f t="shared" si="5"/>
        <v>0</v>
      </c>
      <c r="AA67" s="136"/>
      <c r="AB67" s="101" t="s">
        <v>131</v>
      </c>
      <c r="AC67" s="128">
        <f t="shared" si="6"/>
        <v>0</v>
      </c>
      <c r="AD67" s="134"/>
      <c r="AE67" s="135"/>
      <c r="AF67" s="135"/>
      <c r="AG67" s="135"/>
      <c r="AH67" s="135"/>
      <c r="AI67" s="135"/>
      <c r="AJ67" s="135"/>
    </row>
    <row r="68" ht="22.5" hidden="1" customHeight="1">
      <c r="A68" s="110" t="str">
        <f>'利用者'!A75</f>
        <v/>
      </c>
      <c r="B68" s="111" t="str">
        <f>'利用者'!B75</f>
        <v/>
      </c>
      <c r="C68" s="132"/>
      <c r="D68" s="125"/>
      <c r="E68" s="125"/>
      <c r="F68" s="125"/>
      <c r="G68" s="125"/>
      <c r="H68" s="120"/>
      <c r="I68" s="120"/>
      <c r="J68" s="121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5"/>
      <c r="V68" s="125"/>
      <c r="W68" s="123">
        <f t="shared" si="4"/>
        <v>0</v>
      </c>
      <c r="X68" s="125"/>
      <c r="Y68" s="125"/>
      <c r="Z68" s="126">
        <f t="shared" si="5"/>
        <v>0</v>
      </c>
      <c r="AA68" s="136"/>
      <c r="AB68" s="101" t="s">
        <v>131</v>
      </c>
      <c r="AC68" s="128">
        <f t="shared" si="6"/>
        <v>0</v>
      </c>
      <c r="AD68" s="134"/>
      <c r="AE68" s="135"/>
      <c r="AF68" s="135"/>
      <c r="AG68" s="135"/>
      <c r="AH68" s="135"/>
      <c r="AI68" s="135"/>
      <c r="AJ68" s="135"/>
    </row>
    <row r="69" ht="22.5" hidden="1" customHeight="1">
      <c r="A69" s="110" t="str">
        <f>'利用者'!A76</f>
        <v/>
      </c>
      <c r="B69" s="111" t="str">
        <f>'利用者'!B76</f>
        <v/>
      </c>
      <c r="C69" s="132"/>
      <c r="D69" s="125"/>
      <c r="E69" s="125"/>
      <c r="F69" s="125"/>
      <c r="G69" s="125"/>
      <c r="H69" s="120"/>
      <c r="I69" s="120"/>
      <c r="J69" s="121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5"/>
      <c r="V69" s="125"/>
      <c r="W69" s="123">
        <f t="shared" si="4"/>
        <v>0</v>
      </c>
      <c r="X69" s="125"/>
      <c r="Y69" s="125"/>
      <c r="Z69" s="126">
        <f t="shared" si="5"/>
        <v>0</v>
      </c>
      <c r="AA69" s="136"/>
      <c r="AB69" s="101" t="s">
        <v>131</v>
      </c>
      <c r="AC69" s="128">
        <f t="shared" si="6"/>
        <v>0</v>
      </c>
      <c r="AD69" s="134"/>
      <c r="AE69" s="135"/>
      <c r="AF69" s="135"/>
      <c r="AG69" s="135"/>
      <c r="AH69" s="135"/>
      <c r="AI69" s="135"/>
      <c r="AJ69" s="135"/>
    </row>
    <row r="70" ht="22.5" hidden="1" customHeight="1">
      <c r="A70" s="110" t="str">
        <f>'利用者'!A77</f>
        <v/>
      </c>
      <c r="B70" s="111" t="str">
        <f>'利用者'!B77</f>
        <v/>
      </c>
      <c r="C70" s="132"/>
      <c r="D70" s="125"/>
      <c r="E70" s="125"/>
      <c r="F70" s="125"/>
      <c r="G70" s="125"/>
      <c r="H70" s="120"/>
      <c r="I70" s="120"/>
      <c r="J70" s="121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5"/>
      <c r="V70" s="125"/>
      <c r="W70" s="123">
        <f t="shared" si="4"/>
        <v>0</v>
      </c>
      <c r="X70" s="125"/>
      <c r="Y70" s="125"/>
      <c r="Z70" s="126">
        <f t="shared" si="5"/>
        <v>0</v>
      </c>
      <c r="AA70" s="136"/>
      <c r="AB70" s="101" t="s">
        <v>131</v>
      </c>
      <c r="AC70" s="128">
        <f t="shared" si="6"/>
        <v>0</v>
      </c>
      <c r="AD70" s="134"/>
      <c r="AE70" s="135"/>
      <c r="AF70" s="135"/>
      <c r="AG70" s="135"/>
      <c r="AH70" s="135"/>
      <c r="AI70" s="135"/>
      <c r="AJ70" s="135"/>
    </row>
    <row r="71" ht="22.5" hidden="1" customHeight="1">
      <c r="A71" s="110" t="str">
        <f>'利用者'!A78</f>
        <v/>
      </c>
      <c r="B71" s="111" t="str">
        <f>'利用者'!B78</f>
        <v/>
      </c>
      <c r="C71" s="132"/>
      <c r="D71" s="125"/>
      <c r="E71" s="125"/>
      <c r="F71" s="125"/>
      <c r="G71" s="125"/>
      <c r="H71" s="120"/>
      <c r="I71" s="120"/>
      <c r="J71" s="121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5"/>
      <c r="V71" s="125"/>
      <c r="W71" s="123">
        <f t="shared" si="4"/>
        <v>0</v>
      </c>
      <c r="X71" s="125"/>
      <c r="Y71" s="125"/>
      <c r="Z71" s="126">
        <f t="shared" si="5"/>
        <v>0</v>
      </c>
      <c r="AA71" s="136"/>
      <c r="AB71" s="101" t="s">
        <v>131</v>
      </c>
      <c r="AC71" s="128">
        <f t="shared" si="6"/>
        <v>0</v>
      </c>
      <c r="AD71" s="134"/>
      <c r="AE71" s="135"/>
      <c r="AF71" s="135"/>
      <c r="AG71" s="135"/>
      <c r="AH71" s="135"/>
      <c r="AI71" s="135"/>
      <c r="AJ71" s="135"/>
    </row>
    <row r="72" ht="22.5" hidden="1" customHeight="1">
      <c r="A72" s="110" t="str">
        <f>'利用者'!A79</f>
        <v/>
      </c>
      <c r="B72" s="111" t="str">
        <f>'利用者'!B79</f>
        <v/>
      </c>
      <c r="C72" s="132"/>
      <c r="D72" s="125"/>
      <c r="E72" s="125"/>
      <c r="F72" s="125"/>
      <c r="G72" s="125"/>
      <c r="H72" s="120"/>
      <c r="I72" s="120"/>
      <c r="J72" s="121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5"/>
      <c r="V72" s="125"/>
      <c r="W72" s="123">
        <f t="shared" si="4"/>
        <v>0</v>
      </c>
      <c r="X72" s="125"/>
      <c r="Y72" s="125"/>
      <c r="Z72" s="126">
        <f t="shared" si="5"/>
        <v>0</v>
      </c>
      <c r="AA72" s="136"/>
      <c r="AB72" s="101" t="s">
        <v>131</v>
      </c>
      <c r="AC72" s="128">
        <f t="shared" si="6"/>
        <v>0</v>
      </c>
      <c r="AD72" s="134"/>
      <c r="AE72" s="135"/>
      <c r="AF72" s="135"/>
      <c r="AG72" s="135"/>
      <c r="AH72" s="135"/>
      <c r="AI72" s="135"/>
      <c r="AJ72" s="135"/>
    </row>
    <row r="73" ht="22.5" hidden="1" customHeight="1">
      <c r="A73" s="110" t="str">
        <f>'利用者'!A80</f>
        <v/>
      </c>
      <c r="B73" s="111" t="str">
        <f>'利用者'!B80</f>
        <v/>
      </c>
      <c r="C73" s="132"/>
      <c r="D73" s="125"/>
      <c r="E73" s="125"/>
      <c r="F73" s="125"/>
      <c r="G73" s="125"/>
      <c r="H73" s="120"/>
      <c r="I73" s="120"/>
      <c r="J73" s="121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5"/>
      <c r="V73" s="125"/>
      <c r="W73" s="123">
        <f t="shared" si="4"/>
        <v>0</v>
      </c>
      <c r="X73" s="125"/>
      <c r="Y73" s="125"/>
      <c r="Z73" s="126">
        <f t="shared" si="5"/>
        <v>0</v>
      </c>
      <c r="AA73" s="136"/>
      <c r="AB73" s="101" t="s">
        <v>131</v>
      </c>
      <c r="AC73" s="128">
        <f t="shared" si="6"/>
        <v>0</v>
      </c>
      <c r="AD73" s="134"/>
      <c r="AE73" s="135"/>
      <c r="AF73" s="135"/>
      <c r="AG73" s="135"/>
      <c r="AH73" s="135"/>
      <c r="AI73" s="135"/>
      <c r="AJ73" s="135"/>
    </row>
    <row r="74" ht="22.5" hidden="1" customHeight="1">
      <c r="A74" s="110" t="str">
        <f>'利用者'!A81</f>
        <v/>
      </c>
      <c r="B74" s="111" t="str">
        <f>'利用者'!B81</f>
        <v/>
      </c>
      <c r="C74" s="132"/>
      <c r="D74" s="125"/>
      <c r="E74" s="125"/>
      <c r="F74" s="125"/>
      <c r="G74" s="125"/>
      <c r="H74" s="120"/>
      <c r="I74" s="120"/>
      <c r="J74" s="121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5"/>
      <c r="V74" s="125"/>
      <c r="W74" s="123">
        <f t="shared" si="4"/>
        <v>0</v>
      </c>
      <c r="X74" s="125"/>
      <c r="Y74" s="125"/>
      <c r="Z74" s="126">
        <f t="shared" si="5"/>
        <v>0</v>
      </c>
      <c r="AA74" s="136"/>
      <c r="AB74" s="101" t="s">
        <v>131</v>
      </c>
      <c r="AC74" s="128">
        <f t="shared" si="6"/>
        <v>0</v>
      </c>
      <c r="AD74" s="134"/>
      <c r="AE74" s="135"/>
      <c r="AF74" s="135"/>
      <c r="AG74" s="135"/>
      <c r="AH74" s="135"/>
      <c r="AI74" s="135"/>
      <c r="AJ74" s="135"/>
    </row>
    <row r="75" ht="22.5" hidden="1" customHeight="1">
      <c r="A75" s="110" t="str">
        <f>'利用者'!A82</f>
        <v/>
      </c>
      <c r="B75" s="111" t="str">
        <f>'利用者'!B82</f>
        <v/>
      </c>
      <c r="C75" s="132"/>
      <c r="D75" s="125"/>
      <c r="E75" s="125"/>
      <c r="F75" s="125"/>
      <c r="G75" s="125"/>
      <c r="H75" s="120"/>
      <c r="I75" s="120"/>
      <c r="J75" s="121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5"/>
      <c r="V75" s="125"/>
      <c r="W75" s="123">
        <f t="shared" si="4"/>
        <v>0</v>
      </c>
      <c r="X75" s="125"/>
      <c r="Y75" s="125"/>
      <c r="Z75" s="126">
        <f t="shared" si="5"/>
        <v>0</v>
      </c>
      <c r="AA75" s="136"/>
      <c r="AB75" s="101" t="s">
        <v>131</v>
      </c>
      <c r="AC75" s="128">
        <f t="shared" si="6"/>
        <v>0</v>
      </c>
      <c r="AD75" s="134"/>
      <c r="AE75" s="135"/>
      <c r="AF75" s="135"/>
      <c r="AG75" s="135"/>
      <c r="AH75" s="135"/>
      <c r="AI75" s="135"/>
      <c r="AJ75" s="135"/>
    </row>
    <row r="76" ht="22.5" hidden="1" customHeight="1">
      <c r="A76" s="110" t="str">
        <f>'利用者'!A83</f>
        <v/>
      </c>
      <c r="B76" s="111" t="str">
        <f>'利用者'!B83</f>
        <v/>
      </c>
      <c r="C76" s="132"/>
      <c r="D76" s="125"/>
      <c r="E76" s="125"/>
      <c r="F76" s="125"/>
      <c r="G76" s="125"/>
      <c r="H76" s="120"/>
      <c r="I76" s="120"/>
      <c r="J76" s="121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5"/>
      <c r="V76" s="125"/>
      <c r="W76" s="123">
        <f t="shared" si="4"/>
        <v>0</v>
      </c>
      <c r="X76" s="125"/>
      <c r="Y76" s="125"/>
      <c r="Z76" s="126">
        <f t="shared" si="5"/>
        <v>0</v>
      </c>
      <c r="AA76" s="136"/>
      <c r="AB76" s="101" t="s">
        <v>131</v>
      </c>
      <c r="AC76" s="128">
        <f t="shared" si="6"/>
        <v>0</v>
      </c>
      <c r="AD76" s="134"/>
      <c r="AE76" s="135"/>
      <c r="AF76" s="135"/>
      <c r="AG76" s="135"/>
      <c r="AH76" s="135"/>
      <c r="AI76" s="135"/>
      <c r="AJ76" s="135"/>
    </row>
    <row r="77" ht="22.5" hidden="1" customHeight="1">
      <c r="A77" s="110" t="str">
        <f>'利用者'!A84</f>
        <v/>
      </c>
      <c r="B77" s="111" t="str">
        <f>'利用者'!B84</f>
        <v/>
      </c>
      <c r="C77" s="132"/>
      <c r="D77" s="125"/>
      <c r="E77" s="125"/>
      <c r="F77" s="125"/>
      <c r="G77" s="125"/>
      <c r="H77" s="120"/>
      <c r="I77" s="120"/>
      <c r="J77" s="121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5"/>
      <c r="V77" s="125"/>
      <c r="W77" s="123">
        <f t="shared" si="4"/>
        <v>0</v>
      </c>
      <c r="X77" s="125"/>
      <c r="Y77" s="125"/>
      <c r="Z77" s="126">
        <f t="shared" si="5"/>
        <v>0</v>
      </c>
      <c r="AA77" s="136"/>
      <c r="AB77" s="101" t="s">
        <v>131</v>
      </c>
      <c r="AC77" s="128">
        <f t="shared" si="6"/>
        <v>0</v>
      </c>
      <c r="AD77" s="134"/>
      <c r="AE77" s="135"/>
      <c r="AF77" s="135"/>
      <c r="AG77" s="135"/>
      <c r="AH77" s="135"/>
      <c r="AI77" s="135"/>
      <c r="AJ77" s="135"/>
    </row>
    <row r="78" ht="22.5" hidden="1" customHeight="1">
      <c r="A78" s="110" t="str">
        <f>'利用者'!A85</f>
        <v/>
      </c>
      <c r="B78" s="111" t="str">
        <f>'利用者'!B85</f>
        <v/>
      </c>
      <c r="C78" s="132"/>
      <c r="D78" s="125"/>
      <c r="E78" s="125"/>
      <c r="F78" s="125"/>
      <c r="G78" s="125"/>
      <c r="H78" s="120"/>
      <c r="I78" s="120"/>
      <c r="J78" s="121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5"/>
      <c r="V78" s="125"/>
      <c r="W78" s="123">
        <f t="shared" si="4"/>
        <v>0</v>
      </c>
      <c r="X78" s="125"/>
      <c r="Y78" s="125"/>
      <c r="Z78" s="126">
        <f t="shared" si="5"/>
        <v>0</v>
      </c>
      <c r="AA78" s="136"/>
      <c r="AB78" s="101" t="s">
        <v>131</v>
      </c>
      <c r="AC78" s="128">
        <f t="shared" si="6"/>
        <v>0</v>
      </c>
      <c r="AD78" s="134"/>
      <c r="AE78" s="135"/>
      <c r="AF78" s="135"/>
      <c r="AG78" s="135"/>
      <c r="AH78" s="135"/>
      <c r="AI78" s="135"/>
      <c r="AJ78" s="135"/>
    </row>
    <row r="79" ht="22.5" hidden="1" customHeight="1">
      <c r="A79" s="110" t="str">
        <f>'利用者'!A86</f>
        <v/>
      </c>
      <c r="B79" s="111" t="str">
        <f>'利用者'!B86</f>
        <v/>
      </c>
      <c r="C79" s="132"/>
      <c r="D79" s="125"/>
      <c r="E79" s="125"/>
      <c r="F79" s="125"/>
      <c r="G79" s="125"/>
      <c r="H79" s="120"/>
      <c r="I79" s="120"/>
      <c r="J79" s="121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5"/>
      <c r="V79" s="125"/>
      <c r="W79" s="123">
        <f t="shared" si="4"/>
        <v>0</v>
      </c>
      <c r="X79" s="125"/>
      <c r="Y79" s="125"/>
      <c r="Z79" s="126">
        <f t="shared" si="5"/>
        <v>0</v>
      </c>
      <c r="AA79" s="136"/>
      <c r="AB79" s="101" t="s">
        <v>131</v>
      </c>
      <c r="AC79" s="128">
        <f t="shared" si="6"/>
        <v>0</v>
      </c>
      <c r="AD79" s="134"/>
      <c r="AE79" s="135"/>
      <c r="AF79" s="135"/>
      <c r="AG79" s="135"/>
      <c r="AH79" s="135"/>
      <c r="AI79" s="135"/>
      <c r="AJ79" s="135"/>
    </row>
    <row r="80" ht="22.5" hidden="1" customHeight="1">
      <c r="A80" s="110" t="str">
        <f>'利用者'!A87</f>
        <v/>
      </c>
      <c r="B80" s="111" t="str">
        <f>'利用者'!B87</f>
        <v/>
      </c>
      <c r="C80" s="132"/>
      <c r="D80" s="125"/>
      <c r="E80" s="125"/>
      <c r="F80" s="125"/>
      <c r="G80" s="125"/>
      <c r="H80" s="120"/>
      <c r="I80" s="120"/>
      <c r="J80" s="121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5"/>
      <c r="V80" s="125"/>
      <c r="W80" s="123">
        <f t="shared" si="4"/>
        <v>0</v>
      </c>
      <c r="X80" s="125"/>
      <c r="Y80" s="125"/>
      <c r="Z80" s="126">
        <f t="shared" si="5"/>
        <v>0</v>
      </c>
      <c r="AA80" s="136"/>
      <c r="AB80" s="101" t="s">
        <v>131</v>
      </c>
      <c r="AC80" s="128">
        <f t="shared" si="6"/>
        <v>0</v>
      </c>
      <c r="AD80" s="134"/>
      <c r="AE80" s="135"/>
      <c r="AF80" s="135"/>
      <c r="AG80" s="135"/>
      <c r="AH80" s="135"/>
      <c r="AI80" s="135"/>
      <c r="AJ80" s="135"/>
    </row>
    <row r="81" ht="22.5" hidden="1" customHeight="1">
      <c r="A81" s="110" t="str">
        <f>'利用者'!A88</f>
        <v/>
      </c>
      <c r="B81" s="111" t="str">
        <f>'利用者'!B88</f>
        <v/>
      </c>
      <c r="C81" s="132"/>
      <c r="D81" s="125"/>
      <c r="E81" s="125"/>
      <c r="F81" s="125"/>
      <c r="G81" s="125"/>
      <c r="H81" s="120"/>
      <c r="I81" s="120"/>
      <c r="J81" s="121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5"/>
      <c r="V81" s="125"/>
      <c r="W81" s="123">
        <f t="shared" si="4"/>
        <v>0</v>
      </c>
      <c r="X81" s="125"/>
      <c r="Y81" s="125"/>
      <c r="Z81" s="126">
        <f t="shared" si="5"/>
        <v>0</v>
      </c>
      <c r="AA81" s="136"/>
      <c r="AB81" s="101" t="s">
        <v>131</v>
      </c>
      <c r="AC81" s="128">
        <f t="shared" si="6"/>
        <v>0</v>
      </c>
      <c r="AD81" s="134"/>
      <c r="AE81" s="135"/>
      <c r="AF81" s="135"/>
      <c r="AG81" s="135"/>
      <c r="AH81" s="135"/>
      <c r="AI81" s="135"/>
      <c r="AJ81" s="135"/>
    </row>
    <row r="82" ht="22.5" hidden="1" customHeight="1">
      <c r="A82" s="110" t="str">
        <f>'利用者'!A89</f>
        <v/>
      </c>
      <c r="B82" s="111" t="str">
        <f>'利用者'!B89</f>
        <v/>
      </c>
      <c r="C82" s="132"/>
      <c r="D82" s="125"/>
      <c r="E82" s="125"/>
      <c r="F82" s="125"/>
      <c r="G82" s="125"/>
      <c r="H82" s="120"/>
      <c r="I82" s="120"/>
      <c r="J82" s="121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5"/>
      <c r="V82" s="125"/>
      <c r="W82" s="123">
        <f t="shared" si="4"/>
        <v>0</v>
      </c>
      <c r="X82" s="125"/>
      <c r="Y82" s="125"/>
      <c r="Z82" s="126">
        <f t="shared" si="5"/>
        <v>0</v>
      </c>
      <c r="AA82" s="136"/>
      <c r="AB82" s="101" t="s">
        <v>131</v>
      </c>
      <c r="AC82" s="128">
        <f t="shared" si="6"/>
        <v>0</v>
      </c>
      <c r="AD82" s="134"/>
      <c r="AE82" s="135"/>
      <c r="AF82" s="135"/>
      <c r="AG82" s="135"/>
      <c r="AH82" s="135"/>
      <c r="AI82" s="135"/>
      <c r="AJ82" s="135"/>
    </row>
    <row r="83" ht="22.5" hidden="1" customHeight="1">
      <c r="A83" s="110" t="str">
        <f>'利用者'!A90</f>
        <v/>
      </c>
      <c r="B83" s="111" t="str">
        <f>'利用者'!B90</f>
        <v/>
      </c>
      <c r="C83" s="132"/>
      <c r="D83" s="125"/>
      <c r="E83" s="125"/>
      <c r="F83" s="125"/>
      <c r="G83" s="125"/>
      <c r="H83" s="120"/>
      <c r="I83" s="120"/>
      <c r="J83" s="12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5"/>
      <c r="V83" s="125"/>
      <c r="W83" s="123">
        <f t="shared" si="4"/>
        <v>0</v>
      </c>
      <c r="X83" s="125"/>
      <c r="Y83" s="125"/>
      <c r="Z83" s="126">
        <f t="shared" si="5"/>
        <v>0</v>
      </c>
      <c r="AA83" s="136"/>
      <c r="AB83" s="101" t="s">
        <v>131</v>
      </c>
      <c r="AC83" s="128">
        <f t="shared" si="6"/>
        <v>0</v>
      </c>
      <c r="AD83" s="134"/>
      <c r="AE83" s="135"/>
      <c r="AF83" s="135"/>
      <c r="AG83" s="135"/>
      <c r="AH83" s="135"/>
      <c r="AI83" s="135"/>
      <c r="AJ83" s="135"/>
    </row>
    <row r="84" ht="22.5" hidden="1" customHeight="1">
      <c r="A84" s="110" t="str">
        <f>'利用者'!A91</f>
        <v/>
      </c>
      <c r="B84" s="111" t="str">
        <f>'利用者'!B91</f>
        <v/>
      </c>
      <c r="C84" s="132"/>
      <c r="D84" s="125"/>
      <c r="E84" s="125"/>
      <c r="F84" s="125"/>
      <c r="G84" s="125"/>
      <c r="H84" s="120"/>
      <c r="I84" s="120"/>
      <c r="J84" s="121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5"/>
      <c r="V84" s="125"/>
      <c r="W84" s="123">
        <f t="shared" si="4"/>
        <v>0</v>
      </c>
      <c r="X84" s="125"/>
      <c r="Y84" s="125"/>
      <c r="Z84" s="126">
        <f t="shared" si="5"/>
        <v>0</v>
      </c>
      <c r="AA84" s="136"/>
      <c r="AB84" s="101" t="s">
        <v>131</v>
      </c>
      <c r="AC84" s="128">
        <f t="shared" si="6"/>
        <v>0</v>
      </c>
      <c r="AD84" s="134"/>
      <c r="AE84" s="135"/>
      <c r="AF84" s="135"/>
      <c r="AG84" s="135"/>
      <c r="AH84" s="135"/>
      <c r="AI84" s="135"/>
      <c r="AJ84" s="135"/>
    </row>
    <row r="85" ht="22.5" hidden="1" customHeight="1">
      <c r="A85" s="110" t="str">
        <f>'利用者'!A92</f>
        <v/>
      </c>
      <c r="B85" s="111" t="str">
        <f>'利用者'!B92</f>
        <v/>
      </c>
      <c r="C85" s="132"/>
      <c r="D85" s="125"/>
      <c r="E85" s="125"/>
      <c r="F85" s="125"/>
      <c r="G85" s="125"/>
      <c r="H85" s="120"/>
      <c r="I85" s="120"/>
      <c r="J85" s="121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5"/>
      <c r="V85" s="125"/>
      <c r="W85" s="123">
        <f t="shared" si="4"/>
        <v>0</v>
      </c>
      <c r="X85" s="125"/>
      <c r="Y85" s="125"/>
      <c r="Z85" s="126">
        <f t="shared" si="5"/>
        <v>0</v>
      </c>
      <c r="AA85" s="136"/>
      <c r="AB85" s="101" t="s">
        <v>131</v>
      </c>
      <c r="AC85" s="128">
        <f t="shared" si="6"/>
        <v>0</v>
      </c>
      <c r="AD85" s="134"/>
      <c r="AE85" s="135"/>
      <c r="AF85" s="135"/>
      <c r="AG85" s="135"/>
      <c r="AH85" s="135"/>
      <c r="AI85" s="135"/>
      <c r="AJ85" s="135"/>
    </row>
    <row r="86" ht="22.5" hidden="1" customHeight="1">
      <c r="A86" s="110" t="str">
        <f>'利用者'!A93</f>
        <v/>
      </c>
      <c r="B86" s="111" t="str">
        <f>'利用者'!B93</f>
        <v/>
      </c>
      <c r="C86" s="132"/>
      <c r="D86" s="125"/>
      <c r="E86" s="125"/>
      <c r="F86" s="125"/>
      <c r="G86" s="125"/>
      <c r="H86" s="120"/>
      <c r="I86" s="120"/>
      <c r="J86" s="121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5"/>
      <c r="V86" s="125"/>
      <c r="W86" s="123">
        <f t="shared" si="4"/>
        <v>0</v>
      </c>
      <c r="X86" s="125"/>
      <c r="Y86" s="125"/>
      <c r="Z86" s="126">
        <f t="shared" si="5"/>
        <v>0</v>
      </c>
      <c r="AA86" s="136"/>
      <c r="AB86" s="101" t="s">
        <v>131</v>
      </c>
      <c r="AC86" s="128">
        <f t="shared" si="6"/>
        <v>0</v>
      </c>
      <c r="AD86" s="134"/>
      <c r="AE86" s="135"/>
      <c r="AF86" s="135"/>
      <c r="AG86" s="135"/>
      <c r="AH86" s="135"/>
      <c r="AI86" s="135"/>
      <c r="AJ86" s="135"/>
    </row>
    <row r="87" ht="22.5" hidden="1" customHeight="1">
      <c r="A87" s="110" t="str">
        <f>'利用者'!A94</f>
        <v/>
      </c>
      <c r="B87" s="111" t="str">
        <f>'利用者'!B94</f>
        <v/>
      </c>
      <c r="C87" s="132"/>
      <c r="D87" s="125"/>
      <c r="E87" s="125"/>
      <c r="F87" s="125"/>
      <c r="G87" s="125"/>
      <c r="H87" s="120"/>
      <c r="I87" s="120"/>
      <c r="J87" s="121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5"/>
      <c r="V87" s="125"/>
      <c r="W87" s="123">
        <f t="shared" si="4"/>
        <v>0</v>
      </c>
      <c r="X87" s="125"/>
      <c r="Y87" s="125"/>
      <c r="Z87" s="126">
        <f t="shared" si="5"/>
        <v>0</v>
      </c>
      <c r="AA87" s="136"/>
      <c r="AB87" s="101" t="s">
        <v>131</v>
      </c>
      <c r="AC87" s="128">
        <f t="shared" si="6"/>
        <v>0</v>
      </c>
      <c r="AD87" s="134"/>
      <c r="AE87" s="135"/>
      <c r="AF87" s="135"/>
      <c r="AG87" s="135"/>
      <c r="AH87" s="135"/>
      <c r="AI87" s="135"/>
      <c r="AJ87" s="135"/>
    </row>
    <row r="88" ht="22.5" hidden="1" customHeight="1">
      <c r="A88" s="110" t="str">
        <f>'利用者'!A95</f>
        <v/>
      </c>
      <c r="B88" s="111" t="str">
        <f>'利用者'!B95</f>
        <v/>
      </c>
      <c r="C88" s="132"/>
      <c r="D88" s="125"/>
      <c r="E88" s="125"/>
      <c r="F88" s="125"/>
      <c r="G88" s="125"/>
      <c r="H88" s="120"/>
      <c r="I88" s="120"/>
      <c r="J88" s="121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5"/>
      <c r="V88" s="125"/>
      <c r="W88" s="123">
        <f t="shared" si="4"/>
        <v>0</v>
      </c>
      <c r="X88" s="125"/>
      <c r="Y88" s="125"/>
      <c r="Z88" s="126">
        <f t="shared" si="5"/>
        <v>0</v>
      </c>
      <c r="AA88" s="136"/>
      <c r="AB88" s="101" t="s">
        <v>131</v>
      </c>
      <c r="AC88" s="128">
        <f t="shared" si="6"/>
        <v>0</v>
      </c>
      <c r="AD88" s="134"/>
      <c r="AE88" s="135"/>
      <c r="AF88" s="135"/>
      <c r="AG88" s="135"/>
      <c r="AH88" s="135"/>
      <c r="AI88" s="135"/>
      <c r="AJ88" s="135"/>
    </row>
    <row r="89" ht="22.5" hidden="1" customHeight="1">
      <c r="A89" s="110" t="str">
        <f>'利用者'!A96</f>
        <v/>
      </c>
      <c r="B89" s="111" t="str">
        <f>'利用者'!B96</f>
        <v/>
      </c>
      <c r="C89" s="132"/>
      <c r="D89" s="125"/>
      <c r="E89" s="125"/>
      <c r="F89" s="125"/>
      <c r="G89" s="125"/>
      <c r="H89" s="120"/>
      <c r="I89" s="120"/>
      <c r="J89" s="12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5"/>
      <c r="V89" s="125"/>
      <c r="W89" s="123">
        <f t="shared" si="4"/>
        <v>0</v>
      </c>
      <c r="X89" s="125"/>
      <c r="Y89" s="125"/>
      <c r="Z89" s="126">
        <f t="shared" si="5"/>
        <v>0</v>
      </c>
      <c r="AA89" s="136"/>
      <c r="AB89" s="101" t="s">
        <v>131</v>
      </c>
      <c r="AC89" s="128">
        <f t="shared" si="6"/>
        <v>0</v>
      </c>
      <c r="AD89" s="134"/>
      <c r="AE89" s="135"/>
      <c r="AF89" s="135"/>
      <c r="AG89" s="135"/>
      <c r="AH89" s="135"/>
      <c r="AI89" s="135"/>
      <c r="AJ89" s="135"/>
    </row>
    <row r="90" ht="22.5" hidden="1" customHeight="1">
      <c r="A90" s="110" t="str">
        <f>'利用者'!A97</f>
        <v/>
      </c>
      <c r="B90" s="111" t="str">
        <f>'利用者'!B97</f>
        <v/>
      </c>
      <c r="C90" s="132"/>
      <c r="D90" s="125"/>
      <c r="E90" s="125"/>
      <c r="F90" s="125"/>
      <c r="G90" s="125"/>
      <c r="H90" s="120"/>
      <c r="I90" s="120"/>
      <c r="J90" s="121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5"/>
      <c r="V90" s="125"/>
      <c r="W90" s="123">
        <f t="shared" si="4"/>
        <v>0</v>
      </c>
      <c r="X90" s="125"/>
      <c r="Y90" s="125"/>
      <c r="Z90" s="126">
        <f t="shared" si="5"/>
        <v>0</v>
      </c>
      <c r="AA90" s="136"/>
      <c r="AB90" s="101" t="s">
        <v>131</v>
      </c>
      <c r="AC90" s="128">
        <f t="shared" si="6"/>
        <v>0</v>
      </c>
      <c r="AD90" s="134"/>
      <c r="AE90" s="135"/>
      <c r="AF90" s="135"/>
      <c r="AG90" s="135"/>
      <c r="AH90" s="135"/>
      <c r="AI90" s="135"/>
      <c r="AJ90" s="135"/>
    </row>
    <row r="91" ht="22.5" hidden="1" customHeight="1">
      <c r="A91" s="110" t="str">
        <f>'利用者'!A98</f>
        <v/>
      </c>
      <c r="B91" s="111" t="str">
        <f>'利用者'!B98</f>
        <v/>
      </c>
      <c r="C91" s="132"/>
      <c r="D91" s="125"/>
      <c r="E91" s="125"/>
      <c r="F91" s="125"/>
      <c r="G91" s="125"/>
      <c r="H91" s="120"/>
      <c r="I91" s="120"/>
      <c r="J91" s="121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5"/>
      <c r="V91" s="125"/>
      <c r="W91" s="123">
        <f t="shared" si="4"/>
        <v>0</v>
      </c>
      <c r="X91" s="125"/>
      <c r="Y91" s="125"/>
      <c r="Z91" s="126">
        <f t="shared" si="5"/>
        <v>0</v>
      </c>
      <c r="AA91" s="136"/>
      <c r="AB91" s="101" t="s">
        <v>131</v>
      </c>
      <c r="AC91" s="128">
        <f t="shared" si="6"/>
        <v>0</v>
      </c>
      <c r="AD91" s="134"/>
      <c r="AE91" s="135"/>
      <c r="AF91" s="135"/>
      <c r="AG91" s="135"/>
      <c r="AH91" s="135"/>
      <c r="AI91" s="135"/>
      <c r="AJ91" s="135"/>
    </row>
    <row r="92" ht="22.5" hidden="1" customHeight="1">
      <c r="A92" s="110" t="str">
        <f>'利用者'!A99</f>
        <v/>
      </c>
      <c r="B92" s="111" t="str">
        <f>'利用者'!B99</f>
        <v/>
      </c>
      <c r="C92" s="132"/>
      <c r="D92" s="125"/>
      <c r="E92" s="125"/>
      <c r="F92" s="125"/>
      <c r="G92" s="125"/>
      <c r="H92" s="120"/>
      <c r="I92" s="120"/>
      <c r="J92" s="121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5"/>
      <c r="V92" s="125"/>
      <c r="W92" s="123">
        <f t="shared" si="4"/>
        <v>0</v>
      </c>
      <c r="X92" s="125"/>
      <c r="Y92" s="125"/>
      <c r="Z92" s="126">
        <f t="shared" si="5"/>
        <v>0</v>
      </c>
      <c r="AA92" s="136"/>
      <c r="AB92" s="101" t="s">
        <v>131</v>
      </c>
      <c r="AC92" s="128">
        <f t="shared" si="6"/>
        <v>0</v>
      </c>
      <c r="AD92" s="134"/>
      <c r="AE92" s="135"/>
      <c r="AF92" s="135"/>
      <c r="AG92" s="135"/>
      <c r="AH92" s="135"/>
      <c r="AI92" s="135"/>
      <c r="AJ92" s="135"/>
    </row>
    <row r="93" ht="22.5" hidden="1" customHeight="1">
      <c r="A93" s="110" t="str">
        <f>'利用者'!A100</f>
        <v/>
      </c>
      <c r="B93" s="111" t="str">
        <f>'利用者'!B100</f>
        <v/>
      </c>
      <c r="C93" s="132"/>
      <c r="D93" s="125"/>
      <c r="E93" s="125"/>
      <c r="F93" s="125"/>
      <c r="G93" s="125"/>
      <c r="H93" s="120"/>
      <c r="I93" s="120"/>
      <c r="J93" s="121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5"/>
      <c r="V93" s="125"/>
      <c r="W93" s="123">
        <f t="shared" si="4"/>
        <v>0</v>
      </c>
      <c r="X93" s="125"/>
      <c r="Y93" s="125"/>
      <c r="Z93" s="126">
        <f t="shared" si="5"/>
        <v>0</v>
      </c>
      <c r="AA93" s="136"/>
      <c r="AB93" s="101" t="s">
        <v>131</v>
      </c>
      <c r="AC93" s="128">
        <f t="shared" si="6"/>
        <v>0</v>
      </c>
      <c r="AD93" s="134"/>
      <c r="AE93" s="135"/>
      <c r="AF93" s="135"/>
      <c r="AG93" s="135"/>
      <c r="AH93" s="135"/>
      <c r="AI93" s="135"/>
      <c r="AJ93" s="135"/>
    </row>
    <row r="94" ht="22.5" hidden="1" customHeight="1">
      <c r="A94" s="110" t="str">
        <f>'利用者'!A101</f>
        <v/>
      </c>
      <c r="B94" s="111" t="str">
        <f>'利用者'!B101</f>
        <v/>
      </c>
      <c r="C94" s="132"/>
      <c r="D94" s="125"/>
      <c r="E94" s="125"/>
      <c r="F94" s="125"/>
      <c r="G94" s="125"/>
      <c r="H94" s="120"/>
      <c r="I94" s="120"/>
      <c r="J94" s="121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5"/>
      <c r="V94" s="125"/>
      <c r="W94" s="123">
        <f t="shared" si="4"/>
        <v>0</v>
      </c>
      <c r="X94" s="125"/>
      <c r="Y94" s="125"/>
      <c r="Z94" s="126">
        <f t="shared" si="5"/>
        <v>0</v>
      </c>
      <c r="AA94" s="136"/>
      <c r="AB94" s="101" t="s">
        <v>131</v>
      </c>
      <c r="AC94" s="128">
        <f t="shared" si="6"/>
        <v>0</v>
      </c>
      <c r="AD94" s="134"/>
      <c r="AE94" s="135"/>
      <c r="AF94" s="135"/>
      <c r="AG94" s="135"/>
      <c r="AH94" s="135"/>
      <c r="AI94" s="135"/>
      <c r="AJ94" s="135"/>
    </row>
    <row r="95" ht="22.5" hidden="1" customHeight="1">
      <c r="A95" s="110" t="str">
        <f>'利用者'!A102</f>
        <v/>
      </c>
      <c r="B95" s="111" t="str">
        <f>'利用者'!B102</f>
        <v/>
      </c>
      <c r="C95" s="132"/>
      <c r="D95" s="125"/>
      <c r="E95" s="125"/>
      <c r="F95" s="125"/>
      <c r="G95" s="125"/>
      <c r="H95" s="120"/>
      <c r="I95" s="120"/>
      <c r="J95" s="121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5"/>
      <c r="V95" s="125"/>
      <c r="W95" s="123">
        <f t="shared" si="4"/>
        <v>0</v>
      </c>
      <c r="X95" s="125"/>
      <c r="Y95" s="125"/>
      <c r="Z95" s="126">
        <f t="shared" si="5"/>
        <v>0</v>
      </c>
      <c r="AA95" s="136"/>
      <c r="AB95" s="101" t="s">
        <v>131</v>
      </c>
      <c r="AC95" s="128">
        <f t="shared" si="6"/>
        <v>0</v>
      </c>
      <c r="AD95" s="134"/>
      <c r="AE95" s="135"/>
      <c r="AF95" s="135"/>
      <c r="AG95" s="135"/>
      <c r="AH95" s="135"/>
      <c r="AI95" s="135"/>
      <c r="AJ95" s="135"/>
    </row>
    <row r="96" ht="22.5" hidden="1" customHeight="1">
      <c r="A96" s="110" t="str">
        <f>'利用者'!A103</f>
        <v/>
      </c>
      <c r="B96" s="111" t="str">
        <f>'利用者'!B103</f>
        <v/>
      </c>
      <c r="C96" s="132"/>
      <c r="D96" s="125"/>
      <c r="E96" s="125"/>
      <c r="F96" s="125"/>
      <c r="G96" s="125"/>
      <c r="H96" s="120"/>
      <c r="I96" s="120"/>
      <c r="J96" s="121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5"/>
      <c r="V96" s="125"/>
      <c r="W96" s="123">
        <f t="shared" si="4"/>
        <v>0</v>
      </c>
      <c r="X96" s="125"/>
      <c r="Y96" s="125"/>
      <c r="Z96" s="126">
        <f t="shared" si="5"/>
        <v>0</v>
      </c>
      <c r="AA96" s="136"/>
      <c r="AB96" s="101" t="s">
        <v>131</v>
      </c>
      <c r="AC96" s="128">
        <f t="shared" si="6"/>
        <v>0</v>
      </c>
      <c r="AD96" s="134"/>
      <c r="AE96" s="135"/>
      <c r="AF96" s="135"/>
      <c r="AG96" s="135"/>
      <c r="AH96" s="135"/>
      <c r="AI96" s="135"/>
      <c r="AJ96" s="135"/>
    </row>
    <row r="97" ht="22.5" hidden="1" customHeight="1">
      <c r="A97" s="110" t="str">
        <f>'利用者'!A104</f>
        <v/>
      </c>
      <c r="B97" s="111" t="str">
        <f>'利用者'!B104</f>
        <v/>
      </c>
      <c r="C97" s="132"/>
      <c r="D97" s="125"/>
      <c r="E97" s="125"/>
      <c r="F97" s="125"/>
      <c r="G97" s="125"/>
      <c r="H97" s="120"/>
      <c r="I97" s="120"/>
      <c r="J97" s="121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5"/>
      <c r="V97" s="125"/>
      <c r="W97" s="123">
        <f t="shared" si="4"/>
        <v>0</v>
      </c>
      <c r="X97" s="125"/>
      <c r="Y97" s="125"/>
      <c r="Z97" s="126">
        <f t="shared" si="5"/>
        <v>0</v>
      </c>
      <c r="AA97" s="136"/>
      <c r="AB97" s="101" t="s">
        <v>131</v>
      </c>
      <c r="AC97" s="128">
        <f t="shared" si="6"/>
        <v>0</v>
      </c>
      <c r="AD97" s="134"/>
      <c r="AE97" s="135"/>
      <c r="AF97" s="135"/>
      <c r="AG97" s="135"/>
      <c r="AH97" s="135"/>
      <c r="AI97" s="135"/>
      <c r="AJ97" s="135"/>
    </row>
    <row r="98" ht="22.5" hidden="1" customHeight="1">
      <c r="A98" s="110" t="str">
        <f>'利用者'!A105</f>
        <v/>
      </c>
      <c r="B98" s="111" t="str">
        <f>'利用者'!B105</f>
        <v/>
      </c>
      <c r="C98" s="132"/>
      <c r="D98" s="125"/>
      <c r="E98" s="125"/>
      <c r="F98" s="125"/>
      <c r="G98" s="125"/>
      <c r="H98" s="120"/>
      <c r="I98" s="120"/>
      <c r="J98" s="12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5"/>
      <c r="V98" s="125"/>
      <c r="W98" s="123">
        <f t="shared" si="4"/>
        <v>0</v>
      </c>
      <c r="X98" s="125"/>
      <c r="Y98" s="125"/>
      <c r="Z98" s="126">
        <f t="shared" si="5"/>
        <v>0</v>
      </c>
      <c r="AA98" s="136"/>
      <c r="AB98" s="101" t="s">
        <v>131</v>
      </c>
      <c r="AC98" s="128">
        <f t="shared" si="6"/>
        <v>0</v>
      </c>
      <c r="AD98" s="134"/>
      <c r="AE98" s="135"/>
      <c r="AF98" s="135"/>
      <c r="AG98" s="135"/>
      <c r="AH98" s="135"/>
      <c r="AI98" s="135"/>
      <c r="AJ98" s="135"/>
    </row>
    <row r="99" ht="22.5" hidden="1" customHeight="1">
      <c r="A99" s="110" t="str">
        <f>'利用者'!A106</f>
        <v/>
      </c>
      <c r="B99" s="111" t="str">
        <f>'利用者'!B106</f>
        <v/>
      </c>
      <c r="C99" s="132"/>
      <c r="D99" s="125"/>
      <c r="E99" s="125"/>
      <c r="F99" s="125"/>
      <c r="G99" s="125"/>
      <c r="H99" s="120"/>
      <c r="I99" s="120"/>
      <c r="J99" s="121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5"/>
      <c r="V99" s="125"/>
      <c r="W99" s="123">
        <f t="shared" si="4"/>
        <v>0</v>
      </c>
      <c r="X99" s="125"/>
      <c r="Y99" s="125"/>
      <c r="Z99" s="126">
        <f t="shared" si="5"/>
        <v>0</v>
      </c>
      <c r="AA99" s="136"/>
      <c r="AB99" s="101" t="s">
        <v>131</v>
      </c>
      <c r="AC99" s="128">
        <f t="shared" si="6"/>
        <v>0</v>
      </c>
      <c r="AD99" s="134"/>
      <c r="AE99" s="135"/>
      <c r="AF99" s="135"/>
      <c r="AG99" s="135"/>
      <c r="AH99" s="135"/>
      <c r="AI99" s="135"/>
      <c r="AJ99" s="135"/>
    </row>
    <row r="100" ht="22.5" hidden="1" customHeight="1">
      <c r="A100" s="110" t="str">
        <f>'利用者'!A107</f>
        <v/>
      </c>
      <c r="B100" s="111" t="str">
        <f>'利用者'!B107</f>
        <v/>
      </c>
      <c r="C100" s="132"/>
      <c r="D100" s="125"/>
      <c r="E100" s="125"/>
      <c r="F100" s="125"/>
      <c r="G100" s="125"/>
      <c r="H100" s="120"/>
      <c r="I100" s="120"/>
      <c r="J100" s="12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5"/>
      <c r="V100" s="125"/>
      <c r="W100" s="123">
        <f t="shared" si="4"/>
        <v>0</v>
      </c>
      <c r="X100" s="125"/>
      <c r="Y100" s="125"/>
      <c r="Z100" s="126">
        <f t="shared" si="5"/>
        <v>0</v>
      </c>
      <c r="AA100" s="136"/>
      <c r="AB100" s="101" t="s">
        <v>131</v>
      </c>
      <c r="AC100" s="128">
        <f t="shared" si="6"/>
        <v>0</v>
      </c>
      <c r="AD100" s="134"/>
      <c r="AE100" s="135"/>
      <c r="AF100" s="135"/>
      <c r="AG100" s="135"/>
      <c r="AH100" s="135"/>
      <c r="AI100" s="135"/>
      <c r="AJ100" s="135"/>
    </row>
    <row r="101" ht="22.5" hidden="1" customHeight="1">
      <c r="A101" s="110" t="str">
        <f>'利用者'!A108</f>
        <v>210✕</v>
      </c>
      <c r="B101" s="111" t="str">
        <f>'利用者'!B108</f>
        <v>北村繁弘</v>
      </c>
      <c r="C101" s="132"/>
      <c r="D101" s="125"/>
      <c r="E101" s="125"/>
      <c r="F101" s="125"/>
      <c r="G101" s="125"/>
      <c r="H101" s="120"/>
      <c r="I101" s="120"/>
      <c r="J101" s="12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5"/>
      <c r="V101" s="125"/>
      <c r="W101" s="123">
        <f t="shared" si="4"/>
        <v>0</v>
      </c>
      <c r="X101" s="125"/>
      <c r="Y101" s="125"/>
      <c r="Z101" s="126">
        <f t="shared" si="5"/>
        <v>0</v>
      </c>
      <c r="AA101" s="136"/>
      <c r="AB101" s="101" t="s">
        <v>131</v>
      </c>
      <c r="AC101" s="128">
        <f t="shared" si="6"/>
        <v>0</v>
      </c>
      <c r="AD101" s="134"/>
      <c r="AE101" s="135"/>
      <c r="AF101" s="135"/>
      <c r="AG101" s="135"/>
      <c r="AH101" s="135"/>
      <c r="AI101" s="135"/>
      <c r="AJ101" s="135"/>
    </row>
    <row r="102" ht="22.5" hidden="1" customHeight="1">
      <c r="A102" s="110" t="str">
        <f>'利用者'!A109</f>
        <v>211✕</v>
      </c>
      <c r="B102" s="111" t="str">
        <f>'利用者'!B109</f>
        <v>鈴木信子</v>
      </c>
      <c r="C102" s="132"/>
      <c r="D102" s="125"/>
      <c r="E102" s="125"/>
      <c r="F102" s="125"/>
      <c r="G102" s="125"/>
      <c r="H102" s="120"/>
      <c r="I102" s="120"/>
      <c r="J102" s="121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5"/>
      <c r="V102" s="125"/>
      <c r="W102" s="123">
        <f t="shared" si="4"/>
        <v>0</v>
      </c>
      <c r="X102" s="125"/>
      <c r="Y102" s="125"/>
      <c r="Z102" s="126">
        <f t="shared" si="5"/>
        <v>0</v>
      </c>
      <c r="AA102" s="136"/>
      <c r="AB102" s="101" t="s">
        <v>131</v>
      </c>
      <c r="AC102" s="128">
        <f t="shared" si="6"/>
        <v>0</v>
      </c>
      <c r="AD102" s="134"/>
      <c r="AE102" s="135"/>
      <c r="AF102" s="135"/>
      <c r="AG102" s="135"/>
      <c r="AH102" s="135"/>
      <c r="AI102" s="135"/>
      <c r="AJ102" s="135"/>
    </row>
    <row r="103" ht="22.5" hidden="1" customHeight="1">
      <c r="A103" s="110" t="str">
        <f>'利用者'!A110</f>
        <v/>
      </c>
      <c r="B103" s="111" t="str">
        <f>'利用者'!B110</f>
        <v/>
      </c>
      <c r="C103" s="132"/>
      <c r="D103" s="125"/>
      <c r="E103" s="125"/>
      <c r="F103" s="125"/>
      <c r="G103" s="125"/>
      <c r="H103" s="120"/>
      <c r="I103" s="120"/>
      <c r="J103" s="12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5"/>
      <c r="V103" s="125"/>
      <c r="W103" s="123">
        <f t="shared" si="4"/>
        <v>0</v>
      </c>
      <c r="X103" s="125"/>
      <c r="Y103" s="125"/>
      <c r="Z103" s="126">
        <f t="shared" si="5"/>
        <v>0</v>
      </c>
      <c r="AA103" s="136"/>
      <c r="AB103" s="101" t="s">
        <v>131</v>
      </c>
      <c r="AC103" s="128">
        <f t="shared" si="6"/>
        <v>0</v>
      </c>
      <c r="AD103" s="134"/>
      <c r="AE103" s="135"/>
      <c r="AF103" s="135"/>
      <c r="AG103" s="135"/>
      <c r="AH103" s="135"/>
      <c r="AI103" s="135"/>
      <c r="AJ103" s="135"/>
    </row>
    <row r="104" ht="22.5" hidden="1" customHeight="1">
      <c r="A104" s="110" t="str">
        <f>'利用者'!A111</f>
        <v/>
      </c>
      <c r="B104" s="111" t="str">
        <f>'利用者'!B111</f>
        <v/>
      </c>
      <c r="C104" s="132"/>
      <c r="D104" s="125"/>
      <c r="E104" s="125"/>
      <c r="F104" s="125"/>
      <c r="G104" s="125"/>
      <c r="H104" s="120"/>
      <c r="I104" s="120"/>
      <c r="J104" s="12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5"/>
      <c r="V104" s="125"/>
      <c r="W104" s="123">
        <f t="shared" si="4"/>
        <v>0</v>
      </c>
      <c r="X104" s="125"/>
      <c r="Y104" s="125"/>
      <c r="Z104" s="126">
        <f t="shared" si="5"/>
        <v>0</v>
      </c>
      <c r="AA104" s="136"/>
      <c r="AB104" s="101" t="s">
        <v>131</v>
      </c>
      <c r="AC104" s="128">
        <f t="shared" si="6"/>
        <v>0</v>
      </c>
      <c r="AD104" s="134"/>
      <c r="AE104" s="135"/>
      <c r="AF104" s="135"/>
      <c r="AG104" s="135"/>
      <c r="AH104" s="135"/>
      <c r="AI104" s="135"/>
      <c r="AJ104" s="135"/>
    </row>
    <row r="105" ht="22.5" hidden="1" customHeight="1">
      <c r="A105" s="110" t="str">
        <f>'利用者'!A112</f>
        <v/>
      </c>
      <c r="B105" s="111" t="str">
        <f>'利用者'!B112</f>
        <v/>
      </c>
      <c r="C105" s="132"/>
      <c r="D105" s="125"/>
      <c r="E105" s="125"/>
      <c r="F105" s="125"/>
      <c r="G105" s="125"/>
      <c r="H105" s="120"/>
      <c r="I105" s="120"/>
      <c r="J105" s="12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5"/>
      <c r="V105" s="125"/>
      <c r="W105" s="123">
        <f t="shared" si="4"/>
        <v>0</v>
      </c>
      <c r="X105" s="125"/>
      <c r="Y105" s="125"/>
      <c r="Z105" s="126">
        <f t="shared" si="5"/>
        <v>0</v>
      </c>
      <c r="AA105" s="136"/>
      <c r="AB105" s="101" t="s">
        <v>131</v>
      </c>
      <c r="AC105" s="128">
        <f t="shared" si="6"/>
        <v>0</v>
      </c>
      <c r="AD105" s="134"/>
      <c r="AE105" s="135"/>
      <c r="AF105" s="135"/>
      <c r="AG105" s="135"/>
      <c r="AH105" s="135"/>
      <c r="AI105" s="135"/>
      <c r="AJ105" s="135"/>
    </row>
    <row r="106" ht="22.5" hidden="1" customHeight="1">
      <c r="A106" s="110" t="str">
        <f>'利用者'!A113</f>
        <v/>
      </c>
      <c r="B106" s="111" t="str">
        <f>'利用者'!B113</f>
        <v/>
      </c>
      <c r="C106" s="132"/>
      <c r="D106" s="125"/>
      <c r="E106" s="125"/>
      <c r="F106" s="125"/>
      <c r="G106" s="125"/>
      <c r="H106" s="120"/>
      <c r="I106" s="120"/>
      <c r="J106" s="121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5"/>
      <c r="V106" s="125"/>
      <c r="W106" s="123">
        <f t="shared" si="4"/>
        <v>0</v>
      </c>
      <c r="X106" s="125"/>
      <c r="Y106" s="125"/>
      <c r="Z106" s="126">
        <f t="shared" si="5"/>
        <v>0</v>
      </c>
      <c r="AA106" s="136"/>
      <c r="AB106" s="101" t="s">
        <v>131</v>
      </c>
      <c r="AC106" s="128">
        <f t="shared" si="6"/>
        <v>0</v>
      </c>
      <c r="AD106" s="134"/>
      <c r="AE106" s="135"/>
      <c r="AF106" s="135"/>
      <c r="AG106" s="135"/>
      <c r="AH106" s="135"/>
      <c r="AI106" s="135"/>
      <c r="AJ106" s="135"/>
    </row>
    <row r="107" ht="22.5" hidden="1" customHeight="1">
      <c r="A107" s="110" t="str">
        <f>'利用者'!A114</f>
        <v/>
      </c>
      <c r="B107" s="111" t="str">
        <f>'利用者'!B114</f>
        <v/>
      </c>
      <c r="C107" s="132"/>
      <c r="D107" s="125"/>
      <c r="E107" s="125"/>
      <c r="F107" s="125"/>
      <c r="G107" s="125"/>
      <c r="H107" s="120"/>
      <c r="I107" s="120"/>
      <c r="J107" s="12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5"/>
      <c r="V107" s="125"/>
      <c r="W107" s="123">
        <f t="shared" si="4"/>
        <v>0</v>
      </c>
      <c r="X107" s="125"/>
      <c r="Y107" s="125"/>
      <c r="Z107" s="126">
        <f t="shared" si="5"/>
        <v>0</v>
      </c>
      <c r="AA107" s="136"/>
      <c r="AB107" s="101" t="s">
        <v>131</v>
      </c>
      <c r="AC107" s="128">
        <f t="shared" si="6"/>
        <v>0</v>
      </c>
      <c r="AD107" s="134"/>
      <c r="AE107" s="135"/>
      <c r="AF107" s="135"/>
      <c r="AG107" s="135"/>
      <c r="AH107" s="135"/>
      <c r="AI107" s="135"/>
      <c r="AJ107" s="135"/>
    </row>
    <row r="108" ht="22.5" hidden="1" customHeight="1">
      <c r="A108" s="110" t="str">
        <f>'利用者'!A115</f>
        <v/>
      </c>
      <c r="B108" s="111" t="str">
        <f>'利用者'!B115</f>
        <v/>
      </c>
      <c r="C108" s="132"/>
      <c r="D108" s="125"/>
      <c r="E108" s="125"/>
      <c r="F108" s="125"/>
      <c r="G108" s="125"/>
      <c r="H108" s="120"/>
      <c r="I108" s="120"/>
      <c r="J108" s="12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5"/>
      <c r="V108" s="125"/>
      <c r="W108" s="123">
        <f t="shared" si="4"/>
        <v>0</v>
      </c>
      <c r="X108" s="125"/>
      <c r="Y108" s="125"/>
      <c r="Z108" s="126">
        <f t="shared" si="5"/>
        <v>0</v>
      </c>
      <c r="AA108" s="136"/>
      <c r="AB108" s="101" t="s">
        <v>131</v>
      </c>
      <c r="AC108" s="128">
        <f t="shared" si="6"/>
        <v>0</v>
      </c>
      <c r="AD108" s="134"/>
      <c r="AE108" s="135"/>
      <c r="AF108" s="135"/>
      <c r="AG108" s="135"/>
      <c r="AH108" s="135"/>
      <c r="AI108" s="135"/>
      <c r="AJ108" s="135"/>
    </row>
    <row r="109" ht="22.5" hidden="1" customHeight="1">
      <c r="A109" s="110" t="str">
        <f>'利用者'!A116</f>
        <v/>
      </c>
      <c r="B109" s="111" t="str">
        <f>'利用者'!B116</f>
        <v/>
      </c>
      <c r="C109" s="132"/>
      <c r="D109" s="125"/>
      <c r="E109" s="125"/>
      <c r="F109" s="125"/>
      <c r="G109" s="125"/>
      <c r="H109" s="120"/>
      <c r="I109" s="120"/>
      <c r="J109" s="12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5"/>
      <c r="V109" s="125"/>
      <c r="W109" s="123">
        <f t="shared" si="4"/>
        <v>0</v>
      </c>
      <c r="X109" s="125"/>
      <c r="Y109" s="125"/>
      <c r="Z109" s="126">
        <f t="shared" si="5"/>
        <v>0</v>
      </c>
      <c r="AA109" s="136"/>
      <c r="AB109" s="101" t="s">
        <v>131</v>
      </c>
      <c r="AC109" s="128">
        <f t="shared" si="6"/>
        <v>0</v>
      </c>
      <c r="AD109" s="134"/>
      <c r="AE109" s="135"/>
      <c r="AF109" s="135"/>
      <c r="AG109" s="135"/>
      <c r="AH109" s="135"/>
      <c r="AI109" s="135"/>
      <c r="AJ109" s="135"/>
    </row>
    <row r="110" ht="22.5" customHeight="1">
      <c r="A110" s="110"/>
      <c r="B110" s="111"/>
      <c r="C110" s="132"/>
      <c r="D110" s="125"/>
      <c r="E110" s="125"/>
      <c r="F110" s="125"/>
      <c r="G110" s="125"/>
      <c r="H110" s="120"/>
      <c r="I110" s="120"/>
      <c r="J110" s="121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5"/>
      <c r="V110" s="125"/>
      <c r="W110" s="123">
        <f t="shared" si="4"/>
        <v>0</v>
      </c>
      <c r="X110" s="125"/>
      <c r="Y110" s="125"/>
      <c r="Z110" s="126">
        <f t="shared" si="5"/>
        <v>0</v>
      </c>
      <c r="AA110" s="136"/>
      <c r="AB110" s="101" t="s">
        <v>131</v>
      </c>
      <c r="AC110" s="128">
        <f t="shared" si="6"/>
        <v>0</v>
      </c>
      <c r="AD110" s="134"/>
      <c r="AE110" s="135"/>
      <c r="AF110" s="135"/>
      <c r="AG110" s="135"/>
      <c r="AH110" s="135"/>
      <c r="AI110" s="135"/>
      <c r="AJ110" s="135"/>
    </row>
    <row r="111" ht="22.5" customHeight="1">
      <c r="A111" s="116" t="s">
        <v>128</v>
      </c>
      <c r="B111" s="116"/>
      <c r="C111" s="126"/>
      <c r="D111" s="126">
        <f t="shared" ref="D111:Y111" si="7">SUM(D3:D110)</f>
        <v>480000</v>
      </c>
      <c r="E111" s="126">
        <f t="shared" si="7"/>
        <v>60000</v>
      </c>
      <c r="F111" s="126">
        <f t="shared" si="7"/>
        <v>60000</v>
      </c>
      <c r="G111" s="126">
        <f t="shared" si="7"/>
        <v>24000</v>
      </c>
      <c r="H111" s="126">
        <f t="shared" si="7"/>
        <v>100000</v>
      </c>
      <c r="I111" s="126">
        <f t="shared" si="7"/>
        <v>0</v>
      </c>
      <c r="J111" s="137">
        <f t="shared" si="7"/>
        <v>0</v>
      </c>
      <c r="K111" s="126">
        <f t="shared" si="7"/>
        <v>0</v>
      </c>
      <c r="L111" s="126">
        <f t="shared" si="7"/>
        <v>0</v>
      </c>
      <c r="M111" s="126">
        <f t="shared" si="7"/>
        <v>0</v>
      </c>
      <c r="N111" s="126">
        <f t="shared" si="7"/>
        <v>0</v>
      </c>
      <c r="O111" s="126">
        <f t="shared" si="7"/>
        <v>0</v>
      </c>
      <c r="P111" s="126">
        <f t="shared" si="7"/>
        <v>0</v>
      </c>
      <c r="Q111" s="126">
        <f t="shared" si="7"/>
        <v>0</v>
      </c>
      <c r="R111" s="126">
        <f t="shared" si="7"/>
        <v>0</v>
      </c>
      <c r="S111" s="126">
        <f t="shared" si="7"/>
        <v>0</v>
      </c>
      <c r="T111" s="126">
        <f t="shared" si="7"/>
        <v>0</v>
      </c>
      <c r="U111" s="126">
        <f t="shared" si="7"/>
        <v>0</v>
      </c>
      <c r="V111" s="126">
        <f t="shared" si="7"/>
        <v>0</v>
      </c>
      <c r="W111" s="138">
        <f t="shared" si="7"/>
        <v>724000</v>
      </c>
      <c r="X111" s="126">
        <f t="shared" si="7"/>
        <v>0</v>
      </c>
      <c r="Y111" s="126">
        <f t="shared" si="7"/>
        <v>0</v>
      </c>
      <c r="Z111" s="126">
        <f t="shared" si="5"/>
        <v>724000</v>
      </c>
      <c r="AA111" s="127"/>
      <c r="AB111" s="101"/>
      <c r="AC111" s="130"/>
      <c r="AD111" s="101"/>
    </row>
    <row r="112" ht="15.75" customHeight="1">
      <c r="A112" s="10"/>
      <c r="B112" s="10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40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10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07">
        <v>46053.0</v>
      </c>
      <c r="C1" s="108" t="s">
        <v>98</v>
      </c>
      <c r="D1" s="109" t="s">
        <v>99</v>
      </c>
      <c r="E1" s="109" t="s">
        <v>100</v>
      </c>
      <c r="F1" s="109" t="s">
        <v>101</v>
      </c>
      <c r="G1" s="109" t="s">
        <v>102</v>
      </c>
      <c r="H1" s="109" t="s">
        <v>103</v>
      </c>
      <c r="I1" s="109" t="s">
        <v>104</v>
      </c>
      <c r="J1" s="109" t="s">
        <v>105</v>
      </c>
      <c r="K1" s="109" t="s">
        <v>106</v>
      </c>
      <c r="L1" s="109" t="s">
        <v>107</v>
      </c>
      <c r="M1" s="109" t="s">
        <v>108</v>
      </c>
      <c r="N1" s="109" t="s">
        <v>109</v>
      </c>
      <c r="O1" s="109" t="s">
        <v>110</v>
      </c>
      <c r="P1" s="109" t="s">
        <v>111</v>
      </c>
      <c r="Q1" s="109" t="s">
        <v>112</v>
      </c>
      <c r="R1" s="109" t="s">
        <v>113</v>
      </c>
      <c r="S1" s="109" t="s">
        <v>114</v>
      </c>
      <c r="T1" s="109" t="s">
        <v>115</v>
      </c>
      <c r="U1" s="109" t="s">
        <v>116</v>
      </c>
      <c r="V1" s="109" t="s">
        <v>117</v>
      </c>
      <c r="W1" s="109" t="s">
        <v>118</v>
      </c>
      <c r="X1" s="109" t="s">
        <v>119</v>
      </c>
      <c r="Y1" s="109" t="s">
        <v>120</v>
      </c>
      <c r="Z1" s="109" t="s">
        <v>121</v>
      </c>
      <c r="AA1" s="109" t="s">
        <v>122</v>
      </c>
      <c r="AB1" s="109" t="s">
        <v>123</v>
      </c>
      <c r="AC1" s="101"/>
      <c r="AD1" s="101"/>
    </row>
    <row r="2" ht="22.5" customHeight="1">
      <c r="A2" s="110" t="s">
        <v>0</v>
      </c>
      <c r="B2" s="110" t="s">
        <v>1</v>
      </c>
      <c r="C2" s="111" t="s">
        <v>124</v>
      </c>
      <c r="D2" s="112" t="s">
        <v>5</v>
      </c>
      <c r="E2" s="112" t="s">
        <v>8</v>
      </c>
      <c r="F2" s="112" t="s">
        <v>10</v>
      </c>
      <c r="G2" s="112" t="s">
        <v>13</v>
      </c>
      <c r="H2" s="113" t="s">
        <v>15</v>
      </c>
      <c r="I2" s="113" t="s">
        <v>17</v>
      </c>
      <c r="J2" s="114" t="s">
        <v>20</v>
      </c>
      <c r="K2" s="113" t="s">
        <v>21</v>
      </c>
      <c r="L2" s="113" t="s">
        <v>22</v>
      </c>
      <c r="M2" s="113" t="s">
        <v>24</v>
      </c>
      <c r="N2" s="113" t="s">
        <v>26</v>
      </c>
      <c r="O2" s="113" t="s">
        <v>30</v>
      </c>
      <c r="P2" s="112" t="s">
        <v>32</v>
      </c>
      <c r="Q2" s="112" t="s">
        <v>35</v>
      </c>
      <c r="R2" s="112" t="s">
        <v>37</v>
      </c>
      <c r="S2" s="112" t="s">
        <v>27</v>
      </c>
      <c r="T2" s="112" t="s">
        <v>29</v>
      </c>
      <c r="U2" s="112"/>
      <c r="V2" s="112"/>
      <c r="W2" s="115" t="s">
        <v>125</v>
      </c>
      <c r="X2" s="111" t="s">
        <v>126</v>
      </c>
      <c r="Y2" s="111" t="s">
        <v>127</v>
      </c>
      <c r="Z2" s="116" t="s">
        <v>128</v>
      </c>
      <c r="AA2" s="117" t="s">
        <v>59</v>
      </c>
      <c r="AB2" s="117" t="s">
        <v>129</v>
      </c>
      <c r="AC2" s="110" t="s">
        <v>130</v>
      </c>
      <c r="AD2" s="117"/>
      <c r="AE2" s="10"/>
      <c r="AF2" s="10"/>
      <c r="AG2" s="10"/>
      <c r="AH2" s="10"/>
      <c r="AI2" s="10"/>
      <c r="AJ2" s="10"/>
    </row>
    <row r="3" ht="22.5" customHeight="1">
      <c r="A3" s="110">
        <v>108.0</v>
      </c>
      <c r="B3" s="111" t="s">
        <v>4</v>
      </c>
      <c r="C3" s="118">
        <v>185667.0</v>
      </c>
      <c r="D3" s="119">
        <v>40000.0</v>
      </c>
      <c r="E3" s="119">
        <v>5000.0</v>
      </c>
      <c r="F3" s="119">
        <v>5000.0</v>
      </c>
      <c r="G3" s="119">
        <v>2000.0</v>
      </c>
      <c r="H3" s="120">
        <v>10000.0</v>
      </c>
      <c r="I3" s="120">
        <v>44330.0</v>
      </c>
      <c r="J3" s="121">
        <v>-90109.0</v>
      </c>
      <c r="K3" s="120">
        <v>3751.0</v>
      </c>
      <c r="L3" s="120">
        <v>2263.0</v>
      </c>
      <c r="M3" s="120"/>
      <c r="N3" s="120"/>
      <c r="O3" s="120">
        <v>10108.0</v>
      </c>
      <c r="P3" s="120"/>
      <c r="Q3" s="120">
        <v>17408.0</v>
      </c>
      <c r="R3" s="120"/>
      <c r="S3" s="120"/>
      <c r="T3" s="120"/>
      <c r="U3" s="122"/>
      <c r="V3" s="122"/>
      <c r="W3" s="123">
        <f t="shared" ref="W3:W109" si="1">SUM(D3:V3)</f>
        <v>49751</v>
      </c>
      <c r="X3" s="124">
        <v>30249.0</v>
      </c>
      <c r="Y3" s="125"/>
      <c r="Z3" s="126">
        <f t="shared" ref="Z3:Z110" si="2">SUM(W3:Y3)</f>
        <v>80000</v>
      </c>
      <c r="AA3" s="127">
        <v>80000.0</v>
      </c>
      <c r="AB3" s="101" t="s">
        <v>131</v>
      </c>
      <c r="AC3" s="118">
        <f t="shared" ref="AC3:AC109" si="3">C3-M3</f>
        <v>185667</v>
      </c>
      <c r="AD3" s="101"/>
    </row>
    <row r="4" ht="22.5" customHeight="1">
      <c r="A4" s="110">
        <v>206.0</v>
      </c>
      <c r="B4" s="111" t="s">
        <v>7</v>
      </c>
      <c r="C4" s="128"/>
      <c r="D4" s="119">
        <v>40000.0</v>
      </c>
      <c r="E4" s="119">
        <v>5000.0</v>
      </c>
      <c r="F4" s="119">
        <v>5000.0</v>
      </c>
      <c r="G4" s="119">
        <v>2000.0</v>
      </c>
      <c r="H4" s="120">
        <v>10000.0</v>
      </c>
      <c r="I4" s="120">
        <v>44330.0</v>
      </c>
      <c r="J4" s="121"/>
      <c r="K4" s="120"/>
      <c r="L4" s="120"/>
      <c r="M4" s="120"/>
      <c r="N4" s="120"/>
      <c r="O4" s="120"/>
      <c r="P4" s="120"/>
      <c r="Q4" s="120">
        <v>2468.0</v>
      </c>
      <c r="R4" s="120"/>
      <c r="S4" s="120"/>
      <c r="T4" s="120"/>
      <c r="U4" s="125"/>
      <c r="V4" s="125"/>
      <c r="W4" s="123">
        <f t="shared" si="1"/>
        <v>108798</v>
      </c>
      <c r="X4" s="124">
        <v>23896.0</v>
      </c>
      <c r="Y4" s="125">
        <v>2500.0</v>
      </c>
      <c r="Z4" s="126">
        <f t="shared" si="2"/>
        <v>135194</v>
      </c>
      <c r="AA4" s="127" t="s">
        <v>132</v>
      </c>
      <c r="AB4" s="101" t="s">
        <v>131</v>
      </c>
      <c r="AC4" s="128">
        <f t="shared" si="3"/>
        <v>0</v>
      </c>
      <c r="AD4" s="101"/>
    </row>
    <row r="5" ht="22.5" customHeight="1">
      <c r="A5" s="110">
        <v>210.0</v>
      </c>
      <c r="B5" s="111" t="s">
        <v>9</v>
      </c>
      <c r="C5" s="128">
        <v>130000.0</v>
      </c>
      <c r="D5" s="119">
        <v>0.0</v>
      </c>
      <c r="E5" s="119">
        <v>0.0</v>
      </c>
      <c r="F5" s="119">
        <v>0.0</v>
      </c>
      <c r="G5" s="119">
        <v>0.0</v>
      </c>
      <c r="H5" s="120">
        <v>0.0</v>
      </c>
      <c r="I5" s="120"/>
      <c r="J5" s="121"/>
      <c r="K5" s="120"/>
      <c r="L5" s="120"/>
      <c r="M5" s="120">
        <v>10000.0</v>
      </c>
      <c r="N5" s="120"/>
      <c r="O5" s="120"/>
      <c r="P5" s="120"/>
      <c r="Q5" s="120"/>
      <c r="R5" s="120"/>
      <c r="S5" s="120"/>
      <c r="T5" s="120"/>
      <c r="U5" s="125"/>
      <c r="V5" s="125"/>
      <c r="W5" s="123">
        <f t="shared" si="1"/>
        <v>10000</v>
      </c>
      <c r="X5" s="124"/>
      <c r="Y5" s="125"/>
      <c r="Z5" s="126">
        <f t="shared" si="2"/>
        <v>10000</v>
      </c>
      <c r="AA5" s="127" t="s">
        <v>133</v>
      </c>
      <c r="AB5" s="101" t="s">
        <v>131</v>
      </c>
      <c r="AC5" s="128">
        <f t="shared" si="3"/>
        <v>120000</v>
      </c>
      <c r="AD5" s="101"/>
    </row>
    <row r="6" ht="22.5" customHeight="1">
      <c r="A6" s="110">
        <v>211.0</v>
      </c>
      <c r="B6" s="111"/>
      <c r="C6" s="128"/>
      <c r="D6" s="118"/>
      <c r="E6" s="118"/>
      <c r="F6" s="118"/>
      <c r="G6" s="118"/>
      <c r="H6" s="120"/>
      <c r="I6" s="120"/>
      <c r="J6" s="121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5"/>
      <c r="V6" s="125"/>
      <c r="W6" s="123">
        <f t="shared" si="1"/>
        <v>0</v>
      </c>
      <c r="X6" s="124"/>
      <c r="Y6" s="125"/>
      <c r="Z6" s="126">
        <f t="shared" si="2"/>
        <v>0</v>
      </c>
      <c r="AA6" s="127"/>
      <c r="AB6" s="101" t="s">
        <v>131</v>
      </c>
      <c r="AC6" s="128">
        <f t="shared" si="3"/>
        <v>0</v>
      </c>
      <c r="AD6" s="101"/>
    </row>
    <row r="7" ht="22.5" customHeight="1">
      <c r="A7" s="110">
        <v>212.0</v>
      </c>
      <c r="B7" s="111" t="s">
        <v>14</v>
      </c>
      <c r="C7" s="128"/>
      <c r="D7" s="119">
        <v>40000.0</v>
      </c>
      <c r="E7" s="119">
        <v>5000.0</v>
      </c>
      <c r="F7" s="119">
        <v>5000.0</v>
      </c>
      <c r="G7" s="119">
        <v>2000.0</v>
      </c>
      <c r="H7" s="120">
        <v>10000.0</v>
      </c>
      <c r="I7" s="120">
        <v>39380.0</v>
      </c>
      <c r="J7" s="121"/>
      <c r="K7" s="120">
        <v>11253.0</v>
      </c>
      <c r="L7" s="120">
        <v>2263.0</v>
      </c>
      <c r="M7" s="120"/>
      <c r="N7" s="120"/>
      <c r="O7" s="120"/>
      <c r="P7" s="120"/>
      <c r="Q7" s="120">
        <v>7148.0</v>
      </c>
      <c r="R7" s="120"/>
      <c r="S7" s="120"/>
      <c r="T7" s="120"/>
      <c r="U7" s="125"/>
      <c r="V7" s="125"/>
      <c r="W7" s="123">
        <f t="shared" si="1"/>
        <v>122044</v>
      </c>
      <c r="X7" s="118">
        <v>28693.0</v>
      </c>
      <c r="Y7" s="118"/>
      <c r="Z7" s="126">
        <f t="shared" si="2"/>
        <v>150737</v>
      </c>
      <c r="AA7" s="127" t="s">
        <v>132</v>
      </c>
      <c r="AB7" s="101" t="s">
        <v>131</v>
      </c>
      <c r="AC7" s="128">
        <f t="shared" si="3"/>
        <v>0</v>
      </c>
      <c r="AD7" s="101"/>
    </row>
    <row r="8" ht="22.5" customHeight="1">
      <c r="A8" s="110">
        <v>303.0</v>
      </c>
      <c r="B8" s="111"/>
      <c r="C8" s="128"/>
      <c r="D8" s="119"/>
      <c r="E8" s="119"/>
      <c r="F8" s="119"/>
      <c r="G8" s="119"/>
      <c r="H8" s="120"/>
      <c r="I8" s="120"/>
      <c r="J8" s="121"/>
      <c r="K8" s="120"/>
      <c r="L8" s="120"/>
      <c r="M8" s="120"/>
      <c r="N8" s="120"/>
      <c r="O8" s="120"/>
      <c r="P8" s="120"/>
      <c r="Q8" s="120">
        <v>59072.0</v>
      </c>
      <c r="R8" s="120"/>
      <c r="S8" s="120"/>
      <c r="T8" s="120"/>
      <c r="U8" s="125"/>
      <c r="V8" s="125"/>
      <c r="W8" s="123">
        <f t="shared" si="1"/>
        <v>59072</v>
      </c>
      <c r="X8" s="118"/>
      <c r="Y8" s="119"/>
      <c r="Z8" s="126">
        <f t="shared" si="2"/>
        <v>59072</v>
      </c>
      <c r="AA8" s="127"/>
      <c r="AB8" s="101" t="s">
        <v>131</v>
      </c>
      <c r="AC8" s="128">
        <f t="shared" si="3"/>
        <v>0</v>
      </c>
      <c r="AD8" s="101"/>
    </row>
    <row r="9" ht="22.5" customHeight="1">
      <c r="A9" s="110">
        <v>401.0</v>
      </c>
      <c r="B9" s="111"/>
      <c r="C9" s="128"/>
      <c r="D9" s="118"/>
      <c r="E9" s="118"/>
      <c r="F9" s="118"/>
      <c r="G9" s="118"/>
      <c r="H9" s="120"/>
      <c r="I9" s="120"/>
      <c r="J9" s="121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5"/>
      <c r="V9" s="125"/>
      <c r="W9" s="123">
        <f t="shared" si="1"/>
        <v>0</v>
      </c>
      <c r="X9" s="131"/>
      <c r="Y9" s="125"/>
      <c r="Z9" s="126">
        <f t="shared" si="2"/>
        <v>0</v>
      </c>
      <c r="AA9" s="127"/>
      <c r="AB9" s="101" t="s">
        <v>131</v>
      </c>
      <c r="AC9" s="128">
        <f t="shared" si="3"/>
        <v>0</v>
      </c>
      <c r="AD9" s="101"/>
    </row>
    <row r="10" ht="22.5" customHeight="1">
      <c r="A10" s="110">
        <v>402.0</v>
      </c>
      <c r="B10" s="111" t="s">
        <v>12</v>
      </c>
      <c r="C10" s="132"/>
      <c r="D10" s="119">
        <v>40000.0</v>
      </c>
      <c r="E10" s="119">
        <v>5000.0</v>
      </c>
      <c r="F10" s="119">
        <v>5000.0</v>
      </c>
      <c r="G10" s="119">
        <v>2000.0</v>
      </c>
      <c r="H10" s="120">
        <v>10000.0</v>
      </c>
      <c r="I10" s="120">
        <v>44330.0</v>
      </c>
      <c r="J10" s="121">
        <v>-53912.0</v>
      </c>
      <c r="K10" s="120">
        <v>16895.0</v>
      </c>
      <c r="L10" s="120">
        <v>2263.0</v>
      </c>
      <c r="M10" s="120"/>
      <c r="N10" s="120"/>
      <c r="O10" s="120">
        <v>8440.0</v>
      </c>
      <c r="P10" s="120"/>
      <c r="Q10" s="120">
        <v>4038.0</v>
      </c>
      <c r="R10" s="120"/>
      <c r="S10" s="120"/>
      <c r="T10" s="120"/>
      <c r="U10" s="125"/>
      <c r="V10" s="125"/>
      <c r="W10" s="123">
        <f t="shared" si="1"/>
        <v>84054</v>
      </c>
      <c r="X10" s="125">
        <v>20946.0</v>
      </c>
      <c r="Y10" s="125"/>
      <c r="Z10" s="126">
        <f t="shared" si="2"/>
        <v>105000</v>
      </c>
      <c r="AA10" s="127">
        <v>105000.0</v>
      </c>
      <c r="AB10" s="101" t="s">
        <v>131</v>
      </c>
      <c r="AC10" s="128">
        <f t="shared" si="3"/>
        <v>0</v>
      </c>
      <c r="AD10" s="101"/>
    </row>
    <row r="11" ht="22.5" customHeight="1">
      <c r="A11" s="110">
        <v>403.0</v>
      </c>
      <c r="B11" s="111" t="s">
        <v>23</v>
      </c>
      <c r="C11" s="132">
        <v>100000.0</v>
      </c>
      <c r="D11" s="119">
        <v>40000.0</v>
      </c>
      <c r="E11" s="119">
        <v>5000.0</v>
      </c>
      <c r="F11" s="119">
        <v>5000.0</v>
      </c>
      <c r="G11" s="119">
        <v>2000.0</v>
      </c>
      <c r="H11" s="120">
        <v>10000.0</v>
      </c>
      <c r="I11" s="120"/>
      <c r="J11" s="121"/>
      <c r="K11" s="141">
        <f>11253-1452</f>
        <v>9801</v>
      </c>
      <c r="L11" s="141">
        <f>2263-292</f>
        <v>1971</v>
      </c>
      <c r="M11" s="120">
        <v>10000.0</v>
      </c>
      <c r="N11" s="120"/>
      <c r="O11" s="120"/>
      <c r="P11" s="120"/>
      <c r="Q11" s="125"/>
      <c r="R11" s="120"/>
      <c r="S11" s="120"/>
      <c r="T11" s="120"/>
      <c r="U11" s="125"/>
      <c r="V11" s="125"/>
      <c r="W11" s="123">
        <f t="shared" si="1"/>
        <v>83772</v>
      </c>
      <c r="X11" s="131">
        <v>25141.0</v>
      </c>
      <c r="Y11" s="125"/>
      <c r="Z11" s="126">
        <f t="shared" si="2"/>
        <v>108913</v>
      </c>
      <c r="AA11" s="127" t="s">
        <v>134</v>
      </c>
      <c r="AB11" s="101" t="s">
        <v>131</v>
      </c>
      <c r="AC11" s="128">
        <f t="shared" si="3"/>
        <v>90000</v>
      </c>
      <c r="AD11" s="101" t="s">
        <v>135</v>
      </c>
    </row>
    <row r="12" ht="22.5" customHeight="1">
      <c r="A12" s="110">
        <v>405.0</v>
      </c>
      <c r="B12" s="111" t="s">
        <v>25</v>
      </c>
      <c r="C12" s="132"/>
      <c r="D12" s="119">
        <v>40000.0</v>
      </c>
      <c r="E12" s="119">
        <v>5000.0</v>
      </c>
      <c r="F12" s="119">
        <v>5000.0</v>
      </c>
      <c r="G12" s="119">
        <v>2000.0</v>
      </c>
      <c r="H12" s="120"/>
      <c r="I12" s="120">
        <v>44330.0</v>
      </c>
      <c r="J12" s="121"/>
      <c r="K12" s="133"/>
      <c r="L12" s="133"/>
      <c r="M12" s="120"/>
      <c r="N12" s="120"/>
      <c r="O12" s="120"/>
      <c r="P12" s="120"/>
      <c r="Q12" s="120"/>
      <c r="R12" s="120"/>
      <c r="S12" s="120"/>
      <c r="T12" s="120"/>
      <c r="U12" s="125"/>
      <c r="V12" s="125"/>
      <c r="W12" s="123">
        <f t="shared" si="1"/>
        <v>96330</v>
      </c>
      <c r="X12" s="125">
        <v>0.0</v>
      </c>
      <c r="Y12" s="125"/>
      <c r="Z12" s="126">
        <f t="shared" si="2"/>
        <v>96330</v>
      </c>
      <c r="AA12" s="127"/>
      <c r="AB12" s="101" t="s">
        <v>131</v>
      </c>
      <c r="AC12" s="128">
        <f t="shared" si="3"/>
        <v>0</v>
      </c>
      <c r="AD12" s="101"/>
    </row>
    <row r="13" ht="22.5" customHeight="1">
      <c r="A13" s="110">
        <v>406.0</v>
      </c>
      <c r="B13" s="111"/>
      <c r="C13" s="132"/>
      <c r="D13" s="118"/>
      <c r="E13" s="118"/>
      <c r="F13" s="118"/>
      <c r="G13" s="118"/>
      <c r="H13" s="120"/>
      <c r="I13" s="120"/>
      <c r="J13" s="121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5"/>
      <c r="V13" s="125"/>
      <c r="W13" s="123">
        <f t="shared" si="1"/>
        <v>0</v>
      </c>
      <c r="X13" s="125"/>
      <c r="Y13" s="125"/>
      <c r="Z13" s="126">
        <f t="shared" si="2"/>
        <v>0</v>
      </c>
      <c r="AA13" s="127"/>
      <c r="AB13" s="101" t="s">
        <v>131</v>
      </c>
      <c r="AC13" s="128">
        <f t="shared" si="3"/>
        <v>0</v>
      </c>
      <c r="AD13" s="101"/>
    </row>
    <row r="14" ht="22.5" customHeight="1">
      <c r="A14" s="110">
        <v>407.0</v>
      </c>
      <c r="B14" s="111" t="s">
        <v>28</v>
      </c>
      <c r="C14" s="132"/>
      <c r="D14" s="119">
        <v>40000.0</v>
      </c>
      <c r="E14" s="119">
        <v>5000.0</v>
      </c>
      <c r="F14" s="119">
        <v>5000.0</v>
      </c>
      <c r="G14" s="119">
        <v>2000.0</v>
      </c>
      <c r="H14" s="120">
        <v>10000.0</v>
      </c>
      <c r="I14" s="120">
        <v>39930.0</v>
      </c>
      <c r="J14" s="121">
        <v>-49888.0</v>
      </c>
      <c r="K14" s="120">
        <v>7502.0</v>
      </c>
      <c r="L14" s="120">
        <v>2263.0</v>
      </c>
      <c r="M14" s="120"/>
      <c r="N14" s="120"/>
      <c r="O14" s="120"/>
      <c r="P14" s="120"/>
      <c r="Q14" s="120">
        <v>8928.0</v>
      </c>
      <c r="R14" s="120"/>
      <c r="S14" s="120"/>
      <c r="T14" s="120"/>
      <c r="U14" s="125"/>
      <c r="V14" s="125"/>
      <c r="W14" s="123">
        <f t="shared" si="1"/>
        <v>70735</v>
      </c>
      <c r="X14" s="125">
        <v>24265.0</v>
      </c>
      <c r="Y14" s="125">
        <v>5000.0</v>
      </c>
      <c r="Z14" s="126">
        <f t="shared" si="2"/>
        <v>100000</v>
      </c>
      <c r="AA14" s="127">
        <v>100000.0</v>
      </c>
      <c r="AB14" s="101" t="s">
        <v>131</v>
      </c>
      <c r="AC14" s="128">
        <f t="shared" si="3"/>
        <v>0</v>
      </c>
      <c r="AD14" s="134"/>
      <c r="AE14" s="135"/>
      <c r="AF14" s="135"/>
      <c r="AG14" s="135"/>
      <c r="AH14" s="135"/>
      <c r="AI14" s="135"/>
      <c r="AJ14" s="135"/>
    </row>
    <row r="15" ht="22.5" customHeight="1">
      <c r="A15" s="110">
        <v>408.0</v>
      </c>
      <c r="B15" s="111"/>
      <c r="C15" s="132"/>
      <c r="D15" s="125"/>
      <c r="E15" s="125"/>
      <c r="F15" s="125"/>
      <c r="G15" s="125"/>
      <c r="H15" s="120"/>
      <c r="I15" s="120"/>
      <c r="J15" s="121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5"/>
      <c r="V15" s="125"/>
      <c r="W15" s="123">
        <f t="shared" si="1"/>
        <v>0</v>
      </c>
      <c r="X15" s="125"/>
      <c r="Y15" s="125"/>
      <c r="Z15" s="126">
        <f t="shared" si="2"/>
        <v>0</v>
      </c>
      <c r="AA15" s="136"/>
      <c r="AB15" s="101" t="s">
        <v>131</v>
      </c>
      <c r="AC15" s="128">
        <f t="shared" si="3"/>
        <v>0</v>
      </c>
      <c r="AD15" s="134"/>
      <c r="AE15" s="135"/>
      <c r="AF15" s="135"/>
      <c r="AG15" s="135"/>
      <c r="AH15" s="135"/>
      <c r="AI15" s="135"/>
      <c r="AJ15" s="135"/>
    </row>
    <row r="16" ht="22.5" customHeight="1">
      <c r="A16" s="110">
        <v>415.0</v>
      </c>
      <c r="B16" s="111" t="s">
        <v>31</v>
      </c>
      <c r="C16" s="132">
        <v>128000.0</v>
      </c>
      <c r="D16" s="125">
        <v>40000.0</v>
      </c>
      <c r="E16" s="125">
        <v>5000.0</v>
      </c>
      <c r="F16" s="125">
        <v>5000.0</v>
      </c>
      <c r="G16" s="125">
        <v>2000.0</v>
      </c>
      <c r="H16" s="120">
        <v>0.0</v>
      </c>
      <c r="I16" s="120"/>
      <c r="J16" s="121"/>
      <c r="K16" s="120"/>
      <c r="L16" s="120"/>
      <c r="M16" s="120">
        <v>5000.0</v>
      </c>
      <c r="N16" s="120"/>
      <c r="O16" s="120"/>
      <c r="P16" s="120"/>
      <c r="Q16" s="120"/>
      <c r="R16" s="120"/>
      <c r="S16" s="120"/>
      <c r="T16" s="120"/>
      <c r="U16" s="125"/>
      <c r="V16" s="125"/>
      <c r="W16" s="123">
        <f t="shared" si="1"/>
        <v>57000</v>
      </c>
      <c r="X16" s="125"/>
      <c r="Y16" s="125"/>
      <c r="Z16" s="126">
        <f t="shared" si="2"/>
        <v>57000</v>
      </c>
      <c r="AA16" s="136"/>
      <c r="AB16" s="101" t="s">
        <v>131</v>
      </c>
      <c r="AC16" s="128">
        <f t="shared" si="3"/>
        <v>123000</v>
      </c>
      <c r="AD16" s="134"/>
      <c r="AE16" s="135"/>
      <c r="AF16" s="135"/>
      <c r="AG16" s="135"/>
      <c r="AH16" s="135"/>
      <c r="AI16" s="135"/>
      <c r="AJ16" s="135"/>
    </row>
    <row r="17" ht="22.5" customHeight="1">
      <c r="A17" s="110">
        <v>601.0</v>
      </c>
      <c r="B17" s="111" t="s">
        <v>34</v>
      </c>
      <c r="C17" s="132">
        <v>134000.0</v>
      </c>
      <c r="D17" s="119">
        <v>40000.0</v>
      </c>
      <c r="E17" s="119">
        <v>5000.0</v>
      </c>
      <c r="F17" s="119">
        <v>5000.0</v>
      </c>
      <c r="G17" s="119">
        <v>2000.0</v>
      </c>
      <c r="H17" s="120">
        <v>10000.0</v>
      </c>
      <c r="I17" s="120">
        <v>42130.0</v>
      </c>
      <c r="J17" s="121">
        <v>-66911.0</v>
      </c>
      <c r="K17" s="120">
        <v>7502.0</v>
      </c>
      <c r="L17" s="120">
        <v>4495.0</v>
      </c>
      <c r="M17" s="120"/>
      <c r="N17" s="120"/>
      <c r="O17" s="120">
        <v>10017.0</v>
      </c>
      <c r="P17" s="120"/>
      <c r="Q17" s="120">
        <v>5468.0</v>
      </c>
      <c r="R17" s="120"/>
      <c r="S17" s="120"/>
      <c r="T17" s="120"/>
      <c r="U17" s="125"/>
      <c r="V17" s="125"/>
      <c r="W17" s="123">
        <f t="shared" si="1"/>
        <v>64701</v>
      </c>
      <c r="X17" s="125">
        <v>35299.0</v>
      </c>
      <c r="Y17" s="125"/>
      <c r="Z17" s="126">
        <f t="shared" si="2"/>
        <v>100000</v>
      </c>
      <c r="AA17" s="127">
        <v>100000.0</v>
      </c>
      <c r="AB17" s="101" t="s">
        <v>131</v>
      </c>
      <c r="AC17" s="128">
        <f t="shared" si="3"/>
        <v>134000</v>
      </c>
      <c r="AD17" s="134"/>
      <c r="AE17" s="135"/>
      <c r="AF17" s="135"/>
      <c r="AG17" s="135"/>
      <c r="AH17" s="135"/>
      <c r="AI17" s="135"/>
      <c r="AJ17" s="135"/>
    </row>
    <row r="18" ht="22.5" customHeight="1">
      <c r="A18" s="110">
        <v>608.0</v>
      </c>
      <c r="B18" s="111"/>
      <c r="C18" s="132"/>
      <c r="D18" s="125">
        <v>0.0</v>
      </c>
      <c r="E18" s="125">
        <v>0.0</v>
      </c>
      <c r="F18" s="125">
        <v>0.0</v>
      </c>
      <c r="G18" s="125">
        <v>0.0</v>
      </c>
      <c r="H18" s="120">
        <v>0.0</v>
      </c>
      <c r="I18" s="120"/>
      <c r="J18" s="121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5"/>
      <c r="V18" s="125"/>
      <c r="W18" s="123">
        <f t="shared" si="1"/>
        <v>0</v>
      </c>
      <c r="X18" s="125"/>
      <c r="Y18" s="125"/>
      <c r="Z18" s="126">
        <f t="shared" si="2"/>
        <v>0</v>
      </c>
      <c r="AA18" s="136">
        <v>62000.0</v>
      </c>
      <c r="AB18" s="101" t="s">
        <v>131</v>
      </c>
      <c r="AC18" s="128">
        <f t="shared" si="3"/>
        <v>0</v>
      </c>
      <c r="AD18" s="134"/>
      <c r="AE18" s="135"/>
      <c r="AF18" s="135"/>
      <c r="AG18" s="135"/>
      <c r="AH18" s="135"/>
      <c r="AI18" s="135"/>
      <c r="AJ18" s="135"/>
    </row>
    <row r="19" ht="22.5" customHeight="1">
      <c r="A19" s="110">
        <v>703.0</v>
      </c>
      <c r="B19" s="111" t="s">
        <v>38</v>
      </c>
      <c r="C19" s="132"/>
      <c r="D19" s="119">
        <v>40000.0</v>
      </c>
      <c r="E19" s="119">
        <v>5000.0</v>
      </c>
      <c r="F19" s="119">
        <v>5000.0</v>
      </c>
      <c r="G19" s="119">
        <v>2000.0</v>
      </c>
      <c r="H19" s="120">
        <v>10000.0</v>
      </c>
      <c r="I19" s="120">
        <v>44330.0</v>
      </c>
      <c r="J19" s="121">
        <v>-110783.0</v>
      </c>
      <c r="K19" s="120">
        <v>28148.0</v>
      </c>
      <c r="L19" s="120">
        <v>4495.0</v>
      </c>
      <c r="M19" s="120"/>
      <c r="N19" s="120"/>
      <c r="O19" s="120">
        <v>14371.0</v>
      </c>
      <c r="P19" s="120"/>
      <c r="Q19" s="120">
        <v>9338.0</v>
      </c>
      <c r="R19" s="120"/>
      <c r="S19" s="120"/>
      <c r="T19" s="120"/>
      <c r="U19" s="125"/>
      <c r="V19" s="125"/>
      <c r="W19" s="123">
        <f t="shared" si="1"/>
        <v>51899</v>
      </c>
      <c r="X19" s="125">
        <v>23101.0</v>
      </c>
      <c r="Y19" s="125">
        <v>5000.0</v>
      </c>
      <c r="Z19" s="126">
        <f t="shared" si="2"/>
        <v>80000</v>
      </c>
      <c r="AA19" s="127">
        <v>80000.0</v>
      </c>
      <c r="AB19" s="101" t="s">
        <v>131</v>
      </c>
      <c r="AC19" s="128">
        <f t="shared" si="3"/>
        <v>0</v>
      </c>
      <c r="AD19" s="134"/>
      <c r="AE19" s="135"/>
      <c r="AF19" s="135"/>
      <c r="AG19" s="135"/>
      <c r="AH19" s="135"/>
      <c r="AI19" s="135"/>
      <c r="AJ19" s="135"/>
    </row>
    <row r="20" ht="22.5" customHeight="1">
      <c r="A20" s="110">
        <v>715.0</v>
      </c>
      <c r="B20" s="111" t="s">
        <v>39</v>
      </c>
      <c r="C20" s="132"/>
      <c r="D20" s="119">
        <v>40000.0</v>
      </c>
      <c r="E20" s="119">
        <v>5000.0</v>
      </c>
      <c r="F20" s="119">
        <v>5000.0</v>
      </c>
      <c r="G20" s="119">
        <v>2000.0</v>
      </c>
      <c r="H20" s="120">
        <v>10000.0</v>
      </c>
      <c r="I20" s="120">
        <v>44330.0</v>
      </c>
      <c r="J20" s="121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5"/>
      <c r="V20" s="125"/>
      <c r="W20" s="123">
        <f t="shared" si="1"/>
        <v>106330</v>
      </c>
      <c r="X20" s="125"/>
      <c r="Y20" s="125"/>
      <c r="Z20" s="126">
        <f t="shared" si="2"/>
        <v>106330</v>
      </c>
      <c r="AA20" s="127">
        <v>116000.0</v>
      </c>
      <c r="AB20" s="101" t="s">
        <v>131</v>
      </c>
      <c r="AC20" s="128">
        <f t="shared" si="3"/>
        <v>0</v>
      </c>
      <c r="AD20" s="134"/>
      <c r="AE20" s="135"/>
      <c r="AF20" s="135"/>
      <c r="AG20" s="135"/>
      <c r="AH20" s="135"/>
      <c r="AI20" s="135"/>
      <c r="AJ20" s="135"/>
    </row>
    <row r="21" ht="22.5" customHeight="1">
      <c r="A21" s="110">
        <v>716.0</v>
      </c>
      <c r="B21" s="111" t="s">
        <v>40</v>
      </c>
      <c r="C21" s="132"/>
      <c r="D21" s="119">
        <v>40000.0</v>
      </c>
      <c r="E21" s="119">
        <v>5000.0</v>
      </c>
      <c r="F21" s="119">
        <v>5000.0</v>
      </c>
      <c r="G21" s="119">
        <v>2000.0</v>
      </c>
      <c r="H21" s="120">
        <v>10000.0</v>
      </c>
      <c r="I21" s="120">
        <v>19800.0</v>
      </c>
      <c r="J21" s="121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5"/>
      <c r="V21" s="125"/>
      <c r="W21" s="123">
        <f t="shared" si="1"/>
        <v>81800</v>
      </c>
      <c r="X21" s="125"/>
      <c r="Y21" s="125"/>
      <c r="Z21" s="126">
        <f t="shared" si="2"/>
        <v>81800</v>
      </c>
      <c r="AA21" s="127" t="s">
        <v>132</v>
      </c>
      <c r="AB21" s="101" t="s">
        <v>131</v>
      </c>
      <c r="AC21" s="128">
        <f t="shared" si="3"/>
        <v>0</v>
      </c>
      <c r="AD21" s="134"/>
      <c r="AE21" s="135"/>
      <c r="AF21" s="135"/>
      <c r="AG21" s="135"/>
      <c r="AH21" s="135"/>
      <c r="AI21" s="135"/>
      <c r="AJ21" s="135"/>
    </row>
    <row r="22" ht="22.5" hidden="1" customHeight="1">
      <c r="A22" s="110" t="str">
        <f>'利用者'!A30</f>
        <v/>
      </c>
      <c r="B22" s="111" t="str">
        <f>'利用者'!B30</f>
        <v/>
      </c>
      <c r="C22" s="132"/>
      <c r="D22" s="125"/>
      <c r="E22" s="125"/>
      <c r="F22" s="125"/>
      <c r="G22" s="125"/>
      <c r="H22" s="120"/>
      <c r="I22" s="120"/>
      <c r="J22" s="121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5"/>
      <c r="V22" s="125"/>
      <c r="W22" s="123">
        <f t="shared" si="1"/>
        <v>0</v>
      </c>
      <c r="X22" s="125"/>
      <c r="Y22" s="125"/>
      <c r="Z22" s="126">
        <f t="shared" si="2"/>
        <v>0</v>
      </c>
      <c r="AA22" s="136"/>
      <c r="AB22" s="101" t="s">
        <v>131</v>
      </c>
      <c r="AC22" s="128">
        <f t="shared" si="3"/>
        <v>0</v>
      </c>
      <c r="AD22" s="134"/>
      <c r="AE22" s="135"/>
      <c r="AF22" s="135"/>
      <c r="AG22" s="135"/>
      <c r="AH22" s="135"/>
      <c r="AI22" s="135"/>
      <c r="AJ22" s="135"/>
    </row>
    <row r="23" ht="22.5" hidden="1" customHeight="1">
      <c r="A23" s="110" t="str">
        <f>'利用者'!A31</f>
        <v/>
      </c>
      <c r="B23" s="111" t="str">
        <f>'利用者'!B31</f>
        <v/>
      </c>
      <c r="C23" s="132"/>
      <c r="D23" s="125"/>
      <c r="E23" s="125"/>
      <c r="F23" s="125"/>
      <c r="G23" s="125"/>
      <c r="H23" s="120"/>
      <c r="I23" s="120"/>
      <c r="J23" s="121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5"/>
      <c r="V23" s="125"/>
      <c r="W23" s="123">
        <f t="shared" si="1"/>
        <v>0</v>
      </c>
      <c r="X23" s="125"/>
      <c r="Y23" s="125"/>
      <c r="Z23" s="126">
        <f t="shared" si="2"/>
        <v>0</v>
      </c>
      <c r="AA23" s="136"/>
      <c r="AB23" s="101" t="s">
        <v>131</v>
      </c>
      <c r="AC23" s="128">
        <f t="shared" si="3"/>
        <v>0</v>
      </c>
      <c r="AD23" s="134"/>
      <c r="AE23" s="135"/>
      <c r="AF23" s="135"/>
      <c r="AG23" s="135"/>
      <c r="AH23" s="135"/>
      <c r="AI23" s="135"/>
      <c r="AJ23" s="135"/>
    </row>
    <row r="24" ht="22.5" hidden="1" customHeight="1">
      <c r="A24" s="110" t="str">
        <f>'利用者'!A32</f>
        <v/>
      </c>
      <c r="B24" s="111" t="str">
        <f>'利用者'!B32</f>
        <v/>
      </c>
      <c r="C24" s="132"/>
      <c r="D24" s="125"/>
      <c r="E24" s="125"/>
      <c r="F24" s="125"/>
      <c r="G24" s="125"/>
      <c r="H24" s="120"/>
      <c r="I24" s="120"/>
      <c r="J24" s="121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5"/>
      <c r="V24" s="125"/>
      <c r="W24" s="123">
        <f t="shared" si="1"/>
        <v>0</v>
      </c>
      <c r="X24" s="125"/>
      <c r="Y24" s="125"/>
      <c r="Z24" s="126">
        <f t="shared" si="2"/>
        <v>0</v>
      </c>
      <c r="AA24" s="136"/>
      <c r="AB24" s="101" t="s">
        <v>131</v>
      </c>
      <c r="AC24" s="128">
        <f t="shared" si="3"/>
        <v>0</v>
      </c>
      <c r="AD24" s="134"/>
      <c r="AE24" s="135"/>
      <c r="AF24" s="135"/>
      <c r="AG24" s="135"/>
      <c r="AH24" s="135"/>
      <c r="AI24" s="135"/>
      <c r="AJ24" s="135"/>
    </row>
    <row r="25" ht="22.5" hidden="1" customHeight="1">
      <c r="A25" s="110" t="str">
        <f>'利用者'!A33</f>
        <v/>
      </c>
      <c r="B25" s="111" t="str">
        <f>'利用者'!B33</f>
        <v/>
      </c>
      <c r="C25" s="132"/>
      <c r="D25" s="125"/>
      <c r="E25" s="125"/>
      <c r="F25" s="125"/>
      <c r="G25" s="125"/>
      <c r="H25" s="120"/>
      <c r="I25" s="120"/>
      <c r="J25" s="121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5"/>
      <c r="V25" s="125"/>
      <c r="W25" s="123">
        <f t="shared" si="1"/>
        <v>0</v>
      </c>
      <c r="X25" s="125"/>
      <c r="Y25" s="125"/>
      <c r="Z25" s="126">
        <f t="shared" si="2"/>
        <v>0</v>
      </c>
      <c r="AA25" s="136"/>
      <c r="AB25" s="101" t="s">
        <v>131</v>
      </c>
      <c r="AC25" s="128">
        <f t="shared" si="3"/>
        <v>0</v>
      </c>
      <c r="AD25" s="134"/>
      <c r="AE25" s="135"/>
      <c r="AF25" s="135"/>
      <c r="AG25" s="135"/>
      <c r="AH25" s="135"/>
      <c r="AI25" s="135"/>
      <c r="AJ25" s="135"/>
    </row>
    <row r="26" ht="22.5" hidden="1" customHeight="1">
      <c r="A26" s="110" t="str">
        <f>'利用者'!A34</f>
        <v/>
      </c>
      <c r="B26" s="111" t="str">
        <f>'利用者'!B34</f>
        <v/>
      </c>
      <c r="C26" s="132"/>
      <c r="D26" s="125"/>
      <c r="E26" s="125"/>
      <c r="F26" s="125"/>
      <c r="G26" s="125"/>
      <c r="H26" s="120"/>
      <c r="I26" s="120"/>
      <c r="J26" s="121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5"/>
      <c r="V26" s="125"/>
      <c r="W26" s="123">
        <f t="shared" si="1"/>
        <v>0</v>
      </c>
      <c r="X26" s="125"/>
      <c r="Y26" s="125"/>
      <c r="Z26" s="126">
        <f t="shared" si="2"/>
        <v>0</v>
      </c>
      <c r="AA26" s="136"/>
      <c r="AB26" s="101" t="s">
        <v>131</v>
      </c>
      <c r="AC26" s="128">
        <f t="shared" si="3"/>
        <v>0</v>
      </c>
      <c r="AD26" s="134"/>
      <c r="AE26" s="135"/>
      <c r="AF26" s="135"/>
      <c r="AG26" s="135"/>
      <c r="AH26" s="135"/>
      <c r="AI26" s="135"/>
      <c r="AJ26" s="135"/>
    </row>
    <row r="27" ht="22.5" hidden="1" customHeight="1">
      <c r="A27" s="110" t="str">
        <f>'利用者'!A35</f>
        <v/>
      </c>
      <c r="B27" s="111" t="str">
        <f>'利用者'!B35</f>
        <v/>
      </c>
      <c r="C27" s="132"/>
      <c r="D27" s="125"/>
      <c r="E27" s="125"/>
      <c r="F27" s="125"/>
      <c r="G27" s="125"/>
      <c r="H27" s="120"/>
      <c r="I27" s="120"/>
      <c r="J27" s="121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5"/>
      <c r="V27" s="125"/>
      <c r="W27" s="123">
        <f t="shared" si="1"/>
        <v>0</v>
      </c>
      <c r="X27" s="125"/>
      <c r="Y27" s="125"/>
      <c r="Z27" s="126">
        <f t="shared" si="2"/>
        <v>0</v>
      </c>
      <c r="AA27" s="136"/>
      <c r="AB27" s="101" t="s">
        <v>131</v>
      </c>
      <c r="AC27" s="128">
        <f t="shared" si="3"/>
        <v>0</v>
      </c>
      <c r="AD27" s="134"/>
      <c r="AE27" s="135"/>
      <c r="AF27" s="135"/>
      <c r="AG27" s="135"/>
      <c r="AH27" s="135"/>
      <c r="AI27" s="135"/>
      <c r="AJ27" s="135"/>
    </row>
    <row r="28" ht="22.5" hidden="1" customHeight="1">
      <c r="A28" s="110" t="str">
        <f>'利用者'!A36</f>
        <v/>
      </c>
      <c r="B28" s="111" t="str">
        <f>'利用者'!B36</f>
        <v/>
      </c>
      <c r="C28" s="132"/>
      <c r="D28" s="125"/>
      <c r="E28" s="125"/>
      <c r="F28" s="125"/>
      <c r="G28" s="125"/>
      <c r="H28" s="120"/>
      <c r="I28" s="120"/>
      <c r="J28" s="121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5"/>
      <c r="V28" s="125"/>
      <c r="W28" s="123">
        <f t="shared" si="1"/>
        <v>0</v>
      </c>
      <c r="X28" s="125"/>
      <c r="Y28" s="125"/>
      <c r="Z28" s="126">
        <f t="shared" si="2"/>
        <v>0</v>
      </c>
      <c r="AA28" s="136"/>
      <c r="AB28" s="101" t="s">
        <v>131</v>
      </c>
      <c r="AC28" s="128">
        <f t="shared" si="3"/>
        <v>0</v>
      </c>
      <c r="AD28" s="134"/>
      <c r="AE28" s="135"/>
      <c r="AF28" s="135"/>
      <c r="AG28" s="135"/>
      <c r="AH28" s="135"/>
      <c r="AI28" s="135"/>
      <c r="AJ28" s="135"/>
    </row>
    <row r="29" ht="22.5" hidden="1" customHeight="1">
      <c r="A29" s="110" t="str">
        <f>'利用者'!A37</f>
        <v/>
      </c>
      <c r="B29" s="111" t="str">
        <f>'利用者'!B37</f>
        <v/>
      </c>
      <c r="C29" s="132"/>
      <c r="D29" s="125"/>
      <c r="E29" s="125"/>
      <c r="F29" s="125"/>
      <c r="G29" s="125"/>
      <c r="H29" s="120"/>
      <c r="I29" s="120"/>
      <c r="J29" s="121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5"/>
      <c r="V29" s="125"/>
      <c r="W29" s="123">
        <f t="shared" si="1"/>
        <v>0</v>
      </c>
      <c r="X29" s="125"/>
      <c r="Y29" s="125"/>
      <c r="Z29" s="126">
        <f t="shared" si="2"/>
        <v>0</v>
      </c>
      <c r="AA29" s="136"/>
      <c r="AB29" s="101" t="s">
        <v>131</v>
      </c>
      <c r="AC29" s="128">
        <f t="shared" si="3"/>
        <v>0</v>
      </c>
      <c r="AD29" s="134"/>
      <c r="AE29" s="135"/>
      <c r="AF29" s="135"/>
      <c r="AG29" s="135"/>
      <c r="AH29" s="135"/>
      <c r="AI29" s="135"/>
      <c r="AJ29" s="135"/>
    </row>
    <row r="30" ht="22.5" hidden="1" customHeight="1">
      <c r="A30" s="110" t="str">
        <f>'利用者'!A38</f>
        <v/>
      </c>
      <c r="B30" s="111" t="str">
        <f>'利用者'!B38</f>
        <v/>
      </c>
      <c r="C30" s="132"/>
      <c r="D30" s="125"/>
      <c r="E30" s="125"/>
      <c r="F30" s="125"/>
      <c r="G30" s="125"/>
      <c r="H30" s="120"/>
      <c r="I30" s="120"/>
      <c r="J30" s="12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5"/>
      <c r="V30" s="125"/>
      <c r="W30" s="123">
        <f t="shared" si="1"/>
        <v>0</v>
      </c>
      <c r="X30" s="125"/>
      <c r="Y30" s="125"/>
      <c r="Z30" s="126">
        <f t="shared" si="2"/>
        <v>0</v>
      </c>
      <c r="AA30" s="136"/>
      <c r="AB30" s="101" t="s">
        <v>131</v>
      </c>
      <c r="AC30" s="128">
        <f t="shared" si="3"/>
        <v>0</v>
      </c>
      <c r="AD30" s="134"/>
      <c r="AE30" s="135"/>
      <c r="AF30" s="135"/>
      <c r="AG30" s="135"/>
      <c r="AH30" s="135"/>
      <c r="AI30" s="135"/>
      <c r="AJ30" s="135"/>
    </row>
    <row r="31" ht="22.5" hidden="1" customHeight="1">
      <c r="A31" s="110" t="str">
        <f>'利用者'!A39</f>
        <v/>
      </c>
      <c r="B31" s="111" t="str">
        <f>'利用者'!B39</f>
        <v/>
      </c>
      <c r="C31" s="132"/>
      <c r="D31" s="125"/>
      <c r="E31" s="125"/>
      <c r="F31" s="125"/>
      <c r="G31" s="125"/>
      <c r="H31" s="120"/>
      <c r="I31" s="120"/>
      <c r="J31" s="121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5"/>
      <c r="V31" s="125"/>
      <c r="W31" s="123">
        <f t="shared" si="1"/>
        <v>0</v>
      </c>
      <c r="X31" s="125"/>
      <c r="Y31" s="125"/>
      <c r="Z31" s="126">
        <f t="shared" si="2"/>
        <v>0</v>
      </c>
      <c r="AA31" s="136"/>
      <c r="AB31" s="101" t="s">
        <v>131</v>
      </c>
      <c r="AC31" s="128">
        <f t="shared" si="3"/>
        <v>0</v>
      </c>
      <c r="AD31" s="134"/>
      <c r="AE31" s="135"/>
      <c r="AF31" s="135"/>
      <c r="AG31" s="135"/>
      <c r="AH31" s="135"/>
      <c r="AI31" s="135"/>
      <c r="AJ31" s="135"/>
    </row>
    <row r="32" ht="22.5" hidden="1" customHeight="1">
      <c r="A32" s="110" t="str">
        <f>'利用者'!A40</f>
        <v/>
      </c>
      <c r="B32" s="111" t="str">
        <f>'利用者'!B40</f>
        <v/>
      </c>
      <c r="C32" s="132"/>
      <c r="D32" s="125"/>
      <c r="E32" s="125"/>
      <c r="F32" s="125"/>
      <c r="G32" s="125"/>
      <c r="H32" s="120"/>
      <c r="I32" s="120"/>
      <c r="J32" s="121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5"/>
      <c r="V32" s="125"/>
      <c r="W32" s="123">
        <f t="shared" si="1"/>
        <v>0</v>
      </c>
      <c r="X32" s="125"/>
      <c r="Y32" s="125"/>
      <c r="Z32" s="126">
        <f t="shared" si="2"/>
        <v>0</v>
      </c>
      <c r="AA32" s="136"/>
      <c r="AB32" s="101" t="s">
        <v>131</v>
      </c>
      <c r="AC32" s="128">
        <f t="shared" si="3"/>
        <v>0</v>
      </c>
      <c r="AD32" s="134"/>
      <c r="AE32" s="135"/>
      <c r="AF32" s="135"/>
      <c r="AG32" s="135"/>
      <c r="AH32" s="135"/>
      <c r="AI32" s="135"/>
      <c r="AJ32" s="135"/>
    </row>
    <row r="33" ht="22.5" hidden="1" customHeight="1">
      <c r="A33" s="110" t="str">
        <f>'利用者'!A41</f>
        <v/>
      </c>
      <c r="B33" s="111" t="str">
        <f>'利用者'!B41</f>
        <v/>
      </c>
      <c r="C33" s="132"/>
      <c r="D33" s="125"/>
      <c r="E33" s="125"/>
      <c r="F33" s="125"/>
      <c r="G33" s="125"/>
      <c r="H33" s="120"/>
      <c r="I33" s="120"/>
      <c r="J33" s="121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5"/>
      <c r="V33" s="125"/>
      <c r="W33" s="123">
        <f t="shared" si="1"/>
        <v>0</v>
      </c>
      <c r="X33" s="125"/>
      <c r="Y33" s="125"/>
      <c r="Z33" s="126">
        <f t="shared" si="2"/>
        <v>0</v>
      </c>
      <c r="AA33" s="136"/>
      <c r="AB33" s="101" t="s">
        <v>131</v>
      </c>
      <c r="AC33" s="128">
        <f t="shared" si="3"/>
        <v>0</v>
      </c>
      <c r="AD33" s="134"/>
      <c r="AE33" s="135"/>
      <c r="AF33" s="135"/>
      <c r="AG33" s="135"/>
      <c r="AH33" s="135"/>
      <c r="AI33" s="135"/>
      <c r="AJ33" s="135"/>
    </row>
    <row r="34" ht="22.5" hidden="1" customHeight="1">
      <c r="A34" s="110" t="str">
        <f>'利用者'!A42</f>
        <v/>
      </c>
      <c r="B34" s="111" t="str">
        <f>'利用者'!B42</f>
        <v/>
      </c>
      <c r="C34" s="132"/>
      <c r="D34" s="125"/>
      <c r="E34" s="125"/>
      <c r="F34" s="125"/>
      <c r="G34" s="125"/>
      <c r="H34" s="120"/>
      <c r="I34" s="120"/>
      <c r="J34" s="121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5"/>
      <c r="V34" s="125"/>
      <c r="W34" s="123">
        <f t="shared" si="1"/>
        <v>0</v>
      </c>
      <c r="X34" s="125"/>
      <c r="Y34" s="125"/>
      <c r="Z34" s="126">
        <f t="shared" si="2"/>
        <v>0</v>
      </c>
      <c r="AA34" s="136"/>
      <c r="AB34" s="101" t="s">
        <v>131</v>
      </c>
      <c r="AC34" s="128">
        <f t="shared" si="3"/>
        <v>0</v>
      </c>
      <c r="AD34" s="134"/>
      <c r="AE34" s="135"/>
      <c r="AF34" s="135"/>
      <c r="AG34" s="135"/>
      <c r="AH34" s="135"/>
      <c r="AI34" s="135"/>
      <c r="AJ34" s="135"/>
    </row>
    <row r="35" ht="22.5" hidden="1" customHeight="1">
      <c r="A35" s="110" t="str">
        <f>'利用者'!A43</f>
        <v/>
      </c>
      <c r="B35" s="111" t="str">
        <f>'利用者'!B43</f>
        <v/>
      </c>
      <c r="C35" s="132"/>
      <c r="D35" s="125"/>
      <c r="E35" s="125"/>
      <c r="F35" s="125"/>
      <c r="G35" s="125"/>
      <c r="H35" s="120"/>
      <c r="I35" s="120"/>
      <c r="J35" s="12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5"/>
      <c r="V35" s="125"/>
      <c r="W35" s="123">
        <f t="shared" si="1"/>
        <v>0</v>
      </c>
      <c r="X35" s="125"/>
      <c r="Y35" s="125"/>
      <c r="Z35" s="126">
        <f t="shared" si="2"/>
        <v>0</v>
      </c>
      <c r="AA35" s="136"/>
      <c r="AB35" s="101" t="s">
        <v>131</v>
      </c>
      <c r="AC35" s="128">
        <f t="shared" si="3"/>
        <v>0</v>
      </c>
      <c r="AD35" s="134"/>
      <c r="AE35" s="135"/>
      <c r="AF35" s="135"/>
      <c r="AG35" s="135"/>
      <c r="AH35" s="135"/>
      <c r="AI35" s="135"/>
      <c r="AJ35" s="135"/>
    </row>
    <row r="36" ht="22.5" hidden="1" customHeight="1">
      <c r="A36" s="110" t="str">
        <f>'利用者'!A44</f>
        <v/>
      </c>
      <c r="B36" s="111" t="str">
        <f>'利用者'!B44</f>
        <v/>
      </c>
      <c r="C36" s="132"/>
      <c r="D36" s="125"/>
      <c r="E36" s="125"/>
      <c r="F36" s="125"/>
      <c r="G36" s="125"/>
      <c r="H36" s="120"/>
      <c r="I36" s="120"/>
      <c r="J36" s="12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5"/>
      <c r="V36" s="125"/>
      <c r="W36" s="123">
        <f t="shared" si="1"/>
        <v>0</v>
      </c>
      <c r="X36" s="125"/>
      <c r="Y36" s="125"/>
      <c r="Z36" s="126">
        <f t="shared" si="2"/>
        <v>0</v>
      </c>
      <c r="AA36" s="136"/>
      <c r="AB36" s="101" t="s">
        <v>131</v>
      </c>
      <c r="AC36" s="128">
        <f t="shared" si="3"/>
        <v>0</v>
      </c>
      <c r="AD36" s="134"/>
      <c r="AE36" s="135"/>
      <c r="AF36" s="135"/>
      <c r="AG36" s="135"/>
      <c r="AH36" s="135"/>
      <c r="AI36" s="135"/>
      <c r="AJ36" s="135"/>
    </row>
    <row r="37" ht="22.5" hidden="1" customHeight="1">
      <c r="A37" s="110" t="str">
        <f>'利用者'!A45</f>
        <v/>
      </c>
      <c r="B37" s="111" t="str">
        <f>'利用者'!B45</f>
        <v/>
      </c>
      <c r="C37" s="132"/>
      <c r="D37" s="125"/>
      <c r="E37" s="125"/>
      <c r="F37" s="125"/>
      <c r="G37" s="125"/>
      <c r="H37" s="120"/>
      <c r="I37" s="120"/>
      <c r="J37" s="121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5"/>
      <c r="V37" s="125"/>
      <c r="W37" s="123">
        <f t="shared" si="1"/>
        <v>0</v>
      </c>
      <c r="X37" s="125"/>
      <c r="Y37" s="125"/>
      <c r="Z37" s="126">
        <f t="shared" si="2"/>
        <v>0</v>
      </c>
      <c r="AA37" s="136"/>
      <c r="AB37" s="101" t="s">
        <v>131</v>
      </c>
      <c r="AC37" s="128">
        <f t="shared" si="3"/>
        <v>0</v>
      </c>
      <c r="AD37" s="134"/>
      <c r="AE37" s="135"/>
      <c r="AF37" s="135"/>
      <c r="AG37" s="135"/>
      <c r="AH37" s="135"/>
      <c r="AI37" s="135"/>
      <c r="AJ37" s="135"/>
    </row>
    <row r="38" ht="22.5" hidden="1" customHeight="1">
      <c r="A38" s="110" t="str">
        <f>'利用者'!A46</f>
        <v/>
      </c>
      <c r="B38" s="111" t="str">
        <f>'利用者'!B46</f>
        <v/>
      </c>
      <c r="C38" s="132"/>
      <c r="D38" s="125"/>
      <c r="E38" s="125"/>
      <c r="F38" s="125"/>
      <c r="G38" s="125"/>
      <c r="H38" s="120"/>
      <c r="I38" s="120"/>
      <c r="J38" s="121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5"/>
      <c r="V38" s="125"/>
      <c r="W38" s="123">
        <f t="shared" si="1"/>
        <v>0</v>
      </c>
      <c r="X38" s="125"/>
      <c r="Y38" s="125"/>
      <c r="Z38" s="126">
        <f t="shared" si="2"/>
        <v>0</v>
      </c>
      <c r="AA38" s="136"/>
      <c r="AB38" s="101" t="s">
        <v>131</v>
      </c>
      <c r="AC38" s="128">
        <f t="shared" si="3"/>
        <v>0</v>
      </c>
      <c r="AD38" s="134"/>
      <c r="AE38" s="135"/>
      <c r="AF38" s="135"/>
      <c r="AG38" s="135"/>
      <c r="AH38" s="135"/>
      <c r="AI38" s="135"/>
      <c r="AJ38" s="135"/>
    </row>
    <row r="39" ht="22.5" hidden="1" customHeight="1">
      <c r="A39" s="110" t="str">
        <f>'利用者'!A47</f>
        <v/>
      </c>
      <c r="B39" s="111" t="str">
        <f>'利用者'!B47</f>
        <v/>
      </c>
      <c r="C39" s="132"/>
      <c r="D39" s="125"/>
      <c r="E39" s="125"/>
      <c r="F39" s="125"/>
      <c r="G39" s="125"/>
      <c r="H39" s="120"/>
      <c r="I39" s="120"/>
      <c r="J39" s="121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5"/>
      <c r="V39" s="125"/>
      <c r="W39" s="123">
        <f t="shared" si="1"/>
        <v>0</v>
      </c>
      <c r="X39" s="125"/>
      <c r="Y39" s="125"/>
      <c r="Z39" s="126">
        <f t="shared" si="2"/>
        <v>0</v>
      </c>
      <c r="AA39" s="136"/>
      <c r="AB39" s="101" t="s">
        <v>131</v>
      </c>
      <c r="AC39" s="128">
        <f t="shared" si="3"/>
        <v>0</v>
      </c>
      <c r="AD39" s="134"/>
      <c r="AE39" s="135"/>
      <c r="AF39" s="135"/>
      <c r="AG39" s="135"/>
      <c r="AH39" s="135"/>
      <c r="AI39" s="135"/>
      <c r="AJ39" s="135"/>
    </row>
    <row r="40" ht="22.5" hidden="1" customHeight="1">
      <c r="A40" s="110" t="str">
        <f>'利用者'!A48</f>
        <v/>
      </c>
      <c r="B40" s="111" t="str">
        <f>'利用者'!B48</f>
        <v/>
      </c>
      <c r="C40" s="132"/>
      <c r="D40" s="125"/>
      <c r="E40" s="125"/>
      <c r="F40" s="125"/>
      <c r="G40" s="125"/>
      <c r="H40" s="120"/>
      <c r="I40" s="120"/>
      <c r="J40" s="121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5"/>
      <c r="V40" s="125"/>
      <c r="W40" s="123">
        <f t="shared" si="1"/>
        <v>0</v>
      </c>
      <c r="X40" s="125"/>
      <c r="Y40" s="125"/>
      <c r="Z40" s="126">
        <f t="shared" si="2"/>
        <v>0</v>
      </c>
      <c r="AA40" s="136"/>
      <c r="AB40" s="101" t="s">
        <v>131</v>
      </c>
      <c r="AC40" s="128">
        <f t="shared" si="3"/>
        <v>0</v>
      </c>
      <c r="AD40" s="134"/>
      <c r="AE40" s="135"/>
      <c r="AF40" s="135"/>
      <c r="AG40" s="135"/>
      <c r="AH40" s="135"/>
      <c r="AI40" s="135"/>
      <c r="AJ40" s="135"/>
    </row>
    <row r="41" ht="22.5" hidden="1" customHeight="1">
      <c r="A41" s="110" t="str">
        <f>'利用者'!A49</f>
        <v/>
      </c>
      <c r="B41" s="111" t="str">
        <f>'利用者'!B49</f>
        <v/>
      </c>
      <c r="C41" s="132"/>
      <c r="D41" s="125"/>
      <c r="E41" s="125"/>
      <c r="F41" s="125"/>
      <c r="G41" s="125"/>
      <c r="H41" s="120"/>
      <c r="I41" s="120"/>
      <c r="J41" s="121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5"/>
      <c r="V41" s="125"/>
      <c r="W41" s="123">
        <f t="shared" si="1"/>
        <v>0</v>
      </c>
      <c r="X41" s="125"/>
      <c r="Y41" s="125"/>
      <c r="Z41" s="126">
        <f t="shared" si="2"/>
        <v>0</v>
      </c>
      <c r="AA41" s="136"/>
      <c r="AB41" s="101" t="s">
        <v>131</v>
      </c>
      <c r="AC41" s="128">
        <f t="shared" si="3"/>
        <v>0</v>
      </c>
      <c r="AD41" s="134"/>
      <c r="AE41" s="135"/>
      <c r="AF41" s="135"/>
      <c r="AG41" s="135"/>
      <c r="AH41" s="135"/>
      <c r="AI41" s="135"/>
      <c r="AJ41" s="135"/>
    </row>
    <row r="42" ht="22.5" hidden="1" customHeight="1">
      <c r="A42" s="110" t="str">
        <f>'利用者'!A50</f>
        <v/>
      </c>
      <c r="B42" s="111" t="str">
        <f>'利用者'!B50</f>
        <v/>
      </c>
      <c r="C42" s="132"/>
      <c r="D42" s="125"/>
      <c r="E42" s="125"/>
      <c r="F42" s="125"/>
      <c r="G42" s="125"/>
      <c r="H42" s="120"/>
      <c r="I42" s="120"/>
      <c r="J42" s="121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5"/>
      <c r="V42" s="125"/>
      <c r="W42" s="123">
        <f t="shared" si="1"/>
        <v>0</v>
      </c>
      <c r="X42" s="125"/>
      <c r="Y42" s="125"/>
      <c r="Z42" s="126">
        <f t="shared" si="2"/>
        <v>0</v>
      </c>
      <c r="AA42" s="136"/>
      <c r="AB42" s="101" t="s">
        <v>131</v>
      </c>
      <c r="AC42" s="128">
        <f t="shared" si="3"/>
        <v>0</v>
      </c>
      <c r="AD42" s="134"/>
      <c r="AE42" s="135"/>
      <c r="AF42" s="135"/>
      <c r="AG42" s="135"/>
      <c r="AH42" s="135"/>
      <c r="AI42" s="135"/>
      <c r="AJ42" s="135"/>
    </row>
    <row r="43" ht="22.5" hidden="1" customHeight="1">
      <c r="A43" s="110" t="str">
        <f>'利用者'!A51</f>
        <v/>
      </c>
      <c r="B43" s="111" t="str">
        <f>'利用者'!B51</f>
        <v/>
      </c>
      <c r="C43" s="132"/>
      <c r="D43" s="125"/>
      <c r="E43" s="125"/>
      <c r="F43" s="125"/>
      <c r="G43" s="125"/>
      <c r="H43" s="120"/>
      <c r="I43" s="120"/>
      <c r="J43" s="121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5"/>
      <c r="V43" s="125"/>
      <c r="W43" s="123">
        <f t="shared" si="1"/>
        <v>0</v>
      </c>
      <c r="X43" s="125"/>
      <c r="Y43" s="125"/>
      <c r="Z43" s="126">
        <f t="shared" si="2"/>
        <v>0</v>
      </c>
      <c r="AA43" s="136"/>
      <c r="AB43" s="101" t="s">
        <v>131</v>
      </c>
      <c r="AC43" s="128">
        <f t="shared" si="3"/>
        <v>0</v>
      </c>
      <c r="AD43" s="134"/>
      <c r="AE43" s="135"/>
      <c r="AF43" s="135"/>
      <c r="AG43" s="135"/>
      <c r="AH43" s="135"/>
      <c r="AI43" s="135"/>
      <c r="AJ43" s="135"/>
    </row>
    <row r="44" ht="22.5" hidden="1" customHeight="1">
      <c r="A44" s="110" t="str">
        <f>'利用者'!A52</f>
        <v/>
      </c>
      <c r="B44" s="111" t="str">
        <f>'利用者'!B52</f>
        <v/>
      </c>
      <c r="C44" s="132"/>
      <c r="D44" s="125"/>
      <c r="E44" s="125"/>
      <c r="F44" s="125"/>
      <c r="G44" s="125"/>
      <c r="H44" s="120"/>
      <c r="I44" s="120"/>
      <c r="J44" s="121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5"/>
      <c r="V44" s="125"/>
      <c r="W44" s="123">
        <f t="shared" si="1"/>
        <v>0</v>
      </c>
      <c r="X44" s="125"/>
      <c r="Y44" s="125"/>
      <c r="Z44" s="126">
        <f t="shared" si="2"/>
        <v>0</v>
      </c>
      <c r="AA44" s="136"/>
      <c r="AB44" s="101" t="s">
        <v>131</v>
      </c>
      <c r="AC44" s="128">
        <f t="shared" si="3"/>
        <v>0</v>
      </c>
      <c r="AD44" s="134"/>
      <c r="AE44" s="135"/>
      <c r="AF44" s="135"/>
      <c r="AG44" s="135"/>
      <c r="AH44" s="135"/>
      <c r="AI44" s="135"/>
      <c r="AJ44" s="135"/>
    </row>
    <row r="45" ht="22.5" hidden="1" customHeight="1">
      <c r="A45" s="110" t="str">
        <f>'利用者'!A53</f>
        <v/>
      </c>
      <c r="B45" s="111" t="str">
        <f>'利用者'!B53</f>
        <v/>
      </c>
      <c r="C45" s="132"/>
      <c r="D45" s="125"/>
      <c r="E45" s="125"/>
      <c r="F45" s="125"/>
      <c r="G45" s="125"/>
      <c r="H45" s="120"/>
      <c r="I45" s="120"/>
      <c r="J45" s="121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5"/>
      <c r="V45" s="125"/>
      <c r="W45" s="123">
        <f t="shared" si="1"/>
        <v>0</v>
      </c>
      <c r="X45" s="125"/>
      <c r="Y45" s="125"/>
      <c r="Z45" s="126">
        <f t="shared" si="2"/>
        <v>0</v>
      </c>
      <c r="AA45" s="136"/>
      <c r="AB45" s="101" t="s">
        <v>131</v>
      </c>
      <c r="AC45" s="128">
        <f t="shared" si="3"/>
        <v>0</v>
      </c>
      <c r="AD45" s="134"/>
      <c r="AE45" s="135"/>
      <c r="AF45" s="135"/>
      <c r="AG45" s="135"/>
      <c r="AH45" s="135"/>
      <c r="AI45" s="135"/>
      <c r="AJ45" s="135"/>
    </row>
    <row r="46" ht="22.5" hidden="1" customHeight="1">
      <c r="A46" s="110" t="str">
        <f>'利用者'!A54</f>
        <v/>
      </c>
      <c r="B46" s="111" t="str">
        <f>'利用者'!B54</f>
        <v/>
      </c>
      <c r="C46" s="132"/>
      <c r="D46" s="125"/>
      <c r="E46" s="125"/>
      <c r="F46" s="125"/>
      <c r="G46" s="125"/>
      <c r="H46" s="120"/>
      <c r="I46" s="120"/>
      <c r="J46" s="121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5"/>
      <c r="V46" s="125"/>
      <c r="W46" s="123">
        <f t="shared" si="1"/>
        <v>0</v>
      </c>
      <c r="X46" s="125"/>
      <c r="Y46" s="125"/>
      <c r="Z46" s="126">
        <f t="shared" si="2"/>
        <v>0</v>
      </c>
      <c r="AA46" s="136"/>
      <c r="AB46" s="101" t="s">
        <v>131</v>
      </c>
      <c r="AC46" s="128">
        <f t="shared" si="3"/>
        <v>0</v>
      </c>
      <c r="AD46" s="134"/>
      <c r="AE46" s="135"/>
      <c r="AF46" s="135"/>
      <c r="AG46" s="135"/>
      <c r="AH46" s="135"/>
      <c r="AI46" s="135"/>
      <c r="AJ46" s="135"/>
    </row>
    <row r="47" ht="22.5" hidden="1" customHeight="1">
      <c r="A47" s="110" t="str">
        <f>'利用者'!A55</f>
        <v/>
      </c>
      <c r="B47" s="111" t="str">
        <f>'利用者'!B55</f>
        <v/>
      </c>
      <c r="C47" s="132"/>
      <c r="D47" s="125"/>
      <c r="E47" s="125"/>
      <c r="F47" s="125"/>
      <c r="G47" s="125"/>
      <c r="H47" s="120"/>
      <c r="I47" s="120"/>
      <c r="J47" s="121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5"/>
      <c r="V47" s="125"/>
      <c r="W47" s="123">
        <f t="shared" si="1"/>
        <v>0</v>
      </c>
      <c r="X47" s="125"/>
      <c r="Y47" s="125"/>
      <c r="Z47" s="126">
        <f t="shared" si="2"/>
        <v>0</v>
      </c>
      <c r="AA47" s="136"/>
      <c r="AB47" s="101" t="s">
        <v>131</v>
      </c>
      <c r="AC47" s="128">
        <f t="shared" si="3"/>
        <v>0</v>
      </c>
      <c r="AD47" s="134"/>
      <c r="AE47" s="135"/>
      <c r="AF47" s="135"/>
      <c r="AG47" s="135"/>
      <c r="AH47" s="135"/>
      <c r="AI47" s="135"/>
      <c r="AJ47" s="135"/>
    </row>
    <row r="48" ht="22.5" hidden="1" customHeight="1">
      <c r="A48" s="110" t="str">
        <f>'利用者'!A56</f>
        <v/>
      </c>
      <c r="B48" s="111" t="str">
        <f>'利用者'!B56</f>
        <v/>
      </c>
      <c r="C48" s="132"/>
      <c r="D48" s="125"/>
      <c r="E48" s="125"/>
      <c r="F48" s="125"/>
      <c r="G48" s="125"/>
      <c r="H48" s="120"/>
      <c r="I48" s="120"/>
      <c r="J48" s="121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5"/>
      <c r="V48" s="125"/>
      <c r="W48" s="123">
        <f t="shared" si="1"/>
        <v>0</v>
      </c>
      <c r="X48" s="125"/>
      <c r="Y48" s="125"/>
      <c r="Z48" s="126">
        <f t="shared" si="2"/>
        <v>0</v>
      </c>
      <c r="AA48" s="136"/>
      <c r="AB48" s="101" t="s">
        <v>131</v>
      </c>
      <c r="AC48" s="128">
        <f t="shared" si="3"/>
        <v>0</v>
      </c>
      <c r="AD48" s="134"/>
      <c r="AE48" s="135"/>
      <c r="AF48" s="135"/>
      <c r="AG48" s="135"/>
      <c r="AH48" s="135"/>
      <c r="AI48" s="135"/>
      <c r="AJ48" s="135"/>
    </row>
    <row r="49" ht="22.5" hidden="1" customHeight="1">
      <c r="A49" s="110" t="str">
        <f>'利用者'!A57</f>
        <v/>
      </c>
      <c r="B49" s="111" t="str">
        <f>'利用者'!B57</f>
        <v/>
      </c>
      <c r="C49" s="132"/>
      <c r="D49" s="125"/>
      <c r="E49" s="125"/>
      <c r="F49" s="125"/>
      <c r="G49" s="125"/>
      <c r="H49" s="120"/>
      <c r="I49" s="120"/>
      <c r="J49" s="121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5"/>
      <c r="V49" s="125"/>
      <c r="W49" s="123">
        <f t="shared" si="1"/>
        <v>0</v>
      </c>
      <c r="X49" s="125"/>
      <c r="Y49" s="125"/>
      <c r="Z49" s="126">
        <f t="shared" si="2"/>
        <v>0</v>
      </c>
      <c r="AA49" s="136"/>
      <c r="AB49" s="101" t="s">
        <v>131</v>
      </c>
      <c r="AC49" s="128">
        <f t="shared" si="3"/>
        <v>0</v>
      </c>
      <c r="AD49" s="134"/>
      <c r="AE49" s="135"/>
      <c r="AF49" s="135"/>
      <c r="AG49" s="135"/>
      <c r="AH49" s="135"/>
      <c r="AI49" s="135"/>
      <c r="AJ49" s="135"/>
    </row>
    <row r="50" ht="22.5" hidden="1" customHeight="1">
      <c r="A50" s="110" t="str">
        <f>'利用者'!A58</f>
        <v/>
      </c>
      <c r="B50" s="111" t="str">
        <f>'利用者'!B58</f>
        <v/>
      </c>
      <c r="C50" s="132"/>
      <c r="D50" s="125"/>
      <c r="E50" s="125"/>
      <c r="F50" s="125"/>
      <c r="G50" s="125"/>
      <c r="H50" s="120"/>
      <c r="I50" s="120"/>
      <c r="J50" s="121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5"/>
      <c r="V50" s="125"/>
      <c r="W50" s="123">
        <f t="shared" si="1"/>
        <v>0</v>
      </c>
      <c r="X50" s="125"/>
      <c r="Y50" s="125"/>
      <c r="Z50" s="126">
        <f t="shared" si="2"/>
        <v>0</v>
      </c>
      <c r="AA50" s="136"/>
      <c r="AB50" s="101" t="s">
        <v>131</v>
      </c>
      <c r="AC50" s="128">
        <f t="shared" si="3"/>
        <v>0</v>
      </c>
      <c r="AD50" s="134"/>
      <c r="AE50" s="135"/>
      <c r="AF50" s="135"/>
      <c r="AG50" s="135"/>
      <c r="AH50" s="135"/>
      <c r="AI50" s="135"/>
      <c r="AJ50" s="135"/>
    </row>
    <row r="51" ht="22.5" hidden="1" customHeight="1">
      <c r="A51" s="110" t="str">
        <f>'利用者'!A59</f>
        <v/>
      </c>
      <c r="B51" s="111" t="str">
        <f>'利用者'!B59</f>
        <v/>
      </c>
      <c r="C51" s="132"/>
      <c r="D51" s="125"/>
      <c r="E51" s="125"/>
      <c r="F51" s="125"/>
      <c r="G51" s="125"/>
      <c r="H51" s="120"/>
      <c r="I51" s="120"/>
      <c r="J51" s="121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5"/>
      <c r="V51" s="125"/>
      <c r="W51" s="123">
        <f t="shared" si="1"/>
        <v>0</v>
      </c>
      <c r="X51" s="125"/>
      <c r="Y51" s="125"/>
      <c r="Z51" s="126">
        <f t="shared" si="2"/>
        <v>0</v>
      </c>
      <c r="AA51" s="136"/>
      <c r="AB51" s="101" t="s">
        <v>131</v>
      </c>
      <c r="AC51" s="128">
        <f t="shared" si="3"/>
        <v>0</v>
      </c>
      <c r="AD51" s="134"/>
      <c r="AE51" s="135"/>
      <c r="AF51" s="135"/>
      <c r="AG51" s="135"/>
      <c r="AH51" s="135"/>
      <c r="AI51" s="135"/>
      <c r="AJ51" s="135"/>
    </row>
    <row r="52" ht="22.5" hidden="1" customHeight="1">
      <c r="A52" s="110" t="str">
        <f>'利用者'!A60</f>
        <v/>
      </c>
      <c r="B52" s="111" t="str">
        <f>'利用者'!B60</f>
        <v/>
      </c>
      <c r="C52" s="132"/>
      <c r="D52" s="125"/>
      <c r="E52" s="125"/>
      <c r="F52" s="125"/>
      <c r="G52" s="125"/>
      <c r="H52" s="120"/>
      <c r="I52" s="120"/>
      <c r="J52" s="121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5"/>
      <c r="V52" s="125"/>
      <c r="W52" s="123">
        <f t="shared" si="1"/>
        <v>0</v>
      </c>
      <c r="X52" s="125"/>
      <c r="Y52" s="125"/>
      <c r="Z52" s="126">
        <f t="shared" si="2"/>
        <v>0</v>
      </c>
      <c r="AA52" s="136"/>
      <c r="AB52" s="101" t="s">
        <v>131</v>
      </c>
      <c r="AC52" s="128">
        <f t="shared" si="3"/>
        <v>0</v>
      </c>
      <c r="AD52" s="134"/>
      <c r="AE52" s="135"/>
      <c r="AF52" s="135"/>
      <c r="AG52" s="135"/>
      <c r="AH52" s="135"/>
      <c r="AI52" s="135"/>
      <c r="AJ52" s="135"/>
    </row>
    <row r="53" ht="22.5" hidden="1" customHeight="1">
      <c r="A53" s="110" t="str">
        <f>'利用者'!A61</f>
        <v/>
      </c>
      <c r="B53" s="111" t="str">
        <f>'利用者'!B61</f>
        <v/>
      </c>
      <c r="C53" s="132"/>
      <c r="D53" s="125"/>
      <c r="E53" s="125"/>
      <c r="F53" s="125"/>
      <c r="G53" s="125"/>
      <c r="H53" s="120"/>
      <c r="I53" s="120"/>
      <c r="J53" s="121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5"/>
      <c r="V53" s="125"/>
      <c r="W53" s="123">
        <f t="shared" si="1"/>
        <v>0</v>
      </c>
      <c r="X53" s="125"/>
      <c r="Y53" s="125"/>
      <c r="Z53" s="126">
        <f t="shared" si="2"/>
        <v>0</v>
      </c>
      <c r="AA53" s="136"/>
      <c r="AB53" s="101" t="s">
        <v>131</v>
      </c>
      <c r="AC53" s="128">
        <f t="shared" si="3"/>
        <v>0</v>
      </c>
      <c r="AD53" s="134"/>
      <c r="AE53" s="135"/>
      <c r="AF53" s="135"/>
      <c r="AG53" s="135"/>
      <c r="AH53" s="135"/>
      <c r="AI53" s="135"/>
      <c r="AJ53" s="135"/>
    </row>
    <row r="54" ht="22.5" hidden="1" customHeight="1">
      <c r="A54" s="110" t="str">
        <f>'利用者'!A62</f>
        <v/>
      </c>
      <c r="B54" s="111" t="str">
        <f>'利用者'!B62</f>
        <v/>
      </c>
      <c r="C54" s="132"/>
      <c r="D54" s="125"/>
      <c r="E54" s="125"/>
      <c r="F54" s="125"/>
      <c r="G54" s="125"/>
      <c r="H54" s="120"/>
      <c r="I54" s="120"/>
      <c r="J54" s="121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5"/>
      <c r="V54" s="125"/>
      <c r="W54" s="123">
        <f t="shared" si="1"/>
        <v>0</v>
      </c>
      <c r="X54" s="125"/>
      <c r="Y54" s="125"/>
      <c r="Z54" s="126">
        <f t="shared" si="2"/>
        <v>0</v>
      </c>
      <c r="AA54" s="136"/>
      <c r="AB54" s="101" t="s">
        <v>131</v>
      </c>
      <c r="AC54" s="128">
        <f t="shared" si="3"/>
        <v>0</v>
      </c>
      <c r="AD54" s="134"/>
      <c r="AE54" s="135"/>
      <c r="AF54" s="135"/>
      <c r="AG54" s="135"/>
      <c r="AH54" s="135"/>
      <c r="AI54" s="135"/>
      <c r="AJ54" s="135"/>
    </row>
    <row r="55" ht="22.5" hidden="1" customHeight="1">
      <c r="A55" s="110" t="str">
        <f>'利用者'!A63</f>
        <v/>
      </c>
      <c r="B55" s="111" t="str">
        <f>'利用者'!B63</f>
        <v/>
      </c>
      <c r="C55" s="132"/>
      <c r="D55" s="125"/>
      <c r="E55" s="125"/>
      <c r="F55" s="125"/>
      <c r="G55" s="125"/>
      <c r="H55" s="120"/>
      <c r="I55" s="120"/>
      <c r="J55" s="121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5"/>
      <c r="V55" s="125"/>
      <c r="W55" s="123">
        <f t="shared" si="1"/>
        <v>0</v>
      </c>
      <c r="X55" s="125"/>
      <c r="Y55" s="125"/>
      <c r="Z55" s="126">
        <f t="shared" si="2"/>
        <v>0</v>
      </c>
      <c r="AA55" s="136"/>
      <c r="AB55" s="101" t="s">
        <v>131</v>
      </c>
      <c r="AC55" s="128">
        <f t="shared" si="3"/>
        <v>0</v>
      </c>
      <c r="AD55" s="134"/>
      <c r="AE55" s="135"/>
      <c r="AF55" s="135"/>
      <c r="AG55" s="135"/>
      <c r="AH55" s="135"/>
      <c r="AI55" s="135"/>
      <c r="AJ55" s="135"/>
    </row>
    <row r="56" ht="22.5" hidden="1" customHeight="1">
      <c r="A56" s="110" t="str">
        <f>'利用者'!A64</f>
        <v/>
      </c>
      <c r="B56" s="111" t="str">
        <f>'利用者'!B64</f>
        <v/>
      </c>
      <c r="C56" s="132"/>
      <c r="D56" s="125"/>
      <c r="E56" s="125"/>
      <c r="F56" s="125"/>
      <c r="G56" s="125"/>
      <c r="H56" s="120"/>
      <c r="I56" s="120"/>
      <c r="J56" s="121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5"/>
      <c r="V56" s="125"/>
      <c r="W56" s="123">
        <f t="shared" si="1"/>
        <v>0</v>
      </c>
      <c r="X56" s="125"/>
      <c r="Y56" s="125"/>
      <c r="Z56" s="126">
        <f t="shared" si="2"/>
        <v>0</v>
      </c>
      <c r="AA56" s="136"/>
      <c r="AB56" s="101" t="s">
        <v>131</v>
      </c>
      <c r="AC56" s="128">
        <f t="shared" si="3"/>
        <v>0</v>
      </c>
      <c r="AD56" s="134"/>
      <c r="AE56" s="135"/>
      <c r="AF56" s="135"/>
      <c r="AG56" s="135"/>
      <c r="AH56" s="135"/>
      <c r="AI56" s="135"/>
      <c r="AJ56" s="135"/>
    </row>
    <row r="57" ht="22.5" hidden="1" customHeight="1">
      <c r="A57" s="110" t="str">
        <f>'利用者'!A65</f>
        <v/>
      </c>
      <c r="B57" s="111" t="str">
        <f>'利用者'!B65</f>
        <v/>
      </c>
      <c r="C57" s="132"/>
      <c r="D57" s="125"/>
      <c r="E57" s="125"/>
      <c r="F57" s="125"/>
      <c r="G57" s="125"/>
      <c r="H57" s="120"/>
      <c r="I57" s="120"/>
      <c r="J57" s="121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5"/>
      <c r="V57" s="125"/>
      <c r="W57" s="123">
        <f t="shared" si="1"/>
        <v>0</v>
      </c>
      <c r="X57" s="125"/>
      <c r="Y57" s="125"/>
      <c r="Z57" s="126">
        <f t="shared" si="2"/>
        <v>0</v>
      </c>
      <c r="AA57" s="136"/>
      <c r="AB57" s="101" t="s">
        <v>131</v>
      </c>
      <c r="AC57" s="128">
        <f t="shared" si="3"/>
        <v>0</v>
      </c>
      <c r="AD57" s="134"/>
      <c r="AE57" s="135"/>
      <c r="AF57" s="135"/>
      <c r="AG57" s="135"/>
      <c r="AH57" s="135"/>
      <c r="AI57" s="135"/>
      <c r="AJ57" s="135"/>
    </row>
    <row r="58" ht="22.5" hidden="1" customHeight="1">
      <c r="A58" s="110" t="str">
        <f>'利用者'!A66</f>
        <v/>
      </c>
      <c r="B58" s="111" t="str">
        <f>'利用者'!B66</f>
        <v/>
      </c>
      <c r="C58" s="132"/>
      <c r="D58" s="125"/>
      <c r="E58" s="125"/>
      <c r="F58" s="125"/>
      <c r="G58" s="125"/>
      <c r="H58" s="120"/>
      <c r="I58" s="120"/>
      <c r="J58" s="121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5"/>
      <c r="V58" s="125"/>
      <c r="W58" s="123">
        <f t="shared" si="1"/>
        <v>0</v>
      </c>
      <c r="X58" s="125"/>
      <c r="Y58" s="125"/>
      <c r="Z58" s="126">
        <f t="shared" si="2"/>
        <v>0</v>
      </c>
      <c r="AA58" s="136"/>
      <c r="AB58" s="101" t="s">
        <v>131</v>
      </c>
      <c r="AC58" s="128">
        <f t="shared" si="3"/>
        <v>0</v>
      </c>
      <c r="AD58" s="134"/>
      <c r="AE58" s="135"/>
      <c r="AF58" s="135"/>
      <c r="AG58" s="135"/>
      <c r="AH58" s="135"/>
      <c r="AI58" s="135"/>
      <c r="AJ58" s="135"/>
    </row>
    <row r="59" ht="22.5" hidden="1" customHeight="1">
      <c r="A59" s="110" t="str">
        <f>'利用者'!A67</f>
        <v/>
      </c>
      <c r="B59" s="111" t="str">
        <f>'利用者'!B67</f>
        <v/>
      </c>
      <c r="C59" s="132"/>
      <c r="D59" s="125"/>
      <c r="E59" s="125"/>
      <c r="F59" s="125"/>
      <c r="G59" s="125"/>
      <c r="H59" s="120"/>
      <c r="I59" s="120"/>
      <c r="J59" s="121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5"/>
      <c r="V59" s="125"/>
      <c r="W59" s="123">
        <f t="shared" si="1"/>
        <v>0</v>
      </c>
      <c r="X59" s="125"/>
      <c r="Y59" s="125"/>
      <c r="Z59" s="126">
        <f t="shared" si="2"/>
        <v>0</v>
      </c>
      <c r="AA59" s="136"/>
      <c r="AB59" s="101" t="s">
        <v>131</v>
      </c>
      <c r="AC59" s="128">
        <f t="shared" si="3"/>
        <v>0</v>
      </c>
      <c r="AD59" s="134"/>
      <c r="AE59" s="135"/>
      <c r="AF59" s="135"/>
      <c r="AG59" s="135"/>
      <c r="AH59" s="135"/>
      <c r="AI59" s="135"/>
      <c r="AJ59" s="135"/>
    </row>
    <row r="60" ht="22.5" hidden="1" customHeight="1">
      <c r="A60" s="110" t="str">
        <f>'利用者'!A68</f>
        <v/>
      </c>
      <c r="B60" s="111" t="str">
        <f>'利用者'!B68</f>
        <v/>
      </c>
      <c r="C60" s="132"/>
      <c r="D60" s="125"/>
      <c r="E60" s="125"/>
      <c r="F60" s="125"/>
      <c r="G60" s="125"/>
      <c r="H60" s="120"/>
      <c r="I60" s="120"/>
      <c r="J60" s="121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5"/>
      <c r="V60" s="125"/>
      <c r="W60" s="123">
        <f t="shared" si="1"/>
        <v>0</v>
      </c>
      <c r="X60" s="125"/>
      <c r="Y60" s="125"/>
      <c r="Z60" s="126">
        <f t="shared" si="2"/>
        <v>0</v>
      </c>
      <c r="AA60" s="136"/>
      <c r="AB60" s="101" t="s">
        <v>131</v>
      </c>
      <c r="AC60" s="128">
        <f t="shared" si="3"/>
        <v>0</v>
      </c>
      <c r="AD60" s="134"/>
      <c r="AE60" s="135"/>
      <c r="AF60" s="135"/>
      <c r="AG60" s="135"/>
      <c r="AH60" s="135"/>
      <c r="AI60" s="135"/>
      <c r="AJ60" s="135"/>
    </row>
    <row r="61" ht="22.5" hidden="1" customHeight="1">
      <c r="A61" s="110" t="str">
        <f>'利用者'!A69</f>
        <v/>
      </c>
      <c r="B61" s="111" t="str">
        <f>'利用者'!B69</f>
        <v/>
      </c>
      <c r="C61" s="132"/>
      <c r="D61" s="125"/>
      <c r="E61" s="125"/>
      <c r="F61" s="125"/>
      <c r="G61" s="125"/>
      <c r="H61" s="120"/>
      <c r="I61" s="120"/>
      <c r="J61" s="121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5"/>
      <c r="V61" s="125"/>
      <c r="W61" s="123">
        <f t="shared" si="1"/>
        <v>0</v>
      </c>
      <c r="X61" s="125"/>
      <c r="Y61" s="125"/>
      <c r="Z61" s="126">
        <f t="shared" si="2"/>
        <v>0</v>
      </c>
      <c r="AA61" s="136"/>
      <c r="AB61" s="101" t="s">
        <v>131</v>
      </c>
      <c r="AC61" s="128">
        <f t="shared" si="3"/>
        <v>0</v>
      </c>
      <c r="AD61" s="134"/>
      <c r="AE61" s="135"/>
      <c r="AF61" s="135"/>
      <c r="AG61" s="135"/>
      <c r="AH61" s="135"/>
      <c r="AI61" s="135"/>
      <c r="AJ61" s="135"/>
    </row>
    <row r="62" ht="22.5" hidden="1" customHeight="1">
      <c r="A62" s="110" t="str">
        <f>'利用者'!A70</f>
        <v/>
      </c>
      <c r="B62" s="111" t="str">
        <f>'利用者'!B70</f>
        <v/>
      </c>
      <c r="C62" s="132"/>
      <c r="D62" s="125"/>
      <c r="E62" s="125"/>
      <c r="F62" s="125"/>
      <c r="G62" s="125"/>
      <c r="H62" s="120"/>
      <c r="I62" s="120"/>
      <c r="J62" s="121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5"/>
      <c r="V62" s="125"/>
      <c r="W62" s="123">
        <f t="shared" si="1"/>
        <v>0</v>
      </c>
      <c r="X62" s="125"/>
      <c r="Y62" s="125"/>
      <c r="Z62" s="126">
        <f t="shared" si="2"/>
        <v>0</v>
      </c>
      <c r="AA62" s="136"/>
      <c r="AB62" s="101" t="s">
        <v>131</v>
      </c>
      <c r="AC62" s="128">
        <f t="shared" si="3"/>
        <v>0</v>
      </c>
      <c r="AD62" s="134"/>
      <c r="AE62" s="135"/>
      <c r="AF62" s="135"/>
      <c r="AG62" s="135"/>
      <c r="AH62" s="135"/>
      <c r="AI62" s="135"/>
      <c r="AJ62" s="135"/>
    </row>
    <row r="63" ht="22.5" hidden="1" customHeight="1">
      <c r="A63" s="110" t="str">
        <f>'利用者'!A71</f>
        <v/>
      </c>
      <c r="B63" s="111" t="str">
        <f>'利用者'!B71</f>
        <v/>
      </c>
      <c r="C63" s="132"/>
      <c r="D63" s="125"/>
      <c r="E63" s="125"/>
      <c r="F63" s="125"/>
      <c r="G63" s="125"/>
      <c r="H63" s="120"/>
      <c r="I63" s="120"/>
      <c r="J63" s="121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5"/>
      <c r="V63" s="125"/>
      <c r="W63" s="123">
        <f t="shared" si="1"/>
        <v>0</v>
      </c>
      <c r="X63" s="125"/>
      <c r="Y63" s="125"/>
      <c r="Z63" s="126">
        <f t="shared" si="2"/>
        <v>0</v>
      </c>
      <c r="AA63" s="136"/>
      <c r="AB63" s="101" t="s">
        <v>131</v>
      </c>
      <c r="AC63" s="128">
        <f t="shared" si="3"/>
        <v>0</v>
      </c>
      <c r="AD63" s="134"/>
      <c r="AE63" s="135"/>
      <c r="AF63" s="135"/>
      <c r="AG63" s="135"/>
      <c r="AH63" s="135"/>
      <c r="AI63" s="135"/>
      <c r="AJ63" s="135"/>
    </row>
    <row r="64" ht="22.5" hidden="1" customHeight="1">
      <c r="A64" s="110" t="str">
        <f>'利用者'!A72</f>
        <v/>
      </c>
      <c r="B64" s="111" t="str">
        <f>'利用者'!B72</f>
        <v/>
      </c>
      <c r="C64" s="132"/>
      <c r="D64" s="125"/>
      <c r="E64" s="125"/>
      <c r="F64" s="125"/>
      <c r="G64" s="125"/>
      <c r="H64" s="120"/>
      <c r="I64" s="120"/>
      <c r="J64" s="121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5"/>
      <c r="V64" s="125"/>
      <c r="W64" s="123">
        <f t="shared" si="1"/>
        <v>0</v>
      </c>
      <c r="X64" s="125"/>
      <c r="Y64" s="125"/>
      <c r="Z64" s="126">
        <f t="shared" si="2"/>
        <v>0</v>
      </c>
      <c r="AA64" s="136"/>
      <c r="AB64" s="101" t="s">
        <v>131</v>
      </c>
      <c r="AC64" s="128">
        <f t="shared" si="3"/>
        <v>0</v>
      </c>
      <c r="AD64" s="134"/>
      <c r="AE64" s="135"/>
      <c r="AF64" s="135"/>
      <c r="AG64" s="135"/>
      <c r="AH64" s="135"/>
      <c r="AI64" s="135"/>
      <c r="AJ64" s="135"/>
    </row>
    <row r="65" ht="22.5" hidden="1" customHeight="1">
      <c r="A65" s="110" t="str">
        <f>'利用者'!A73</f>
        <v/>
      </c>
      <c r="B65" s="111" t="str">
        <f>'利用者'!B73</f>
        <v/>
      </c>
      <c r="C65" s="132"/>
      <c r="D65" s="125"/>
      <c r="E65" s="125"/>
      <c r="F65" s="125"/>
      <c r="G65" s="125"/>
      <c r="H65" s="120"/>
      <c r="I65" s="120"/>
      <c r="J65" s="121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5"/>
      <c r="V65" s="125"/>
      <c r="W65" s="123">
        <f t="shared" si="1"/>
        <v>0</v>
      </c>
      <c r="X65" s="125"/>
      <c r="Y65" s="125"/>
      <c r="Z65" s="126">
        <f t="shared" si="2"/>
        <v>0</v>
      </c>
      <c r="AA65" s="136"/>
      <c r="AB65" s="101" t="s">
        <v>131</v>
      </c>
      <c r="AC65" s="128">
        <f t="shared" si="3"/>
        <v>0</v>
      </c>
      <c r="AD65" s="134"/>
      <c r="AE65" s="135"/>
      <c r="AF65" s="135"/>
      <c r="AG65" s="135"/>
      <c r="AH65" s="135"/>
      <c r="AI65" s="135"/>
      <c r="AJ65" s="135"/>
    </row>
    <row r="66" ht="22.5" hidden="1" customHeight="1">
      <c r="A66" s="110" t="str">
        <f>'利用者'!A74</f>
        <v/>
      </c>
      <c r="B66" s="111" t="str">
        <f>'利用者'!B74</f>
        <v/>
      </c>
      <c r="C66" s="132"/>
      <c r="D66" s="125"/>
      <c r="E66" s="125"/>
      <c r="F66" s="125"/>
      <c r="G66" s="125"/>
      <c r="H66" s="120"/>
      <c r="I66" s="120"/>
      <c r="J66" s="121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5"/>
      <c r="V66" s="125"/>
      <c r="W66" s="123">
        <f t="shared" si="1"/>
        <v>0</v>
      </c>
      <c r="X66" s="125"/>
      <c r="Y66" s="125"/>
      <c r="Z66" s="126">
        <f t="shared" si="2"/>
        <v>0</v>
      </c>
      <c r="AA66" s="136"/>
      <c r="AB66" s="101" t="s">
        <v>131</v>
      </c>
      <c r="AC66" s="128">
        <f t="shared" si="3"/>
        <v>0</v>
      </c>
      <c r="AD66" s="134"/>
      <c r="AE66" s="135"/>
      <c r="AF66" s="135"/>
      <c r="AG66" s="135"/>
      <c r="AH66" s="135"/>
      <c r="AI66" s="135"/>
      <c r="AJ66" s="135"/>
    </row>
    <row r="67" ht="22.5" hidden="1" customHeight="1">
      <c r="A67" s="110" t="str">
        <f>'利用者'!A75</f>
        <v/>
      </c>
      <c r="B67" s="111" t="str">
        <f>'利用者'!B75</f>
        <v/>
      </c>
      <c r="C67" s="132"/>
      <c r="D67" s="125"/>
      <c r="E67" s="125"/>
      <c r="F67" s="125"/>
      <c r="G67" s="125"/>
      <c r="H67" s="120"/>
      <c r="I67" s="120"/>
      <c r="J67" s="121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5"/>
      <c r="V67" s="125"/>
      <c r="W67" s="123">
        <f t="shared" si="1"/>
        <v>0</v>
      </c>
      <c r="X67" s="125"/>
      <c r="Y67" s="125"/>
      <c r="Z67" s="126">
        <f t="shared" si="2"/>
        <v>0</v>
      </c>
      <c r="AA67" s="136"/>
      <c r="AB67" s="101" t="s">
        <v>131</v>
      </c>
      <c r="AC67" s="128">
        <f t="shared" si="3"/>
        <v>0</v>
      </c>
      <c r="AD67" s="134"/>
      <c r="AE67" s="135"/>
      <c r="AF67" s="135"/>
      <c r="AG67" s="135"/>
      <c r="AH67" s="135"/>
      <c r="AI67" s="135"/>
      <c r="AJ67" s="135"/>
    </row>
    <row r="68" ht="22.5" hidden="1" customHeight="1">
      <c r="A68" s="110" t="str">
        <f>'利用者'!A76</f>
        <v/>
      </c>
      <c r="B68" s="111" t="str">
        <f>'利用者'!B76</f>
        <v/>
      </c>
      <c r="C68" s="132"/>
      <c r="D68" s="125"/>
      <c r="E68" s="125"/>
      <c r="F68" s="125"/>
      <c r="G68" s="125"/>
      <c r="H68" s="120"/>
      <c r="I68" s="120"/>
      <c r="J68" s="121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5"/>
      <c r="V68" s="125"/>
      <c r="W68" s="123">
        <f t="shared" si="1"/>
        <v>0</v>
      </c>
      <c r="X68" s="125"/>
      <c r="Y68" s="125"/>
      <c r="Z68" s="126">
        <f t="shared" si="2"/>
        <v>0</v>
      </c>
      <c r="AA68" s="136"/>
      <c r="AB68" s="101" t="s">
        <v>131</v>
      </c>
      <c r="AC68" s="128">
        <f t="shared" si="3"/>
        <v>0</v>
      </c>
      <c r="AD68" s="134"/>
      <c r="AE68" s="135"/>
      <c r="AF68" s="135"/>
      <c r="AG68" s="135"/>
      <c r="AH68" s="135"/>
      <c r="AI68" s="135"/>
      <c r="AJ68" s="135"/>
    </row>
    <row r="69" ht="22.5" hidden="1" customHeight="1">
      <c r="A69" s="110" t="str">
        <f>'利用者'!A77</f>
        <v/>
      </c>
      <c r="B69" s="111" t="str">
        <f>'利用者'!B77</f>
        <v/>
      </c>
      <c r="C69" s="132"/>
      <c r="D69" s="125"/>
      <c r="E69" s="125"/>
      <c r="F69" s="125"/>
      <c r="G69" s="125"/>
      <c r="H69" s="120"/>
      <c r="I69" s="120"/>
      <c r="J69" s="121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5"/>
      <c r="V69" s="125"/>
      <c r="W69" s="123">
        <f t="shared" si="1"/>
        <v>0</v>
      </c>
      <c r="X69" s="125"/>
      <c r="Y69" s="125"/>
      <c r="Z69" s="126">
        <f t="shared" si="2"/>
        <v>0</v>
      </c>
      <c r="AA69" s="136"/>
      <c r="AB69" s="101" t="s">
        <v>131</v>
      </c>
      <c r="AC69" s="128">
        <f t="shared" si="3"/>
        <v>0</v>
      </c>
      <c r="AD69" s="134"/>
      <c r="AE69" s="135"/>
      <c r="AF69" s="135"/>
      <c r="AG69" s="135"/>
      <c r="AH69" s="135"/>
      <c r="AI69" s="135"/>
      <c r="AJ69" s="135"/>
    </row>
    <row r="70" ht="22.5" hidden="1" customHeight="1">
      <c r="A70" s="110" t="str">
        <f>'利用者'!A78</f>
        <v/>
      </c>
      <c r="B70" s="111" t="str">
        <f>'利用者'!B78</f>
        <v/>
      </c>
      <c r="C70" s="132"/>
      <c r="D70" s="125"/>
      <c r="E70" s="125"/>
      <c r="F70" s="125"/>
      <c r="G70" s="125"/>
      <c r="H70" s="120"/>
      <c r="I70" s="120"/>
      <c r="J70" s="121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5"/>
      <c r="V70" s="125"/>
      <c r="W70" s="123">
        <f t="shared" si="1"/>
        <v>0</v>
      </c>
      <c r="X70" s="125"/>
      <c r="Y70" s="125"/>
      <c r="Z70" s="126">
        <f t="shared" si="2"/>
        <v>0</v>
      </c>
      <c r="AA70" s="136"/>
      <c r="AB70" s="101" t="s">
        <v>131</v>
      </c>
      <c r="AC70" s="128">
        <f t="shared" si="3"/>
        <v>0</v>
      </c>
      <c r="AD70" s="134"/>
      <c r="AE70" s="135"/>
      <c r="AF70" s="135"/>
      <c r="AG70" s="135"/>
      <c r="AH70" s="135"/>
      <c r="AI70" s="135"/>
      <c r="AJ70" s="135"/>
    </row>
    <row r="71" ht="22.5" hidden="1" customHeight="1">
      <c r="A71" s="110" t="str">
        <f>'利用者'!A79</f>
        <v/>
      </c>
      <c r="B71" s="111" t="str">
        <f>'利用者'!B79</f>
        <v/>
      </c>
      <c r="C71" s="132"/>
      <c r="D71" s="125"/>
      <c r="E71" s="125"/>
      <c r="F71" s="125"/>
      <c r="G71" s="125"/>
      <c r="H71" s="120"/>
      <c r="I71" s="120"/>
      <c r="J71" s="121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5"/>
      <c r="V71" s="125"/>
      <c r="W71" s="123">
        <f t="shared" si="1"/>
        <v>0</v>
      </c>
      <c r="X71" s="125"/>
      <c r="Y71" s="125"/>
      <c r="Z71" s="126">
        <f t="shared" si="2"/>
        <v>0</v>
      </c>
      <c r="AA71" s="136"/>
      <c r="AB71" s="101" t="s">
        <v>131</v>
      </c>
      <c r="AC71" s="128">
        <f t="shared" si="3"/>
        <v>0</v>
      </c>
      <c r="AD71" s="134"/>
      <c r="AE71" s="135"/>
      <c r="AF71" s="135"/>
      <c r="AG71" s="135"/>
      <c r="AH71" s="135"/>
      <c r="AI71" s="135"/>
      <c r="AJ71" s="135"/>
    </row>
    <row r="72" ht="22.5" hidden="1" customHeight="1">
      <c r="A72" s="110" t="str">
        <f>'利用者'!A80</f>
        <v/>
      </c>
      <c r="B72" s="111" t="str">
        <f>'利用者'!B80</f>
        <v/>
      </c>
      <c r="C72" s="132"/>
      <c r="D72" s="125"/>
      <c r="E72" s="125"/>
      <c r="F72" s="125"/>
      <c r="G72" s="125"/>
      <c r="H72" s="120"/>
      <c r="I72" s="120"/>
      <c r="J72" s="121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5"/>
      <c r="V72" s="125"/>
      <c r="W72" s="123">
        <f t="shared" si="1"/>
        <v>0</v>
      </c>
      <c r="X72" s="125"/>
      <c r="Y72" s="125"/>
      <c r="Z72" s="126">
        <f t="shared" si="2"/>
        <v>0</v>
      </c>
      <c r="AA72" s="136"/>
      <c r="AB72" s="101" t="s">
        <v>131</v>
      </c>
      <c r="AC72" s="128">
        <f t="shared" si="3"/>
        <v>0</v>
      </c>
      <c r="AD72" s="134"/>
      <c r="AE72" s="135"/>
      <c r="AF72" s="135"/>
      <c r="AG72" s="135"/>
      <c r="AH72" s="135"/>
      <c r="AI72" s="135"/>
      <c r="AJ72" s="135"/>
    </row>
    <row r="73" ht="22.5" hidden="1" customHeight="1">
      <c r="A73" s="110" t="str">
        <f>'利用者'!A81</f>
        <v/>
      </c>
      <c r="B73" s="111" t="str">
        <f>'利用者'!B81</f>
        <v/>
      </c>
      <c r="C73" s="132"/>
      <c r="D73" s="125"/>
      <c r="E73" s="125"/>
      <c r="F73" s="125"/>
      <c r="G73" s="125"/>
      <c r="H73" s="120"/>
      <c r="I73" s="120"/>
      <c r="J73" s="121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5"/>
      <c r="V73" s="125"/>
      <c r="W73" s="123">
        <f t="shared" si="1"/>
        <v>0</v>
      </c>
      <c r="X73" s="125"/>
      <c r="Y73" s="125"/>
      <c r="Z73" s="126">
        <f t="shared" si="2"/>
        <v>0</v>
      </c>
      <c r="AA73" s="136"/>
      <c r="AB73" s="101" t="s">
        <v>131</v>
      </c>
      <c r="AC73" s="128">
        <f t="shared" si="3"/>
        <v>0</v>
      </c>
      <c r="AD73" s="134"/>
      <c r="AE73" s="135"/>
      <c r="AF73" s="135"/>
      <c r="AG73" s="135"/>
      <c r="AH73" s="135"/>
      <c r="AI73" s="135"/>
      <c r="AJ73" s="135"/>
    </row>
    <row r="74" ht="22.5" hidden="1" customHeight="1">
      <c r="A74" s="110" t="str">
        <f>'利用者'!A82</f>
        <v/>
      </c>
      <c r="B74" s="111" t="str">
        <f>'利用者'!B82</f>
        <v/>
      </c>
      <c r="C74" s="132"/>
      <c r="D74" s="125"/>
      <c r="E74" s="125"/>
      <c r="F74" s="125"/>
      <c r="G74" s="125"/>
      <c r="H74" s="120"/>
      <c r="I74" s="120"/>
      <c r="J74" s="121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5"/>
      <c r="V74" s="125"/>
      <c r="W74" s="123">
        <f t="shared" si="1"/>
        <v>0</v>
      </c>
      <c r="X74" s="125"/>
      <c r="Y74" s="125"/>
      <c r="Z74" s="126">
        <f t="shared" si="2"/>
        <v>0</v>
      </c>
      <c r="AA74" s="136"/>
      <c r="AB74" s="101" t="s">
        <v>131</v>
      </c>
      <c r="AC74" s="128">
        <f t="shared" si="3"/>
        <v>0</v>
      </c>
      <c r="AD74" s="134"/>
      <c r="AE74" s="135"/>
      <c r="AF74" s="135"/>
      <c r="AG74" s="135"/>
      <c r="AH74" s="135"/>
      <c r="AI74" s="135"/>
      <c r="AJ74" s="135"/>
    </row>
    <row r="75" ht="22.5" hidden="1" customHeight="1">
      <c r="A75" s="110" t="str">
        <f>'利用者'!A83</f>
        <v/>
      </c>
      <c r="B75" s="111" t="str">
        <f>'利用者'!B83</f>
        <v/>
      </c>
      <c r="C75" s="132"/>
      <c r="D75" s="125"/>
      <c r="E75" s="125"/>
      <c r="F75" s="125"/>
      <c r="G75" s="125"/>
      <c r="H75" s="120"/>
      <c r="I75" s="120"/>
      <c r="J75" s="121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5"/>
      <c r="V75" s="125"/>
      <c r="W75" s="123">
        <f t="shared" si="1"/>
        <v>0</v>
      </c>
      <c r="X75" s="125"/>
      <c r="Y75" s="125"/>
      <c r="Z75" s="126">
        <f t="shared" si="2"/>
        <v>0</v>
      </c>
      <c r="AA75" s="136"/>
      <c r="AB75" s="101" t="s">
        <v>131</v>
      </c>
      <c r="AC75" s="128">
        <f t="shared" si="3"/>
        <v>0</v>
      </c>
      <c r="AD75" s="134"/>
      <c r="AE75" s="135"/>
      <c r="AF75" s="135"/>
      <c r="AG75" s="135"/>
      <c r="AH75" s="135"/>
      <c r="AI75" s="135"/>
      <c r="AJ75" s="135"/>
    </row>
    <row r="76" ht="22.5" hidden="1" customHeight="1">
      <c r="A76" s="110" t="str">
        <f>'利用者'!A84</f>
        <v/>
      </c>
      <c r="B76" s="111" t="str">
        <f>'利用者'!B84</f>
        <v/>
      </c>
      <c r="C76" s="132"/>
      <c r="D76" s="125"/>
      <c r="E76" s="125"/>
      <c r="F76" s="125"/>
      <c r="G76" s="125"/>
      <c r="H76" s="120"/>
      <c r="I76" s="120"/>
      <c r="J76" s="121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5"/>
      <c r="V76" s="125"/>
      <c r="W76" s="123">
        <f t="shared" si="1"/>
        <v>0</v>
      </c>
      <c r="X76" s="125"/>
      <c r="Y76" s="125"/>
      <c r="Z76" s="126">
        <f t="shared" si="2"/>
        <v>0</v>
      </c>
      <c r="AA76" s="136"/>
      <c r="AB76" s="101" t="s">
        <v>131</v>
      </c>
      <c r="AC76" s="128">
        <f t="shared" si="3"/>
        <v>0</v>
      </c>
      <c r="AD76" s="134"/>
      <c r="AE76" s="135"/>
      <c r="AF76" s="135"/>
      <c r="AG76" s="135"/>
      <c r="AH76" s="135"/>
      <c r="AI76" s="135"/>
      <c r="AJ76" s="135"/>
    </row>
    <row r="77" ht="22.5" hidden="1" customHeight="1">
      <c r="A77" s="110" t="str">
        <f>'利用者'!A85</f>
        <v/>
      </c>
      <c r="B77" s="111" t="str">
        <f>'利用者'!B85</f>
        <v/>
      </c>
      <c r="C77" s="132"/>
      <c r="D77" s="125"/>
      <c r="E77" s="125"/>
      <c r="F77" s="125"/>
      <c r="G77" s="125"/>
      <c r="H77" s="120"/>
      <c r="I77" s="120"/>
      <c r="J77" s="121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5"/>
      <c r="V77" s="125"/>
      <c r="W77" s="123">
        <f t="shared" si="1"/>
        <v>0</v>
      </c>
      <c r="X77" s="125"/>
      <c r="Y77" s="125"/>
      <c r="Z77" s="126">
        <f t="shared" si="2"/>
        <v>0</v>
      </c>
      <c r="AA77" s="136"/>
      <c r="AB77" s="101" t="s">
        <v>131</v>
      </c>
      <c r="AC77" s="128">
        <f t="shared" si="3"/>
        <v>0</v>
      </c>
      <c r="AD77" s="134"/>
      <c r="AE77" s="135"/>
      <c r="AF77" s="135"/>
      <c r="AG77" s="135"/>
      <c r="AH77" s="135"/>
      <c r="AI77" s="135"/>
      <c r="AJ77" s="135"/>
    </row>
    <row r="78" ht="22.5" hidden="1" customHeight="1">
      <c r="A78" s="110" t="str">
        <f>'利用者'!A86</f>
        <v/>
      </c>
      <c r="B78" s="111" t="str">
        <f>'利用者'!B86</f>
        <v/>
      </c>
      <c r="C78" s="132"/>
      <c r="D78" s="125"/>
      <c r="E78" s="125"/>
      <c r="F78" s="125"/>
      <c r="G78" s="125"/>
      <c r="H78" s="120"/>
      <c r="I78" s="120"/>
      <c r="J78" s="121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5"/>
      <c r="V78" s="125"/>
      <c r="W78" s="123">
        <f t="shared" si="1"/>
        <v>0</v>
      </c>
      <c r="X78" s="125"/>
      <c r="Y78" s="125"/>
      <c r="Z78" s="126">
        <f t="shared" si="2"/>
        <v>0</v>
      </c>
      <c r="AA78" s="136"/>
      <c r="AB78" s="101" t="s">
        <v>131</v>
      </c>
      <c r="AC78" s="128">
        <f t="shared" si="3"/>
        <v>0</v>
      </c>
      <c r="AD78" s="134"/>
      <c r="AE78" s="135"/>
      <c r="AF78" s="135"/>
      <c r="AG78" s="135"/>
      <c r="AH78" s="135"/>
      <c r="AI78" s="135"/>
      <c r="AJ78" s="135"/>
    </row>
    <row r="79" ht="22.5" hidden="1" customHeight="1">
      <c r="A79" s="110" t="str">
        <f>'利用者'!A87</f>
        <v/>
      </c>
      <c r="B79" s="111" t="str">
        <f>'利用者'!B87</f>
        <v/>
      </c>
      <c r="C79" s="132"/>
      <c r="D79" s="125"/>
      <c r="E79" s="125"/>
      <c r="F79" s="125"/>
      <c r="G79" s="125"/>
      <c r="H79" s="120"/>
      <c r="I79" s="120"/>
      <c r="J79" s="121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5"/>
      <c r="V79" s="125"/>
      <c r="W79" s="123">
        <f t="shared" si="1"/>
        <v>0</v>
      </c>
      <c r="X79" s="125"/>
      <c r="Y79" s="125"/>
      <c r="Z79" s="126">
        <f t="shared" si="2"/>
        <v>0</v>
      </c>
      <c r="AA79" s="136"/>
      <c r="AB79" s="101" t="s">
        <v>131</v>
      </c>
      <c r="AC79" s="128">
        <f t="shared" si="3"/>
        <v>0</v>
      </c>
      <c r="AD79" s="134"/>
      <c r="AE79" s="135"/>
      <c r="AF79" s="135"/>
      <c r="AG79" s="135"/>
      <c r="AH79" s="135"/>
      <c r="AI79" s="135"/>
      <c r="AJ79" s="135"/>
    </row>
    <row r="80" ht="22.5" hidden="1" customHeight="1">
      <c r="A80" s="110" t="str">
        <f>'利用者'!A88</f>
        <v/>
      </c>
      <c r="B80" s="111" t="str">
        <f>'利用者'!B88</f>
        <v/>
      </c>
      <c r="C80" s="132"/>
      <c r="D80" s="125"/>
      <c r="E80" s="125"/>
      <c r="F80" s="125"/>
      <c r="G80" s="125"/>
      <c r="H80" s="120"/>
      <c r="I80" s="120"/>
      <c r="J80" s="121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5"/>
      <c r="V80" s="125"/>
      <c r="W80" s="123">
        <f t="shared" si="1"/>
        <v>0</v>
      </c>
      <c r="X80" s="125"/>
      <c r="Y80" s="125"/>
      <c r="Z80" s="126">
        <f t="shared" si="2"/>
        <v>0</v>
      </c>
      <c r="AA80" s="136"/>
      <c r="AB80" s="101" t="s">
        <v>131</v>
      </c>
      <c r="AC80" s="128">
        <f t="shared" si="3"/>
        <v>0</v>
      </c>
      <c r="AD80" s="134"/>
      <c r="AE80" s="135"/>
      <c r="AF80" s="135"/>
      <c r="AG80" s="135"/>
      <c r="AH80" s="135"/>
      <c r="AI80" s="135"/>
      <c r="AJ80" s="135"/>
    </row>
    <row r="81" ht="22.5" hidden="1" customHeight="1">
      <c r="A81" s="110" t="str">
        <f>'利用者'!A89</f>
        <v/>
      </c>
      <c r="B81" s="111" t="str">
        <f>'利用者'!B89</f>
        <v/>
      </c>
      <c r="C81" s="132"/>
      <c r="D81" s="125"/>
      <c r="E81" s="125"/>
      <c r="F81" s="125"/>
      <c r="G81" s="125"/>
      <c r="H81" s="120"/>
      <c r="I81" s="120"/>
      <c r="J81" s="121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5"/>
      <c r="V81" s="125"/>
      <c r="W81" s="123">
        <f t="shared" si="1"/>
        <v>0</v>
      </c>
      <c r="X81" s="125"/>
      <c r="Y81" s="125"/>
      <c r="Z81" s="126">
        <f t="shared" si="2"/>
        <v>0</v>
      </c>
      <c r="AA81" s="136"/>
      <c r="AB81" s="101" t="s">
        <v>131</v>
      </c>
      <c r="AC81" s="128">
        <f t="shared" si="3"/>
        <v>0</v>
      </c>
      <c r="AD81" s="134"/>
      <c r="AE81" s="135"/>
      <c r="AF81" s="135"/>
      <c r="AG81" s="135"/>
      <c r="AH81" s="135"/>
      <c r="AI81" s="135"/>
      <c r="AJ81" s="135"/>
    </row>
    <row r="82" ht="22.5" hidden="1" customHeight="1">
      <c r="A82" s="110" t="str">
        <f>'利用者'!A90</f>
        <v/>
      </c>
      <c r="B82" s="111" t="str">
        <f>'利用者'!B90</f>
        <v/>
      </c>
      <c r="C82" s="132"/>
      <c r="D82" s="125"/>
      <c r="E82" s="125"/>
      <c r="F82" s="125"/>
      <c r="G82" s="125"/>
      <c r="H82" s="120"/>
      <c r="I82" s="120"/>
      <c r="J82" s="121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5"/>
      <c r="V82" s="125"/>
      <c r="W82" s="123">
        <f t="shared" si="1"/>
        <v>0</v>
      </c>
      <c r="X82" s="125"/>
      <c r="Y82" s="125"/>
      <c r="Z82" s="126">
        <f t="shared" si="2"/>
        <v>0</v>
      </c>
      <c r="AA82" s="136"/>
      <c r="AB82" s="101" t="s">
        <v>131</v>
      </c>
      <c r="AC82" s="128">
        <f t="shared" si="3"/>
        <v>0</v>
      </c>
      <c r="AD82" s="134"/>
      <c r="AE82" s="135"/>
      <c r="AF82" s="135"/>
      <c r="AG82" s="135"/>
      <c r="AH82" s="135"/>
      <c r="AI82" s="135"/>
      <c r="AJ82" s="135"/>
    </row>
    <row r="83" ht="22.5" hidden="1" customHeight="1">
      <c r="A83" s="110" t="str">
        <f>'利用者'!A91</f>
        <v/>
      </c>
      <c r="B83" s="111" t="str">
        <f>'利用者'!B91</f>
        <v/>
      </c>
      <c r="C83" s="132"/>
      <c r="D83" s="125"/>
      <c r="E83" s="125"/>
      <c r="F83" s="125"/>
      <c r="G83" s="125"/>
      <c r="H83" s="120"/>
      <c r="I83" s="120"/>
      <c r="J83" s="12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5"/>
      <c r="V83" s="125"/>
      <c r="W83" s="123">
        <f t="shared" si="1"/>
        <v>0</v>
      </c>
      <c r="X83" s="125"/>
      <c r="Y83" s="125"/>
      <c r="Z83" s="126">
        <f t="shared" si="2"/>
        <v>0</v>
      </c>
      <c r="AA83" s="136"/>
      <c r="AB83" s="101" t="s">
        <v>131</v>
      </c>
      <c r="AC83" s="128">
        <f t="shared" si="3"/>
        <v>0</v>
      </c>
      <c r="AD83" s="134"/>
      <c r="AE83" s="135"/>
      <c r="AF83" s="135"/>
      <c r="AG83" s="135"/>
      <c r="AH83" s="135"/>
      <c r="AI83" s="135"/>
      <c r="AJ83" s="135"/>
    </row>
    <row r="84" ht="22.5" hidden="1" customHeight="1">
      <c r="A84" s="110" t="str">
        <f>'利用者'!A92</f>
        <v/>
      </c>
      <c r="B84" s="111" t="str">
        <f>'利用者'!B92</f>
        <v/>
      </c>
      <c r="C84" s="132"/>
      <c r="D84" s="125"/>
      <c r="E84" s="125"/>
      <c r="F84" s="125"/>
      <c r="G84" s="125"/>
      <c r="H84" s="120"/>
      <c r="I84" s="120"/>
      <c r="J84" s="121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5"/>
      <c r="V84" s="125"/>
      <c r="W84" s="123">
        <f t="shared" si="1"/>
        <v>0</v>
      </c>
      <c r="X84" s="125"/>
      <c r="Y84" s="125"/>
      <c r="Z84" s="126">
        <f t="shared" si="2"/>
        <v>0</v>
      </c>
      <c r="AA84" s="136"/>
      <c r="AB84" s="101" t="s">
        <v>131</v>
      </c>
      <c r="AC84" s="128">
        <f t="shared" si="3"/>
        <v>0</v>
      </c>
      <c r="AD84" s="134"/>
      <c r="AE84" s="135"/>
      <c r="AF84" s="135"/>
      <c r="AG84" s="135"/>
      <c r="AH84" s="135"/>
      <c r="AI84" s="135"/>
      <c r="AJ84" s="135"/>
    </row>
    <row r="85" ht="22.5" hidden="1" customHeight="1">
      <c r="A85" s="110" t="str">
        <f>'利用者'!A93</f>
        <v/>
      </c>
      <c r="B85" s="111" t="str">
        <f>'利用者'!B93</f>
        <v/>
      </c>
      <c r="C85" s="132"/>
      <c r="D85" s="125"/>
      <c r="E85" s="125"/>
      <c r="F85" s="125"/>
      <c r="G85" s="125"/>
      <c r="H85" s="120"/>
      <c r="I85" s="120"/>
      <c r="J85" s="121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5"/>
      <c r="V85" s="125"/>
      <c r="W85" s="123">
        <f t="shared" si="1"/>
        <v>0</v>
      </c>
      <c r="X85" s="125"/>
      <c r="Y85" s="125"/>
      <c r="Z85" s="126">
        <f t="shared" si="2"/>
        <v>0</v>
      </c>
      <c r="AA85" s="136"/>
      <c r="AB85" s="101" t="s">
        <v>131</v>
      </c>
      <c r="AC85" s="128">
        <f t="shared" si="3"/>
        <v>0</v>
      </c>
      <c r="AD85" s="134"/>
      <c r="AE85" s="135"/>
      <c r="AF85" s="135"/>
      <c r="AG85" s="135"/>
      <c r="AH85" s="135"/>
      <c r="AI85" s="135"/>
      <c r="AJ85" s="135"/>
    </row>
    <row r="86" ht="22.5" hidden="1" customHeight="1">
      <c r="A86" s="110" t="str">
        <f>'利用者'!A94</f>
        <v/>
      </c>
      <c r="B86" s="111" t="str">
        <f>'利用者'!B94</f>
        <v/>
      </c>
      <c r="C86" s="132"/>
      <c r="D86" s="125"/>
      <c r="E86" s="125"/>
      <c r="F86" s="125"/>
      <c r="G86" s="125"/>
      <c r="H86" s="120"/>
      <c r="I86" s="120"/>
      <c r="J86" s="121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5"/>
      <c r="V86" s="125"/>
      <c r="W86" s="123">
        <f t="shared" si="1"/>
        <v>0</v>
      </c>
      <c r="X86" s="125"/>
      <c r="Y86" s="125"/>
      <c r="Z86" s="126">
        <f t="shared" si="2"/>
        <v>0</v>
      </c>
      <c r="AA86" s="136"/>
      <c r="AB86" s="101" t="s">
        <v>131</v>
      </c>
      <c r="AC86" s="128">
        <f t="shared" si="3"/>
        <v>0</v>
      </c>
      <c r="AD86" s="134"/>
      <c r="AE86" s="135"/>
      <c r="AF86" s="135"/>
      <c r="AG86" s="135"/>
      <c r="AH86" s="135"/>
      <c r="AI86" s="135"/>
      <c r="AJ86" s="135"/>
    </row>
    <row r="87" ht="22.5" hidden="1" customHeight="1">
      <c r="A87" s="110" t="str">
        <f>'利用者'!A95</f>
        <v/>
      </c>
      <c r="B87" s="111" t="str">
        <f>'利用者'!B95</f>
        <v/>
      </c>
      <c r="C87" s="132"/>
      <c r="D87" s="125"/>
      <c r="E87" s="125"/>
      <c r="F87" s="125"/>
      <c r="G87" s="125"/>
      <c r="H87" s="120"/>
      <c r="I87" s="120"/>
      <c r="J87" s="121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5"/>
      <c r="V87" s="125"/>
      <c r="W87" s="123">
        <f t="shared" si="1"/>
        <v>0</v>
      </c>
      <c r="X87" s="125"/>
      <c r="Y87" s="125"/>
      <c r="Z87" s="126">
        <f t="shared" si="2"/>
        <v>0</v>
      </c>
      <c r="AA87" s="136"/>
      <c r="AB87" s="101" t="s">
        <v>131</v>
      </c>
      <c r="AC87" s="128">
        <f t="shared" si="3"/>
        <v>0</v>
      </c>
      <c r="AD87" s="134"/>
      <c r="AE87" s="135"/>
      <c r="AF87" s="135"/>
      <c r="AG87" s="135"/>
      <c r="AH87" s="135"/>
      <c r="AI87" s="135"/>
      <c r="AJ87" s="135"/>
    </row>
    <row r="88" ht="22.5" hidden="1" customHeight="1">
      <c r="A88" s="110" t="str">
        <f>'利用者'!A96</f>
        <v/>
      </c>
      <c r="B88" s="111" t="str">
        <f>'利用者'!B96</f>
        <v/>
      </c>
      <c r="C88" s="132"/>
      <c r="D88" s="125"/>
      <c r="E88" s="125"/>
      <c r="F88" s="125"/>
      <c r="G88" s="125"/>
      <c r="H88" s="120"/>
      <c r="I88" s="120"/>
      <c r="J88" s="121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5"/>
      <c r="V88" s="125"/>
      <c r="W88" s="123">
        <f t="shared" si="1"/>
        <v>0</v>
      </c>
      <c r="X88" s="125"/>
      <c r="Y88" s="125"/>
      <c r="Z88" s="126">
        <f t="shared" si="2"/>
        <v>0</v>
      </c>
      <c r="AA88" s="136"/>
      <c r="AB88" s="101" t="s">
        <v>131</v>
      </c>
      <c r="AC88" s="128">
        <f t="shared" si="3"/>
        <v>0</v>
      </c>
      <c r="AD88" s="134"/>
      <c r="AE88" s="135"/>
      <c r="AF88" s="135"/>
      <c r="AG88" s="135"/>
      <c r="AH88" s="135"/>
      <c r="AI88" s="135"/>
      <c r="AJ88" s="135"/>
    </row>
    <row r="89" ht="22.5" hidden="1" customHeight="1">
      <c r="A89" s="110" t="str">
        <f>'利用者'!A97</f>
        <v/>
      </c>
      <c r="B89" s="111" t="str">
        <f>'利用者'!B97</f>
        <v/>
      </c>
      <c r="C89" s="132"/>
      <c r="D89" s="125"/>
      <c r="E89" s="125"/>
      <c r="F89" s="125"/>
      <c r="G89" s="125"/>
      <c r="H89" s="120"/>
      <c r="I89" s="120"/>
      <c r="J89" s="12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5"/>
      <c r="V89" s="125"/>
      <c r="W89" s="123">
        <f t="shared" si="1"/>
        <v>0</v>
      </c>
      <c r="X89" s="125"/>
      <c r="Y89" s="125"/>
      <c r="Z89" s="126">
        <f t="shared" si="2"/>
        <v>0</v>
      </c>
      <c r="AA89" s="136"/>
      <c r="AB89" s="101" t="s">
        <v>131</v>
      </c>
      <c r="AC89" s="128">
        <f t="shared" si="3"/>
        <v>0</v>
      </c>
      <c r="AD89" s="134"/>
      <c r="AE89" s="135"/>
      <c r="AF89" s="135"/>
      <c r="AG89" s="135"/>
      <c r="AH89" s="135"/>
      <c r="AI89" s="135"/>
      <c r="AJ89" s="135"/>
    </row>
    <row r="90" ht="22.5" hidden="1" customHeight="1">
      <c r="A90" s="110" t="str">
        <f>'利用者'!A98</f>
        <v/>
      </c>
      <c r="B90" s="111" t="str">
        <f>'利用者'!B98</f>
        <v/>
      </c>
      <c r="C90" s="132"/>
      <c r="D90" s="125"/>
      <c r="E90" s="125"/>
      <c r="F90" s="125"/>
      <c r="G90" s="125"/>
      <c r="H90" s="120"/>
      <c r="I90" s="120"/>
      <c r="J90" s="121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5"/>
      <c r="V90" s="125"/>
      <c r="W90" s="123">
        <f t="shared" si="1"/>
        <v>0</v>
      </c>
      <c r="X90" s="125"/>
      <c r="Y90" s="125"/>
      <c r="Z90" s="126">
        <f t="shared" si="2"/>
        <v>0</v>
      </c>
      <c r="AA90" s="136"/>
      <c r="AB90" s="101" t="s">
        <v>131</v>
      </c>
      <c r="AC90" s="128">
        <f t="shared" si="3"/>
        <v>0</v>
      </c>
      <c r="AD90" s="134"/>
      <c r="AE90" s="135"/>
      <c r="AF90" s="135"/>
      <c r="AG90" s="135"/>
      <c r="AH90" s="135"/>
      <c r="AI90" s="135"/>
      <c r="AJ90" s="135"/>
    </row>
    <row r="91" ht="22.5" hidden="1" customHeight="1">
      <c r="A91" s="110" t="str">
        <f>'利用者'!A99</f>
        <v/>
      </c>
      <c r="B91" s="111" t="str">
        <f>'利用者'!B99</f>
        <v/>
      </c>
      <c r="C91" s="132"/>
      <c r="D91" s="125"/>
      <c r="E91" s="125"/>
      <c r="F91" s="125"/>
      <c r="G91" s="125"/>
      <c r="H91" s="120"/>
      <c r="I91" s="120"/>
      <c r="J91" s="121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5"/>
      <c r="V91" s="125"/>
      <c r="W91" s="123">
        <f t="shared" si="1"/>
        <v>0</v>
      </c>
      <c r="X91" s="125"/>
      <c r="Y91" s="125"/>
      <c r="Z91" s="126">
        <f t="shared" si="2"/>
        <v>0</v>
      </c>
      <c r="AA91" s="136"/>
      <c r="AB91" s="101" t="s">
        <v>131</v>
      </c>
      <c r="AC91" s="128">
        <f t="shared" si="3"/>
        <v>0</v>
      </c>
      <c r="AD91" s="134"/>
      <c r="AE91" s="135"/>
      <c r="AF91" s="135"/>
      <c r="AG91" s="135"/>
      <c r="AH91" s="135"/>
      <c r="AI91" s="135"/>
      <c r="AJ91" s="135"/>
    </row>
    <row r="92" ht="22.5" hidden="1" customHeight="1">
      <c r="A92" s="110" t="str">
        <f>'利用者'!A100</f>
        <v/>
      </c>
      <c r="B92" s="111" t="str">
        <f>'利用者'!B100</f>
        <v/>
      </c>
      <c r="C92" s="132"/>
      <c r="D92" s="125"/>
      <c r="E92" s="125"/>
      <c r="F92" s="125"/>
      <c r="G92" s="125"/>
      <c r="H92" s="120"/>
      <c r="I92" s="120"/>
      <c r="J92" s="121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5"/>
      <c r="V92" s="125"/>
      <c r="W92" s="123">
        <f t="shared" si="1"/>
        <v>0</v>
      </c>
      <c r="X92" s="125"/>
      <c r="Y92" s="125"/>
      <c r="Z92" s="126">
        <f t="shared" si="2"/>
        <v>0</v>
      </c>
      <c r="AA92" s="136"/>
      <c r="AB92" s="101" t="s">
        <v>131</v>
      </c>
      <c r="AC92" s="128">
        <f t="shared" si="3"/>
        <v>0</v>
      </c>
      <c r="AD92" s="134"/>
      <c r="AE92" s="135"/>
      <c r="AF92" s="135"/>
      <c r="AG92" s="135"/>
      <c r="AH92" s="135"/>
      <c r="AI92" s="135"/>
      <c r="AJ92" s="135"/>
    </row>
    <row r="93" ht="22.5" hidden="1" customHeight="1">
      <c r="A93" s="110" t="str">
        <f>'利用者'!A101</f>
        <v/>
      </c>
      <c r="B93" s="111" t="str">
        <f>'利用者'!B101</f>
        <v/>
      </c>
      <c r="C93" s="132"/>
      <c r="D93" s="125"/>
      <c r="E93" s="125"/>
      <c r="F93" s="125"/>
      <c r="G93" s="125"/>
      <c r="H93" s="120"/>
      <c r="I93" s="120"/>
      <c r="J93" s="121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5"/>
      <c r="V93" s="125"/>
      <c r="W93" s="123">
        <f t="shared" si="1"/>
        <v>0</v>
      </c>
      <c r="X93" s="125"/>
      <c r="Y93" s="125"/>
      <c r="Z93" s="126">
        <f t="shared" si="2"/>
        <v>0</v>
      </c>
      <c r="AA93" s="136"/>
      <c r="AB93" s="101" t="s">
        <v>131</v>
      </c>
      <c r="AC93" s="128">
        <f t="shared" si="3"/>
        <v>0</v>
      </c>
      <c r="AD93" s="134"/>
      <c r="AE93" s="135"/>
      <c r="AF93" s="135"/>
      <c r="AG93" s="135"/>
      <c r="AH93" s="135"/>
      <c r="AI93" s="135"/>
      <c r="AJ93" s="135"/>
    </row>
    <row r="94" ht="22.5" hidden="1" customHeight="1">
      <c r="A94" s="110" t="str">
        <f>'利用者'!A102</f>
        <v/>
      </c>
      <c r="B94" s="111" t="str">
        <f>'利用者'!B102</f>
        <v/>
      </c>
      <c r="C94" s="132"/>
      <c r="D94" s="125"/>
      <c r="E94" s="125"/>
      <c r="F94" s="125"/>
      <c r="G94" s="125"/>
      <c r="H94" s="120"/>
      <c r="I94" s="120"/>
      <c r="J94" s="121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5"/>
      <c r="V94" s="125"/>
      <c r="W94" s="123">
        <f t="shared" si="1"/>
        <v>0</v>
      </c>
      <c r="X94" s="125"/>
      <c r="Y94" s="125"/>
      <c r="Z94" s="126">
        <f t="shared" si="2"/>
        <v>0</v>
      </c>
      <c r="AA94" s="136"/>
      <c r="AB94" s="101" t="s">
        <v>131</v>
      </c>
      <c r="AC94" s="128">
        <f t="shared" si="3"/>
        <v>0</v>
      </c>
      <c r="AD94" s="134"/>
      <c r="AE94" s="135"/>
      <c r="AF94" s="135"/>
      <c r="AG94" s="135"/>
      <c r="AH94" s="135"/>
      <c r="AI94" s="135"/>
      <c r="AJ94" s="135"/>
    </row>
    <row r="95" ht="22.5" hidden="1" customHeight="1">
      <c r="A95" s="110" t="str">
        <f>'利用者'!A103</f>
        <v/>
      </c>
      <c r="B95" s="111" t="str">
        <f>'利用者'!B103</f>
        <v/>
      </c>
      <c r="C95" s="132"/>
      <c r="D95" s="125"/>
      <c r="E95" s="125"/>
      <c r="F95" s="125"/>
      <c r="G95" s="125"/>
      <c r="H95" s="120"/>
      <c r="I95" s="120"/>
      <c r="J95" s="121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5"/>
      <c r="V95" s="125"/>
      <c r="W95" s="123">
        <f t="shared" si="1"/>
        <v>0</v>
      </c>
      <c r="X95" s="125"/>
      <c r="Y95" s="125"/>
      <c r="Z95" s="126">
        <f t="shared" si="2"/>
        <v>0</v>
      </c>
      <c r="AA95" s="136"/>
      <c r="AB95" s="101" t="s">
        <v>131</v>
      </c>
      <c r="AC95" s="128">
        <f t="shared" si="3"/>
        <v>0</v>
      </c>
      <c r="AD95" s="134"/>
      <c r="AE95" s="135"/>
      <c r="AF95" s="135"/>
      <c r="AG95" s="135"/>
      <c r="AH95" s="135"/>
      <c r="AI95" s="135"/>
      <c r="AJ95" s="135"/>
    </row>
    <row r="96" ht="22.5" hidden="1" customHeight="1">
      <c r="A96" s="110" t="str">
        <f>'利用者'!A104</f>
        <v/>
      </c>
      <c r="B96" s="111" t="str">
        <f>'利用者'!B104</f>
        <v/>
      </c>
      <c r="C96" s="132"/>
      <c r="D96" s="125"/>
      <c r="E96" s="125"/>
      <c r="F96" s="125"/>
      <c r="G96" s="125"/>
      <c r="H96" s="120"/>
      <c r="I96" s="120"/>
      <c r="J96" s="121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5"/>
      <c r="V96" s="125"/>
      <c r="W96" s="123">
        <f t="shared" si="1"/>
        <v>0</v>
      </c>
      <c r="X96" s="125"/>
      <c r="Y96" s="125"/>
      <c r="Z96" s="126">
        <f t="shared" si="2"/>
        <v>0</v>
      </c>
      <c r="AA96" s="136"/>
      <c r="AB96" s="101" t="s">
        <v>131</v>
      </c>
      <c r="AC96" s="128">
        <f t="shared" si="3"/>
        <v>0</v>
      </c>
      <c r="AD96" s="134"/>
      <c r="AE96" s="135"/>
      <c r="AF96" s="135"/>
      <c r="AG96" s="135"/>
      <c r="AH96" s="135"/>
      <c r="AI96" s="135"/>
      <c r="AJ96" s="135"/>
    </row>
    <row r="97" ht="22.5" hidden="1" customHeight="1">
      <c r="A97" s="110" t="str">
        <f>'利用者'!A105</f>
        <v/>
      </c>
      <c r="B97" s="111" t="str">
        <f>'利用者'!B105</f>
        <v/>
      </c>
      <c r="C97" s="132"/>
      <c r="D97" s="125"/>
      <c r="E97" s="125"/>
      <c r="F97" s="125"/>
      <c r="G97" s="125"/>
      <c r="H97" s="120"/>
      <c r="I97" s="120"/>
      <c r="J97" s="121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5"/>
      <c r="V97" s="125"/>
      <c r="W97" s="123">
        <f t="shared" si="1"/>
        <v>0</v>
      </c>
      <c r="X97" s="125"/>
      <c r="Y97" s="125"/>
      <c r="Z97" s="126">
        <f t="shared" si="2"/>
        <v>0</v>
      </c>
      <c r="AA97" s="136"/>
      <c r="AB97" s="101" t="s">
        <v>131</v>
      </c>
      <c r="AC97" s="128">
        <f t="shared" si="3"/>
        <v>0</v>
      </c>
      <c r="AD97" s="134"/>
      <c r="AE97" s="135"/>
      <c r="AF97" s="135"/>
      <c r="AG97" s="135"/>
      <c r="AH97" s="135"/>
      <c r="AI97" s="135"/>
      <c r="AJ97" s="135"/>
    </row>
    <row r="98" ht="22.5" hidden="1" customHeight="1">
      <c r="A98" s="110" t="str">
        <f>'利用者'!A106</f>
        <v/>
      </c>
      <c r="B98" s="111" t="str">
        <f>'利用者'!B106</f>
        <v/>
      </c>
      <c r="C98" s="132"/>
      <c r="D98" s="125"/>
      <c r="E98" s="125"/>
      <c r="F98" s="125"/>
      <c r="G98" s="125"/>
      <c r="H98" s="120"/>
      <c r="I98" s="120"/>
      <c r="J98" s="12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5"/>
      <c r="V98" s="125"/>
      <c r="W98" s="123">
        <f t="shared" si="1"/>
        <v>0</v>
      </c>
      <c r="X98" s="125"/>
      <c r="Y98" s="125"/>
      <c r="Z98" s="126">
        <f t="shared" si="2"/>
        <v>0</v>
      </c>
      <c r="AA98" s="136"/>
      <c r="AB98" s="101" t="s">
        <v>131</v>
      </c>
      <c r="AC98" s="128">
        <f t="shared" si="3"/>
        <v>0</v>
      </c>
      <c r="AD98" s="134"/>
      <c r="AE98" s="135"/>
      <c r="AF98" s="135"/>
      <c r="AG98" s="135"/>
      <c r="AH98" s="135"/>
      <c r="AI98" s="135"/>
      <c r="AJ98" s="135"/>
    </row>
    <row r="99" ht="22.5" hidden="1" customHeight="1">
      <c r="A99" s="110" t="str">
        <f>'利用者'!A107</f>
        <v/>
      </c>
      <c r="B99" s="111" t="str">
        <f>'利用者'!B107</f>
        <v/>
      </c>
      <c r="C99" s="132"/>
      <c r="D99" s="125"/>
      <c r="E99" s="125"/>
      <c r="F99" s="125"/>
      <c r="G99" s="125"/>
      <c r="H99" s="120"/>
      <c r="I99" s="120"/>
      <c r="J99" s="121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5"/>
      <c r="V99" s="125"/>
      <c r="W99" s="123">
        <f t="shared" si="1"/>
        <v>0</v>
      </c>
      <c r="X99" s="125"/>
      <c r="Y99" s="125"/>
      <c r="Z99" s="126">
        <f t="shared" si="2"/>
        <v>0</v>
      </c>
      <c r="AA99" s="136"/>
      <c r="AB99" s="101" t="s">
        <v>131</v>
      </c>
      <c r="AC99" s="128">
        <f t="shared" si="3"/>
        <v>0</v>
      </c>
      <c r="AD99" s="134"/>
      <c r="AE99" s="135"/>
      <c r="AF99" s="135"/>
      <c r="AG99" s="135"/>
      <c r="AH99" s="135"/>
      <c r="AI99" s="135"/>
      <c r="AJ99" s="135"/>
    </row>
    <row r="100" ht="22.5" hidden="1" customHeight="1">
      <c r="A100" s="110" t="str">
        <f>'利用者'!A108</f>
        <v>210✕</v>
      </c>
      <c r="B100" s="111" t="str">
        <f>'利用者'!B108</f>
        <v>北村繁弘</v>
      </c>
      <c r="C100" s="132"/>
      <c r="D100" s="125"/>
      <c r="E100" s="125"/>
      <c r="F100" s="125"/>
      <c r="G100" s="125"/>
      <c r="H100" s="120"/>
      <c r="I100" s="120"/>
      <c r="J100" s="12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5"/>
      <c r="V100" s="125"/>
      <c r="W100" s="123">
        <f t="shared" si="1"/>
        <v>0</v>
      </c>
      <c r="X100" s="125"/>
      <c r="Y100" s="125"/>
      <c r="Z100" s="126">
        <f t="shared" si="2"/>
        <v>0</v>
      </c>
      <c r="AA100" s="136"/>
      <c r="AB100" s="101" t="s">
        <v>131</v>
      </c>
      <c r="AC100" s="128">
        <f t="shared" si="3"/>
        <v>0</v>
      </c>
      <c r="AD100" s="134"/>
      <c r="AE100" s="135"/>
      <c r="AF100" s="135"/>
      <c r="AG100" s="135"/>
      <c r="AH100" s="135"/>
      <c r="AI100" s="135"/>
      <c r="AJ100" s="135"/>
    </row>
    <row r="101" ht="22.5" hidden="1" customHeight="1">
      <c r="A101" s="110" t="str">
        <f>'利用者'!A109</f>
        <v>211✕</v>
      </c>
      <c r="B101" s="111" t="str">
        <f>'利用者'!B109</f>
        <v>鈴木信子</v>
      </c>
      <c r="C101" s="132"/>
      <c r="D101" s="125"/>
      <c r="E101" s="125"/>
      <c r="F101" s="125"/>
      <c r="G101" s="125"/>
      <c r="H101" s="120"/>
      <c r="I101" s="120"/>
      <c r="J101" s="12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5"/>
      <c r="V101" s="125"/>
      <c r="W101" s="123">
        <f t="shared" si="1"/>
        <v>0</v>
      </c>
      <c r="X101" s="125"/>
      <c r="Y101" s="125"/>
      <c r="Z101" s="126">
        <f t="shared" si="2"/>
        <v>0</v>
      </c>
      <c r="AA101" s="136"/>
      <c r="AB101" s="101" t="s">
        <v>131</v>
      </c>
      <c r="AC101" s="128">
        <f t="shared" si="3"/>
        <v>0</v>
      </c>
      <c r="AD101" s="134"/>
      <c r="AE101" s="135"/>
      <c r="AF101" s="135"/>
      <c r="AG101" s="135"/>
      <c r="AH101" s="135"/>
      <c r="AI101" s="135"/>
      <c r="AJ101" s="135"/>
    </row>
    <row r="102" ht="22.5" hidden="1" customHeight="1">
      <c r="A102" s="110" t="str">
        <f>'利用者'!A110</f>
        <v/>
      </c>
      <c r="B102" s="111" t="str">
        <f>'利用者'!B110</f>
        <v/>
      </c>
      <c r="C102" s="132"/>
      <c r="D102" s="125"/>
      <c r="E102" s="125"/>
      <c r="F102" s="125"/>
      <c r="G102" s="125"/>
      <c r="H102" s="120"/>
      <c r="I102" s="120"/>
      <c r="J102" s="121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5"/>
      <c r="V102" s="125"/>
      <c r="W102" s="123">
        <f t="shared" si="1"/>
        <v>0</v>
      </c>
      <c r="X102" s="125"/>
      <c r="Y102" s="125"/>
      <c r="Z102" s="126">
        <f t="shared" si="2"/>
        <v>0</v>
      </c>
      <c r="AA102" s="136"/>
      <c r="AB102" s="101" t="s">
        <v>131</v>
      </c>
      <c r="AC102" s="128">
        <f t="shared" si="3"/>
        <v>0</v>
      </c>
      <c r="AD102" s="134"/>
      <c r="AE102" s="135"/>
      <c r="AF102" s="135"/>
      <c r="AG102" s="135"/>
      <c r="AH102" s="135"/>
      <c r="AI102" s="135"/>
      <c r="AJ102" s="135"/>
    </row>
    <row r="103" ht="22.5" hidden="1" customHeight="1">
      <c r="A103" s="110" t="str">
        <f>'利用者'!A111</f>
        <v/>
      </c>
      <c r="B103" s="111" t="str">
        <f>'利用者'!B111</f>
        <v/>
      </c>
      <c r="C103" s="132"/>
      <c r="D103" s="125"/>
      <c r="E103" s="125"/>
      <c r="F103" s="125"/>
      <c r="G103" s="125"/>
      <c r="H103" s="120"/>
      <c r="I103" s="120"/>
      <c r="J103" s="12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5"/>
      <c r="V103" s="125"/>
      <c r="W103" s="123">
        <f t="shared" si="1"/>
        <v>0</v>
      </c>
      <c r="X103" s="125"/>
      <c r="Y103" s="125"/>
      <c r="Z103" s="126">
        <f t="shared" si="2"/>
        <v>0</v>
      </c>
      <c r="AA103" s="136"/>
      <c r="AB103" s="101" t="s">
        <v>131</v>
      </c>
      <c r="AC103" s="128">
        <f t="shared" si="3"/>
        <v>0</v>
      </c>
      <c r="AD103" s="134"/>
      <c r="AE103" s="135"/>
      <c r="AF103" s="135"/>
      <c r="AG103" s="135"/>
      <c r="AH103" s="135"/>
      <c r="AI103" s="135"/>
      <c r="AJ103" s="135"/>
    </row>
    <row r="104" ht="22.5" hidden="1" customHeight="1">
      <c r="A104" s="110" t="str">
        <f>'利用者'!A112</f>
        <v/>
      </c>
      <c r="B104" s="111" t="str">
        <f>'利用者'!B112</f>
        <v/>
      </c>
      <c r="C104" s="132"/>
      <c r="D104" s="125"/>
      <c r="E104" s="125"/>
      <c r="F104" s="125"/>
      <c r="G104" s="125"/>
      <c r="H104" s="120"/>
      <c r="I104" s="120"/>
      <c r="J104" s="12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5"/>
      <c r="V104" s="125"/>
      <c r="W104" s="123">
        <f t="shared" si="1"/>
        <v>0</v>
      </c>
      <c r="X104" s="125"/>
      <c r="Y104" s="125"/>
      <c r="Z104" s="126">
        <f t="shared" si="2"/>
        <v>0</v>
      </c>
      <c r="AA104" s="136"/>
      <c r="AB104" s="101" t="s">
        <v>131</v>
      </c>
      <c r="AC104" s="128">
        <f t="shared" si="3"/>
        <v>0</v>
      </c>
      <c r="AD104" s="134"/>
      <c r="AE104" s="135"/>
      <c r="AF104" s="135"/>
      <c r="AG104" s="135"/>
      <c r="AH104" s="135"/>
      <c r="AI104" s="135"/>
      <c r="AJ104" s="135"/>
    </row>
    <row r="105" ht="22.5" hidden="1" customHeight="1">
      <c r="A105" s="110" t="str">
        <f>'利用者'!A113</f>
        <v/>
      </c>
      <c r="B105" s="111" t="str">
        <f>'利用者'!B113</f>
        <v/>
      </c>
      <c r="C105" s="132"/>
      <c r="D105" s="125"/>
      <c r="E105" s="125"/>
      <c r="F105" s="125"/>
      <c r="G105" s="125"/>
      <c r="H105" s="120"/>
      <c r="I105" s="120"/>
      <c r="J105" s="12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5"/>
      <c r="V105" s="125"/>
      <c r="W105" s="123">
        <f t="shared" si="1"/>
        <v>0</v>
      </c>
      <c r="X105" s="125"/>
      <c r="Y105" s="125"/>
      <c r="Z105" s="126">
        <f t="shared" si="2"/>
        <v>0</v>
      </c>
      <c r="AA105" s="136"/>
      <c r="AB105" s="101" t="s">
        <v>131</v>
      </c>
      <c r="AC105" s="128">
        <f t="shared" si="3"/>
        <v>0</v>
      </c>
      <c r="AD105" s="134"/>
      <c r="AE105" s="135"/>
      <c r="AF105" s="135"/>
      <c r="AG105" s="135"/>
      <c r="AH105" s="135"/>
      <c r="AI105" s="135"/>
      <c r="AJ105" s="135"/>
    </row>
    <row r="106" ht="22.5" hidden="1" customHeight="1">
      <c r="A106" s="110" t="str">
        <f>'利用者'!A114</f>
        <v/>
      </c>
      <c r="B106" s="111" t="str">
        <f>'利用者'!B114</f>
        <v/>
      </c>
      <c r="C106" s="132"/>
      <c r="D106" s="125"/>
      <c r="E106" s="125"/>
      <c r="F106" s="125"/>
      <c r="G106" s="125"/>
      <c r="H106" s="120"/>
      <c r="I106" s="120"/>
      <c r="J106" s="121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5"/>
      <c r="V106" s="125"/>
      <c r="W106" s="123">
        <f t="shared" si="1"/>
        <v>0</v>
      </c>
      <c r="X106" s="125"/>
      <c r="Y106" s="125"/>
      <c r="Z106" s="126">
        <f t="shared" si="2"/>
        <v>0</v>
      </c>
      <c r="AA106" s="136"/>
      <c r="AB106" s="101" t="s">
        <v>131</v>
      </c>
      <c r="AC106" s="128">
        <f t="shared" si="3"/>
        <v>0</v>
      </c>
      <c r="AD106" s="134"/>
      <c r="AE106" s="135"/>
      <c r="AF106" s="135"/>
      <c r="AG106" s="135"/>
      <c r="AH106" s="135"/>
      <c r="AI106" s="135"/>
      <c r="AJ106" s="135"/>
    </row>
    <row r="107" ht="22.5" hidden="1" customHeight="1">
      <c r="A107" s="110" t="str">
        <f>'利用者'!A115</f>
        <v/>
      </c>
      <c r="B107" s="111" t="str">
        <f>'利用者'!B115</f>
        <v/>
      </c>
      <c r="C107" s="132"/>
      <c r="D107" s="125"/>
      <c r="E107" s="125"/>
      <c r="F107" s="125"/>
      <c r="G107" s="125"/>
      <c r="H107" s="120"/>
      <c r="I107" s="120"/>
      <c r="J107" s="12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5"/>
      <c r="V107" s="125"/>
      <c r="W107" s="123">
        <f t="shared" si="1"/>
        <v>0</v>
      </c>
      <c r="X107" s="125"/>
      <c r="Y107" s="125"/>
      <c r="Z107" s="126">
        <f t="shared" si="2"/>
        <v>0</v>
      </c>
      <c r="AA107" s="136"/>
      <c r="AB107" s="101" t="s">
        <v>131</v>
      </c>
      <c r="AC107" s="128">
        <f t="shared" si="3"/>
        <v>0</v>
      </c>
      <c r="AD107" s="134"/>
      <c r="AE107" s="135"/>
      <c r="AF107" s="135"/>
      <c r="AG107" s="135"/>
      <c r="AH107" s="135"/>
      <c r="AI107" s="135"/>
      <c r="AJ107" s="135"/>
    </row>
    <row r="108" ht="22.5" hidden="1" customHeight="1">
      <c r="A108" s="110" t="str">
        <f>'利用者'!A116</f>
        <v/>
      </c>
      <c r="B108" s="111" t="str">
        <f>'利用者'!B116</f>
        <v/>
      </c>
      <c r="C108" s="132"/>
      <c r="D108" s="125"/>
      <c r="E108" s="125"/>
      <c r="F108" s="125"/>
      <c r="G108" s="125"/>
      <c r="H108" s="120"/>
      <c r="I108" s="120"/>
      <c r="J108" s="12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5"/>
      <c r="V108" s="125"/>
      <c r="W108" s="123">
        <f t="shared" si="1"/>
        <v>0</v>
      </c>
      <c r="X108" s="125"/>
      <c r="Y108" s="125"/>
      <c r="Z108" s="126">
        <f t="shared" si="2"/>
        <v>0</v>
      </c>
      <c r="AA108" s="136"/>
      <c r="AB108" s="101" t="s">
        <v>131</v>
      </c>
      <c r="AC108" s="128">
        <f t="shared" si="3"/>
        <v>0</v>
      </c>
      <c r="AD108" s="134"/>
      <c r="AE108" s="135"/>
      <c r="AF108" s="135"/>
      <c r="AG108" s="135"/>
      <c r="AH108" s="135"/>
      <c r="AI108" s="135"/>
      <c r="AJ108" s="135"/>
    </row>
    <row r="109" ht="22.5" customHeight="1">
      <c r="A109" s="110"/>
      <c r="B109" s="111"/>
      <c r="C109" s="132"/>
      <c r="D109" s="125"/>
      <c r="E109" s="125"/>
      <c r="F109" s="125"/>
      <c r="G109" s="125"/>
      <c r="H109" s="120"/>
      <c r="I109" s="120"/>
      <c r="J109" s="12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5"/>
      <c r="V109" s="125"/>
      <c r="W109" s="123">
        <f t="shared" si="1"/>
        <v>0</v>
      </c>
      <c r="X109" s="125"/>
      <c r="Y109" s="125"/>
      <c r="Z109" s="126">
        <f t="shared" si="2"/>
        <v>0</v>
      </c>
      <c r="AA109" s="136"/>
      <c r="AB109" s="101" t="s">
        <v>131</v>
      </c>
      <c r="AC109" s="128">
        <f t="shared" si="3"/>
        <v>0</v>
      </c>
      <c r="AD109" s="134"/>
      <c r="AE109" s="135"/>
      <c r="AF109" s="135"/>
      <c r="AG109" s="135"/>
      <c r="AH109" s="135"/>
      <c r="AI109" s="135"/>
      <c r="AJ109" s="135"/>
    </row>
    <row r="110" ht="22.5" customHeight="1">
      <c r="A110" s="116" t="s">
        <v>128</v>
      </c>
      <c r="B110" s="116"/>
      <c r="C110" s="126"/>
      <c r="D110" s="126">
        <f t="shared" ref="D110:Y110" si="4">SUM(D3:D109)</f>
        <v>480000</v>
      </c>
      <c r="E110" s="126">
        <f t="shared" si="4"/>
        <v>60000</v>
      </c>
      <c r="F110" s="126">
        <f t="shared" si="4"/>
        <v>60000</v>
      </c>
      <c r="G110" s="126">
        <f t="shared" si="4"/>
        <v>24000</v>
      </c>
      <c r="H110" s="126">
        <f t="shared" si="4"/>
        <v>100000</v>
      </c>
      <c r="I110" s="126">
        <f t="shared" si="4"/>
        <v>407220</v>
      </c>
      <c r="J110" s="137">
        <f t="shared" si="4"/>
        <v>-371603</v>
      </c>
      <c r="K110" s="126">
        <f t="shared" si="4"/>
        <v>84852</v>
      </c>
      <c r="L110" s="126">
        <f t="shared" si="4"/>
        <v>20013</v>
      </c>
      <c r="M110" s="126">
        <f t="shared" si="4"/>
        <v>25000</v>
      </c>
      <c r="N110" s="126">
        <f t="shared" si="4"/>
        <v>0</v>
      </c>
      <c r="O110" s="126">
        <f t="shared" si="4"/>
        <v>42936</v>
      </c>
      <c r="P110" s="126">
        <f t="shared" si="4"/>
        <v>0</v>
      </c>
      <c r="Q110" s="126">
        <f t="shared" si="4"/>
        <v>113868</v>
      </c>
      <c r="R110" s="126">
        <f t="shared" si="4"/>
        <v>0</v>
      </c>
      <c r="S110" s="126">
        <f t="shared" si="4"/>
        <v>0</v>
      </c>
      <c r="T110" s="126">
        <f t="shared" si="4"/>
        <v>0</v>
      </c>
      <c r="U110" s="126">
        <f t="shared" si="4"/>
        <v>0</v>
      </c>
      <c r="V110" s="126">
        <f t="shared" si="4"/>
        <v>0</v>
      </c>
      <c r="W110" s="138">
        <f t="shared" si="4"/>
        <v>1046286</v>
      </c>
      <c r="X110" s="126">
        <f t="shared" si="4"/>
        <v>211590</v>
      </c>
      <c r="Y110" s="126">
        <f t="shared" si="4"/>
        <v>12500</v>
      </c>
      <c r="Z110" s="126">
        <f t="shared" si="2"/>
        <v>1270376</v>
      </c>
      <c r="AA110" s="127"/>
      <c r="AB110" s="101"/>
      <c r="AC110" s="130"/>
      <c r="AD110" s="101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09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07">
        <v>46022.0</v>
      </c>
      <c r="C1" s="108" t="s">
        <v>98</v>
      </c>
      <c r="D1" s="109" t="s">
        <v>99</v>
      </c>
      <c r="E1" s="109" t="s">
        <v>100</v>
      </c>
      <c r="F1" s="109" t="s">
        <v>101</v>
      </c>
      <c r="G1" s="109" t="s">
        <v>102</v>
      </c>
      <c r="H1" s="109" t="s">
        <v>103</v>
      </c>
      <c r="I1" s="109" t="s">
        <v>104</v>
      </c>
      <c r="J1" s="109" t="s">
        <v>105</v>
      </c>
      <c r="K1" s="109" t="s">
        <v>106</v>
      </c>
      <c r="L1" s="109" t="s">
        <v>107</v>
      </c>
      <c r="M1" s="109" t="s">
        <v>108</v>
      </c>
      <c r="N1" s="109" t="s">
        <v>109</v>
      </c>
      <c r="O1" s="109" t="s">
        <v>110</v>
      </c>
      <c r="P1" s="109" t="s">
        <v>111</v>
      </c>
      <c r="Q1" s="109" t="s">
        <v>112</v>
      </c>
      <c r="R1" s="109" t="s">
        <v>113</v>
      </c>
      <c r="S1" s="109" t="s">
        <v>114</v>
      </c>
      <c r="T1" s="109" t="s">
        <v>115</v>
      </c>
      <c r="U1" s="109" t="s">
        <v>116</v>
      </c>
      <c r="V1" s="109" t="s">
        <v>117</v>
      </c>
      <c r="W1" s="109" t="s">
        <v>118</v>
      </c>
      <c r="X1" s="109" t="s">
        <v>119</v>
      </c>
      <c r="Y1" s="109" t="s">
        <v>120</v>
      </c>
      <c r="Z1" s="109" t="s">
        <v>121</v>
      </c>
      <c r="AA1" s="109" t="s">
        <v>122</v>
      </c>
      <c r="AB1" s="109" t="s">
        <v>123</v>
      </c>
      <c r="AC1" s="101"/>
      <c r="AD1" s="101"/>
    </row>
    <row r="2" ht="22.5" customHeight="1">
      <c r="A2" s="110" t="s">
        <v>0</v>
      </c>
      <c r="B2" s="110" t="s">
        <v>1</v>
      </c>
      <c r="C2" s="111" t="s">
        <v>124</v>
      </c>
      <c r="D2" s="112" t="s">
        <v>5</v>
      </c>
      <c r="E2" s="112" t="s">
        <v>8</v>
      </c>
      <c r="F2" s="112" t="s">
        <v>10</v>
      </c>
      <c r="G2" s="112" t="s">
        <v>13</v>
      </c>
      <c r="H2" s="113" t="s">
        <v>15</v>
      </c>
      <c r="I2" s="113" t="s">
        <v>17</v>
      </c>
      <c r="J2" s="114" t="s">
        <v>20</v>
      </c>
      <c r="K2" s="113" t="s">
        <v>21</v>
      </c>
      <c r="L2" s="113" t="s">
        <v>22</v>
      </c>
      <c r="M2" s="113" t="s">
        <v>24</v>
      </c>
      <c r="N2" s="113" t="s">
        <v>26</v>
      </c>
      <c r="O2" s="113" t="s">
        <v>30</v>
      </c>
      <c r="P2" s="112" t="s">
        <v>32</v>
      </c>
      <c r="Q2" s="112" t="s">
        <v>35</v>
      </c>
      <c r="R2" s="112" t="s">
        <v>37</v>
      </c>
      <c r="S2" s="112" t="s">
        <v>27</v>
      </c>
      <c r="T2" s="112" t="s">
        <v>29</v>
      </c>
      <c r="U2" s="112"/>
      <c r="V2" s="112"/>
      <c r="W2" s="115" t="s">
        <v>125</v>
      </c>
      <c r="X2" s="111" t="s">
        <v>126</v>
      </c>
      <c r="Y2" s="111" t="s">
        <v>127</v>
      </c>
      <c r="Z2" s="116" t="s">
        <v>128</v>
      </c>
      <c r="AA2" s="117" t="s">
        <v>59</v>
      </c>
      <c r="AB2" s="117" t="s">
        <v>129</v>
      </c>
      <c r="AC2" s="110" t="s">
        <v>130</v>
      </c>
      <c r="AD2" s="117"/>
      <c r="AE2" s="10"/>
      <c r="AF2" s="10"/>
      <c r="AG2" s="10"/>
      <c r="AH2" s="10"/>
      <c r="AI2" s="10"/>
      <c r="AJ2" s="10"/>
    </row>
    <row r="3" ht="22.5" customHeight="1">
      <c r="A3" s="110">
        <v>108.0</v>
      </c>
      <c r="B3" s="111" t="s">
        <v>4</v>
      </c>
      <c r="C3" s="118">
        <v>185667.0</v>
      </c>
      <c r="D3" s="119">
        <v>40000.0</v>
      </c>
      <c r="E3" s="119">
        <v>5000.0</v>
      </c>
      <c r="F3" s="119">
        <v>5000.0</v>
      </c>
      <c r="G3" s="119">
        <v>2000.0</v>
      </c>
      <c r="H3" s="120">
        <v>10000.0</v>
      </c>
      <c r="I3" s="141">
        <v>44330.0</v>
      </c>
      <c r="J3" s="121">
        <v>-89656.0</v>
      </c>
      <c r="K3" s="120">
        <v>3751.0</v>
      </c>
      <c r="L3" s="120">
        <v>2263.0</v>
      </c>
      <c r="M3" s="120"/>
      <c r="N3" s="120"/>
      <c r="O3" s="120">
        <v>9042.0</v>
      </c>
      <c r="P3" s="120"/>
      <c r="Q3" s="120">
        <v>12772.0</v>
      </c>
      <c r="R3" s="120"/>
      <c r="S3" s="120"/>
      <c r="T3" s="120"/>
      <c r="U3" s="122"/>
      <c r="V3" s="122"/>
      <c r="W3" s="123">
        <f t="shared" ref="W3:W109" si="1">SUM(D3:V3)</f>
        <v>44502</v>
      </c>
      <c r="X3" s="124">
        <v>30498.0</v>
      </c>
      <c r="Y3" s="125">
        <v>5000.0</v>
      </c>
      <c r="Z3" s="126">
        <f t="shared" ref="Z3:Z110" si="2">SUM(W3:Y3)</f>
        <v>80000</v>
      </c>
      <c r="AA3" s="127">
        <v>80000.0</v>
      </c>
      <c r="AB3" s="101" t="s">
        <v>131</v>
      </c>
      <c r="AC3" s="118">
        <f t="shared" ref="AC3:AC109" si="3">C3-M3</f>
        <v>185667</v>
      </c>
      <c r="AD3" s="101"/>
    </row>
    <row r="4" ht="22.5" customHeight="1">
      <c r="A4" s="110">
        <v>206.0</v>
      </c>
      <c r="B4" s="111" t="s">
        <v>7</v>
      </c>
      <c r="C4" s="128"/>
      <c r="D4" s="119">
        <v>40000.0</v>
      </c>
      <c r="E4" s="119">
        <v>5000.0</v>
      </c>
      <c r="F4" s="119">
        <v>5000.0</v>
      </c>
      <c r="G4" s="119">
        <v>2000.0</v>
      </c>
      <c r="H4" s="120">
        <v>10000.0</v>
      </c>
      <c r="I4" s="120">
        <v>44330.0</v>
      </c>
      <c r="J4" s="121"/>
      <c r="K4" s="120"/>
      <c r="L4" s="120"/>
      <c r="M4" s="120"/>
      <c r="N4" s="120"/>
      <c r="O4" s="120"/>
      <c r="P4" s="120"/>
      <c r="Q4" s="120">
        <v>2932.0</v>
      </c>
      <c r="R4" s="120"/>
      <c r="S4" s="120"/>
      <c r="T4" s="120"/>
      <c r="U4" s="125"/>
      <c r="V4" s="125"/>
      <c r="W4" s="123">
        <f t="shared" si="1"/>
        <v>109262</v>
      </c>
      <c r="X4" s="124">
        <v>22869.0</v>
      </c>
      <c r="Y4" s="125">
        <v>2500.0</v>
      </c>
      <c r="Z4" s="126">
        <f t="shared" si="2"/>
        <v>134631</v>
      </c>
      <c r="AA4" s="127" t="s">
        <v>132</v>
      </c>
      <c r="AB4" s="101" t="s">
        <v>131</v>
      </c>
      <c r="AC4" s="128">
        <f t="shared" si="3"/>
        <v>0</v>
      </c>
      <c r="AD4" s="101"/>
    </row>
    <row r="5" ht="22.5" customHeight="1">
      <c r="A5" s="110">
        <v>210.0</v>
      </c>
      <c r="B5" s="111" t="s">
        <v>9</v>
      </c>
      <c r="C5" s="128">
        <v>140000.0</v>
      </c>
      <c r="D5" s="119">
        <v>0.0</v>
      </c>
      <c r="E5" s="119">
        <v>0.0</v>
      </c>
      <c r="F5" s="119">
        <v>0.0</v>
      </c>
      <c r="G5" s="119">
        <v>0.0</v>
      </c>
      <c r="H5" s="120">
        <v>0.0</v>
      </c>
      <c r="I5" s="120"/>
      <c r="J5" s="121"/>
      <c r="K5" s="133"/>
      <c r="L5" s="133"/>
      <c r="M5" s="120">
        <v>10000.0</v>
      </c>
      <c r="N5" s="120"/>
      <c r="O5" s="120"/>
      <c r="P5" s="120"/>
      <c r="Q5" s="120">
        <v>3882.0</v>
      </c>
      <c r="R5" s="120"/>
      <c r="S5" s="120"/>
      <c r="T5" s="120"/>
      <c r="U5" s="125"/>
      <c r="V5" s="125"/>
      <c r="W5" s="123">
        <f t="shared" si="1"/>
        <v>13882</v>
      </c>
      <c r="X5" s="124"/>
      <c r="Y5" s="125"/>
      <c r="Z5" s="126">
        <f t="shared" si="2"/>
        <v>13882</v>
      </c>
      <c r="AA5" s="127" t="s">
        <v>133</v>
      </c>
      <c r="AB5" s="101" t="s">
        <v>131</v>
      </c>
      <c r="AC5" s="128">
        <f t="shared" si="3"/>
        <v>130000</v>
      </c>
      <c r="AD5" s="101"/>
    </row>
    <row r="6" ht="22.5" customHeight="1">
      <c r="A6" s="110">
        <v>211.0</v>
      </c>
      <c r="B6" s="111"/>
      <c r="C6" s="128"/>
      <c r="D6" s="118"/>
      <c r="E6" s="118"/>
      <c r="F6" s="118"/>
      <c r="G6" s="118"/>
      <c r="H6" s="120"/>
      <c r="I6" s="120"/>
      <c r="J6" s="121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5"/>
      <c r="V6" s="125"/>
      <c r="W6" s="123">
        <f t="shared" si="1"/>
        <v>0</v>
      </c>
      <c r="X6" s="124"/>
      <c r="Y6" s="125"/>
      <c r="Z6" s="126">
        <f t="shared" si="2"/>
        <v>0</v>
      </c>
      <c r="AA6" s="127"/>
      <c r="AB6" s="101" t="s">
        <v>131</v>
      </c>
      <c r="AC6" s="128">
        <f t="shared" si="3"/>
        <v>0</v>
      </c>
      <c r="AD6" s="101"/>
    </row>
    <row r="7" ht="22.5" customHeight="1">
      <c r="A7" s="110">
        <v>212.0</v>
      </c>
      <c r="B7" s="111" t="s">
        <v>14</v>
      </c>
      <c r="C7" s="128"/>
      <c r="D7" s="119">
        <v>40000.0</v>
      </c>
      <c r="E7" s="119">
        <v>5000.0</v>
      </c>
      <c r="F7" s="119">
        <v>5000.0</v>
      </c>
      <c r="G7" s="119">
        <v>2000.0</v>
      </c>
      <c r="H7" s="120">
        <v>10000.0</v>
      </c>
      <c r="I7" s="120">
        <v>39380.0</v>
      </c>
      <c r="J7" s="121"/>
      <c r="K7" s="120">
        <v>11253.0</v>
      </c>
      <c r="L7" s="120">
        <v>2263.0</v>
      </c>
      <c r="M7" s="120"/>
      <c r="N7" s="120"/>
      <c r="O7" s="120"/>
      <c r="P7" s="120"/>
      <c r="Q7" s="120">
        <v>7622.0</v>
      </c>
      <c r="R7" s="120"/>
      <c r="S7" s="120"/>
      <c r="T7" s="120"/>
      <c r="U7" s="125"/>
      <c r="V7" s="125"/>
      <c r="W7" s="123">
        <f t="shared" si="1"/>
        <v>122518</v>
      </c>
      <c r="X7" s="118">
        <v>33605.0</v>
      </c>
      <c r="Y7" s="118"/>
      <c r="Z7" s="126">
        <f t="shared" si="2"/>
        <v>156123</v>
      </c>
      <c r="AA7" s="127" t="s">
        <v>132</v>
      </c>
      <c r="AB7" s="101" t="s">
        <v>131</v>
      </c>
      <c r="AC7" s="128">
        <f t="shared" si="3"/>
        <v>0</v>
      </c>
      <c r="AD7" s="101"/>
    </row>
    <row r="8" ht="22.5" customHeight="1">
      <c r="A8" s="110">
        <v>303.0</v>
      </c>
      <c r="B8" s="111" t="s">
        <v>136</v>
      </c>
      <c r="C8" s="128"/>
      <c r="D8" s="119"/>
      <c r="E8" s="119"/>
      <c r="F8" s="119"/>
      <c r="G8" s="119"/>
      <c r="H8" s="120"/>
      <c r="I8" s="120"/>
      <c r="J8" s="121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5"/>
      <c r="V8" s="125"/>
      <c r="W8" s="123">
        <f t="shared" si="1"/>
        <v>0</v>
      </c>
      <c r="X8" s="118"/>
      <c r="Y8" s="119"/>
      <c r="Z8" s="126">
        <f t="shared" si="2"/>
        <v>0</v>
      </c>
      <c r="AA8" s="127"/>
      <c r="AB8" s="101" t="s">
        <v>131</v>
      </c>
      <c r="AC8" s="128">
        <f t="shared" si="3"/>
        <v>0</v>
      </c>
      <c r="AD8" s="101"/>
    </row>
    <row r="9" ht="22.5" customHeight="1">
      <c r="A9" s="110">
        <v>401.0</v>
      </c>
      <c r="B9" s="111"/>
      <c r="C9" s="128"/>
      <c r="D9" s="118"/>
      <c r="E9" s="118"/>
      <c r="F9" s="118"/>
      <c r="G9" s="118"/>
      <c r="H9" s="120"/>
      <c r="I9" s="120"/>
      <c r="J9" s="121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5"/>
      <c r="V9" s="125"/>
      <c r="W9" s="123">
        <f t="shared" si="1"/>
        <v>0</v>
      </c>
      <c r="X9" s="131"/>
      <c r="Y9" s="125"/>
      <c r="Z9" s="126">
        <f t="shared" si="2"/>
        <v>0</v>
      </c>
      <c r="AA9" s="127"/>
      <c r="AB9" s="101" t="s">
        <v>131</v>
      </c>
      <c r="AC9" s="128">
        <f t="shared" si="3"/>
        <v>0</v>
      </c>
      <c r="AD9" s="101"/>
    </row>
    <row r="10" ht="22.5" customHeight="1">
      <c r="A10" s="110">
        <v>402.0</v>
      </c>
      <c r="B10" s="111" t="s">
        <v>12</v>
      </c>
      <c r="C10" s="132"/>
      <c r="D10" s="119">
        <v>40000.0</v>
      </c>
      <c r="E10" s="119">
        <v>5000.0</v>
      </c>
      <c r="F10" s="119">
        <v>5000.0</v>
      </c>
      <c r="G10" s="119">
        <v>2000.0</v>
      </c>
      <c r="H10" s="120">
        <v>10000.0</v>
      </c>
      <c r="I10" s="120">
        <v>44330.0</v>
      </c>
      <c r="J10" s="121">
        <v>-51973.0</v>
      </c>
      <c r="K10" s="120">
        <v>16895.0</v>
      </c>
      <c r="L10" s="120">
        <v>2263.0</v>
      </c>
      <c r="M10" s="120"/>
      <c r="N10" s="120"/>
      <c r="O10" s="120">
        <v>6596.0</v>
      </c>
      <c r="P10" s="120"/>
      <c r="Q10" s="120">
        <v>4162.0</v>
      </c>
      <c r="R10" s="120"/>
      <c r="S10" s="120"/>
      <c r="T10" s="120"/>
      <c r="U10" s="125"/>
      <c r="V10" s="125"/>
      <c r="W10" s="123">
        <f t="shared" si="1"/>
        <v>84273</v>
      </c>
      <c r="X10" s="125">
        <v>20727.0</v>
      </c>
      <c r="Y10" s="125"/>
      <c r="Z10" s="126">
        <f t="shared" si="2"/>
        <v>105000</v>
      </c>
      <c r="AA10" s="127">
        <v>105000.0</v>
      </c>
      <c r="AB10" s="101" t="s">
        <v>131</v>
      </c>
      <c r="AC10" s="128">
        <f t="shared" si="3"/>
        <v>0</v>
      </c>
      <c r="AD10" s="101"/>
    </row>
    <row r="11" ht="22.5" customHeight="1">
      <c r="A11" s="110">
        <v>403.0</v>
      </c>
      <c r="B11" s="111" t="s">
        <v>23</v>
      </c>
      <c r="C11" s="132">
        <v>110000.0</v>
      </c>
      <c r="D11" s="119">
        <v>40000.0</v>
      </c>
      <c r="E11" s="119">
        <v>5000.0</v>
      </c>
      <c r="F11" s="119">
        <v>5000.0</v>
      </c>
      <c r="G11" s="119">
        <v>2000.0</v>
      </c>
      <c r="H11" s="120">
        <v>10000.0</v>
      </c>
      <c r="I11" s="120"/>
      <c r="J11" s="121"/>
      <c r="K11" s="120">
        <v>11253.0</v>
      </c>
      <c r="L11" s="120">
        <v>2263.0</v>
      </c>
      <c r="M11" s="120">
        <v>10000.0</v>
      </c>
      <c r="N11" s="120"/>
      <c r="O11" s="120"/>
      <c r="P11" s="120"/>
      <c r="Q11" s="125"/>
      <c r="R11" s="120"/>
      <c r="S11" s="120"/>
      <c r="T11" s="120"/>
      <c r="U11" s="125"/>
      <c r="V11" s="125"/>
      <c r="W11" s="123">
        <f t="shared" si="1"/>
        <v>85516</v>
      </c>
      <c r="X11" s="131"/>
      <c r="Y11" s="125"/>
      <c r="Z11" s="126">
        <f t="shared" si="2"/>
        <v>85516</v>
      </c>
      <c r="AA11" s="127" t="s">
        <v>134</v>
      </c>
      <c r="AB11" s="101" t="s">
        <v>131</v>
      </c>
      <c r="AC11" s="128">
        <f t="shared" si="3"/>
        <v>100000</v>
      </c>
      <c r="AD11" s="101" t="s">
        <v>135</v>
      </c>
    </row>
    <row r="12" ht="22.5" customHeight="1">
      <c r="A12" s="110">
        <v>405.0</v>
      </c>
      <c r="B12" s="111" t="s">
        <v>25</v>
      </c>
      <c r="C12" s="132"/>
      <c r="D12" s="119">
        <v>40000.0</v>
      </c>
      <c r="E12" s="119">
        <v>5000.0</v>
      </c>
      <c r="F12" s="119">
        <v>5000.0</v>
      </c>
      <c r="G12" s="119">
        <v>2000.0</v>
      </c>
      <c r="H12" s="120"/>
      <c r="I12" s="120">
        <v>44330.0</v>
      </c>
      <c r="J12" s="121"/>
      <c r="K12" s="133"/>
      <c r="L12" s="133"/>
      <c r="M12" s="120"/>
      <c r="N12" s="120"/>
      <c r="O12" s="120"/>
      <c r="P12" s="120"/>
      <c r="Q12" s="120"/>
      <c r="R12" s="120"/>
      <c r="S12" s="120"/>
      <c r="T12" s="120"/>
      <c r="U12" s="125"/>
      <c r="V12" s="125"/>
      <c r="W12" s="123">
        <f t="shared" si="1"/>
        <v>96330</v>
      </c>
      <c r="X12" s="125"/>
      <c r="Y12" s="125"/>
      <c r="Z12" s="126">
        <f t="shared" si="2"/>
        <v>96330</v>
      </c>
      <c r="AA12" s="127"/>
      <c r="AB12" s="101" t="s">
        <v>131</v>
      </c>
      <c r="AC12" s="128">
        <f t="shared" si="3"/>
        <v>0</v>
      </c>
      <c r="AD12" s="101"/>
    </row>
    <row r="13" ht="22.5" customHeight="1">
      <c r="A13" s="110">
        <v>406.0</v>
      </c>
      <c r="B13" s="111"/>
      <c r="C13" s="132"/>
      <c r="D13" s="118"/>
      <c r="E13" s="118"/>
      <c r="F13" s="118"/>
      <c r="G13" s="118"/>
      <c r="H13" s="120"/>
      <c r="I13" s="120"/>
      <c r="J13" s="121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5"/>
      <c r="V13" s="125"/>
      <c r="W13" s="123">
        <f t="shared" si="1"/>
        <v>0</v>
      </c>
      <c r="X13" s="125"/>
      <c r="Y13" s="125"/>
      <c r="Z13" s="126">
        <f t="shared" si="2"/>
        <v>0</v>
      </c>
      <c r="AA13" s="127"/>
      <c r="AB13" s="101" t="s">
        <v>131</v>
      </c>
      <c r="AC13" s="128">
        <f t="shared" si="3"/>
        <v>0</v>
      </c>
      <c r="AD13" s="101"/>
    </row>
    <row r="14" ht="22.5" customHeight="1">
      <c r="A14" s="110">
        <v>407.0</v>
      </c>
      <c r="B14" s="111" t="s">
        <v>28</v>
      </c>
      <c r="C14" s="132"/>
      <c r="D14" s="119">
        <v>40000.0</v>
      </c>
      <c r="E14" s="119">
        <v>5000.0</v>
      </c>
      <c r="F14" s="119">
        <v>5000.0</v>
      </c>
      <c r="G14" s="119">
        <v>2000.0</v>
      </c>
      <c r="H14" s="120">
        <v>10000.0</v>
      </c>
      <c r="I14" s="141">
        <v>39930.0</v>
      </c>
      <c r="J14" s="121">
        <v>-120573.0</v>
      </c>
      <c r="K14" s="120">
        <v>7502.0</v>
      </c>
      <c r="L14" s="120">
        <v>2263.0</v>
      </c>
      <c r="M14" s="120"/>
      <c r="N14" s="120"/>
      <c r="O14" s="120"/>
      <c r="P14" s="120"/>
      <c r="Q14" s="120">
        <v>28878.0</v>
      </c>
      <c r="R14" s="120"/>
      <c r="S14" s="120"/>
      <c r="T14" s="120"/>
      <c r="U14" s="125"/>
      <c r="V14" s="125"/>
      <c r="W14" s="123">
        <f t="shared" si="1"/>
        <v>20000</v>
      </c>
      <c r="X14" s="125">
        <v>24290.0</v>
      </c>
      <c r="Y14" s="125">
        <v>55710.0</v>
      </c>
      <c r="Z14" s="126">
        <f t="shared" si="2"/>
        <v>100000</v>
      </c>
      <c r="AA14" s="127">
        <v>100000.0</v>
      </c>
      <c r="AB14" s="101" t="s">
        <v>131</v>
      </c>
      <c r="AC14" s="128">
        <f t="shared" si="3"/>
        <v>0</v>
      </c>
      <c r="AD14" s="134"/>
      <c r="AE14" s="135"/>
      <c r="AF14" s="135"/>
      <c r="AG14" s="135"/>
      <c r="AH14" s="135"/>
      <c r="AI14" s="135"/>
      <c r="AJ14" s="135"/>
    </row>
    <row r="15" ht="22.5" customHeight="1">
      <c r="A15" s="110">
        <v>408.0</v>
      </c>
      <c r="B15" s="111"/>
      <c r="C15" s="132"/>
      <c r="D15" s="125"/>
      <c r="E15" s="125"/>
      <c r="F15" s="125"/>
      <c r="G15" s="125"/>
      <c r="H15" s="120"/>
      <c r="I15" s="120"/>
      <c r="J15" s="121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5"/>
      <c r="V15" s="125"/>
      <c r="W15" s="123">
        <f t="shared" si="1"/>
        <v>0</v>
      </c>
      <c r="X15" s="125"/>
      <c r="Y15" s="125"/>
      <c r="Z15" s="126">
        <f t="shared" si="2"/>
        <v>0</v>
      </c>
      <c r="AA15" s="136"/>
      <c r="AB15" s="101" t="s">
        <v>131</v>
      </c>
      <c r="AC15" s="128">
        <f t="shared" si="3"/>
        <v>0</v>
      </c>
      <c r="AD15" s="134"/>
      <c r="AE15" s="135"/>
      <c r="AF15" s="135"/>
      <c r="AG15" s="135"/>
      <c r="AH15" s="135"/>
      <c r="AI15" s="135"/>
      <c r="AJ15" s="135"/>
    </row>
    <row r="16" ht="22.5" customHeight="1">
      <c r="A16" s="110">
        <v>415.0</v>
      </c>
      <c r="B16" s="111" t="s">
        <v>31</v>
      </c>
      <c r="C16" s="132">
        <v>133000.0</v>
      </c>
      <c r="D16" s="125">
        <v>40000.0</v>
      </c>
      <c r="E16" s="125">
        <v>5000.0</v>
      </c>
      <c r="F16" s="125">
        <v>5000.0</v>
      </c>
      <c r="G16" s="125">
        <v>2000.0</v>
      </c>
      <c r="H16" s="120">
        <v>0.0</v>
      </c>
      <c r="I16" s="120"/>
      <c r="J16" s="121"/>
      <c r="K16" s="120"/>
      <c r="L16" s="120"/>
      <c r="M16" s="120">
        <v>5000.0</v>
      </c>
      <c r="N16" s="120"/>
      <c r="O16" s="120"/>
      <c r="P16" s="120"/>
      <c r="Q16" s="120"/>
      <c r="R16" s="120"/>
      <c r="S16" s="120"/>
      <c r="T16" s="120"/>
      <c r="U16" s="125"/>
      <c r="V16" s="125"/>
      <c r="W16" s="123">
        <f t="shared" si="1"/>
        <v>57000</v>
      </c>
      <c r="X16" s="125"/>
      <c r="Y16" s="125"/>
      <c r="Z16" s="126">
        <f t="shared" si="2"/>
        <v>57000</v>
      </c>
      <c r="AA16" s="136"/>
      <c r="AB16" s="101" t="s">
        <v>131</v>
      </c>
      <c r="AC16" s="128">
        <f t="shared" si="3"/>
        <v>128000</v>
      </c>
      <c r="AD16" s="134"/>
      <c r="AE16" s="135"/>
      <c r="AF16" s="135"/>
      <c r="AG16" s="135"/>
      <c r="AH16" s="135"/>
      <c r="AI16" s="135"/>
      <c r="AJ16" s="135"/>
    </row>
    <row r="17" ht="22.5" customHeight="1">
      <c r="A17" s="110">
        <v>601.0</v>
      </c>
      <c r="B17" s="111" t="s">
        <v>34</v>
      </c>
      <c r="C17" s="132">
        <v>134000.0</v>
      </c>
      <c r="D17" s="119">
        <v>40000.0</v>
      </c>
      <c r="E17" s="119">
        <v>5000.0</v>
      </c>
      <c r="F17" s="119">
        <v>5000.0</v>
      </c>
      <c r="G17" s="119">
        <v>2000.0</v>
      </c>
      <c r="H17" s="120">
        <v>10000.0</v>
      </c>
      <c r="I17" s="120">
        <v>41580.0</v>
      </c>
      <c r="J17" s="121">
        <v>-64229.0</v>
      </c>
      <c r="K17" s="120">
        <v>7502.0</v>
      </c>
      <c r="L17" s="120">
        <v>4495.0</v>
      </c>
      <c r="M17" s="120"/>
      <c r="N17" s="120"/>
      <c r="O17" s="120">
        <v>8013.0</v>
      </c>
      <c r="P17" s="120"/>
      <c r="Q17" s="120">
        <v>5262.0</v>
      </c>
      <c r="R17" s="120"/>
      <c r="S17" s="120"/>
      <c r="T17" s="120"/>
      <c r="U17" s="125"/>
      <c r="V17" s="125"/>
      <c r="W17" s="123">
        <f t="shared" si="1"/>
        <v>64623</v>
      </c>
      <c r="X17" s="125">
        <v>35377.0</v>
      </c>
      <c r="Y17" s="125"/>
      <c r="Z17" s="126">
        <f t="shared" si="2"/>
        <v>100000</v>
      </c>
      <c r="AA17" s="127">
        <v>100000.0</v>
      </c>
      <c r="AB17" s="101" t="s">
        <v>131</v>
      </c>
      <c r="AC17" s="128">
        <f t="shared" si="3"/>
        <v>134000</v>
      </c>
      <c r="AD17" s="134"/>
      <c r="AE17" s="135"/>
      <c r="AF17" s="135"/>
      <c r="AG17" s="135"/>
      <c r="AH17" s="135"/>
      <c r="AI17" s="135"/>
      <c r="AJ17" s="135"/>
    </row>
    <row r="18" ht="22.5" customHeight="1">
      <c r="A18" s="110">
        <v>608.0</v>
      </c>
      <c r="B18" s="111" t="s">
        <v>36</v>
      </c>
      <c r="C18" s="132"/>
      <c r="D18" s="125">
        <v>0.0</v>
      </c>
      <c r="E18" s="125">
        <v>0.0</v>
      </c>
      <c r="F18" s="125">
        <v>0.0</v>
      </c>
      <c r="G18" s="125">
        <v>0.0</v>
      </c>
      <c r="H18" s="120">
        <v>0.0</v>
      </c>
      <c r="I18" s="120"/>
      <c r="J18" s="121"/>
      <c r="K18" s="133"/>
      <c r="L18" s="133"/>
      <c r="M18" s="120"/>
      <c r="N18" s="120"/>
      <c r="O18" s="120"/>
      <c r="P18" s="120"/>
      <c r="Q18" s="120"/>
      <c r="R18" s="120"/>
      <c r="S18" s="120"/>
      <c r="T18" s="120"/>
      <c r="U18" s="125"/>
      <c r="V18" s="125"/>
      <c r="W18" s="123">
        <f t="shared" si="1"/>
        <v>0</v>
      </c>
      <c r="X18" s="125"/>
      <c r="Y18" s="125"/>
      <c r="Z18" s="126">
        <f t="shared" si="2"/>
        <v>0</v>
      </c>
      <c r="AA18" s="136">
        <v>62000.0</v>
      </c>
      <c r="AB18" s="101" t="s">
        <v>131</v>
      </c>
      <c r="AC18" s="128">
        <f t="shared" si="3"/>
        <v>0</v>
      </c>
      <c r="AD18" s="134"/>
      <c r="AE18" s="135"/>
      <c r="AF18" s="135"/>
      <c r="AG18" s="135"/>
      <c r="AH18" s="135"/>
      <c r="AI18" s="135"/>
      <c r="AJ18" s="135"/>
    </row>
    <row r="19" ht="22.5" customHeight="1">
      <c r="A19" s="110">
        <v>703.0</v>
      </c>
      <c r="B19" s="111" t="s">
        <v>38</v>
      </c>
      <c r="C19" s="132"/>
      <c r="D19" s="119">
        <v>40000.0</v>
      </c>
      <c r="E19" s="119">
        <v>5000.0</v>
      </c>
      <c r="F19" s="119">
        <v>5000.0</v>
      </c>
      <c r="G19" s="119">
        <v>2000.0</v>
      </c>
      <c r="H19" s="120">
        <v>10000.0</v>
      </c>
      <c r="I19" s="120">
        <v>44330.0</v>
      </c>
      <c r="J19" s="121">
        <v>-108551.0</v>
      </c>
      <c r="K19" s="120">
        <v>28148.0</v>
      </c>
      <c r="L19" s="120">
        <v>4495.0</v>
      </c>
      <c r="M19" s="120"/>
      <c r="N19" s="120"/>
      <c r="O19" s="120">
        <v>13305.0</v>
      </c>
      <c r="P19" s="120"/>
      <c r="Q19" s="120">
        <v>8722.0</v>
      </c>
      <c r="R19" s="120"/>
      <c r="S19" s="120"/>
      <c r="T19" s="120"/>
      <c r="U19" s="125"/>
      <c r="V19" s="125"/>
      <c r="W19" s="123">
        <f t="shared" si="1"/>
        <v>52449</v>
      </c>
      <c r="X19" s="125">
        <v>22551.0</v>
      </c>
      <c r="Y19" s="125">
        <v>5000.0</v>
      </c>
      <c r="Z19" s="126">
        <f t="shared" si="2"/>
        <v>80000</v>
      </c>
      <c r="AA19" s="127">
        <v>80000.0</v>
      </c>
      <c r="AB19" s="101" t="s">
        <v>131</v>
      </c>
      <c r="AC19" s="128">
        <f t="shared" si="3"/>
        <v>0</v>
      </c>
      <c r="AD19" s="134"/>
      <c r="AE19" s="135"/>
      <c r="AF19" s="135"/>
      <c r="AG19" s="135"/>
      <c r="AH19" s="135"/>
      <c r="AI19" s="135"/>
      <c r="AJ19" s="135"/>
    </row>
    <row r="20" ht="22.5" customHeight="1">
      <c r="A20" s="110">
        <v>715.0</v>
      </c>
      <c r="B20" s="111" t="s">
        <v>39</v>
      </c>
      <c r="C20" s="132"/>
      <c r="D20" s="119">
        <v>40000.0</v>
      </c>
      <c r="E20" s="119">
        <v>5000.0</v>
      </c>
      <c r="F20" s="119">
        <v>5000.0</v>
      </c>
      <c r="G20" s="119">
        <v>2000.0</v>
      </c>
      <c r="H20" s="120">
        <v>10000.0</v>
      </c>
      <c r="I20" s="120">
        <v>44330.0</v>
      </c>
      <c r="J20" s="121"/>
      <c r="K20" s="120"/>
      <c r="L20" s="120">
        <v>2263.0</v>
      </c>
      <c r="M20" s="120"/>
      <c r="N20" s="120"/>
      <c r="O20" s="120"/>
      <c r="P20" s="120"/>
      <c r="Q20" s="120"/>
      <c r="R20" s="120"/>
      <c r="S20" s="120"/>
      <c r="T20" s="120"/>
      <c r="U20" s="125"/>
      <c r="V20" s="125"/>
      <c r="W20" s="123">
        <f t="shared" si="1"/>
        <v>108593</v>
      </c>
      <c r="X20" s="125"/>
      <c r="Y20" s="125"/>
      <c r="Z20" s="126">
        <f t="shared" si="2"/>
        <v>108593</v>
      </c>
      <c r="AA20" s="127">
        <v>116000.0</v>
      </c>
      <c r="AB20" s="101" t="s">
        <v>131</v>
      </c>
      <c r="AC20" s="128">
        <f t="shared" si="3"/>
        <v>0</v>
      </c>
      <c r="AD20" s="134"/>
      <c r="AE20" s="135"/>
      <c r="AF20" s="135"/>
      <c r="AG20" s="135"/>
      <c r="AH20" s="135"/>
      <c r="AI20" s="135"/>
      <c r="AJ20" s="135"/>
    </row>
    <row r="21" ht="22.5" customHeight="1">
      <c r="A21" s="110">
        <v>716.0</v>
      </c>
      <c r="B21" s="111" t="s">
        <v>40</v>
      </c>
      <c r="C21" s="132"/>
      <c r="D21" s="119">
        <v>40000.0</v>
      </c>
      <c r="E21" s="119">
        <v>5000.0</v>
      </c>
      <c r="F21" s="119">
        <v>5000.0</v>
      </c>
      <c r="G21" s="119">
        <v>2000.0</v>
      </c>
      <c r="H21" s="120">
        <v>10000.0</v>
      </c>
      <c r="I21" s="120">
        <v>32450.0</v>
      </c>
      <c r="J21" s="121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5"/>
      <c r="V21" s="125"/>
      <c r="W21" s="123">
        <f t="shared" si="1"/>
        <v>94450</v>
      </c>
      <c r="X21" s="125"/>
      <c r="Y21" s="125"/>
      <c r="Z21" s="126">
        <f t="shared" si="2"/>
        <v>94450</v>
      </c>
      <c r="AA21" s="127" t="s">
        <v>132</v>
      </c>
      <c r="AB21" s="101" t="s">
        <v>131</v>
      </c>
      <c r="AC21" s="128">
        <f t="shared" si="3"/>
        <v>0</v>
      </c>
      <c r="AD21" s="134"/>
      <c r="AE21" s="135"/>
      <c r="AF21" s="135"/>
      <c r="AG21" s="135"/>
      <c r="AH21" s="135"/>
      <c r="AI21" s="135"/>
      <c r="AJ21" s="135"/>
    </row>
    <row r="22" ht="22.5" hidden="1" customHeight="1">
      <c r="A22" s="110" t="str">
        <f>'利用者'!A30</f>
        <v/>
      </c>
      <c r="B22" s="111" t="str">
        <f>'利用者'!B30</f>
        <v/>
      </c>
      <c r="C22" s="132"/>
      <c r="D22" s="125"/>
      <c r="E22" s="125"/>
      <c r="F22" s="125"/>
      <c r="G22" s="125"/>
      <c r="H22" s="120"/>
      <c r="I22" s="120"/>
      <c r="J22" s="121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5"/>
      <c r="V22" s="125"/>
      <c r="W22" s="123">
        <f t="shared" si="1"/>
        <v>0</v>
      </c>
      <c r="X22" s="125"/>
      <c r="Y22" s="125"/>
      <c r="Z22" s="126">
        <f t="shared" si="2"/>
        <v>0</v>
      </c>
      <c r="AA22" s="136"/>
      <c r="AB22" s="101" t="s">
        <v>131</v>
      </c>
      <c r="AC22" s="128">
        <f t="shared" si="3"/>
        <v>0</v>
      </c>
      <c r="AD22" s="134"/>
      <c r="AE22" s="135"/>
      <c r="AF22" s="135"/>
      <c r="AG22" s="135"/>
      <c r="AH22" s="135"/>
      <c r="AI22" s="135"/>
      <c r="AJ22" s="135"/>
    </row>
    <row r="23" ht="22.5" hidden="1" customHeight="1">
      <c r="A23" s="110" t="str">
        <f>'利用者'!A31</f>
        <v/>
      </c>
      <c r="B23" s="111" t="str">
        <f>'利用者'!B31</f>
        <v/>
      </c>
      <c r="C23" s="132"/>
      <c r="D23" s="125"/>
      <c r="E23" s="125"/>
      <c r="F23" s="125"/>
      <c r="G23" s="125"/>
      <c r="H23" s="120"/>
      <c r="I23" s="120"/>
      <c r="J23" s="121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5"/>
      <c r="V23" s="125"/>
      <c r="W23" s="123">
        <f t="shared" si="1"/>
        <v>0</v>
      </c>
      <c r="X23" s="125"/>
      <c r="Y23" s="125"/>
      <c r="Z23" s="126">
        <f t="shared" si="2"/>
        <v>0</v>
      </c>
      <c r="AA23" s="136"/>
      <c r="AB23" s="101" t="s">
        <v>131</v>
      </c>
      <c r="AC23" s="128">
        <f t="shared" si="3"/>
        <v>0</v>
      </c>
      <c r="AD23" s="134"/>
      <c r="AE23" s="135"/>
      <c r="AF23" s="135"/>
      <c r="AG23" s="135"/>
      <c r="AH23" s="135"/>
      <c r="AI23" s="135"/>
      <c r="AJ23" s="135"/>
    </row>
    <row r="24" ht="22.5" hidden="1" customHeight="1">
      <c r="A24" s="110" t="str">
        <f>'利用者'!A32</f>
        <v/>
      </c>
      <c r="B24" s="111" t="str">
        <f>'利用者'!B32</f>
        <v/>
      </c>
      <c r="C24" s="132"/>
      <c r="D24" s="125"/>
      <c r="E24" s="125"/>
      <c r="F24" s="125"/>
      <c r="G24" s="125"/>
      <c r="H24" s="120"/>
      <c r="I24" s="120"/>
      <c r="J24" s="121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5"/>
      <c r="V24" s="125"/>
      <c r="W24" s="123">
        <f t="shared" si="1"/>
        <v>0</v>
      </c>
      <c r="X24" s="125"/>
      <c r="Y24" s="125"/>
      <c r="Z24" s="126">
        <f t="shared" si="2"/>
        <v>0</v>
      </c>
      <c r="AA24" s="136"/>
      <c r="AB24" s="101" t="s">
        <v>131</v>
      </c>
      <c r="AC24" s="128">
        <f t="shared" si="3"/>
        <v>0</v>
      </c>
      <c r="AD24" s="134"/>
      <c r="AE24" s="135"/>
      <c r="AF24" s="135"/>
      <c r="AG24" s="135"/>
      <c r="AH24" s="135"/>
      <c r="AI24" s="135"/>
      <c r="AJ24" s="135"/>
    </row>
    <row r="25" ht="22.5" hidden="1" customHeight="1">
      <c r="A25" s="110" t="str">
        <f>'利用者'!A33</f>
        <v/>
      </c>
      <c r="B25" s="111" t="str">
        <f>'利用者'!B33</f>
        <v/>
      </c>
      <c r="C25" s="132"/>
      <c r="D25" s="125"/>
      <c r="E25" s="125"/>
      <c r="F25" s="125"/>
      <c r="G25" s="125"/>
      <c r="H25" s="120"/>
      <c r="I25" s="120"/>
      <c r="J25" s="121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5"/>
      <c r="V25" s="125"/>
      <c r="W25" s="123">
        <f t="shared" si="1"/>
        <v>0</v>
      </c>
      <c r="X25" s="125"/>
      <c r="Y25" s="125"/>
      <c r="Z25" s="126">
        <f t="shared" si="2"/>
        <v>0</v>
      </c>
      <c r="AA25" s="136"/>
      <c r="AB25" s="101" t="s">
        <v>131</v>
      </c>
      <c r="AC25" s="128">
        <f t="shared" si="3"/>
        <v>0</v>
      </c>
      <c r="AD25" s="134"/>
      <c r="AE25" s="135"/>
      <c r="AF25" s="135"/>
      <c r="AG25" s="135"/>
      <c r="AH25" s="135"/>
      <c r="AI25" s="135"/>
      <c r="AJ25" s="135"/>
    </row>
    <row r="26" ht="22.5" hidden="1" customHeight="1">
      <c r="A26" s="110" t="str">
        <f>'利用者'!A34</f>
        <v/>
      </c>
      <c r="B26" s="111" t="str">
        <f>'利用者'!B34</f>
        <v/>
      </c>
      <c r="C26" s="132"/>
      <c r="D26" s="125"/>
      <c r="E26" s="125"/>
      <c r="F26" s="125"/>
      <c r="G26" s="125"/>
      <c r="H26" s="120"/>
      <c r="I26" s="120"/>
      <c r="J26" s="121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5"/>
      <c r="V26" s="125"/>
      <c r="W26" s="123">
        <f t="shared" si="1"/>
        <v>0</v>
      </c>
      <c r="X26" s="125"/>
      <c r="Y26" s="125"/>
      <c r="Z26" s="126">
        <f t="shared" si="2"/>
        <v>0</v>
      </c>
      <c r="AA26" s="136"/>
      <c r="AB26" s="101" t="s">
        <v>131</v>
      </c>
      <c r="AC26" s="128">
        <f t="shared" si="3"/>
        <v>0</v>
      </c>
      <c r="AD26" s="134"/>
      <c r="AE26" s="135"/>
      <c r="AF26" s="135"/>
      <c r="AG26" s="135"/>
      <c r="AH26" s="135"/>
      <c r="AI26" s="135"/>
      <c r="AJ26" s="135"/>
    </row>
    <row r="27" ht="22.5" hidden="1" customHeight="1">
      <c r="A27" s="110" t="str">
        <f>'利用者'!A35</f>
        <v/>
      </c>
      <c r="B27" s="111" t="str">
        <f>'利用者'!B35</f>
        <v/>
      </c>
      <c r="C27" s="132"/>
      <c r="D27" s="125"/>
      <c r="E27" s="125"/>
      <c r="F27" s="125"/>
      <c r="G27" s="125"/>
      <c r="H27" s="120"/>
      <c r="I27" s="120"/>
      <c r="J27" s="121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5"/>
      <c r="V27" s="125"/>
      <c r="W27" s="123">
        <f t="shared" si="1"/>
        <v>0</v>
      </c>
      <c r="X27" s="125"/>
      <c r="Y27" s="125"/>
      <c r="Z27" s="126">
        <f t="shared" si="2"/>
        <v>0</v>
      </c>
      <c r="AA27" s="136"/>
      <c r="AB27" s="101" t="s">
        <v>131</v>
      </c>
      <c r="AC27" s="128">
        <f t="shared" si="3"/>
        <v>0</v>
      </c>
      <c r="AD27" s="134"/>
      <c r="AE27" s="135"/>
      <c r="AF27" s="135"/>
      <c r="AG27" s="135"/>
      <c r="AH27" s="135"/>
      <c r="AI27" s="135"/>
      <c r="AJ27" s="135"/>
    </row>
    <row r="28" ht="22.5" hidden="1" customHeight="1">
      <c r="A28" s="110" t="str">
        <f>'利用者'!A36</f>
        <v/>
      </c>
      <c r="B28" s="111" t="str">
        <f>'利用者'!B36</f>
        <v/>
      </c>
      <c r="C28" s="132"/>
      <c r="D28" s="125"/>
      <c r="E28" s="125"/>
      <c r="F28" s="125"/>
      <c r="G28" s="125"/>
      <c r="H28" s="120"/>
      <c r="I28" s="120"/>
      <c r="J28" s="121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5"/>
      <c r="V28" s="125"/>
      <c r="W28" s="123">
        <f t="shared" si="1"/>
        <v>0</v>
      </c>
      <c r="X28" s="125"/>
      <c r="Y28" s="125"/>
      <c r="Z28" s="126">
        <f t="shared" si="2"/>
        <v>0</v>
      </c>
      <c r="AA28" s="136"/>
      <c r="AB28" s="101" t="s">
        <v>131</v>
      </c>
      <c r="AC28" s="128">
        <f t="shared" si="3"/>
        <v>0</v>
      </c>
      <c r="AD28" s="134"/>
      <c r="AE28" s="135"/>
      <c r="AF28" s="135"/>
      <c r="AG28" s="135"/>
      <c r="AH28" s="135"/>
      <c r="AI28" s="135"/>
      <c r="AJ28" s="135"/>
    </row>
    <row r="29" ht="22.5" hidden="1" customHeight="1">
      <c r="A29" s="110" t="str">
        <f>'利用者'!A37</f>
        <v/>
      </c>
      <c r="B29" s="111" t="str">
        <f>'利用者'!B37</f>
        <v/>
      </c>
      <c r="C29" s="132"/>
      <c r="D29" s="125"/>
      <c r="E29" s="125"/>
      <c r="F29" s="125"/>
      <c r="G29" s="125"/>
      <c r="H29" s="120"/>
      <c r="I29" s="120"/>
      <c r="J29" s="121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5"/>
      <c r="V29" s="125"/>
      <c r="W29" s="123">
        <f t="shared" si="1"/>
        <v>0</v>
      </c>
      <c r="X29" s="125"/>
      <c r="Y29" s="125"/>
      <c r="Z29" s="126">
        <f t="shared" si="2"/>
        <v>0</v>
      </c>
      <c r="AA29" s="136"/>
      <c r="AB29" s="101" t="s">
        <v>131</v>
      </c>
      <c r="AC29" s="128">
        <f t="shared" si="3"/>
        <v>0</v>
      </c>
      <c r="AD29" s="134"/>
      <c r="AE29" s="135"/>
      <c r="AF29" s="135"/>
      <c r="AG29" s="135"/>
      <c r="AH29" s="135"/>
      <c r="AI29" s="135"/>
      <c r="AJ29" s="135"/>
    </row>
    <row r="30" ht="22.5" hidden="1" customHeight="1">
      <c r="A30" s="110" t="str">
        <f>'利用者'!A38</f>
        <v/>
      </c>
      <c r="B30" s="111" t="str">
        <f>'利用者'!B38</f>
        <v/>
      </c>
      <c r="C30" s="132"/>
      <c r="D30" s="125"/>
      <c r="E30" s="125"/>
      <c r="F30" s="125"/>
      <c r="G30" s="125"/>
      <c r="H30" s="120"/>
      <c r="I30" s="120"/>
      <c r="J30" s="12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5"/>
      <c r="V30" s="125"/>
      <c r="W30" s="123">
        <f t="shared" si="1"/>
        <v>0</v>
      </c>
      <c r="X30" s="125"/>
      <c r="Y30" s="125"/>
      <c r="Z30" s="126">
        <f t="shared" si="2"/>
        <v>0</v>
      </c>
      <c r="AA30" s="136"/>
      <c r="AB30" s="101" t="s">
        <v>131</v>
      </c>
      <c r="AC30" s="128">
        <f t="shared" si="3"/>
        <v>0</v>
      </c>
      <c r="AD30" s="134"/>
      <c r="AE30" s="135"/>
      <c r="AF30" s="135"/>
      <c r="AG30" s="135"/>
      <c r="AH30" s="135"/>
      <c r="AI30" s="135"/>
      <c r="AJ30" s="135"/>
    </row>
    <row r="31" ht="22.5" hidden="1" customHeight="1">
      <c r="A31" s="110" t="str">
        <f>'利用者'!A39</f>
        <v/>
      </c>
      <c r="B31" s="111" t="str">
        <f>'利用者'!B39</f>
        <v/>
      </c>
      <c r="C31" s="132"/>
      <c r="D31" s="125"/>
      <c r="E31" s="125"/>
      <c r="F31" s="125"/>
      <c r="G31" s="125"/>
      <c r="H31" s="120"/>
      <c r="I31" s="120"/>
      <c r="J31" s="121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5"/>
      <c r="V31" s="125"/>
      <c r="W31" s="123">
        <f t="shared" si="1"/>
        <v>0</v>
      </c>
      <c r="X31" s="125"/>
      <c r="Y31" s="125"/>
      <c r="Z31" s="126">
        <f t="shared" si="2"/>
        <v>0</v>
      </c>
      <c r="AA31" s="136"/>
      <c r="AB31" s="101" t="s">
        <v>131</v>
      </c>
      <c r="AC31" s="128">
        <f t="shared" si="3"/>
        <v>0</v>
      </c>
      <c r="AD31" s="134"/>
      <c r="AE31" s="135"/>
      <c r="AF31" s="135"/>
      <c r="AG31" s="135"/>
      <c r="AH31" s="135"/>
      <c r="AI31" s="135"/>
      <c r="AJ31" s="135"/>
    </row>
    <row r="32" ht="22.5" hidden="1" customHeight="1">
      <c r="A32" s="110" t="str">
        <f>'利用者'!A40</f>
        <v/>
      </c>
      <c r="B32" s="111" t="str">
        <f>'利用者'!B40</f>
        <v/>
      </c>
      <c r="C32" s="132"/>
      <c r="D32" s="125"/>
      <c r="E32" s="125"/>
      <c r="F32" s="125"/>
      <c r="G32" s="125"/>
      <c r="H32" s="120"/>
      <c r="I32" s="120"/>
      <c r="J32" s="121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5"/>
      <c r="V32" s="125"/>
      <c r="W32" s="123">
        <f t="shared" si="1"/>
        <v>0</v>
      </c>
      <c r="X32" s="125"/>
      <c r="Y32" s="125"/>
      <c r="Z32" s="126">
        <f t="shared" si="2"/>
        <v>0</v>
      </c>
      <c r="AA32" s="136"/>
      <c r="AB32" s="101" t="s">
        <v>131</v>
      </c>
      <c r="AC32" s="128">
        <f t="shared" si="3"/>
        <v>0</v>
      </c>
      <c r="AD32" s="134"/>
      <c r="AE32" s="135"/>
      <c r="AF32" s="135"/>
      <c r="AG32" s="135"/>
      <c r="AH32" s="135"/>
      <c r="AI32" s="135"/>
      <c r="AJ32" s="135"/>
    </row>
    <row r="33" ht="22.5" hidden="1" customHeight="1">
      <c r="A33" s="110" t="str">
        <f>'利用者'!A41</f>
        <v/>
      </c>
      <c r="B33" s="111" t="str">
        <f>'利用者'!B41</f>
        <v/>
      </c>
      <c r="C33" s="132"/>
      <c r="D33" s="125"/>
      <c r="E33" s="125"/>
      <c r="F33" s="125"/>
      <c r="G33" s="125"/>
      <c r="H33" s="120"/>
      <c r="I33" s="120"/>
      <c r="J33" s="121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5"/>
      <c r="V33" s="125"/>
      <c r="W33" s="123">
        <f t="shared" si="1"/>
        <v>0</v>
      </c>
      <c r="X33" s="125"/>
      <c r="Y33" s="125"/>
      <c r="Z33" s="126">
        <f t="shared" si="2"/>
        <v>0</v>
      </c>
      <c r="AA33" s="136"/>
      <c r="AB33" s="101" t="s">
        <v>131</v>
      </c>
      <c r="AC33" s="128">
        <f t="shared" si="3"/>
        <v>0</v>
      </c>
      <c r="AD33" s="134"/>
      <c r="AE33" s="135"/>
      <c r="AF33" s="135"/>
      <c r="AG33" s="135"/>
      <c r="AH33" s="135"/>
      <c r="AI33" s="135"/>
      <c r="AJ33" s="135"/>
    </row>
    <row r="34" ht="22.5" hidden="1" customHeight="1">
      <c r="A34" s="110" t="str">
        <f>'利用者'!A42</f>
        <v/>
      </c>
      <c r="B34" s="111" t="str">
        <f>'利用者'!B42</f>
        <v/>
      </c>
      <c r="C34" s="132"/>
      <c r="D34" s="125"/>
      <c r="E34" s="125"/>
      <c r="F34" s="125"/>
      <c r="G34" s="125"/>
      <c r="H34" s="120"/>
      <c r="I34" s="120"/>
      <c r="J34" s="121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5"/>
      <c r="V34" s="125"/>
      <c r="W34" s="123">
        <f t="shared" si="1"/>
        <v>0</v>
      </c>
      <c r="X34" s="125"/>
      <c r="Y34" s="125"/>
      <c r="Z34" s="126">
        <f t="shared" si="2"/>
        <v>0</v>
      </c>
      <c r="AA34" s="136"/>
      <c r="AB34" s="101" t="s">
        <v>131</v>
      </c>
      <c r="AC34" s="128">
        <f t="shared" si="3"/>
        <v>0</v>
      </c>
      <c r="AD34" s="134"/>
      <c r="AE34" s="135"/>
      <c r="AF34" s="135"/>
      <c r="AG34" s="135"/>
      <c r="AH34" s="135"/>
      <c r="AI34" s="135"/>
      <c r="AJ34" s="135"/>
    </row>
    <row r="35" ht="22.5" hidden="1" customHeight="1">
      <c r="A35" s="110" t="str">
        <f>'利用者'!A43</f>
        <v/>
      </c>
      <c r="B35" s="111" t="str">
        <f>'利用者'!B43</f>
        <v/>
      </c>
      <c r="C35" s="132"/>
      <c r="D35" s="125"/>
      <c r="E35" s="125"/>
      <c r="F35" s="125"/>
      <c r="G35" s="125"/>
      <c r="H35" s="120"/>
      <c r="I35" s="120"/>
      <c r="J35" s="12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5"/>
      <c r="V35" s="125"/>
      <c r="W35" s="123">
        <f t="shared" si="1"/>
        <v>0</v>
      </c>
      <c r="X35" s="125"/>
      <c r="Y35" s="125"/>
      <c r="Z35" s="126">
        <f t="shared" si="2"/>
        <v>0</v>
      </c>
      <c r="AA35" s="136"/>
      <c r="AB35" s="101" t="s">
        <v>131</v>
      </c>
      <c r="AC35" s="128">
        <f t="shared" si="3"/>
        <v>0</v>
      </c>
      <c r="AD35" s="134"/>
      <c r="AE35" s="135"/>
      <c r="AF35" s="135"/>
      <c r="AG35" s="135"/>
      <c r="AH35" s="135"/>
      <c r="AI35" s="135"/>
      <c r="AJ35" s="135"/>
    </row>
    <row r="36" ht="22.5" hidden="1" customHeight="1">
      <c r="A36" s="110" t="str">
        <f>'利用者'!A44</f>
        <v/>
      </c>
      <c r="B36" s="111" t="str">
        <f>'利用者'!B44</f>
        <v/>
      </c>
      <c r="C36" s="132"/>
      <c r="D36" s="125"/>
      <c r="E36" s="125"/>
      <c r="F36" s="125"/>
      <c r="G36" s="125"/>
      <c r="H36" s="120"/>
      <c r="I36" s="120"/>
      <c r="J36" s="12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5"/>
      <c r="V36" s="125"/>
      <c r="W36" s="123">
        <f t="shared" si="1"/>
        <v>0</v>
      </c>
      <c r="X36" s="125"/>
      <c r="Y36" s="125"/>
      <c r="Z36" s="126">
        <f t="shared" si="2"/>
        <v>0</v>
      </c>
      <c r="AA36" s="136"/>
      <c r="AB36" s="101" t="s">
        <v>131</v>
      </c>
      <c r="AC36" s="128">
        <f t="shared" si="3"/>
        <v>0</v>
      </c>
      <c r="AD36" s="134"/>
      <c r="AE36" s="135"/>
      <c r="AF36" s="135"/>
      <c r="AG36" s="135"/>
      <c r="AH36" s="135"/>
      <c r="AI36" s="135"/>
      <c r="AJ36" s="135"/>
    </row>
    <row r="37" ht="22.5" hidden="1" customHeight="1">
      <c r="A37" s="110" t="str">
        <f>'利用者'!A45</f>
        <v/>
      </c>
      <c r="B37" s="111" t="str">
        <f>'利用者'!B45</f>
        <v/>
      </c>
      <c r="C37" s="132"/>
      <c r="D37" s="125"/>
      <c r="E37" s="125"/>
      <c r="F37" s="125"/>
      <c r="G37" s="125"/>
      <c r="H37" s="120"/>
      <c r="I37" s="120"/>
      <c r="J37" s="121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5"/>
      <c r="V37" s="125"/>
      <c r="W37" s="123">
        <f t="shared" si="1"/>
        <v>0</v>
      </c>
      <c r="X37" s="125"/>
      <c r="Y37" s="125"/>
      <c r="Z37" s="126">
        <f t="shared" si="2"/>
        <v>0</v>
      </c>
      <c r="AA37" s="136"/>
      <c r="AB37" s="101" t="s">
        <v>131</v>
      </c>
      <c r="AC37" s="128">
        <f t="shared" si="3"/>
        <v>0</v>
      </c>
      <c r="AD37" s="134"/>
      <c r="AE37" s="135"/>
      <c r="AF37" s="135"/>
      <c r="AG37" s="135"/>
      <c r="AH37" s="135"/>
      <c r="AI37" s="135"/>
      <c r="AJ37" s="135"/>
    </row>
    <row r="38" ht="22.5" hidden="1" customHeight="1">
      <c r="A38" s="110" t="str">
        <f>'利用者'!A46</f>
        <v/>
      </c>
      <c r="B38" s="111" t="str">
        <f>'利用者'!B46</f>
        <v/>
      </c>
      <c r="C38" s="132"/>
      <c r="D38" s="125"/>
      <c r="E38" s="125"/>
      <c r="F38" s="125"/>
      <c r="G38" s="125"/>
      <c r="H38" s="120"/>
      <c r="I38" s="120"/>
      <c r="J38" s="121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5"/>
      <c r="V38" s="125"/>
      <c r="W38" s="123">
        <f t="shared" si="1"/>
        <v>0</v>
      </c>
      <c r="X38" s="125"/>
      <c r="Y38" s="125"/>
      <c r="Z38" s="126">
        <f t="shared" si="2"/>
        <v>0</v>
      </c>
      <c r="AA38" s="136"/>
      <c r="AB38" s="101" t="s">
        <v>131</v>
      </c>
      <c r="AC38" s="128">
        <f t="shared" si="3"/>
        <v>0</v>
      </c>
      <c r="AD38" s="134"/>
      <c r="AE38" s="135"/>
      <c r="AF38" s="135"/>
      <c r="AG38" s="135"/>
      <c r="AH38" s="135"/>
      <c r="AI38" s="135"/>
      <c r="AJ38" s="135"/>
    </row>
    <row r="39" ht="22.5" hidden="1" customHeight="1">
      <c r="A39" s="110" t="str">
        <f>'利用者'!A47</f>
        <v/>
      </c>
      <c r="B39" s="111" t="str">
        <f>'利用者'!B47</f>
        <v/>
      </c>
      <c r="C39" s="132"/>
      <c r="D39" s="125"/>
      <c r="E39" s="125"/>
      <c r="F39" s="125"/>
      <c r="G39" s="125"/>
      <c r="H39" s="120"/>
      <c r="I39" s="120"/>
      <c r="J39" s="121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5"/>
      <c r="V39" s="125"/>
      <c r="W39" s="123">
        <f t="shared" si="1"/>
        <v>0</v>
      </c>
      <c r="X39" s="125"/>
      <c r="Y39" s="125"/>
      <c r="Z39" s="126">
        <f t="shared" si="2"/>
        <v>0</v>
      </c>
      <c r="AA39" s="136"/>
      <c r="AB39" s="101" t="s">
        <v>131</v>
      </c>
      <c r="AC39" s="128">
        <f t="shared" si="3"/>
        <v>0</v>
      </c>
      <c r="AD39" s="134"/>
      <c r="AE39" s="135"/>
      <c r="AF39" s="135"/>
      <c r="AG39" s="135"/>
      <c r="AH39" s="135"/>
      <c r="AI39" s="135"/>
      <c r="AJ39" s="135"/>
    </row>
    <row r="40" ht="22.5" hidden="1" customHeight="1">
      <c r="A40" s="110" t="str">
        <f>'利用者'!A48</f>
        <v/>
      </c>
      <c r="B40" s="111" t="str">
        <f>'利用者'!B48</f>
        <v/>
      </c>
      <c r="C40" s="132"/>
      <c r="D40" s="125"/>
      <c r="E40" s="125"/>
      <c r="F40" s="125"/>
      <c r="G40" s="125"/>
      <c r="H40" s="120"/>
      <c r="I40" s="120"/>
      <c r="J40" s="121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5"/>
      <c r="V40" s="125"/>
      <c r="W40" s="123">
        <f t="shared" si="1"/>
        <v>0</v>
      </c>
      <c r="X40" s="125"/>
      <c r="Y40" s="125"/>
      <c r="Z40" s="126">
        <f t="shared" si="2"/>
        <v>0</v>
      </c>
      <c r="AA40" s="136"/>
      <c r="AB40" s="101" t="s">
        <v>131</v>
      </c>
      <c r="AC40" s="128">
        <f t="shared" si="3"/>
        <v>0</v>
      </c>
      <c r="AD40" s="134"/>
      <c r="AE40" s="135"/>
      <c r="AF40" s="135"/>
      <c r="AG40" s="135"/>
      <c r="AH40" s="135"/>
      <c r="AI40" s="135"/>
      <c r="AJ40" s="135"/>
    </row>
    <row r="41" ht="22.5" hidden="1" customHeight="1">
      <c r="A41" s="110" t="str">
        <f>'利用者'!A49</f>
        <v/>
      </c>
      <c r="B41" s="111" t="str">
        <f>'利用者'!B49</f>
        <v/>
      </c>
      <c r="C41" s="132"/>
      <c r="D41" s="125"/>
      <c r="E41" s="125"/>
      <c r="F41" s="125"/>
      <c r="G41" s="125"/>
      <c r="H41" s="120"/>
      <c r="I41" s="120"/>
      <c r="J41" s="121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5"/>
      <c r="V41" s="125"/>
      <c r="W41" s="123">
        <f t="shared" si="1"/>
        <v>0</v>
      </c>
      <c r="X41" s="125"/>
      <c r="Y41" s="125"/>
      <c r="Z41" s="126">
        <f t="shared" si="2"/>
        <v>0</v>
      </c>
      <c r="AA41" s="136"/>
      <c r="AB41" s="101" t="s">
        <v>131</v>
      </c>
      <c r="AC41" s="128">
        <f t="shared" si="3"/>
        <v>0</v>
      </c>
      <c r="AD41" s="134"/>
      <c r="AE41" s="135"/>
      <c r="AF41" s="135"/>
      <c r="AG41" s="135"/>
      <c r="AH41" s="135"/>
      <c r="AI41" s="135"/>
      <c r="AJ41" s="135"/>
    </row>
    <row r="42" ht="22.5" hidden="1" customHeight="1">
      <c r="A42" s="110" t="str">
        <f>'利用者'!A50</f>
        <v/>
      </c>
      <c r="B42" s="111" t="str">
        <f>'利用者'!B50</f>
        <v/>
      </c>
      <c r="C42" s="132"/>
      <c r="D42" s="125"/>
      <c r="E42" s="125"/>
      <c r="F42" s="125"/>
      <c r="G42" s="125"/>
      <c r="H42" s="120"/>
      <c r="I42" s="120"/>
      <c r="J42" s="121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5"/>
      <c r="V42" s="125"/>
      <c r="W42" s="123">
        <f t="shared" si="1"/>
        <v>0</v>
      </c>
      <c r="X42" s="125"/>
      <c r="Y42" s="125"/>
      <c r="Z42" s="126">
        <f t="shared" si="2"/>
        <v>0</v>
      </c>
      <c r="AA42" s="136"/>
      <c r="AB42" s="101" t="s">
        <v>131</v>
      </c>
      <c r="AC42" s="128">
        <f t="shared" si="3"/>
        <v>0</v>
      </c>
      <c r="AD42" s="134"/>
      <c r="AE42" s="135"/>
      <c r="AF42" s="135"/>
      <c r="AG42" s="135"/>
      <c r="AH42" s="135"/>
      <c r="AI42" s="135"/>
      <c r="AJ42" s="135"/>
    </row>
    <row r="43" ht="22.5" hidden="1" customHeight="1">
      <c r="A43" s="110" t="str">
        <f>'利用者'!A51</f>
        <v/>
      </c>
      <c r="B43" s="111" t="str">
        <f>'利用者'!B51</f>
        <v/>
      </c>
      <c r="C43" s="132"/>
      <c r="D43" s="125"/>
      <c r="E43" s="125"/>
      <c r="F43" s="125"/>
      <c r="G43" s="125"/>
      <c r="H43" s="120"/>
      <c r="I43" s="120"/>
      <c r="J43" s="121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5"/>
      <c r="V43" s="125"/>
      <c r="W43" s="123">
        <f t="shared" si="1"/>
        <v>0</v>
      </c>
      <c r="X43" s="125"/>
      <c r="Y43" s="125"/>
      <c r="Z43" s="126">
        <f t="shared" si="2"/>
        <v>0</v>
      </c>
      <c r="AA43" s="136"/>
      <c r="AB43" s="101" t="s">
        <v>131</v>
      </c>
      <c r="AC43" s="128">
        <f t="shared" si="3"/>
        <v>0</v>
      </c>
      <c r="AD43" s="134"/>
      <c r="AE43" s="135"/>
      <c r="AF43" s="135"/>
      <c r="AG43" s="135"/>
      <c r="AH43" s="135"/>
      <c r="AI43" s="135"/>
      <c r="AJ43" s="135"/>
    </row>
    <row r="44" ht="22.5" hidden="1" customHeight="1">
      <c r="A44" s="110" t="str">
        <f>'利用者'!A52</f>
        <v/>
      </c>
      <c r="B44" s="111" t="str">
        <f>'利用者'!B52</f>
        <v/>
      </c>
      <c r="C44" s="132"/>
      <c r="D44" s="125"/>
      <c r="E44" s="125"/>
      <c r="F44" s="125"/>
      <c r="G44" s="125"/>
      <c r="H44" s="120"/>
      <c r="I44" s="120"/>
      <c r="J44" s="121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5"/>
      <c r="V44" s="125"/>
      <c r="W44" s="123">
        <f t="shared" si="1"/>
        <v>0</v>
      </c>
      <c r="X44" s="125"/>
      <c r="Y44" s="125"/>
      <c r="Z44" s="126">
        <f t="shared" si="2"/>
        <v>0</v>
      </c>
      <c r="AA44" s="136"/>
      <c r="AB44" s="101" t="s">
        <v>131</v>
      </c>
      <c r="AC44" s="128">
        <f t="shared" si="3"/>
        <v>0</v>
      </c>
      <c r="AD44" s="134"/>
      <c r="AE44" s="135"/>
      <c r="AF44" s="135"/>
      <c r="AG44" s="135"/>
      <c r="AH44" s="135"/>
      <c r="AI44" s="135"/>
      <c r="AJ44" s="135"/>
    </row>
    <row r="45" ht="22.5" hidden="1" customHeight="1">
      <c r="A45" s="110" t="str">
        <f>'利用者'!A53</f>
        <v/>
      </c>
      <c r="B45" s="111" t="str">
        <f>'利用者'!B53</f>
        <v/>
      </c>
      <c r="C45" s="132"/>
      <c r="D45" s="125"/>
      <c r="E45" s="125"/>
      <c r="F45" s="125"/>
      <c r="G45" s="125"/>
      <c r="H45" s="120"/>
      <c r="I45" s="120"/>
      <c r="J45" s="121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5"/>
      <c r="V45" s="125"/>
      <c r="W45" s="123">
        <f t="shared" si="1"/>
        <v>0</v>
      </c>
      <c r="X45" s="125"/>
      <c r="Y45" s="125"/>
      <c r="Z45" s="126">
        <f t="shared" si="2"/>
        <v>0</v>
      </c>
      <c r="AA45" s="136"/>
      <c r="AB45" s="101" t="s">
        <v>131</v>
      </c>
      <c r="AC45" s="128">
        <f t="shared" si="3"/>
        <v>0</v>
      </c>
      <c r="AD45" s="134"/>
      <c r="AE45" s="135"/>
      <c r="AF45" s="135"/>
      <c r="AG45" s="135"/>
      <c r="AH45" s="135"/>
      <c r="AI45" s="135"/>
      <c r="AJ45" s="135"/>
    </row>
    <row r="46" ht="22.5" hidden="1" customHeight="1">
      <c r="A46" s="110" t="str">
        <f>'利用者'!A54</f>
        <v/>
      </c>
      <c r="B46" s="111" t="str">
        <f>'利用者'!B54</f>
        <v/>
      </c>
      <c r="C46" s="132"/>
      <c r="D46" s="125"/>
      <c r="E46" s="125"/>
      <c r="F46" s="125"/>
      <c r="G46" s="125"/>
      <c r="H46" s="120"/>
      <c r="I46" s="120"/>
      <c r="J46" s="121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5"/>
      <c r="V46" s="125"/>
      <c r="W46" s="123">
        <f t="shared" si="1"/>
        <v>0</v>
      </c>
      <c r="X46" s="125"/>
      <c r="Y46" s="125"/>
      <c r="Z46" s="126">
        <f t="shared" si="2"/>
        <v>0</v>
      </c>
      <c r="AA46" s="136"/>
      <c r="AB46" s="101" t="s">
        <v>131</v>
      </c>
      <c r="AC46" s="128">
        <f t="shared" si="3"/>
        <v>0</v>
      </c>
      <c r="AD46" s="134"/>
      <c r="AE46" s="135"/>
      <c r="AF46" s="135"/>
      <c r="AG46" s="135"/>
      <c r="AH46" s="135"/>
      <c r="AI46" s="135"/>
      <c r="AJ46" s="135"/>
    </row>
    <row r="47" ht="22.5" hidden="1" customHeight="1">
      <c r="A47" s="110" t="str">
        <f>'利用者'!A55</f>
        <v/>
      </c>
      <c r="B47" s="111" t="str">
        <f>'利用者'!B55</f>
        <v/>
      </c>
      <c r="C47" s="132"/>
      <c r="D47" s="125"/>
      <c r="E47" s="125"/>
      <c r="F47" s="125"/>
      <c r="G47" s="125"/>
      <c r="H47" s="120"/>
      <c r="I47" s="120"/>
      <c r="J47" s="121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5"/>
      <c r="V47" s="125"/>
      <c r="W47" s="123">
        <f t="shared" si="1"/>
        <v>0</v>
      </c>
      <c r="X47" s="125"/>
      <c r="Y47" s="125"/>
      <c r="Z47" s="126">
        <f t="shared" si="2"/>
        <v>0</v>
      </c>
      <c r="AA47" s="136"/>
      <c r="AB47" s="101" t="s">
        <v>131</v>
      </c>
      <c r="AC47" s="128">
        <f t="shared" si="3"/>
        <v>0</v>
      </c>
      <c r="AD47" s="134"/>
      <c r="AE47" s="135"/>
      <c r="AF47" s="135"/>
      <c r="AG47" s="135"/>
      <c r="AH47" s="135"/>
      <c r="AI47" s="135"/>
      <c r="AJ47" s="135"/>
    </row>
    <row r="48" ht="22.5" hidden="1" customHeight="1">
      <c r="A48" s="110" t="str">
        <f>'利用者'!A56</f>
        <v/>
      </c>
      <c r="B48" s="111" t="str">
        <f>'利用者'!B56</f>
        <v/>
      </c>
      <c r="C48" s="132"/>
      <c r="D48" s="125"/>
      <c r="E48" s="125"/>
      <c r="F48" s="125"/>
      <c r="G48" s="125"/>
      <c r="H48" s="120"/>
      <c r="I48" s="120"/>
      <c r="J48" s="121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5"/>
      <c r="V48" s="125"/>
      <c r="W48" s="123">
        <f t="shared" si="1"/>
        <v>0</v>
      </c>
      <c r="X48" s="125"/>
      <c r="Y48" s="125"/>
      <c r="Z48" s="126">
        <f t="shared" si="2"/>
        <v>0</v>
      </c>
      <c r="AA48" s="136"/>
      <c r="AB48" s="101" t="s">
        <v>131</v>
      </c>
      <c r="AC48" s="128">
        <f t="shared" si="3"/>
        <v>0</v>
      </c>
      <c r="AD48" s="134"/>
      <c r="AE48" s="135"/>
      <c r="AF48" s="135"/>
      <c r="AG48" s="135"/>
      <c r="AH48" s="135"/>
      <c r="AI48" s="135"/>
      <c r="AJ48" s="135"/>
    </row>
    <row r="49" ht="22.5" hidden="1" customHeight="1">
      <c r="A49" s="110" t="str">
        <f>'利用者'!A57</f>
        <v/>
      </c>
      <c r="B49" s="111" t="str">
        <f>'利用者'!B57</f>
        <v/>
      </c>
      <c r="C49" s="132"/>
      <c r="D49" s="125"/>
      <c r="E49" s="125"/>
      <c r="F49" s="125"/>
      <c r="G49" s="125"/>
      <c r="H49" s="120"/>
      <c r="I49" s="120"/>
      <c r="J49" s="121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5"/>
      <c r="V49" s="125"/>
      <c r="W49" s="123">
        <f t="shared" si="1"/>
        <v>0</v>
      </c>
      <c r="X49" s="125"/>
      <c r="Y49" s="125"/>
      <c r="Z49" s="126">
        <f t="shared" si="2"/>
        <v>0</v>
      </c>
      <c r="AA49" s="136"/>
      <c r="AB49" s="101" t="s">
        <v>131</v>
      </c>
      <c r="AC49" s="128">
        <f t="shared" si="3"/>
        <v>0</v>
      </c>
      <c r="AD49" s="134"/>
      <c r="AE49" s="135"/>
      <c r="AF49" s="135"/>
      <c r="AG49" s="135"/>
      <c r="AH49" s="135"/>
      <c r="AI49" s="135"/>
      <c r="AJ49" s="135"/>
    </row>
    <row r="50" ht="22.5" hidden="1" customHeight="1">
      <c r="A50" s="110" t="str">
        <f>'利用者'!A58</f>
        <v/>
      </c>
      <c r="B50" s="111" t="str">
        <f>'利用者'!B58</f>
        <v/>
      </c>
      <c r="C50" s="132"/>
      <c r="D50" s="125"/>
      <c r="E50" s="125"/>
      <c r="F50" s="125"/>
      <c r="G50" s="125"/>
      <c r="H50" s="120"/>
      <c r="I50" s="120"/>
      <c r="J50" s="121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5"/>
      <c r="V50" s="125"/>
      <c r="W50" s="123">
        <f t="shared" si="1"/>
        <v>0</v>
      </c>
      <c r="X50" s="125"/>
      <c r="Y50" s="125"/>
      <c r="Z50" s="126">
        <f t="shared" si="2"/>
        <v>0</v>
      </c>
      <c r="AA50" s="136"/>
      <c r="AB50" s="101" t="s">
        <v>131</v>
      </c>
      <c r="AC50" s="128">
        <f t="shared" si="3"/>
        <v>0</v>
      </c>
      <c r="AD50" s="134"/>
      <c r="AE50" s="135"/>
      <c r="AF50" s="135"/>
      <c r="AG50" s="135"/>
      <c r="AH50" s="135"/>
      <c r="AI50" s="135"/>
      <c r="AJ50" s="135"/>
    </row>
    <row r="51" ht="22.5" hidden="1" customHeight="1">
      <c r="A51" s="110" t="str">
        <f>'利用者'!A59</f>
        <v/>
      </c>
      <c r="B51" s="111" t="str">
        <f>'利用者'!B59</f>
        <v/>
      </c>
      <c r="C51" s="132"/>
      <c r="D51" s="125"/>
      <c r="E51" s="125"/>
      <c r="F51" s="125"/>
      <c r="G51" s="125"/>
      <c r="H51" s="120"/>
      <c r="I51" s="120"/>
      <c r="J51" s="121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5"/>
      <c r="V51" s="125"/>
      <c r="W51" s="123">
        <f t="shared" si="1"/>
        <v>0</v>
      </c>
      <c r="X51" s="125"/>
      <c r="Y51" s="125"/>
      <c r="Z51" s="126">
        <f t="shared" si="2"/>
        <v>0</v>
      </c>
      <c r="AA51" s="136"/>
      <c r="AB51" s="101" t="s">
        <v>131</v>
      </c>
      <c r="AC51" s="128">
        <f t="shared" si="3"/>
        <v>0</v>
      </c>
      <c r="AD51" s="134"/>
      <c r="AE51" s="135"/>
      <c r="AF51" s="135"/>
      <c r="AG51" s="135"/>
      <c r="AH51" s="135"/>
      <c r="AI51" s="135"/>
      <c r="AJ51" s="135"/>
    </row>
    <row r="52" ht="22.5" hidden="1" customHeight="1">
      <c r="A52" s="110" t="str">
        <f>'利用者'!A60</f>
        <v/>
      </c>
      <c r="B52" s="111" t="str">
        <f>'利用者'!B60</f>
        <v/>
      </c>
      <c r="C52" s="132"/>
      <c r="D52" s="125"/>
      <c r="E52" s="125"/>
      <c r="F52" s="125"/>
      <c r="G52" s="125"/>
      <c r="H52" s="120"/>
      <c r="I52" s="120"/>
      <c r="J52" s="121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5"/>
      <c r="V52" s="125"/>
      <c r="W52" s="123">
        <f t="shared" si="1"/>
        <v>0</v>
      </c>
      <c r="X52" s="125"/>
      <c r="Y52" s="125"/>
      <c r="Z52" s="126">
        <f t="shared" si="2"/>
        <v>0</v>
      </c>
      <c r="AA52" s="136"/>
      <c r="AB52" s="101" t="s">
        <v>131</v>
      </c>
      <c r="AC52" s="128">
        <f t="shared" si="3"/>
        <v>0</v>
      </c>
      <c r="AD52" s="134"/>
      <c r="AE52" s="135"/>
      <c r="AF52" s="135"/>
      <c r="AG52" s="135"/>
      <c r="AH52" s="135"/>
      <c r="AI52" s="135"/>
      <c r="AJ52" s="135"/>
    </row>
    <row r="53" ht="22.5" hidden="1" customHeight="1">
      <c r="A53" s="110" t="str">
        <f>'利用者'!A61</f>
        <v/>
      </c>
      <c r="B53" s="111" t="str">
        <f>'利用者'!B61</f>
        <v/>
      </c>
      <c r="C53" s="132"/>
      <c r="D53" s="125"/>
      <c r="E53" s="125"/>
      <c r="F53" s="125"/>
      <c r="G53" s="125"/>
      <c r="H53" s="120"/>
      <c r="I53" s="120"/>
      <c r="J53" s="121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5"/>
      <c r="V53" s="125"/>
      <c r="W53" s="123">
        <f t="shared" si="1"/>
        <v>0</v>
      </c>
      <c r="X53" s="125"/>
      <c r="Y53" s="125"/>
      <c r="Z53" s="126">
        <f t="shared" si="2"/>
        <v>0</v>
      </c>
      <c r="AA53" s="136"/>
      <c r="AB53" s="101" t="s">
        <v>131</v>
      </c>
      <c r="AC53" s="128">
        <f t="shared" si="3"/>
        <v>0</v>
      </c>
      <c r="AD53" s="134"/>
      <c r="AE53" s="135"/>
      <c r="AF53" s="135"/>
      <c r="AG53" s="135"/>
      <c r="AH53" s="135"/>
      <c r="AI53" s="135"/>
      <c r="AJ53" s="135"/>
    </row>
    <row r="54" ht="22.5" hidden="1" customHeight="1">
      <c r="A54" s="110" t="str">
        <f>'利用者'!A62</f>
        <v/>
      </c>
      <c r="B54" s="111" t="str">
        <f>'利用者'!B62</f>
        <v/>
      </c>
      <c r="C54" s="132"/>
      <c r="D54" s="125"/>
      <c r="E54" s="125"/>
      <c r="F54" s="125"/>
      <c r="G54" s="125"/>
      <c r="H54" s="120"/>
      <c r="I54" s="120"/>
      <c r="J54" s="121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5"/>
      <c r="V54" s="125"/>
      <c r="W54" s="123">
        <f t="shared" si="1"/>
        <v>0</v>
      </c>
      <c r="X54" s="125"/>
      <c r="Y54" s="125"/>
      <c r="Z54" s="126">
        <f t="shared" si="2"/>
        <v>0</v>
      </c>
      <c r="AA54" s="136"/>
      <c r="AB54" s="101" t="s">
        <v>131</v>
      </c>
      <c r="AC54" s="128">
        <f t="shared" si="3"/>
        <v>0</v>
      </c>
      <c r="AD54" s="134"/>
      <c r="AE54" s="135"/>
      <c r="AF54" s="135"/>
      <c r="AG54" s="135"/>
      <c r="AH54" s="135"/>
      <c r="AI54" s="135"/>
      <c r="AJ54" s="135"/>
    </row>
    <row r="55" ht="22.5" hidden="1" customHeight="1">
      <c r="A55" s="110" t="str">
        <f>'利用者'!A63</f>
        <v/>
      </c>
      <c r="B55" s="111" t="str">
        <f>'利用者'!B63</f>
        <v/>
      </c>
      <c r="C55" s="132"/>
      <c r="D55" s="125"/>
      <c r="E55" s="125"/>
      <c r="F55" s="125"/>
      <c r="G55" s="125"/>
      <c r="H55" s="120"/>
      <c r="I55" s="120"/>
      <c r="J55" s="121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5"/>
      <c r="V55" s="125"/>
      <c r="W55" s="123">
        <f t="shared" si="1"/>
        <v>0</v>
      </c>
      <c r="X55" s="125"/>
      <c r="Y55" s="125"/>
      <c r="Z55" s="126">
        <f t="shared" si="2"/>
        <v>0</v>
      </c>
      <c r="AA55" s="136"/>
      <c r="AB55" s="101" t="s">
        <v>131</v>
      </c>
      <c r="AC55" s="128">
        <f t="shared" si="3"/>
        <v>0</v>
      </c>
      <c r="AD55" s="134"/>
      <c r="AE55" s="135"/>
      <c r="AF55" s="135"/>
      <c r="AG55" s="135"/>
      <c r="AH55" s="135"/>
      <c r="AI55" s="135"/>
      <c r="AJ55" s="135"/>
    </row>
    <row r="56" ht="22.5" hidden="1" customHeight="1">
      <c r="A56" s="110" t="str">
        <f>'利用者'!A64</f>
        <v/>
      </c>
      <c r="B56" s="111" t="str">
        <f>'利用者'!B64</f>
        <v/>
      </c>
      <c r="C56" s="132"/>
      <c r="D56" s="125"/>
      <c r="E56" s="125"/>
      <c r="F56" s="125"/>
      <c r="G56" s="125"/>
      <c r="H56" s="120"/>
      <c r="I56" s="120"/>
      <c r="J56" s="121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5"/>
      <c r="V56" s="125"/>
      <c r="W56" s="123">
        <f t="shared" si="1"/>
        <v>0</v>
      </c>
      <c r="X56" s="125"/>
      <c r="Y56" s="125"/>
      <c r="Z56" s="126">
        <f t="shared" si="2"/>
        <v>0</v>
      </c>
      <c r="AA56" s="136"/>
      <c r="AB56" s="101" t="s">
        <v>131</v>
      </c>
      <c r="AC56" s="128">
        <f t="shared" si="3"/>
        <v>0</v>
      </c>
      <c r="AD56" s="134"/>
      <c r="AE56" s="135"/>
      <c r="AF56" s="135"/>
      <c r="AG56" s="135"/>
      <c r="AH56" s="135"/>
      <c r="AI56" s="135"/>
      <c r="AJ56" s="135"/>
    </row>
    <row r="57" ht="22.5" hidden="1" customHeight="1">
      <c r="A57" s="110" t="str">
        <f>'利用者'!A65</f>
        <v/>
      </c>
      <c r="B57" s="111" t="str">
        <f>'利用者'!B65</f>
        <v/>
      </c>
      <c r="C57" s="132"/>
      <c r="D57" s="125"/>
      <c r="E57" s="125"/>
      <c r="F57" s="125"/>
      <c r="G57" s="125"/>
      <c r="H57" s="120"/>
      <c r="I57" s="120"/>
      <c r="J57" s="121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5"/>
      <c r="V57" s="125"/>
      <c r="W57" s="123">
        <f t="shared" si="1"/>
        <v>0</v>
      </c>
      <c r="X57" s="125"/>
      <c r="Y57" s="125"/>
      <c r="Z57" s="126">
        <f t="shared" si="2"/>
        <v>0</v>
      </c>
      <c r="AA57" s="136"/>
      <c r="AB57" s="101" t="s">
        <v>131</v>
      </c>
      <c r="AC57" s="128">
        <f t="shared" si="3"/>
        <v>0</v>
      </c>
      <c r="AD57" s="134"/>
      <c r="AE57" s="135"/>
      <c r="AF57" s="135"/>
      <c r="AG57" s="135"/>
      <c r="AH57" s="135"/>
      <c r="AI57" s="135"/>
      <c r="AJ57" s="135"/>
    </row>
    <row r="58" ht="22.5" hidden="1" customHeight="1">
      <c r="A58" s="110" t="str">
        <f>'利用者'!A66</f>
        <v/>
      </c>
      <c r="B58" s="111" t="str">
        <f>'利用者'!B66</f>
        <v/>
      </c>
      <c r="C58" s="132"/>
      <c r="D58" s="125"/>
      <c r="E58" s="125"/>
      <c r="F58" s="125"/>
      <c r="G58" s="125"/>
      <c r="H58" s="120"/>
      <c r="I58" s="120"/>
      <c r="J58" s="121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5"/>
      <c r="V58" s="125"/>
      <c r="W58" s="123">
        <f t="shared" si="1"/>
        <v>0</v>
      </c>
      <c r="X58" s="125"/>
      <c r="Y58" s="125"/>
      <c r="Z58" s="126">
        <f t="shared" si="2"/>
        <v>0</v>
      </c>
      <c r="AA58" s="136"/>
      <c r="AB58" s="101" t="s">
        <v>131</v>
      </c>
      <c r="AC58" s="128">
        <f t="shared" si="3"/>
        <v>0</v>
      </c>
      <c r="AD58" s="134"/>
      <c r="AE58" s="135"/>
      <c r="AF58" s="135"/>
      <c r="AG58" s="135"/>
      <c r="AH58" s="135"/>
      <c r="AI58" s="135"/>
      <c r="AJ58" s="135"/>
    </row>
    <row r="59" ht="22.5" hidden="1" customHeight="1">
      <c r="A59" s="110" t="str">
        <f>'利用者'!A67</f>
        <v/>
      </c>
      <c r="B59" s="111" t="str">
        <f>'利用者'!B67</f>
        <v/>
      </c>
      <c r="C59" s="132"/>
      <c r="D59" s="125"/>
      <c r="E59" s="125"/>
      <c r="F59" s="125"/>
      <c r="G59" s="125"/>
      <c r="H59" s="120"/>
      <c r="I59" s="120"/>
      <c r="J59" s="121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5"/>
      <c r="V59" s="125"/>
      <c r="W59" s="123">
        <f t="shared" si="1"/>
        <v>0</v>
      </c>
      <c r="X59" s="125"/>
      <c r="Y59" s="125"/>
      <c r="Z59" s="126">
        <f t="shared" si="2"/>
        <v>0</v>
      </c>
      <c r="AA59" s="136"/>
      <c r="AB59" s="101" t="s">
        <v>131</v>
      </c>
      <c r="AC59" s="128">
        <f t="shared" si="3"/>
        <v>0</v>
      </c>
      <c r="AD59" s="134"/>
      <c r="AE59" s="135"/>
      <c r="AF59" s="135"/>
      <c r="AG59" s="135"/>
      <c r="AH59" s="135"/>
      <c r="AI59" s="135"/>
      <c r="AJ59" s="135"/>
    </row>
    <row r="60" ht="22.5" hidden="1" customHeight="1">
      <c r="A60" s="110" t="str">
        <f>'利用者'!A68</f>
        <v/>
      </c>
      <c r="B60" s="111" t="str">
        <f>'利用者'!B68</f>
        <v/>
      </c>
      <c r="C60" s="132"/>
      <c r="D60" s="125"/>
      <c r="E60" s="125"/>
      <c r="F60" s="125"/>
      <c r="G60" s="125"/>
      <c r="H60" s="120"/>
      <c r="I60" s="120"/>
      <c r="J60" s="121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5"/>
      <c r="V60" s="125"/>
      <c r="W60" s="123">
        <f t="shared" si="1"/>
        <v>0</v>
      </c>
      <c r="X60" s="125"/>
      <c r="Y60" s="125"/>
      <c r="Z60" s="126">
        <f t="shared" si="2"/>
        <v>0</v>
      </c>
      <c r="AA60" s="136"/>
      <c r="AB60" s="101" t="s">
        <v>131</v>
      </c>
      <c r="AC60" s="128">
        <f t="shared" si="3"/>
        <v>0</v>
      </c>
      <c r="AD60" s="134"/>
      <c r="AE60" s="135"/>
      <c r="AF60" s="135"/>
      <c r="AG60" s="135"/>
      <c r="AH60" s="135"/>
      <c r="AI60" s="135"/>
      <c r="AJ60" s="135"/>
    </row>
    <row r="61" ht="22.5" hidden="1" customHeight="1">
      <c r="A61" s="110" t="str">
        <f>'利用者'!A69</f>
        <v/>
      </c>
      <c r="B61" s="111" t="str">
        <f>'利用者'!B69</f>
        <v/>
      </c>
      <c r="C61" s="132"/>
      <c r="D61" s="125"/>
      <c r="E61" s="125"/>
      <c r="F61" s="125"/>
      <c r="G61" s="125"/>
      <c r="H61" s="120"/>
      <c r="I61" s="120"/>
      <c r="J61" s="121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5"/>
      <c r="V61" s="125"/>
      <c r="W61" s="123">
        <f t="shared" si="1"/>
        <v>0</v>
      </c>
      <c r="X61" s="125"/>
      <c r="Y61" s="125"/>
      <c r="Z61" s="126">
        <f t="shared" si="2"/>
        <v>0</v>
      </c>
      <c r="AA61" s="136"/>
      <c r="AB61" s="101" t="s">
        <v>131</v>
      </c>
      <c r="AC61" s="128">
        <f t="shared" si="3"/>
        <v>0</v>
      </c>
      <c r="AD61" s="134"/>
      <c r="AE61" s="135"/>
      <c r="AF61" s="135"/>
      <c r="AG61" s="135"/>
      <c r="AH61" s="135"/>
      <c r="AI61" s="135"/>
      <c r="AJ61" s="135"/>
    </row>
    <row r="62" ht="22.5" hidden="1" customHeight="1">
      <c r="A62" s="110" t="str">
        <f>'利用者'!A70</f>
        <v/>
      </c>
      <c r="B62" s="111" t="str">
        <f>'利用者'!B70</f>
        <v/>
      </c>
      <c r="C62" s="132"/>
      <c r="D62" s="125"/>
      <c r="E62" s="125"/>
      <c r="F62" s="125"/>
      <c r="G62" s="125"/>
      <c r="H62" s="120"/>
      <c r="I62" s="120"/>
      <c r="J62" s="121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5"/>
      <c r="V62" s="125"/>
      <c r="W62" s="123">
        <f t="shared" si="1"/>
        <v>0</v>
      </c>
      <c r="X62" s="125"/>
      <c r="Y62" s="125"/>
      <c r="Z62" s="126">
        <f t="shared" si="2"/>
        <v>0</v>
      </c>
      <c r="AA62" s="136"/>
      <c r="AB62" s="101" t="s">
        <v>131</v>
      </c>
      <c r="AC62" s="128">
        <f t="shared" si="3"/>
        <v>0</v>
      </c>
      <c r="AD62" s="134"/>
      <c r="AE62" s="135"/>
      <c r="AF62" s="135"/>
      <c r="AG62" s="135"/>
      <c r="AH62" s="135"/>
      <c r="AI62" s="135"/>
      <c r="AJ62" s="135"/>
    </row>
    <row r="63" ht="22.5" hidden="1" customHeight="1">
      <c r="A63" s="110" t="str">
        <f>'利用者'!A71</f>
        <v/>
      </c>
      <c r="B63" s="111" t="str">
        <f>'利用者'!B71</f>
        <v/>
      </c>
      <c r="C63" s="132"/>
      <c r="D63" s="125"/>
      <c r="E63" s="125"/>
      <c r="F63" s="125"/>
      <c r="G63" s="125"/>
      <c r="H63" s="120"/>
      <c r="I63" s="120"/>
      <c r="J63" s="121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5"/>
      <c r="V63" s="125"/>
      <c r="W63" s="123">
        <f t="shared" si="1"/>
        <v>0</v>
      </c>
      <c r="X63" s="125"/>
      <c r="Y63" s="125"/>
      <c r="Z63" s="126">
        <f t="shared" si="2"/>
        <v>0</v>
      </c>
      <c r="AA63" s="136"/>
      <c r="AB63" s="101" t="s">
        <v>131</v>
      </c>
      <c r="AC63" s="128">
        <f t="shared" si="3"/>
        <v>0</v>
      </c>
      <c r="AD63" s="134"/>
      <c r="AE63" s="135"/>
      <c r="AF63" s="135"/>
      <c r="AG63" s="135"/>
      <c r="AH63" s="135"/>
      <c r="AI63" s="135"/>
      <c r="AJ63" s="135"/>
    </row>
    <row r="64" ht="22.5" hidden="1" customHeight="1">
      <c r="A64" s="110" t="str">
        <f>'利用者'!A72</f>
        <v/>
      </c>
      <c r="B64" s="111" t="str">
        <f>'利用者'!B72</f>
        <v/>
      </c>
      <c r="C64" s="132"/>
      <c r="D64" s="125"/>
      <c r="E64" s="125"/>
      <c r="F64" s="125"/>
      <c r="G64" s="125"/>
      <c r="H64" s="120"/>
      <c r="I64" s="120"/>
      <c r="J64" s="121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5"/>
      <c r="V64" s="125"/>
      <c r="W64" s="123">
        <f t="shared" si="1"/>
        <v>0</v>
      </c>
      <c r="X64" s="125"/>
      <c r="Y64" s="125"/>
      <c r="Z64" s="126">
        <f t="shared" si="2"/>
        <v>0</v>
      </c>
      <c r="AA64" s="136"/>
      <c r="AB64" s="101" t="s">
        <v>131</v>
      </c>
      <c r="AC64" s="128">
        <f t="shared" si="3"/>
        <v>0</v>
      </c>
      <c r="AD64" s="134"/>
      <c r="AE64" s="135"/>
      <c r="AF64" s="135"/>
      <c r="AG64" s="135"/>
      <c r="AH64" s="135"/>
      <c r="AI64" s="135"/>
      <c r="AJ64" s="135"/>
    </row>
    <row r="65" ht="22.5" hidden="1" customHeight="1">
      <c r="A65" s="110" t="str">
        <f>'利用者'!A73</f>
        <v/>
      </c>
      <c r="B65" s="111" t="str">
        <f>'利用者'!B73</f>
        <v/>
      </c>
      <c r="C65" s="132"/>
      <c r="D65" s="125"/>
      <c r="E65" s="125"/>
      <c r="F65" s="125"/>
      <c r="G65" s="125"/>
      <c r="H65" s="120"/>
      <c r="I65" s="120"/>
      <c r="J65" s="121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5"/>
      <c r="V65" s="125"/>
      <c r="W65" s="123">
        <f t="shared" si="1"/>
        <v>0</v>
      </c>
      <c r="X65" s="125"/>
      <c r="Y65" s="125"/>
      <c r="Z65" s="126">
        <f t="shared" si="2"/>
        <v>0</v>
      </c>
      <c r="AA65" s="136"/>
      <c r="AB65" s="101" t="s">
        <v>131</v>
      </c>
      <c r="AC65" s="128">
        <f t="shared" si="3"/>
        <v>0</v>
      </c>
      <c r="AD65" s="134"/>
      <c r="AE65" s="135"/>
      <c r="AF65" s="135"/>
      <c r="AG65" s="135"/>
      <c r="AH65" s="135"/>
      <c r="AI65" s="135"/>
      <c r="AJ65" s="135"/>
    </row>
    <row r="66" ht="22.5" hidden="1" customHeight="1">
      <c r="A66" s="110" t="str">
        <f>'利用者'!A74</f>
        <v/>
      </c>
      <c r="B66" s="111" t="str">
        <f>'利用者'!B74</f>
        <v/>
      </c>
      <c r="C66" s="132"/>
      <c r="D66" s="125"/>
      <c r="E66" s="125"/>
      <c r="F66" s="125"/>
      <c r="G66" s="125"/>
      <c r="H66" s="120"/>
      <c r="I66" s="120"/>
      <c r="J66" s="121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5"/>
      <c r="V66" s="125"/>
      <c r="W66" s="123">
        <f t="shared" si="1"/>
        <v>0</v>
      </c>
      <c r="X66" s="125"/>
      <c r="Y66" s="125"/>
      <c r="Z66" s="126">
        <f t="shared" si="2"/>
        <v>0</v>
      </c>
      <c r="AA66" s="136"/>
      <c r="AB66" s="101" t="s">
        <v>131</v>
      </c>
      <c r="AC66" s="128">
        <f t="shared" si="3"/>
        <v>0</v>
      </c>
      <c r="AD66" s="134"/>
      <c r="AE66" s="135"/>
      <c r="AF66" s="135"/>
      <c r="AG66" s="135"/>
      <c r="AH66" s="135"/>
      <c r="AI66" s="135"/>
      <c r="AJ66" s="135"/>
    </row>
    <row r="67" ht="22.5" hidden="1" customHeight="1">
      <c r="A67" s="110" t="str">
        <f>'利用者'!A75</f>
        <v/>
      </c>
      <c r="B67" s="111" t="str">
        <f>'利用者'!B75</f>
        <v/>
      </c>
      <c r="C67" s="132"/>
      <c r="D67" s="125"/>
      <c r="E67" s="125"/>
      <c r="F67" s="125"/>
      <c r="G67" s="125"/>
      <c r="H67" s="120"/>
      <c r="I67" s="120"/>
      <c r="J67" s="121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5"/>
      <c r="V67" s="125"/>
      <c r="W67" s="123">
        <f t="shared" si="1"/>
        <v>0</v>
      </c>
      <c r="X67" s="125"/>
      <c r="Y67" s="125"/>
      <c r="Z67" s="126">
        <f t="shared" si="2"/>
        <v>0</v>
      </c>
      <c r="AA67" s="136"/>
      <c r="AB67" s="101" t="s">
        <v>131</v>
      </c>
      <c r="AC67" s="128">
        <f t="shared" si="3"/>
        <v>0</v>
      </c>
      <c r="AD67" s="134"/>
      <c r="AE67" s="135"/>
      <c r="AF67" s="135"/>
      <c r="AG67" s="135"/>
      <c r="AH67" s="135"/>
      <c r="AI67" s="135"/>
      <c r="AJ67" s="135"/>
    </row>
    <row r="68" ht="22.5" hidden="1" customHeight="1">
      <c r="A68" s="110" t="str">
        <f>'利用者'!A76</f>
        <v/>
      </c>
      <c r="B68" s="111" t="str">
        <f>'利用者'!B76</f>
        <v/>
      </c>
      <c r="C68" s="132"/>
      <c r="D68" s="125"/>
      <c r="E68" s="125"/>
      <c r="F68" s="125"/>
      <c r="G68" s="125"/>
      <c r="H68" s="120"/>
      <c r="I68" s="120"/>
      <c r="J68" s="121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5"/>
      <c r="V68" s="125"/>
      <c r="W68" s="123">
        <f t="shared" si="1"/>
        <v>0</v>
      </c>
      <c r="X68" s="125"/>
      <c r="Y68" s="125"/>
      <c r="Z68" s="126">
        <f t="shared" si="2"/>
        <v>0</v>
      </c>
      <c r="AA68" s="136"/>
      <c r="AB68" s="101" t="s">
        <v>131</v>
      </c>
      <c r="AC68" s="128">
        <f t="shared" si="3"/>
        <v>0</v>
      </c>
      <c r="AD68" s="134"/>
      <c r="AE68" s="135"/>
      <c r="AF68" s="135"/>
      <c r="AG68" s="135"/>
      <c r="AH68" s="135"/>
      <c r="AI68" s="135"/>
      <c r="AJ68" s="135"/>
    </row>
    <row r="69" ht="22.5" hidden="1" customHeight="1">
      <c r="A69" s="110" t="str">
        <f>'利用者'!A77</f>
        <v/>
      </c>
      <c r="B69" s="111" t="str">
        <f>'利用者'!B77</f>
        <v/>
      </c>
      <c r="C69" s="132"/>
      <c r="D69" s="125"/>
      <c r="E69" s="125"/>
      <c r="F69" s="125"/>
      <c r="G69" s="125"/>
      <c r="H69" s="120"/>
      <c r="I69" s="120"/>
      <c r="J69" s="121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5"/>
      <c r="V69" s="125"/>
      <c r="W69" s="123">
        <f t="shared" si="1"/>
        <v>0</v>
      </c>
      <c r="X69" s="125"/>
      <c r="Y69" s="125"/>
      <c r="Z69" s="126">
        <f t="shared" si="2"/>
        <v>0</v>
      </c>
      <c r="AA69" s="136"/>
      <c r="AB69" s="101" t="s">
        <v>131</v>
      </c>
      <c r="AC69" s="128">
        <f t="shared" si="3"/>
        <v>0</v>
      </c>
      <c r="AD69" s="134"/>
      <c r="AE69" s="135"/>
      <c r="AF69" s="135"/>
      <c r="AG69" s="135"/>
      <c r="AH69" s="135"/>
      <c r="AI69" s="135"/>
      <c r="AJ69" s="135"/>
    </row>
    <row r="70" ht="22.5" hidden="1" customHeight="1">
      <c r="A70" s="110" t="str">
        <f>'利用者'!A78</f>
        <v/>
      </c>
      <c r="B70" s="111" t="str">
        <f>'利用者'!B78</f>
        <v/>
      </c>
      <c r="C70" s="132"/>
      <c r="D70" s="125"/>
      <c r="E70" s="125"/>
      <c r="F70" s="125"/>
      <c r="G70" s="125"/>
      <c r="H70" s="120"/>
      <c r="I70" s="120"/>
      <c r="J70" s="121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5"/>
      <c r="V70" s="125"/>
      <c r="W70" s="123">
        <f t="shared" si="1"/>
        <v>0</v>
      </c>
      <c r="X70" s="125"/>
      <c r="Y70" s="125"/>
      <c r="Z70" s="126">
        <f t="shared" si="2"/>
        <v>0</v>
      </c>
      <c r="AA70" s="136"/>
      <c r="AB70" s="101" t="s">
        <v>131</v>
      </c>
      <c r="AC70" s="128">
        <f t="shared" si="3"/>
        <v>0</v>
      </c>
      <c r="AD70" s="134"/>
      <c r="AE70" s="135"/>
      <c r="AF70" s="135"/>
      <c r="AG70" s="135"/>
      <c r="AH70" s="135"/>
      <c r="AI70" s="135"/>
      <c r="AJ70" s="135"/>
    </row>
    <row r="71" ht="22.5" hidden="1" customHeight="1">
      <c r="A71" s="110" t="str">
        <f>'利用者'!A79</f>
        <v/>
      </c>
      <c r="B71" s="111" t="str">
        <f>'利用者'!B79</f>
        <v/>
      </c>
      <c r="C71" s="132"/>
      <c r="D71" s="125"/>
      <c r="E71" s="125"/>
      <c r="F71" s="125"/>
      <c r="G71" s="125"/>
      <c r="H71" s="120"/>
      <c r="I71" s="120"/>
      <c r="J71" s="121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5"/>
      <c r="V71" s="125"/>
      <c r="W71" s="123">
        <f t="shared" si="1"/>
        <v>0</v>
      </c>
      <c r="X71" s="125"/>
      <c r="Y71" s="125"/>
      <c r="Z71" s="126">
        <f t="shared" si="2"/>
        <v>0</v>
      </c>
      <c r="AA71" s="136"/>
      <c r="AB71" s="101" t="s">
        <v>131</v>
      </c>
      <c r="AC71" s="128">
        <f t="shared" si="3"/>
        <v>0</v>
      </c>
      <c r="AD71" s="134"/>
      <c r="AE71" s="135"/>
      <c r="AF71" s="135"/>
      <c r="AG71" s="135"/>
      <c r="AH71" s="135"/>
      <c r="AI71" s="135"/>
      <c r="AJ71" s="135"/>
    </row>
    <row r="72" ht="22.5" hidden="1" customHeight="1">
      <c r="A72" s="110" t="str">
        <f>'利用者'!A80</f>
        <v/>
      </c>
      <c r="B72" s="111" t="str">
        <f>'利用者'!B80</f>
        <v/>
      </c>
      <c r="C72" s="132"/>
      <c r="D72" s="125"/>
      <c r="E72" s="125"/>
      <c r="F72" s="125"/>
      <c r="G72" s="125"/>
      <c r="H72" s="120"/>
      <c r="I72" s="120"/>
      <c r="J72" s="121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5"/>
      <c r="V72" s="125"/>
      <c r="W72" s="123">
        <f t="shared" si="1"/>
        <v>0</v>
      </c>
      <c r="X72" s="125"/>
      <c r="Y72" s="125"/>
      <c r="Z72" s="126">
        <f t="shared" si="2"/>
        <v>0</v>
      </c>
      <c r="AA72" s="136"/>
      <c r="AB72" s="101" t="s">
        <v>131</v>
      </c>
      <c r="AC72" s="128">
        <f t="shared" si="3"/>
        <v>0</v>
      </c>
      <c r="AD72" s="134"/>
      <c r="AE72" s="135"/>
      <c r="AF72" s="135"/>
      <c r="AG72" s="135"/>
      <c r="AH72" s="135"/>
      <c r="AI72" s="135"/>
      <c r="AJ72" s="135"/>
    </row>
    <row r="73" ht="22.5" hidden="1" customHeight="1">
      <c r="A73" s="110" t="str">
        <f>'利用者'!A81</f>
        <v/>
      </c>
      <c r="B73" s="111" t="str">
        <f>'利用者'!B81</f>
        <v/>
      </c>
      <c r="C73" s="132"/>
      <c r="D73" s="125"/>
      <c r="E73" s="125"/>
      <c r="F73" s="125"/>
      <c r="G73" s="125"/>
      <c r="H73" s="120"/>
      <c r="I73" s="120"/>
      <c r="J73" s="121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5"/>
      <c r="V73" s="125"/>
      <c r="W73" s="123">
        <f t="shared" si="1"/>
        <v>0</v>
      </c>
      <c r="X73" s="125"/>
      <c r="Y73" s="125"/>
      <c r="Z73" s="126">
        <f t="shared" si="2"/>
        <v>0</v>
      </c>
      <c r="AA73" s="136"/>
      <c r="AB73" s="101" t="s">
        <v>131</v>
      </c>
      <c r="AC73" s="128">
        <f t="shared" si="3"/>
        <v>0</v>
      </c>
      <c r="AD73" s="134"/>
      <c r="AE73" s="135"/>
      <c r="AF73" s="135"/>
      <c r="AG73" s="135"/>
      <c r="AH73" s="135"/>
      <c r="AI73" s="135"/>
      <c r="AJ73" s="135"/>
    </row>
    <row r="74" ht="22.5" hidden="1" customHeight="1">
      <c r="A74" s="110" t="str">
        <f>'利用者'!A82</f>
        <v/>
      </c>
      <c r="B74" s="111" t="str">
        <f>'利用者'!B82</f>
        <v/>
      </c>
      <c r="C74" s="132"/>
      <c r="D74" s="125"/>
      <c r="E74" s="125"/>
      <c r="F74" s="125"/>
      <c r="G74" s="125"/>
      <c r="H74" s="120"/>
      <c r="I74" s="120"/>
      <c r="J74" s="121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5"/>
      <c r="V74" s="125"/>
      <c r="W74" s="123">
        <f t="shared" si="1"/>
        <v>0</v>
      </c>
      <c r="X74" s="125"/>
      <c r="Y74" s="125"/>
      <c r="Z74" s="126">
        <f t="shared" si="2"/>
        <v>0</v>
      </c>
      <c r="AA74" s="136"/>
      <c r="AB74" s="101" t="s">
        <v>131</v>
      </c>
      <c r="AC74" s="128">
        <f t="shared" si="3"/>
        <v>0</v>
      </c>
      <c r="AD74" s="134"/>
      <c r="AE74" s="135"/>
      <c r="AF74" s="135"/>
      <c r="AG74" s="135"/>
      <c r="AH74" s="135"/>
      <c r="AI74" s="135"/>
      <c r="AJ74" s="135"/>
    </row>
    <row r="75" ht="22.5" hidden="1" customHeight="1">
      <c r="A75" s="110" t="str">
        <f>'利用者'!A83</f>
        <v/>
      </c>
      <c r="B75" s="111" t="str">
        <f>'利用者'!B83</f>
        <v/>
      </c>
      <c r="C75" s="132"/>
      <c r="D75" s="125"/>
      <c r="E75" s="125"/>
      <c r="F75" s="125"/>
      <c r="G75" s="125"/>
      <c r="H75" s="120"/>
      <c r="I75" s="120"/>
      <c r="J75" s="121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5"/>
      <c r="V75" s="125"/>
      <c r="W75" s="123">
        <f t="shared" si="1"/>
        <v>0</v>
      </c>
      <c r="X75" s="125"/>
      <c r="Y75" s="125"/>
      <c r="Z75" s="126">
        <f t="shared" si="2"/>
        <v>0</v>
      </c>
      <c r="AA75" s="136"/>
      <c r="AB75" s="101" t="s">
        <v>131</v>
      </c>
      <c r="AC75" s="128">
        <f t="shared" si="3"/>
        <v>0</v>
      </c>
      <c r="AD75" s="134"/>
      <c r="AE75" s="135"/>
      <c r="AF75" s="135"/>
      <c r="AG75" s="135"/>
      <c r="AH75" s="135"/>
      <c r="AI75" s="135"/>
      <c r="AJ75" s="135"/>
    </row>
    <row r="76" ht="22.5" hidden="1" customHeight="1">
      <c r="A76" s="110" t="str">
        <f>'利用者'!A84</f>
        <v/>
      </c>
      <c r="B76" s="111" t="str">
        <f>'利用者'!B84</f>
        <v/>
      </c>
      <c r="C76" s="132"/>
      <c r="D76" s="125"/>
      <c r="E76" s="125"/>
      <c r="F76" s="125"/>
      <c r="G76" s="125"/>
      <c r="H76" s="120"/>
      <c r="I76" s="120"/>
      <c r="J76" s="121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5"/>
      <c r="V76" s="125"/>
      <c r="W76" s="123">
        <f t="shared" si="1"/>
        <v>0</v>
      </c>
      <c r="X76" s="125"/>
      <c r="Y76" s="125"/>
      <c r="Z76" s="126">
        <f t="shared" si="2"/>
        <v>0</v>
      </c>
      <c r="AA76" s="136"/>
      <c r="AB76" s="101" t="s">
        <v>131</v>
      </c>
      <c r="AC76" s="128">
        <f t="shared" si="3"/>
        <v>0</v>
      </c>
      <c r="AD76" s="134"/>
      <c r="AE76" s="135"/>
      <c r="AF76" s="135"/>
      <c r="AG76" s="135"/>
      <c r="AH76" s="135"/>
      <c r="AI76" s="135"/>
      <c r="AJ76" s="135"/>
    </row>
    <row r="77" ht="22.5" hidden="1" customHeight="1">
      <c r="A77" s="110" t="str">
        <f>'利用者'!A85</f>
        <v/>
      </c>
      <c r="B77" s="111" t="str">
        <f>'利用者'!B85</f>
        <v/>
      </c>
      <c r="C77" s="132"/>
      <c r="D77" s="125"/>
      <c r="E77" s="125"/>
      <c r="F77" s="125"/>
      <c r="G77" s="125"/>
      <c r="H77" s="120"/>
      <c r="I77" s="120"/>
      <c r="J77" s="121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5"/>
      <c r="V77" s="125"/>
      <c r="W77" s="123">
        <f t="shared" si="1"/>
        <v>0</v>
      </c>
      <c r="X77" s="125"/>
      <c r="Y77" s="125"/>
      <c r="Z77" s="126">
        <f t="shared" si="2"/>
        <v>0</v>
      </c>
      <c r="AA77" s="136"/>
      <c r="AB77" s="101" t="s">
        <v>131</v>
      </c>
      <c r="AC77" s="128">
        <f t="shared" si="3"/>
        <v>0</v>
      </c>
      <c r="AD77" s="134"/>
      <c r="AE77" s="135"/>
      <c r="AF77" s="135"/>
      <c r="AG77" s="135"/>
      <c r="AH77" s="135"/>
      <c r="AI77" s="135"/>
      <c r="AJ77" s="135"/>
    </row>
    <row r="78" ht="22.5" hidden="1" customHeight="1">
      <c r="A78" s="110" t="str">
        <f>'利用者'!A86</f>
        <v/>
      </c>
      <c r="B78" s="111" t="str">
        <f>'利用者'!B86</f>
        <v/>
      </c>
      <c r="C78" s="132"/>
      <c r="D78" s="125"/>
      <c r="E78" s="125"/>
      <c r="F78" s="125"/>
      <c r="G78" s="125"/>
      <c r="H78" s="120"/>
      <c r="I78" s="120"/>
      <c r="J78" s="121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5"/>
      <c r="V78" s="125"/>
      <c r="W78" s="123">
        <f t="shared" si="1"/>
        <v>0</v>
      </c>
      <c r="X78" s="125"/>
      <c r="Y78" s="125"/>
      <c r="Z78" s="126">
        <f t="shared" si="2"/>
        <v>0</v>
      </c>
      <c r="AA78" s="136"/>
      <c r="AB78" s="101" t="s">
        <v>131</v>
      </c>
      <c r="AC78" s="128">
        <f t="shared" si="3"/>
        <v>0</v>
      </c>
      <c r="AD78" s="134"/>
      <c r="AE78" s="135"/>
      <c r="AF78" s="135"/>
      <c r="AG78" s="135"/>
      <c r="AH78" s="135"/>
      <c r="AI78" s="135"/>
      <c r="AJ78" s="135"/>
    </row>
    <row r="79" ht="22.5" hidden="1" customHeight="1">
      <c r="A79" s="110" t="str">
        <f>'利用者'!A87</f>
        <v/>
      </c>
      <c r="B79" s="111" t="str">
        <f>'利用者'!B87</f>
        <v/>
      </c>
      <c r="C79" s="132"/>
      <c r="D79" s="125"/>
      <c r="E79" s="125"/>
      <c r="F79" s="125"/>
      <c r="G79" s="125"/>
      <c r="H79" s="120"/>
      <c r="I79" s="120"/>
      <c r="J79" s="121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5"/>
      <c r="V79" s="125"/>
      <c r="W79" s="123">
        <f t="shared" si="1"/>
        <v>0</v>
      </c>
      <c r="X79" s="125"/>
      <c r="Y79" s="125"/>
      <c r="Z79" s="126">
        <f t="shared" si="2"/>
        <v>0</v>
      </c>
      <c r="AA79" s="136"/>
      <c r="AB79" s="101" t="s">
        <v>131</v>
      </c>
      <c r="AC79" s="128">
        <f t="shared" si="3"/>
        <v>0</v>
      </c>
      <c r="AD79" s="134"/>
      <c r="AE79" s="135"/>
      <c r="AF79" s="135"/>
      <c r="AG79" s="135"/>
      <c r="AH79" s="135"/>
      <c r="AI79" s="135"/>
      <c r="AJ79" s="135"/>
    </row>
    <row r="80" ht="22.5" hidden="1" customHeight="1">
      <c r="A80" s="110" t="str">
        <f>'利用者'!A88</f>
        <v/>
      </c>
      <c r="B80" s="111" t="str">
        <f>'利用者'!B88</f>
        <v/>
      </c>
      <c r="C80" s="132"/>
      <c r="D80" s="125"/>
      <c r="E80" s="125"/>
      <c r="F80" s="125"/>
      <c r="G80" s="125"/>
      <c r="H80" s="120"/>
      <c r="I80" s="120"/>
      <c r="J80" s="121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5"/>
      <c r="V80" s="125"/>
      <c r="W80" s="123">
        <f t="shared" si="1"/>
        <v>0</v>
      </c>
      <c r="X80" s="125"/>
      <c r="Y80" s="125"/>
      <c r="Z80" s="126">
        <f t="shared" si="2"/>
        <v>0</v>
      </c>
      <c r="AA80" s="136"/>
      <c r="AB80" s="101" t="s">
        <v>131</v>
      </c>
      <c r="AC80" s="128">
        <f t="shared" si="3"/>
        <v>0</v>
      </c>
      <c r="AD80" s="134"/>
      <c r="AE80" s="135"/>
      <c r="AF80" s="135"/>
      <c r="AG80" s="135"/>
      <c r="AH80" s="135"/>
      <c r="AI80" s="135"/>
      <c r="AJ80" s="135"/>
    </row>
    <row r="81" ht="22.5" hidden="1" customHeight="1">
      <c r="A81" s="110" t="str">
        <f>'利用者'!A89</f>
        <v/>
      </c>
      <c r="B81" s="111" t="str">
        <f>'利用者'!B89</f>
        <v/>
      </c>
      <c r="C81" s="132"/>
      <c r="D81" s="125"/>
      <c r="E81" s="125"/>
      <c r="F81" s="125"/>
      <c r="G81" s="125"/>
      <c r="H81" s="120"/>
      <c r="I81" s="120"/>
      <c r="J81" s="121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5"/>
      <c r="V81" s="125"/>
      <c r="W81" s="123">
        <f t="shared" si="1"/>
        <v>0</v>
      </c>
      <c r="X81" s="125"/>
      <c r="Y81" s="125"/>
      <c r="Z81" s="126">
        <f t="shared" si="2"/>
        <v>0</v>
      </c>
      <c r="AA81" s="136"/>
      <c r="AB81" s="101" t="s">
        <v>131</v>
      </c>
      <c r="AC81" s="128">
        <f t="shared" si="3"/>
        <v>0</v>
      </c>
      <c r="AD81" s="134"/>
      <c r="AE81" s="135"/>
      <c r="AF81" s="135"/>
      <c r="AG81" s="135"/>
      <c r="AH81" s="135"/>
      <c r="AI81" s="135"/>
      <c r="AJ81" s="135"/>
    </row>
    <row r="82" ht="22.5" hidden="1" customHeight="1">
      <c r="A82" s="110" t="str">
        <f>'利用者'!A90</f>
        <v/>
      </c>
      <c r="B82" s="111" t="str">
        <f>'利用者'!B90</f>
        <v/>
      </c>
      <c r="C82" s="132"/>
      <c r="D82" s="125"/>
      <c r="E82" s="125"/>
      <c r="F82" s="125"/>
      <c r="G82" s="125"/>
      <c r="H82" s="120"/>
      <c r="I82" s="120"/>
      <c r="J82" s="121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5"/>
      <c r="V82" s="125"/>
      <c r="W82" s="123">
        <f t="shared" si="1"/>
        <v>0</v>
      </c>
      <c r="X82" s="125"/>
      <c r="Y82" s="125"/>
      <c r="Z82" s="126">
        <f t="shared" si="2"/>
        <v>0</v>
      </c>
      <c r="AA82" s="136"/>
      <c r="AB82" s="101" t="s">
        <v>131</v>
      </c>
      <c r="AC82" s="128">
        <f t="shared" si="3"/>
        <v>0</v>
      </c>
      <c r="AD82" s="134"/>
      <c r="AE82" s="135"/>
      <c r="AF82" s="135"/>
      <c r="AG82" s="135"/>
      <c r="AH82" s="135"/>
      <c r="AI82" s="135"/>
      <c r="AJ82" s="135"/>
    </row>
    <row r="83" ht="22.5" hidden="1" customHeight="1">
      <c r="A83" s="110" t="str">
        <f>'利用者'!A91</f>
        <v/>
      </c>
      <c r="B83" s="111" t="str">
        <f>'利用者'!B91</f>
        <v/>
      </c>
      <c r="C83" s="132"/>
      <c r="D83" s="125"/>
      <c r="E83" s="125"/>
      <c r="F83" s="125"/>
      <c r="G83" s="125"/>
      <c r="H83" s="120"/>
      <c r="I83" s="120"/>
      <c r="J83" s="12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5"/>
      <c r="V83" s="125"/>
      <c r="W83" s="123">
        <f t="shared" si="1"/>
        <v>0</v>
      </c>
      <c r="X83" s="125"/>
      <c r="Y83" s="125"/>
      <c r="Z83" s="126">
        <f t="shared" si="2"/>
        <v>0</v>
      </c>
      <c r="AA83" s="136"/>
      <c r="AB83" s="101" t="s">
        <v>131</v>
      </c>
      <c r="AC83" s="128">
        <f t="shared" si="3"/>
        <v>0</v>
      </c>
      <c r="AD83" s="134"/>
      <c r="AE83" s="135"/>
      <c r="AF83" s="135"/>
      <c r="AG83" s="135"/>
      <c r="AH83" s="135"/>
      <c r="AI83" s="135"/>
      <c r="AJ83" s="135"/>
    </row>
    <row r="84" ht="22.5" hidden="1" customHeight="1">
      <c r="A84" s="110" t="str">
        <f>'利用者'!A92</f>
        <v/>
      </c>
      <c r="B84" s="111" t="str">
        <f>'利用者'!B92</f>
        <v/>
      </c>
      <c r="C84" s="132"/>
      <c r="D84" s="125"/>
      <c r="E84" s="125"/>
      <c r="F84" s="125"/>
      <c r="G84" s="125"/>
      <c r="H84" s="120"/>
      <c r="I84" s="120"/>
      <c r="J84" s="121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5"/>
      <c r="V84" s="125"/>
      <c r="W84" s="123">
        <f t="shared" si="1"/>
        <v>0</v>
      </c>
      <c r="X84" s="125"/>
      <c r="Y84" s="125"/>
      <c r="Z84" s="126">
        <f t="shared" si="2"/>
        <v>0</v>
      </c>
      <c r="AA84" s="136"/>
      <c r="AB84" s="101" t="s">
        <v>131</v>
      </c>
      <c r="AC84" s="128">
        <f t="shared" si="3"/>
        <v>0</v>
      </c>
      <c r="AD84" s="134"/>
      <c r="AE84" s="135"/>
      <c r="AF84" s="135"/>
      <c r="AG84" s="135"/>
      <c r="AH84" s="135"/>
      <c r="AI84" s="135"/>
      <c r="AJ84" s="135"/>
    </row>
    <row r="85" ht="22.5" hidden="1" customHeight="1">
      <c r="A85" s="110" t="str">
        <f>'利用者'!A93</f>
        <v/>
      </c>
      <c r="B85" s="111" t="str">
        <f>'利用者'!B93</f>
        <v/>
      </c>
      <c r="C85" s="132"/>
      <c r="D85" s="125"/>
      <c r="E85" s="125"/>
      <c r="F85" s="125"/>
      <c r="G85" s="125"/>
      <c r="H85" s="120"/>
      <c r="I85" s="120"/>
      <c r="J85" s="121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5"/>
      <c r="V85" s="125"/>
      <c r="W85" s="123">
        <f t="shared" si="1"/>
        <v>0</v>
      </c>
      <c r="X85" s="125"/>
      <c r="Y85" s="125"/>
      <c r="Z85" s="126">
        <f t="shared" si="2"/>
        <v>0</v>
      </c>
      <c r="AA85" s="136"/>
      <c r="AB85" s="101" t="s">
        <v>131</v>
      </c>
      <c r="AC85" s="128">
        <f t="shared" si="3"/>
        <v>0</v>
      </c>
      <c r="AD85" s="134"/>
      <c r="AE85" s="135"/>
      <c r="AF85" s="135"/>
      <c r="AG85" s="135"/>
      <c r="AH85" s="135"/>
      <c r="AI85" s="135"/>
      <c r="AJ85" s="135"/>
    </row>
    <row r="86" ht="22.5" hidden="1" customHeight="1">
      <c r="A86" s="110" t="str">
        <f>'利用者'!A94</f>
        <v/>
      </c>
      <c r="B86" s="111" t="str">
        <f>'利用者'!B94</f>
        <v/>
      </c>
      <c r="C86" s="132"/>
      <c r="D86" s="125"/>
      <c r="E86" s="125"/>
      <c r="F86" s="125"/>
      <c r="G86" s="125"/>
      <c r="H86" s="120"/>
      <c r="I86" s="120"/>
      <c r="J86" s="121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5"/>
      <c r="V86" s="125"/>
      <c r="W86" s="123">
        <f t="shared" si="1"/>
        <v>0</v>
      </c>
      <c r="X86" s="125"/>
      <c r="Y86" s="125"/>
      <c r="Z86" s="126">
        <f t="shared" si="2"/>
        <v>0</v>
      </c>
      <c r="AA86" s="136"/>
      <c r="AB86" s="101" t="s">
        <v>131</v>
      </c>
      <c r="AC86" s="128">
        <f t="shared" si="3"/>
        <v>0</v>
      </c>
      <c r="AD86" s="134"/>
      <c r="AE86" s="135"/>
      <c r="AF86" s="135"/>
      <c r="AG86" s="135"/>
      <c r="AH86" s="135"/>
      <c r="AI86" s="135"/>
      <c r="AJ86" s="135"/>
    </row>
    <row r="87" ht="22.5" hidden="1" customHeight="1">
      <c r="A87" s="110" t="str">
        <f>'利用者'!A95</f>
        <v/>
      </c>
      <c r="B87" s="111" t="str">
        <f>'利用者'!B95</f>
        <v/>
      </c>
      <c r="C87" s="132"/>
      <c r="D87" s="125"/>
      <c r="E87" s="125"/>
      <c r="F87" s="125"/>
      <c r="G87" s="125"/>
      <c r="H87" s="120"/>
      <c r="I87" s="120"/>
      <c r="J87" s="121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5"/>
      <c r="V87" s="125"/>
      <c r="W87" s="123">
        <f t="shared" si="1"/>
        <v>0</v>
      </c>
      <c r="X87" s="125"/>
      <c r="Y87" s="125"/>
      <c r="Z87" s="126">
        <f t="shared" si="2"/>
        <v>0</v>
      </c>
      <c r="AA87" s="136"/>
      <c r="AB87" s="101" t="s">
        <v>131</v>
      </c>
      <c r="AC87" s="128">
        <f t="shared" si="3"/>
        <v>0</v>
      </c>
      <c r="AD87" s="134"/>
      <c r="AE87" s="135"/>
      <c r="AF87" s="135"/>
      <c r="AG87" s="135"/>
      <c r="AH87" s="135"/>
      <c r="AI87" s="135"/>
      <c r="AJ87" s="135"/>
    </row>
    <row r="88" ht="22.5" hidden="1" customHeight="1">
      <c r="A88" s="110" t="str">
        <f>'利用者'!A96</f>
        <v/>
      </c>
      <c r="B88" s="111" t="str">
        <f>'利用者'!B96</f>
        <v/>
      </c>
      <c r="C88" s="132"/>
      <c r="D88" s="125"/>
      <c r="E88" s="125"/>
      <c r="F88" s="125"/>
      <c r="G88" s="125"/>
      <c r="H88" s="120"/>
      <c r="I88" s="120"/>
      <c r="J88" s="121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5"/>
      <c r="V88" s="125"/>
      <c r="W88" s="123">
        <f t="shared" si="1"/>
        <v>0</v>
      </c>
      <c r="X88" s="125"/>
      <c r="Y88" s="125"/>
      <c r="Z88" s="126">
        <f t="shared" si="2"/>
        <v>0</v>
      </c>
      <c r="AA88" s="136"/>
      <c r="AB88" s="101" t="s">
        <v>131</v>
      </c>
      <c r="AC88" s="128">
        <f t="shared" si="3"/>
        <v>0</v>
      </c>
      <c r="AD88" s="134"/>
      <c r="AE88" s="135"/>
      <c r="AF88" s="135"/>
      <c r="AG88" s="135"/>
      <c r="AH88" s="135"/>
      <c r="AI88" s="135"/>
      <c r="AJ88" s="135"/>
    </row>
    <row r="89" ht="22.5" hidden="1" customHeight="1">
      <c r="A89" s="110" t="str">
        <f>'利用者'!A97</f>
        <v/>
      </c>
      <c r="B89" s="111" t="str">
        <f>'利用者'!B97</f>
        <v/>
      </c>
      <c r="C89" s="132"/>
      <c r="D89" s="125"/>
      <c r="E89" s="125"/>
      <c r="F89" s="125"/>
      <c r="G89" s="125"/>
      <c r="H89" s="120"/>
      <c r="I89" s="120"/>
      <c r="J89" s="12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5"/>
      <c r="V89" s="125"/>
      <c r="W89" s="123">
        <f t="shared" si="1"/>
        <v>0</v>
      </c>
      <c r="X89" s="125"/>
      <c r="Y89" s="125"/>
      <c r="Z89" s="126">
        <f t="shared" si="2"/>
        <v>0</v>
      </c>
      <c r="AA89" s="136"/>
      <c r="AB89" s="101" t="s">
        <v>131</v>
      </c>
      <c r="AC89" s="128">
        <f t="shared" si="3"/>
        <v>0</v>
      </c>
      <c r="AD89" s="134"/>
      <c r="AE89" s="135"/>
      <c r="AF89" s="135"/>
      <c r="AG89" s="135"/>
      <c r="AH89" s="135"/>
      <c r="AI89" s="135"/>
      <c r="AJ89" s="135"/>
    </row>
    <row r="90" ht="22.5" hidden="1" customHeight="1">
      <c r="A90" s="110" t="str">
        <f>'利用者'!A98</f>
        <v/>
      </c>
      <c r="B90" s="111" t="str">
        <f>'利用者'!B98</f>
        <v/>
      </c>
      <c r="C90" s="132"/>
      <c r="D90" s="125"/>
      <c r="E90" s="125"/>
      <c r="F90" s="125"/>
      <c r="G90" s="125"/>
      <c r="H90" s="120"/>
      <c r="I90" s="120"/>
      <c r="J90" s="121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5"/>
      <c r="V90" s="125"/>
      <c r="W90" s="123">
        <f t="shared" si="1"/>
        <v>0</v>
      </c>
      <c r="X90" s="125"/>
      <c r="Y90" s="125"/>
      <c r="Z90" s="126">
        <f t="shared" si="2"/>
        <v>0</v>
      </c>
      <c r="AA90" s="136"/>
      <c r="AB90" s="101" t="s">
        <v>131</v>
      </c>
      <c r="AC90" s="128">
        <f t="shared" si="3"/>
        <v>0</v>
      </c>
      <c r="AD90" s="134"/>
      <c r="AE90" s="135"/>
      <c r="AF90" s="135"/>
      <c r="AG90" s="135"/>
      <c r="AH90" s="135"/>
      <c r="AI90" s="135"/>
      <c r="AJ90" s="135"/>
    </row>
    <row r="91" ht="22.5" hidden="1" customHeight="1">
      <c r="A91" s="110" t="str">
        <f>'利用者'!A99</f>
        <v/>
      </c>
      <c r="B91" s="111" t="str">
        <f>'利用者'!B99</f>
        <v/>
      </c>
      <c r="C91" s="132"/>
      <c r="D91" s="125"/>
      <c r="E91" s="125"/>
      <c r="F91" s="125"/>
      <c r="G91" s="125"/>
      <c r="H91" s="120"/>
      <c r="I91" s="120"/>
      <c r="J91" s="121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5"/>
      <c r="V91" s="125"/>
      <c r="W91" s="123">
        <f t="shared" si="1"/>
        <v>0</v>
      </c>
      <c r="X91" s="125"/>
      <c r="Y91" s="125"/>
      <c r="Z91" s="126">
        <f t="shared" si="2"/>
        <v>0</v>
      </c>
      <c r="AA91" s="136"/>
      <c r="AB91" s="101" t="s">
        <v>131</v>
      </c>
      <c r="AC91" s="128">
        <f t="shared" si="3"/>
        <v>0</v>
      </c>
      <c r="AD91" s="134"/>
      <c r="AE91" s="135"/>
      <c r="AF91" s="135"/>
      <c r="AG91" s="135"/>
      <c r="AH91" s="135"/>
      <c r="AI91" s="135"/>
      <c r="AJ91" s="135"/>
    </row>
    <row r="92" ht="22.5" hidden="1" customHeight="1">
      <c r="A92" s="110" t="str">
        <f>'利用者'!A100</f>
        <v/>
      </c>
      <c r="B92" s="111" t="str">
        <f>'利用者'!B100</f>
        <v/>
      </c>
      <c r="C92" s="132"/>
      <c r="D92" s="125"/>
      <c r="E92" s="125"/>
      <c r="F92" s="125"/>
      <c r="G92" s="125"/>
      <c r="H92" s="120"/>
      <c r="I92" s="120"/>
      <c r="J92" s="121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5"/>
      <c r="V92" s="125"/>
      <c r="W92" s="123">
        <f t="shared" si="1"/>
        <v>0</v>
      </c>
      <c r="X92" s="125"/>
      <c r="Y92" s="125"/>
      <c r="Z92" s="126">
        <f t="shared" si="2"/>
        <v>0</v>
      </c>
      <c r="AA92" s="136"/>
      <c r="AB92" s="101" t="s">
        <v>131</v>
      </c>
      <c r="AC92" s="128">
        <f t="shared" si="3"/>
        <v>0</v>
      </c>
      <c r="AD92" s="134"/>
      <c r="AE92" s="135"/>
      <c r="AF92" s="135"/>
      <c r="AG92" s="135"/>
      <c r="AH92" s="135"/>
      <c r="AI92" s="135"/>
      <c r="AJ92" s="135"/>
    </row>
    <row r="93" ht="22.5" hidden="1" customHeight="1">
      <c r="A93" s="110" t="str">
        <f>'利用者'!A101</f>
        <v/>
      </c>
      <c r="B93" s="111" t="str">
        <f>'利用者'!B101</f>
        <v/>
      </c>
      <c r="C93" s="132"/>
      <c r="D93" s="125"/>
      <c r="E93" s="125"/>
      <c r="F93" s="125"/>
      <c r="G93" s="125"/>
      <c r="H93" s="120"/>
      <c r="I93" s="120"/>
      <c r="J93" s="121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5"/>
      <c r="V93" s="125"/>
      <c r="W93" s="123">
        <f t="shared" si="1"/>
        <v>0</v>
      </c>
      <c r="X93" s="125"/>
      <c r="Y93" s="125"/>
      <c r="Z93" s="126">
        <f t="shared" si="2"/>
        <v>0</v>
      </c>
      <c r="AA93" s="136"/>
      <c r="AB93" s="101" t="s">
        <v>131</v>
      </c>
      <c r="AC93" s="128">
        <f t="shared" si="3"/>
        <v>0</v>
      </c>
      <c r="AD93" s="134"/>
      <c r="AE93" s="135"/>
      <c r="AF93" s="135"/>
      <c r="AG93" s="135"/>
      <c r="AH93" s="135"/>
      <c r="AI93" s="135"/>
      <c r="AJ93" s="135"/>
    </row>
    <row r="94" ht="22.5" hidden="1" customHeight="1">
      <c r="A94" s="110" t="str">
        <f>'利用者'!A102</f>
        <v/>
      </c>
      <c r="B94" s="111" t="str">
        <f>'利用者'!B102</f>
        <v/>
      </c>
      <c r="C94" s="132"/>
      <c r="D94" s="125"/>
      <c r="E94" s="125"/>
      <c r="F94" s="125"/>
      <c r="G94" s="125"/>
      <c r="H94" s="120"/>
      <c r="I94" s="120"/>
      <c r="J94" s="121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5"/>
      <c r="V94" s="125"/>
      <c r="W94" s="123">
        <f t="shared" si="1"/>
        <v>0</v>
      </c>
      <c r="X94" s="125"/>
      <c r="Y94" s="125"/>
      <c r="Z94" s="126">
        <f t="shared" si="2"/>
        <v>0</v>
      </c>
      <c r="AA94" s="136"/>
      <c r="AB94" s="101" t="s">
        <v>131</v>
      </c>
      <c r="AC94" s="128">
        <f t="shared" si="3"/>
        <v>0</v>
      </c>
      <c r="AD94" s="134"/>
      <c r="AE94" s="135"/>
      <c r="AF94" s="135"/>
      <c r="AG94" s="135"/>
      <c r="AH94" s="135"/>
      <c r="AI94" s="135"/>
      <c r="AJ94" s="135"/>
    </row>
    <row r="95" ht="22.5" hidden="1" customHeight="1">
      <c r="A95" s="110" t="str">
        <f>'利用者'!A103</f>
        <v/>
      </c>
      <c r="B95" s="111" t="str">
        <f>'利用者'!B103</f>
        <v/>
      </c>
      <c r="C95" s="132"/>
      <c r="D95" s="125"/>
      <c r="E95" s="125"/>
      <c r="F95" s="125"/>
      <c r="G95" s="125"/>
      <c r="H95" s="120"/>
      <c r="I95" s="120"/>
      <c r="J95" s="121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5"/>
      <c r="V95" s="125"/>
      <c r="W95" s="123">
        <f t="shared" si="1"/>
        <v>0</v>
      </c>
      <c r="X95" s="125"/>
      <c r="Y95" s="125"/>
      <c r="Z95" s="126">
        <f t="shared" si="2"/>
        <v>0</v>
      </c>
      <c r="AA95" s="136"/>
      <c r="AB95" s="101" t="s">
        <v>131</v>
      </c>
      <c r="AC95" s="128">
        <f t="shared" si="3"/>
        <v>0</v>
      </c>
      <c r="AD95" s="134"/>
      <c r="AE95" s="135"/>
      <c r="AF95" s="135"/>
      <c r="AG95" s="135"/>
      <c r="AH95" s="135"/>
      <c r="AI95" s="135"/>
      <c r="AJ95" s="135"/>
    </row>
    <row r="96" ht="22.5" hidden="1" customHeight="1">
      <c r="A96" s="110" t="str">
        <f>'利用者'!A104</f>
        <v/>
      </c>
      <c r="B96" s="111" t="str">
        <f>'利用者'!B104</f>
        <v/>
      </c>
      <c r="C96" s="132"/>
      <c r="D96" s="125"/>
      <c r="E96" s="125"/>
      <c r="F96" s="125"/>
      <c r="G96" s="125"/>
      <c r="H96" s="120"/>
      <c r="I96" s="120"/>
      <c r="J96" s="121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5"/>
      <c r="V96" s="125"/>
      <c r="W96" s="123">
        <f t="shared" si="1"/>
        <v>0</v>
      </c>
      <c r="X96" s="125"/>
      <c r="Y96" s="125"/>
      <c r="Z96" s="126">
        <f t="shared" si="2"/>
        <v>0</v>
      </c>
      <c r="AA96" s="136"/>
      <c r="AB96" s="101" t="s">
        <v>131</v>
      </c>
      <c r="AC96" s="128">
        <f t="shared" si="3"/>
        <v>0</v>
      </c>
      <c r="AD96" s="134"/>
      <c r="AE96" s="135"/>
      <c r="AF96" s="135"/>
      <c r="AG96" s="135"/>
      <c r="AH96" s="135"/>
      <c r="AI96" s="135"/>
      <c r="AJ96" s="135"/>
    </row>
    <row r="97" ht="22.5" hidden="1" customHeight="1">
      <c r="A97" s="110" t="str">
        <f>'利用者'!A105</f>
        <v/>
      </c>
      <c r="B97" s="111" t="str">
        <f>'利用者'!B105</f>
        <v/>
      </c>
      <c r="C97" s="132"/>
      <c r="D97" s="125"/>
      <c r="E97" s="125"/>
      <c r="F97" s="125"/>
      <c r="G97" s="125"/>
      <c r="H97" s="120"/>
      <c r="I97" s="120"/>
      <c r="J97" s="121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5"/>
      <c r="V97" s="125"/>
      <c r="W97" s="123">
        <f t="shared" si="1"/>
        <v>0</v>
      </c>
      <c r="X97" s="125"/>
      <c r="Y97" s="125"/>
      <c r="Z97" s="126">
        <f t="shared" si="2"/>
        <v>0</v>
      </c>
      <c r="AA97" s="136"/>
      <c r="AB97" s="101" t="s">
        <v>131</v>
      </c>
      <c r="AC97" s="128">
        <f t="shared" si="3"/>
        <v>0</v>
      </c>
      <c r="AD97" s="134"/>
      <c r="AE97" s="135"/>
      <c r="AF97" s="135"/>
      <c r="AG97" s="135"/>
      <c r="AH97" s="135"/>
      <c r="AI97" s="135"/>
      <c r="AJ97" s="135"/>
    </row>
    <row r="98" ht="22.5" hidden="1" customHeight="1">
      <c r="A98" s="110" t="str">
        <f>'利用者'!A106</f>
        <v/>
      </c>
      <c r="B98" s="111" t="str">
        <f>'利用者'!B106</f>
        <v/>
      </c>
      <c r="C98" s="132"/>
      <c r="D98" s="125"/>
      <c r="E98" s="125"/>
      <c r="F98" s="125"/>
      <c r="G98" s="125"/>
      <c r="H98" s="120"/>
      <c r="I98" s="120"/>
      <c r="J98" s="12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5"/>
      <c r="V98" s="125"/>
      <c r="W98" s="123">
        <f t="shared" si="1"/>
        <v>0</v>
      </c>
      <c r="X98" s="125"/>
      <c r="Y98" s="125"/>
      <c r="Z98" s="126">
        <f t="shared" si="2"/>
        <v>0</v>
      </c>
      <c r="AA98" s="136"/>
      <c r="AB98" s="101" t="s">
        <v>131</v>
      </c>
      <c r="AC98" s="128">
        <f t="shared" si="3"/>
        <v>0</v>
      </c>
      <c r="AD98" s="134"/>
      <c r="AE98" s="135"/>
      <c r="AF98" s="135"/>
      <c r="AG98" s="135"/>
      <c r="AH98" s="135"/>
      <c r="AI98" s="135"/>
      <c r="AJ98" s="135"/>
    </row>
    <row r="99" ht="22.5" hidden="1" customHeight="1">
      <c r="A99" s="110" t="str">
        <f>'利用者'!A107</f>
        <v/>
      </c>
      <c r="B99" s="111" t="str">
        <f>'利用者'!B107</f>
        <v/>
      </c>
      <c r="C99" s="132"/>
      <c r="D99" s="125"/>
      <c r="E99" s="125"/>
      <c r="F99" s="125"/>
      <c r="G99" s="125"/>
      <c r="H99" s="120"/>
      <c r="I99" s="120"/>
      <c r="J99" s="121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5"/>
      <c r="V99" s="125"/>
      <c r="W99" s="123">
        <f t="shared" si="1"/>
        <v>0</v>
      </c>
      <c r="X99" s="125"/>
      <c r="Y99" s="125"/>
      <c r="Z99" s="126">
        <f t="shared" si="2"/>
        <v>0</v>
      </c>
      <c r="AA99" s="136"/>
      <c r="AB99" s="101" t="s">
        <v>131</v>
      </c>
      <c r="AC99" s="128">
        <f t="shared" si="3"/>
        <v>0</v>
      </c>
      <c r="AD99" s="134"/>
      <c r="AE99" s="135"/>
      <c r="AF99" s="135"/>
      <c r="AG99" s="135"/>
      <c r="AH99" s="135"/>
      <c r="AI99" s="135"/>
      <c r="AJ99" s="135"/>
    </row>
    <row r="100" ht="22.5" hidden="1" customHeight="1">
      <c r="A100" s="110" t="str">
        <f>'利用者'!A108</f>
        <v>210✕</v>
      </c>
      <c r="B100" s="111" t="str">
        <f>'利用者'!B108</f>
        <v>北村繁弘</v>
      </c>
      <c r="C100" s="132"/>
      <c r="D100" s="125"/>
      <c r="E100" s="125"/>
      <c r="F100" s="125"/>
      <c r="G100" s="125"/>
      <c r="H100" s="120"/>
      <c r="I100" s="120"/>
      <c r="J100" s="12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5"/>
      <c r="V100" s="125"/>
      <c r="W100" s="123">
        <f t="shared" si="1"/>
        <v>0</v>
      </c>
      <c r="X100" s="125"/>
      <c r="Y100" s="125"/>
      <c r="Z100" s="126">
        <f t="shared" si="2"/>
        <v>0</v>
      </c>
      <c r="AA100" s="136"/>
      <c r="AB100" s="101" t="s">
        <v>131</v>
      </c>
      <c r="AC100" s="128">
        <f t="shared" si="3"/>
        <v>0</v>
      </c>
      <c r="AD100" s="134"/>
      <c r="AE100" s="135"/>
      <c r="AF100" s="135"/>
      <c r="AG100" s="135"/>
      <c r="AH100" s="135"/>
      <c r="AI100" s="135"/>
      <c r="AJ100" s="135"/>
    </row>
    <row r="101" ht="22.5" hidden="1" customHeight="1">
      <c r="A101" s="110" t="str">
        <f>'利用者'!A109</f>
        <v>211✕</v>
      </c>
      <c r="B101" s="111" t="str">
        <f>'利用者'!B109</f>
        <v>鈴木信子</v>
      </c>
      <c r="C101" s="132"/>
      <c r="D101" s="125"/>
      <c r="E101" s="125"/>
      <c r="F101" s="125"/>
      <c r="G101" s="125"/>
      <c r="H101" s="120"/>
      <c r="I101" s="120"/>
      <c r="J101" s="12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5"/>
      <c r="V101" s="125"/>
      <c r="W101" s="123">
        <f t="shared" si="1"/>
        <v>0</v>
      </c>
      <c r="X101" s="125"/>
      <c r="Y101" s="125"/>
      <c r="Z101" s="126">
        <f t="shared" si="2"/>
        <v>0</v>
      </c>
      <c r="AA101" s="136"/>
      <c r="AB101" s="101" t="s">
        <v>131</v>
      </c>
      <c r="AC101" s="128">
        <f t="shared" si="3"/>
        <v>0</v>
      </c>
      <c r="AD101" s="134"/>
      <c r="AE101" s="135"/>
      <c r="AF101" s="135"/>
      <c r="AG101" s="135"/>
      <c r="AH101" s="135"/>
      <c r="AI101" s="135"/>
      <c r="AJ101" s="135"/>
    </row>
    <row r="102" ht="22.5" hidden="1" customHeight="1">
      <c r="A102" s="110" t="str">
        <f>'利用者'!A110</f>
        <v/>
      </c>
      <c r="B102" s="111" t="str">
        <f>'利用者'!B110</f>
        <v/>
      </c>
      <c r="C102" s="132"/>
      <c r="D102" s="125"/>
      <c r="E102" s="125"/>
      <c r="F102" s="125"/>
      <c r="G102" s="125"/>
      <c r="H102" s="120"/>
      <c r="I102" s="120"/>
      <c r="J102" s="121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5"/>
      <c r="V102" s="125"/>
      <c r="W102" s="123">
        <f t="shared" si="1"/>
        <v>0</v>
      </c>
      <c r="X102" s="125"/>
      <c r="Y102" s="125"/>
      <c r="Z102" s="126">
        <f t="shared" si="2"/>
        <v>0</v>
      </c>
      <c r="AA102" s="136"/>
      <c r="AB102" s="101" t="s">
        <v>131</v>
      </c>
      <c r="AC102" s="128">
        <f t="shared" si="3"/>
        <v>0</v>
      </c>
      <c r="AD102" s="134"/>
      <c r="AE102" s="135"/>
      <c r="AF102" s="135"/>
      <c r="AG102" s="135"/>
      <c r="AH102" s="135"/>
      <c r="AI102" s="135"/>
      <c r="AJ102" s="135"/>
    </row>
    <row r="103" ht="22.5" hidden="1" customHeight="1">
      <c r="A103" s="110" t="str">
        <f>'利用者'!A111</f>
        <v/>
      </c>
      <c r="B103" s="111" t="str">
        <f>'利用者'!B111</f>
        <v/>
      </c>
      <c r="C103" s="132"/>
      <c r="D103" s="125"/>
      <c r="E103" s="125"/>
      <c r="F103" s="125"/>
      <c r="G103" s="125"/>
      <c r="H103" s="120"/>
      <c r="I103" s="120"/>
      <c r="J103" s="12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5"/>
      <c r="V103" s="125"/>
      <c r="W103" s="123">
        <f t="shared" si="1"/>
        <v>0</v>
      </c>
      <c r="X103" s="125"/>
      <c r="Y103" s="125"/>
      <c r="Z103" s="126">
        <f t="shared" si="2"/>
        <v>0</v>
      </c>
      <c r="AA103" s="136"/>
      <c r="AB103" s="101" t="s">
        <v>131</v>
      </c>
      <c r="AC103" s="128">
        <f t="shared" si="3"/>
        <v>0</v>
      </c>
      <c r="AD103" s="134"/>
      <c r="AE103" s="135"/>
      <c r="AF103" s="135"/>
      <c r="AG103" s="135"/>
      <c r="AH103" s="135"/>
      <c r="AI103" s="135"/>
      <c r="AJ103" s="135"/>
    </row>
    <row r="104" ht="22.5" hidden="1" customHeight="1">
      <c r="A104" s="110" t="str">
        <f>'利用者'!A112</f>
        <v/>
      </c>
      <c r="B104" s="111" t="str">
        <f>'利用者'!B112</f>
        <v/>
      </c>
      <c r="C104" s="132"/>
      <c r="D104" s="125"/>
      <c r="E104" s="125"/>
      <c r="F104" s="125"/>
      <c r="G104" s="125"/>
      <c r="H104" s="120"/>
      <c r="I104" s="120"/>
      <c r="J104" s="12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5"/>
      <c r="V104" s="125"/>
      <c r="W104" s="123">
        <f t="shared" si="1"/>
        <v>0</v>
      </c>
      <c r="X104" s="125"/>
      <c r="Y104" s="125"/>
      <c r="Z104" s="126">
        <f t="shared" si="2"/>
        <v>0</v>
      </c>
      <c r="AA104" s="136"/>
      <c r="AB104" s="101" t="s">
        <v>131</v>
      </c>
      <c r="AC104" s="128">
        <f t="shared" si="3"/>
        <v>0</v>
      </c>
      <c r="AD104" s="134"/>
      <c r="AE104" s="135"/>
      <c r="AF104" s="135"/>
      <c r="AG104" s="135"/>
      <c r="AH104" s="135"/>
      <c r="AI104" s="135"/>
      <c r="AJ104" s="135"/>
    </row>
    <row r="105" ht="22.5" hidden="1" customHeight="1">
      <c r="A105" s="110" t="str">
        <f>'利用者'!A113</f>
        <v/>
      </c>
      <c r="B105" s="111" t="str">
        <f>'利用者'!B113</f>
        <v/>
      </c>
      <c r="C105" s="132"/>
      <c r="D105" s="125"/>
      <c r="E105" s="125"/>
      <c r="F105" s="125"/>
      <c r="G105" s="125"/>
      <c r="H105" s="120"/>
      <c r="I105" s="120"/>
      <c r="J105" s="12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5"/>
      <c r="V105" s="125"/>
      <c r="W105" s="123">
        <f t="shared" si="1"/>
        <v>0</v>
      </c>
      <c r="X105" s="125"/>
      <c r="Y105" s="125"/>
      <c r="Z105" s="126">
        <f t="shared" si="2"/>
        <v>0</v>
      </c>
      <c r="AA105" s="136"/>
      <c r="AB105" s="101" t="s">
        <v>131</v>
      </c>
      <c r="AC105" s="128">
        <f t="shared" si="3"/>
        <v>0</v>
      </c>
      <c r="AD105" s="134"/>
      <c r="AE105" s="135"/>
      <c r="AF105" s="135"/>
      <c r="AG105" s="135"/>
      <c r="AH105" s="135"/>
      <c r="AI105" s="135"/>
      <c r="AJ105" s="135"/>
    </row>
    <row r="106" ht="22.5" hidden="1" customHeight="1">
      <c r="A106" s="110" t="str">
        <f>'利用者'!A114</f>
        <v/>
      </c>
      <c r="B106" s="111" t="str">
        <f>'利用者'!B114</f>
        <v/>
      </c>
      <c r="C106" s="132"/>
      <c r="D106" s="125"/>
      <c r="E106" s="125"/>
      <c r="F106" s="125"/>
      <c r="G106" s="125"/>
      <c r="H106" s="120"/>
      <c r="I106" s="120"/>
      <c r="J106" s="121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5"/>
      <c r="V106" s="125"/>
      <c r="W106" s="123">
        <f t="shared" si="1"/>
        <v>0</v>
      </c>
      <c r="X106" s="125"/>
      <c r="Y106" s="125"/>
      <c r="Z106" s="126">
        <f t="shared" si="2"/>
        <v>0</v>
      </c>
      <c r="AA106" s="136"/>
      <c r="AB106" s="101" t="s">
        <v>131</v>
      </c>
      <c r="AC106" s="128">
        <f t="shared" si="3"/>
        <v>0</v>
      </c>
      <c r="AD106" s="134"/>
      <c r="AE106" s="135"/>
      <c r="AF106" s="135"/>
      <c r="AG106" s="135"/>
      <c r="AH106" s="135"/>
      <c r="AI106" s="135"/>
      <c r="AJ106" s="135"/>
    </row>
    <row r="107" ht="22.5" hidden="1" customHeight="1">
      <c r="A107" s="110" t="str">
        <f>'利用者'!A115</f>
        <v/>
      </c>
      <c r="B107" s="111" t="str">
        <f>'利用者'!B115</f>
        <v/>
      </c>
      <c r="C107" s="132"/>
      <c r="D107" s="125"/>
      <c r="E107" s="125"/>
      <c r="F107" s="125"/>
      <c r="G107" s="125"/>
      <c r="H107" s="120"/>
      <c r="I107" s="120"/>
      <c r="J107" s="12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5"/>
      <c r="V107" s="125"/>
      <c r="W107" s="123">
        <f t="shared" si="1"/>
        <v>0</v>
      </c>
      <c r="X107" s="125"/>
      <c r="Y107" s="125"/>
      <c r="Z107" s="126">
        <f t="shared" si="2"/>
        <v>0</v>
      </c>
      <c r="AA107" s="136"/>
      <c r="AB107" s="101" t="s">
        <v>131</v>
      </c>
      <c r="AC107" s="128">
        <f t="shared" si="3"/>
        <v>0</v>
      </c>
      <c r="AD107" s="134"/>
      <c r="AE107" s="135"/>
      <c r="AF107" s="135"/>
      <c r="AG107" s="135"/>
      <c r="AH107" s="135"/>
      <c r="AI107" s="135"/>
      <c r="AJ107" s="135"/>
    </row>
    <row r="108" ht="22.5" hidden="1" customHeight="1">
      <c r="A108" s="110" t="str">
        <f>'利用者'!A116</f>
        <v/>
      </c>
      <c r="B108" s="111" t="str">
        <f>'利用者'!B116</f>
        <v/>
      </c>
      <c r="C108" s="132"/>
      <c r="D108" s="125"/>
      <c r="E108" s="125"/>
      <c r="F108" s="125"/>
      <c r="G108" s="125"/>
      <c r="H108" s="120"/>
      <c r="I108" s="120"/>
      <c r="J108" s="12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5"/>
      <c r="V108" s="125"/>
      <c r="W108" s="123">
        <f t="shared" si="1"/>
        <v>0</v>
      </c>
      <c r="X108" s="125"/>
      <c r="Y108" s="125"/>
      <c r="Z108" s="126">
        <f t="shared" si="2"/>
        <v>0</v>
      </c>
      <c r="AA108" s="136"/>
      <c r="AB108" s="101" t="s">
        <v>131</v>
      </c>
      <c r="AC108" s="128">
        <f t="shared" si="3"/>
        <v>0</v>
      </c>
      <c r="AD108" s="134"/>
      <c r="AE108" s="135"/>
      <c r="AF108" s="135"/>
      <c r="AG108" s="135"/>
      <c r="AH108" s="135"/>
      <c r="AI108" s="135"/>
      <c r="AJ108" s="135"/>
    </row>
    <row r="109" ht="22.5" customHeight="1">
      <c r="A109" s="110"/>
      <c r="B109" s="111"/>
      <c r="C109" s="132"/>
      <c r="D109" s="125"/>
      <c r="E109" s="125"/>
      <c r="F109" s="125"/>
      <c r="G109" s="125"/>
      <c r="H109" s="120"/>
      <c r="I109" s="120"/>
      <c r="J109" s="12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5"/>
      <c r="V109" s="125"/>
      <c r="W109" s="123">
        <f t="shared" si="1"/>
        <v>0</v>
      </c>
      <c r="X109" s="125"/>
      <c r="Y109" s="125"/>
      <c r="Z109" s="126">
        <f t="shared" si="2"/>
        <v>0</v>
      </c>
      <c r="AA109" s="136"/>
      <c r="AB109" s="101" t="s">
        <v>131</v>
      </c>
      <c r="AC109" s="128">
        <f t="shared" si="3"/>
        <v>0</v>
      </c>
      <c r="AD109" s="134"/>
      <c r="AE109" s="135"/>
      <c r="AF109" s="135"/>
      <c r="AG109" s="135"/>
      <c r="AH109" s="135"/>
      <c r="AI109" s="135"/>
      <c r="AJ109" s="135"/>
    </row>
    <row r="110" ht="22.5" customHeight="1">
      <c r="A110" s="116" t="s">
        <v>128</v>
      </c>
      <c r="B110" s="116"/>
      <c r="C110" s="126"/>
      <c r="D110" s="126">
        <f t="shared" ref="D110:Y110" si="4">SUM(D3:D109)</f>
        <v>480000</v>
      </c>
      <c r="E110" s="126">
        <f t="shared" si="4"/>
        <v>60000</v>
      </c>
      <c r="F110" s="126">
        <f t="shared" si="4"/>
        <v>60000</v>
      </c>
      <c r="G110" s="126">
        <f t="shared" si="4"/>
        <v>24000</v>
      </c>
      <c r="H110" s="126">
        <f t="shared" si="4"/>
        <v>100000</v>
      </c>
      <c r="I110" s="126">
        <f t="shared" si="4"/>
        <v>419320</v>
      </c>
      <c r="J110" s="137">
        <f t="shared" si="4"/>
        <v>-434982</v>
      </c>
      <c r="K110" s="126">
        <f t="shared" si="4"/>
        <v>86304</v>
      </c>
      <c r="L110" s="126">
        <f t="shared" si="4"/>
        <v>22568</v>
      </c>
      <c r="M110" s="126">
        <f t="shared" si="4"/>
        <v>25000</v>
      </c>
      <c r="N110" s="126">
        <f t="shared" si="4"/>
        <v>0</v>
      </c>
      <c r="O110" s="126">
        <f t="shared" si="4"/>
        <v>36956</v>
      </c>
      <c r="P110" s="126">
        <f t="shared" si="4"/>
        <v>0</v>
      </c>
      <c r="Q110" s="126">
        <f t="shared" si="4"/>
        <v>74232</v>
      </c>
      <c r="R110" s="126">
        <f t="shared" si="4"/>
        <v>0</v>
      </c>
      <c r="S110" s="126">
        <f t="shared" si="4"/>
        <v>0</v>
      </c>
      <c r="T110" s="126">
        <f t="shared" si="4"/>
        <v>0</v>
      </c>
      <c r="U110" s="126">
        <f t="shared" si="4"/>
        <v>0</v>
      </c>
      <c r="V110" s="126">
        <f t="shared" si="4"/>
        <v>0</v>
      </c>
      <c r="W110" s="138">
        <f t="shared" si="4"/>
        <v>953398</v>
      </c>
      <c r="X110" s="126">
        <f t="shared" si="4"/>
        <v>189917</v>
      </c>
      <c r="Y110" s="126">
        <f t="shared" si="4"/>
        <v>68210</v>
      </c>
      <c r="Z110" s="126">
        <f t="shared" si="2"/>
        <v>1211525</v>
      </c>
      <c r="AA110" s="127"/>
      <c r="AB110" s="101"/>
      <c r="AC110" s="130"/>
      <c r="AD110" s="101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09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07">
        <v>45991.0</v>
      </c>
      <c r="C1" s="108" t="s">
        <v>98</v>
      </c>
      <c r="D1" s="109" t="s">
        <v>99</v>
      </c>
      <c r="E1" s="109" t="s">
        <v>100</v>
      </c>
      <c r="F1" s="109" t="s">
        <v>101</v>
      </c>
      <c r="G1" s="109" t="s">
        <v>102</v>
      </c>
      <c r="H1" s="109" t="s">
        <v>103</v>
      </c>
      <c r="I1" s="109" t="s">
        <v>104</v>
      </c>
      <c r="J1" s="109" t="s">
        <v>105</v>
      </c>
      <c r="K1" s="109" t="s">
        <v>106</v>
      </c>
      <c r="L1" s="109" t="s">
        <v>107</v>
      </c>
      <c r="M1" s="109" t="s">
        <v>108</v>
      </c>
      <c r="N1" s="109" t="s">
        <v>109</v>
      </c>
      <c r="O1" s="109" t="s">
        <v>110</v>
      </c>
      <c r="P1" s="109" t="s">
        <v>111</v>
      </c>
      <c r="Q1" s="109" t="s">
        <v>112</v>
      </c>
      <c r="R1" s="109" t="s">
        <v>113</v>
      </c>
      <c r="S1" s="109" t="s">
        <v>114</v>
      </c>
      <c r="T1" s="109" t="s">
        <v>115</v>
      </c>
      <c r="U1" s="109" t="s">
        <v>116</v>
      </c>
      <c r="V1" s="109" t="s">
        <v>117</v>
      </c>
      <c r="W1" s="109" t="s">
        <v>118</v>
      </c>
      <c r="X1" s="109" t="s">
        <v>119</v>
      </c>
      <c r="Y1" s="109" t="s">
        <v>120</v>
      </c>
      <c r="Z1" s="109" t="s">
        <v>121</v>
      </c>
      <c r="AA1" s="109" t="s">
        <v>122</v>
      </c>
      <c r="AB1" s="109" t="s">
        <v>123</v>
      </c>
      <c r="AC1" s="101"/>
      <c r="AD1" s="101"/>
    </row>
    <row r="2" ht="22.5" customHeight="1">
      <c r="A2" s="110" t="s">
        <v>0</v>
      </c>
      <c r="B2" s="110" t="s">
        <v>1</v>
      </c>
      <c r="C2" s="111" t="s">
        <v>124</v>
      </c>
      <c r="D2" s="112" t="s">
        <v>5</v>
      </c>
      <c r="E2" s="112" t="s">
        <v>8</v>
      </c>
      <c r="F2" s="112" t="s">
        <v>10</v>
      </c>
      <c r="G2" s="112" t="s">
        <v>13</v>
      </c>
      <c r="H2" s="113" t="s">
        <v>15</v>
      </c>
      <c r="I2" s="113" t="s">
        <v>17</v>
      </c>
      <c r="J2" s="114" t="s">
        <v>20</v>
      </c>
      <c r="K2" s="113" t="s">
        <v>21</v>
      </c>
      <c r="L2" s="113" t="s">
        <v>22</v>
      </c>
      <c r="M2" s="113" t="s">
        <v>24</v>
      </c>
      <c r="N2" s="113" t="s">
        <v>26</v>
      </c>
      <c r="O2" s="113" t="s">
        <v>30</v>
      </c>
      <c r="P2" s="112" t="s">
        <v>32</v>
      </c>
      <c r="Q2" s="112" t="s">
        <v>35</v>
      </c>
      <c r="R2" s="112" t="s">
        <v>37</v>
      </c>
      <c r="S2" s="112" t="s">
        <v>27</v>
      </c>
      <c r="T2" s="112" t="s">
        <v>29</v>
      </c>
      <c r="U2" s="112"/>
      <c r="V2" s="112"/>
      <c r="W2" s="115" t="s">
        <v>125</v>
      </c>
      <c r="X2" s="111" t="s">
        <v>126</v>
      </c>
      <c r="Y2" s="111" t="s">
        <v>127</v>
      </c>
      <c r="Z2" s="116" t="s">
        <v>128</v>
      </c>
      <c r="AA2" s="117" t="s">
        <v>59</v>
      </c>
      <c r="AB2" s="117" t="s">
        <v>129</v>
      </c>
      <c r="AC2" s="110" t="s">
        <v>130</v>
      </c>
      <c r="AD2" s="117"/>
      <c r="AE2" s="10"/>
      <c r="AF2" s="10"/>
      <c r="AG2" s="10"/>
      <c r="AH2" s="10"/>
      <c r="AI2" s="10"/>
      <c r="AJ2" s="10"/>
    </row>
    <row r="3" ht="22.5" customHeight="1">
      <c r="A3" s="110">
        <v>108.0</v>
      </c>
      <c r="B3" s="111" t="s">
        <v>4</v>
      </c>
      <c r="C3" s="118">
        <v>185667.0</v>
      </c>
      <c r="D3" s="119">
        <v>40000.0</v>
      </c>
      <c r="E3" s="119">
        <v>5000.0</v>
      </c>
      <c r="F3" s="119">
        <v>5000.0</v>
      </c>
      <c r="G3" s="119">
        <v>2000.0</v>
      </c>
      <c r="H3" s="120">
        <v>10000.0</v>
      </c>
      <c r="I3" s="120">
        <v>42900.0</v>
      </c>
      <c r="J3" s="121">
        <v>-91950.0</v>
      </c>
      <c r="K3" s="120">
        <v>3630.0</v>
      </c>
      <c r="L3" s="120">
        <v>2190.0</v>
      </c>
      <c r="M3" s="120"/>
      <c r="N3" s="120"/>
      <c r="O3" s="120">
        <v>10084.0</v>
      </c>
      <c r="P3" s="120"/>
      <c r="Q3" s="120">
        <v>15946.0</v>
      </c>
      <c r="R3" s="120"/>
      <c r="S3" s="120"/>
      <c r="T3" s="120"/>
      <c r="U3" s="122"/>
      <c r="V3" s="122"/>
      <c r="W3" s="123">
        <f t="shared" ref="W3:W109" si="1">SUM(D3:V3)</f>
        <v>44800</v>
      </c>
      <c r="X3" s="124">
        <v>30200.0</v>
      </c>
      <c r="Y3" s="125">
        <v>5000.0</v>
      </c>
      <c r="Z3" s="126">
        <f t="shared" ref="Z3:Z110" si="2">SUM(W3:Y3)</f>
        <v>80000</v>
      </c>
      <c r="AA3" s="127">
        <v>80000.0</v>
      </c>
      <c r="AB3" s="101" t="s">
        <v>131</v>
      </c>
      <c r="AC3" s="118">
        <f t="shared" ref="AC3:AC109" si="3">C3-M3</f>
        <v>185667</v>
      </c>
      <c r="AD3" s="101"/>
    </row>
    <row r="4" ht="22.5" customHeight="1">
      <c r="A4" s="110">
        <v>206.0</v>
      </c>
      <c r="B4" s="111" t="s">
        <v>7</v>
      </c>
      <c r="C4" s="128"/>
      <c r="D4" s="119">
        <v>40000.0</v>
      </c>
      <c r="E4" s="119">
        <v>5000.0</v>
      </c>
      <c r="F4" s="119">
        <v>5000.0</v>
      </c>
      <c r="G4" s="119">
        <v>2000.0</v>
      </c>
      <c r="H4" s="120">
        <v>10000.0</v>
      </c>
      <c r="I4" s="120">
        <v>42900.0</v>
      </c>
      <c r="J4" s="121"/>
      <c r="K4" s="120"/>
      <c r="L4" s="120"/>
      <c r="M4" s="120"/>
      <c r="N4" s="120"/>
      <c r="O4" s="120"/>
      <c r="P4" s="120"/>
      <c r="Q4" s="120">
        <v>5476.0</v>
      </c>
      <c r="R4" s="120"/>
      <c r="S4" s="120"/>
      <c r="T4" s="120"/>
      <c r="U4" s="125"/>
      <c r="V4" s="125"/>
      <c r="W4" s="123">
        <f t="shared" si="1"/>
        <v>110376</v>
      </c>
      <c r="X4" s="124">
        <v>23921.0</v>
      </c>
      <c r="Y4" s="125">
        <v>2500.0</v>
      </c>
      <c r="Z4" s="126">
        <f t="shared" si="2"/>
        <v>136797</v>
      </c>
      <c r="AA4" s="127">
        <v>100000.0</v>
      </c>
      <c r="AB4" s="101" t="s">
        <v>131</v>
      </c>
      <c r="AC4" s="128">
        <f t="shared" si="3"/>
        <v>0</v>
      </c>
      <c r="AD4" s="101"/>
    </row>
    <row r="5" ht="22.5" customHeight="1">
      <c r="A5" s="110">
        <v>210.0</v>
      </c>
      <c r="B5" s="111" t="s">
        <v>9</v>
      </c>
      <c r="C5" s="128">
        <v>150000.0</v>
      </c>
      <c r="D5" s="119">
        <v>0.0</v>
      </c>
      <c r="E5" s="119">
        <v>0.0</v>
      </c>
      <c r="F5" s="119">
        <v>0.0</v>
      </c>
      <c r="G5" s="119">
        <v>0.0</v>
      </c>
      <c r="H5" s="120">
        <v>10000.0</v>
      </c>
      <c r="I5" s="120">
        <v>24310.0</v>
      </c>
      <c r="J5" s="121"/>
      <c r="K5" s="133"/>
      <c r="L5" s="133"/>
      <c r="M5" s="120">
        <v>10000.0</v>
      </c>
      <c r="N5" s="120"/>
      <c r="O5" s="120"/>
      <c r="P5" s="120"/>
      <c r="Q5" s="120"/>
      <c r="R5" s="120"/>
      <c r="S5" s="120"/>
      <c r="T5" s="120"/>
      <c r="U5" s="125"/>
      <c r="V5" s="125"/>
      <c r="W5" s="123">
        <f t="shared" si="1"/>
        <v>44310</v>
      </c>
      <c r="X5" s="124">
        <v>0.0</v>
      </c>
      <c r="Y5" s="125"/>
      <c r="Z5" s="126">
        <f t="shared" si="2"/>
        <v>44310</v>
      </c>
      <c r="AA5" s="127" t="s">
        <v>133</v>
      </c>
      <c r="AB5" s="101" t="s">
        <v>131</v>
      </c>
      <c r="AC5" s="128">
        <f t="shared" si="3"/>
        <v>140000</v>
      </c>
      <c r="AD5" s="101"/>
    </row>
    <row r="6" ht="22.5" customHeight="1">
      <c r="A6" s="110">
        <v>211.0</v>
      </c>
      <c r="B6" s="111"/>
      <c r="C6" s="128"/>
      <c r="D6" s="118"/>
      <c r="E6" s="118"/>
      <c r="F6" s="118"/>
      <c r="G6" s="118"/>
      <c r="H6" s="120"/>
      <c r="I6" s="120"/>
      <c r="J6" s="121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5"/>
      <c r="V6" s="125"/>
      <c r="W6" s="123">
        <f t="shared" si="1"/>
        <v>0</v>
      </c>
      <c r="X6" s="124"/>
      <c r="Y6" s="125"/>
      <c r="Z6" s="126">
        <f t="shared" si="2"/>
        <v>0</v>
      </c>
      <c r="AA6" s="127"/>
      <c r="AB6" s="101" t="s">
        <v>131</v>
      </c>
      <c r="AC6" s="128">
        <f t="shared" si="3"/>
        <v>0</v>
      </c>
      <c r="AD6" s="101"/>
    </row>
    <row r="7" ht="22.5" customHeight="1">
      <c r="A7" s="110">
        <v>212.0</v>
      </c>
      <c r="B7" s="111" t="s">
        <v>14</v>
      </c>
      <c r="C7" s="128"/>
      <c r="D7" s="119">
        <v>40000.0</v>
      </c>
      <c r="E7" s="119">
        <v>5000.0</v>
      </c>
      <c r="F7" s="119">
        <v>5000.0</v>
      </c>
      <c r="G7" s="119">
        <v>2000.0</v>
      </c>
      <c r="H7" s="120">
        <v>10000.0</v>
      </c>
      <c r="I7" s="120">
        <v>40700.0</v>
      </c>
      <c r="J7" s="121"/>
      <c r="K7" s="120">
        <v>10890.0</v>
      </c>
      <c r="L7" s="120">
        <v>2190.0</v>
      </c>
      <c r="M7" s="120"/>
      <c r="N7" s="120"/>
      <c r="O7" s="120"/>
      <c r="P7" s="120"/>
      <c r="Q7" s="120">
        <v>8722.0</v>
      </c>
      <c r="R7" s="120"/>
      <c r="S7" s="120"/>
      <c r="T7" s="120"/>
      <c r="U7" s="125"/>
      <c r="V7" s="125"/>
      <c r="W7" s="123">
        <f t="shared" si="1"/>
        <v>124502</v>
      </c>
      <c r="X7" s="118">
        <v>34054.0</v>
      </c>
      <c r="Y7" s="118"/>
      <c r="Z7" s="126">
        <f t="shared" si="2"/>
        <v>158556</v>
      </c>
      <c r="AA7" s="127" t="s">
        <v>132</v>
      </c>
      <c r="AB7" s="101" t="s">
        <v>131</v>
      </c>
      <c r="AC7" s="128">
        <f t="shared" si="3"/>
        <v>0</v>
      </c>
      <c r="AD7" s="101"/>
    </row>
    <row r="8" ht="22.5" customHeight="1">
      <c r="A8" s="110">
        <v>303.0</v>
      </c>
      <c r="B8" s="111" t="s">
        <v>136</v>
      </c>
      <c r="C8" s="128"/>
      <c r="D8" s="119">
        <v>40000.0</v>
      </c>
      <c r="E8" s="119">
        <v>5000.0</v>
      </c>
      <c r="F8" s="119">
        <v>5000.0</v>
      </c>
      <c r="G8" s="119">
        <v>2000.0</v>
      </c>
      <c r="H8" s="120">
        <v>10000.0</v>
      </c>
      <c r="I8" s="120"/>
      <c r="J8" s="121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5"/>
      <c r="V8" s="125"/>
      <c r="W8" s="123">
        <f t="shared" si="1"/>
        <v>62000</v>
      </c>
      <c r="X8" s="118"/>
      <c r="Y8" s="119"/>
      <c r="Z8" s="126">
        <f t="shared" si="2"/>
        <v>62000</v>
      </c>
      <c r="AA8" s="127" t="s">
        <v>137</v>
      </c>
      <c r="AB8" s="101" t="s">
        <v>131</v>
      </c>
      <c r="AC8" s="128">
        <f t="shared" si="3"/>
        <v>0</v>
      </c>
      <c r="AD8" s="101"/>
    </row>
    <row r="9" ht="22.5" customHeight="1">
      <c r="A9" s="110">
        <v>401.0</v>
      </c>
      <c r="B9" s="111"/>
      <c r="C9" s="128"/>
      <c r="D9" s="118"/>
      <c r="E9" s="118"/>
      <c r="F9" s="118"/>
      <c r="G9" s="118"/>
      <c r="H9" s="120"/>
      <c r="I9" s="120"/>
      <c r="J9" s="121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5"/>
      <c r="V9" s="125"/>
      <c r="W9" s="123">
        <f t="shared" si="1"/>
        <v>0</v>
      </c>
      <c r="X9" s="131"/>
      <c r="Y9" s="125"/>
      <c r="Z9" s="126">
        <f t="shared" si="2"/>
        <v>0</v>
      </c>
      <c r="AA9" s="127"/>
      <c r="AB9" s="101" t="s">
        <v>131</v>
      </c>
      <c r="AC9" s="128">
        <f t="shared" si="3"/>
        <v>0</v>
      </c>
      <c r="AD9" s="101"/>
    </row>
    <row r="10" ht="22.5" customHeight="1">
      <c r="A10" s="110">
        <v>402.0</v>
      </c>
      <c r="B10" s="111" t="s">
        <v>12</v>
      </c>
      <c r="C10" s="132"/>
      <c r="D10" s="119">
        <v>40000.0</v>
      </c>
      <c r="E10" s="119">
        <v>5000.0</v>
      </c>
      <c r="F10" s="119">
        <v>5000.0</v>
      </c>
      <c r="G10" s="119">
        <v>2000.0</v>
      </c>
      <c r="H10" s="120">
        <v>10000.0</v>
      </c>
      <c r="I10" s="120">
        <v>42900.0</v>
      </c>
      <c r="J10" s="121">
        <v>-52648.0</v>
      </c>
      <c r="K10" s="120">
        <v>16350.0</v>
      </c>
      <c r="L10" s="120">
        <v>2190.0</v>
      </c>
      <c r="M10" s="120"/>
      <c r="N10" s="120"/>
      <c r="O10" s="120">
        <v>7517.0</v>
      </c>
      <c r="P10" s="120"/>
      <c r="Q10" s="120">
        <v>4892.0</v>
      </c>
      <c r="R10" s="120"/>
      <c r="S10" s="120"/>
      <c r="T10" s="120"/>
      <c r="U10" s="125"/>
      <c r="V10" s="125"/>
      <c r="W10" s="123">
        <f t="shared" si="1"/>
        <v>83201</v>
      </c>
      <c r="X10" s="125">
        <v>21799.0</v>
      </c>
      <c r="Y10" s="125"/>
      <c r="Z10" s="126">
        <f t="shared" si="2"/>
        <v>105000</v>
      </c>
      <c r="AA10" s="127">
        <v>105000.0</v>
      </c>
      <c r="AB10" s="101" t="s">
        <v>131</v>
      </c>
      <c r="AC10" s="128">
        <f t="shared" si="3"/>
        <v>0</v>
      </c>
      <c r="AD10" s="101"/>
    </row>
    <row r="11" ht="22.5" customHeight="1">
      <c r="A11" s="110">
        <v>403.0</v>
      </c>
      <c r="B11" s="111" t="s">
        <v>23</v>
      </c>
      <c r="C11" s="132">
        <v>120000.0</v>
      </c>
      <c r="D11" s="119">
        <v>40000.0</v>
      </c>
      <c r="E11" s="119">
        <v>5000.0</v>
      </c>
      <c r="F11" s="119">
        <v>5000.0</v>
      </c>
      <c r="G11" s="119">
        <v>2000.0</v>
      </c>
      <c r="H11" s="120">
        <v>10000.0</v>
      </c>
      <c r="I11" s="120"/>
      <c r="J11" s="121">
        <v>-72000.0</v>
      </c>
      <c r="K11" s="120"/>
      <c r="L11" s="120"/>
      <c r="M11" s="120">
        <v>10000.0</v>
      </c>
      <c r="N11" s="120"/>
      <c r="O11" s="120"/>
      <c r="P11" s="120"/>
      <c r="Q11" s="125"/>
      <c r="R11" s="120"/>
      <c r="S11" s="120"/>
      <c r="T11" s="120"/>
      <c r="U11" s="125"/>
      <c r="V11" s="125"/>
      <c r="W11" s="123">
        <f t="shared" si="1"/>
        <v>0</v>
      </c>
      <c r="X11" s="131"/>
      <c r="Y11" s="125"/>
      <c r="Z11" s="126">
        <f t="shared" si="2"/>
        <v>0</v>
      </c>
      <c r="AA11" s="127" t="s">
        <v>134</v>
      </c>
      <c r="AB11" s="101" t="s">
        <v>131</v>
      </c>
      <c r="AC11" s="128">
        <f t="shared" si="3"/>
        <v>110000</v>
      </c>
      <c r="AD11" s="101" t="s">
        <v>135</v>
      </c>
    </row>
    <row r="12" ht="22.5" customHeight="1">
      <c r="A12" s="110">
        <v>405.0</v>
      </c>
      <c r="B12" s="111" t="s">
        <v>25</v>
      </c>
      <c r="C12" s="132"/>
      <c r="D12" s="119">
        <v>40000.0</v>
      </c>
      <c r="E12" s="119">
        <v>5000.0</v>
      </c>
      <c r="F12" s="119">
        <v>5000.0</v>
      </c>
      <c r="G12" s="119">
        <v>2000.0</v>
      </c>
      <c r="H12" s="120"/>
      <c r="I12" s="120">
        <v>42900.0</v>
      </c>
      <c r="J12" s="121"/>
      <c r="K12" s="133"/>
      <c r="L12" s="133"/>
      <c r="M12" s="120"/>
      <c r="N12" s="120"/>
      <c r="O12" s="120"/>
      <c r="P12" s="120"/>
      <c r="Q12" s="120"/>
      <c r="R12" s="120"/>
      <c r="S12" s="120"/>
      <c r="T12" s="120"/>
      <c r="U12" s="125"/>
      <c r="V12" s="125"/>
      <c r="W12" s="123">
        <f t="shared" si="1"/>
        <v>94900</v>
      </c>
      <c r="X12" s="125">
        <v>14534.0</v>
      </c>
      <c r="Y12" s="125"/>
      <c r="Z12" s="126">
        <f t="shared" si="2"/>
        <v>109434</v>
      </c>
      <c r="AA12" s="127"/>
      <c r="AB12" s="101" t="s">
        <v>131</v>
      </c>
      <c r="AC12" s="128">
        <f t="shared" si="3"/>
        <v>0</v>
      </c>
      <c r="AD12" s="101"/>
    </row>
    <row r="13" ht="22.5" customHeight="1">
      <c r="A13" s="110">
        <v>406.0</v>
      </c>
      <c r="B13" s="111"/>
      <c r="C13" s="132"/>
      <c r="D13" s="118"/>
      <c r="E13" s="118"/>
      <c r="F13" s="118"/>
      <c r="G13" s="118"/>
      <c r="H13" s="120"/>
      <c r="I13" s="120"/>
      <c r="J13" s="121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5"/>
      <c r="V13" s="125"/>
      <c r="W13" s="123">
        <f t="shared" si="1"/>
        <v>0</v>
      </c>
      <c r="X13" s="125"/>
      <c r="Y13" s="125"/>
      <c r="Z13" s="126">
        <f t="shared" si="2"/>
        <v>0</v>
      </c>
      <c r="AA13" s="127"/>
      <c r="AB13" s="101" t="s">
        <v>131</v>
      </c>
      <c r="AC13" s="128">
        <f t="shared" si="3"/>
        <v>0</v>
      </c>
      <c r="AD13" s="101"/>
    </row>
    <row r="14" ht="22.5" customHeight="1">
      <c r="A14" s="110">
        <v>407.0</v>
      </c>
      <c r="B14" s="111" t="s">
        <v>28</v>
      </c>
      <c r="C14" s="132"/>
      <c r="D14" s="119">
        <v>40000.0</v>
      </c>
      <c r="E14" s="119">
        <v>5000.0</v>
      </c>
      <c r="F14" s="119">
        <v>5000.0</v>
      </c>
      <c r="G14" s="119">
        <v>2000.0</v>
      </c>
      <c r="H14" s="120">
        <v>10000.0</v>
      </c>
      <c r="I14" s="120">
        <v>37950.0</v>
      </c>
      <c r="J14" s="121">
        <v>-34911.0</v>
      </c>
      <c r="K14" s="120">
        <v>7260.0</v>
      </c>
      <c r="L14" s="120">
        <v>2190.0</v>
      </c>
      <c r="M14" s="120"/>
      <c r="N14" s="120"/>
      <c r="O14" s="120"/>
      <c r="P14" s="120"/>
      <c r="Q14" s="120"/>
      <c r="R14" s="120"/>
      <c r="S14" s="120"/>
      <c r="T14" s="120"/>
      <c r="U14" s="125"/>
      <c r="V14" s="125"/>
      <c r="W14" s="123">
        <f t="shared" si="1"/>
        <v>74489</v>
      </c>
      <c r="X14" s="125">
        <v>25511.0</v>
      </c>
      <c r="Y14" s="125"/>
      <c r="Z14" s="126">
        <f t="shared" si="2"/>
        <v>100000</v>
      </c>
      <c r="AA14" s="127">
        <v>100000.0</v>
      </c>
      <c r="AB14" s="101" t="s">
        <v>131</v>
      </c>
      <c r="AC14" s="128">
        <f t="shared" si="3"/>
        <v>0</v>
      </c>
      <c r="AD14" s="134"/>
      <c r="AE14" s="135"/>
      <c r="AF14" s="135"/>
      <c r="AG14" s="135"/>
      <c r="AH14" s="135"/>
      <c r="AI14" s="135"/>
      <c r="AJ14" s="135"/>
    </row>
    <row r="15" ht="22.5" customHeight="1">
      <c r="A15" s="110">
        <v>408.0</v>
      </c>
      <c r="B15" s="111"/>
      <c r="C15" s="132"/>
      <c r="D15" s="125"/>
      <c r="E15" s="125"/>
      <c r="F15" s="125"/>
      <c r="G15" s="125"/>
      <c r="H15" s="120"/>
      <c r="I15" s="120"/>
      <c r="J15" s="121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5"/>
      <c r="V15" s="125"/>
      <c r="W15" s="123">
        <f t="shared" si="1"/>
        <v>0</v>
      </c>
      <c r="X15" s="125"/>
      <c r="Y15" s="125"/>
      <c r="Z15" s="126">
        <f t="shared" si="2"/>
        <v>0</v>
      </c>
      <c r="AA15" s="136"/>
      <c r="AB15" s="101" t="s">
        <v>131</v>
      </c>
      <c r="AC15" s="128">
        <f t="shared" si="3"/>
        <v>0</v>
      </c>
      <c r="AD15" s="134"/>
      <c r="AE15" s="135"/>
      <c r="AF15" s="135"/>
      <c r="AG15" s="135"/>
      <c r="AH15" s="135"/>
      <c r="AI15" s="135"/>
      <c r="AJ15" s="135"/>
    </row>
    <row r="16" ht="22.5" customHeight="1">
      <c r="A16" s="110"/>
      <c r="B16" s="111"/>
      <c r="C16" s="132"/>
      <c r="D16" s="125"/>
      <c r="E16" s="125"/>
      <c r="F16" s="125"/>
      <c r="G16" s="125"/>
      <c r="H16" s="120"/>
      <c r="I16" s="120"/>
      <c r="J16" s="121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5"/>
      <c r="V16" s="125"/>
      <c r="W16" s="123">
        <f t="shared" si="1"/>
        <v>0</v>
      </c>
      <c r="X16" s="125"/>
      <c r="Y16" s="125"/>
      <c r="Z16" s="126">
        <f t="shared" si="2"/>
        <v>0</v>
      </c>
      <c r="AA16" s="136"/>
      <c r="AB16" s="101" t="s">
        <v>131</v>
      </c>
      <c r="AC16" s="128">
        <f t="shared" si="3"/>
        <v>0</v>
      </c>
      <c r="AD16" s="134"/>
      <c r="AE16" s="135"/>
      <c r="AF16" s="135"/>
      <c r="AG16" s="135"/>
      <c r="AH16" s="135"/>
      <c r="AI16" s="135"/>
      <c r="AJ16" s="135"/>
    </row>
    <row r="17" ht="22.5" customHeight="1">
      <c r="A17" s="110">
        <v>601.0</v>
      </c>
      <c r="B17" s="111" t="s">
        <v>34</v>
      </c>
      <c r="C17" s="132">
        <v>134000.0</v>
      </c>
      <c r="D17" s="119">
        <v>40000.0</v>
      </c>
      <c r="E17" s="119">
        <v>5000.0</v>
      </c>
      <c r="F17" s="119">
        <v>5000.0</v>
      </c>
      <c r="G17" s="119">
        <v>2000.0</v>
      </c>
      <c r="H17" s="120">
        <v>10000.0</v>
      </c>
      <c r="I17" s="120">
        <v>40700.0</v>
      </c>
      <c r="J17" s="121">
        <v>-62811.0</v>
      </c>
      <c r="K17" s="120">
        <v>7260.0</v>
      </c>
      <c r="L17" s="120">
        <v>4350.0</v>
      </c>
      <c r="M17" s="120"/>
      <c r="N17" s="120"/>
      <c r="O17" s="120">
        <v>8013.0</v>
      </c>
      <c r="P17" s="120"/>
      <c r="Q17" s="120">
        <v>4592.0</v>
      </c>
      <c r="R17" s="120"/>
      <c r="S17" s="120"/>
      <c r="T17" s="120"/>
      <c r="U17" s="125"/>
      <c r="V17" s="125"/>
      <c r="W17" s="123">
        <f t="shared" si="1"/>
        <v>64104</v>
      </c>
      <c r="X17" s="125">
        <v>35896.0</v>
      </c>
      <c r="Y17" s="125"/>
      <c r="Z17" s="126">
        <f t="shared" si="2"/>
        <v>100000</v>
      </c>
      <c r="AA17" s="127">
        <v>100000.0</v>
      </c>
      <c r="AB17" s="101" t="s">
        <v>131</v>
      </c>
      <c r="AC17" s="128">
        <f t="shared" si="3"/>
        <v>134000</v>
      </c>
      <c r="AD17" s="134"/>
      <c r="AE17" s="135"/>
      <c r="AF17" s="135"/>
      <c r="AG17" s="135"/>
      <c r="AH17" s="135"/>
      <c r="AI17" s="135"/>
      <c r="AJ17" s="135"/>
    </row>
    <row r="18" ht="22.5" customHeight="1">
      <c r="A18" s="110">
        <v>608.0</v>
      </c>
      <c r="B18" s="111" t="s">
        <v>36</v>
      </c>
      <c r="C18" s="132"/>
      <c r="D18" s="125">
        <v>40000.0</v>
      </c>
      <c r="E18" s="125">
        <v>5000.0</v>
      </c>
      <c r="F18" s="125">
        <v>5000.0</v>
      </c>
      <c r="G18" s="125">
        <v>2000.0</v>
      </c>
      <c r="H18" s="120">
        <v>10000.0</v>
      </c>
      <c r="I18" s="120"/>
      <c r="J18" s="121"/>
      <c r="K18" s="133"/>
      <c r="L18" s="133"/>
      <c r="M18" s="120"/>
      <c r="N18" s="120"/>
      <c r="O18" s="120"/>
      <c r="P18" s="120"/>
      <c r="Q18" s="120"/>
      <c r="R18" s="120"/>
      <c r="S18" s="120"/>
      <c r="T18" s="120"/>
      <c r="U18" s="125"/>
      <c r="V18" s="125"/>
      <c r="W18" s="123">
        <f t="shared" si="1"/>
        <v>62000</v>
      </c>
      <c r="X18" s="125">
        <v>0.0</v>
      </c>
      <c r="Y18" s="125"/>
      <c r="Z18" s="126">
        <f t="shared" si="2"/>
        <v>62000</v>
      </c>
      <c r="AA18" s="136">
        <v>62000.0</v>
      </c>
      <c r="AB18" s="101" t="s">
        <v>131</v>
      </c>
      <c r="AC18" s="128">
        <f t="shared" si="3"/>
        <v>0</v>
      </c>
      <c r="AD18" s="134"/>
      <c r="AE18" s="135"/>
      <c r="AF18" s="135"/>
      <c r="AG18" s="135"/>
      <c r="AH18" s="135"/>
      <c r="AI18" s="135"/>
      <c r="AJ18" s="135"/>
    </row>
    <row r="19" ht="22.5" customHeight="1">
      <c r="A19" s="110">
        <v>703.0</v>
      </c>
      <c r="B19" s="111" t="s">
        <v>38</v>
      </c>
      <c r="C19" s="132"/>
      <c r="D19" s="119">
        <v>40000.0</v>
      </c>
      <c r="E19" s="119">
        <v>5000.0</v>
      </c>
      <c r="F19" s="119">
        <v>5000.0</v>
      </c>
      <c r="G19" s="119">
        <v>2000.0</v>
      </c>
      <c r="H19" s="120">
        <v>10000.0</v>
      </c>
      <c r="I19" s="120">
        <v>42900.0</v>
      </c>
      <c r="J19" s="121">
        <v>-112450.0</v>
      </c>
      <c r="K19" s="120">
        <v>27240.0</v>
      </c>
      <c r="L19" s="120">
        <v>4350.0</v>
      </c>
      <c r="M19" s="120"/>
      <c r="N19" s="120"/>
      <c r="O19" s="120">
        <v>13305.0</v>
      </c>
      <c r="P19" s="120"/>
      <c r="Q19" s="120">
        <v>14136.0</v>
      </c>
      <c r="R19" s="120"/>
      <c r="S19" s="120"/>
      <c r="T19" s="120"/>
      <c r="U19" s="125"/>
      <c r="V19" s="125"/>
      <c r="W19" s="123">
        <f t="shared" si="1"/>
        <v>51481</v>
      </c>
      <c r="X19" s="125">
        <v>23519.0</v>
      </c>
      <c r="Y19" s="125">
        <v>5000.0</v>
      </c>
      <c r="Z19" s="126">
        <f t="shared" si="2"/>
        <v>80000</v>
      </c>
      <c r="AA19" s="127">
        <v>80000.0</v>
      </c>
      <c r="AB19" s="101" t="s">
        <v>131</v>
      </c>
      <c r="AC19" s="128">
        <f t="shared" si="3"/>
        <v>0</v>
      </c>
      <c r="AD19" s="134"/>
      <c r="AE19" s="135"/>
      <c r="AF19" s="135"/>
      <c r="AG19" s="135"/>
      <c r="AH19" s="135"/>
      <c r="AI19" s="135"/>
      <c r="AJ19" s="135"/>
    </row>
    <row r="20" ht="22.5" customHeight="1">
      <c r="A20" s="110">
        <v>715.0</v>
      </c>
      <c r="B20" s="111" t="s">
        <v>39</v>
      </c>
      <c r="C20" s="132"/>
      <c r="D20" s="119">
        <v>40000.0</v>
      </c>
      <c r="E20" s="119">
        <v>5000.0</v>
      </c>
      <c r="F20" s="119">
        <v>5000.0</v>
      </c>
      <c r="G20" s="119">
        <v>2000.0</v>
      </c>
      <c r="H20" s="120">
        <v>10000.0</v>
      </c>
      <c r="I20" s="120">
        <v>42900.0</v>
      </c>
      <c r="J20" s="121"/>
      <c r="K20" s="120"/>
      <c r="L20" s="141">
        <v>2190.0</v>
      </c>
      <c r="M20" s="120"/>
      <c r="N20" s="120"/>
      <c r="O20" s="120"/>
      <c r="P20" s="120"/>
      <c r="Q20" s="120">
        <v>50.0</v>
      </c>
      <c r="R20" s="120"/>
      <c r="S20" s="120"/>
      <c r="T20" s="120"/>
      <c r="U20" s="125"/>
      <c r="V20" s="125"/>
      <c r="W20" s="123">
        <f t="shared" si="1"/>
        <v>107140</v>
      </c>
      <c r="X20" s="125">
        <v>0.0</v>
      </c>
      <c r="Y20" s="125"/>
      <c r="Z20" s="126">
        <f t="shared" si="2"/>
        <v>107140</v>
      </c>
      <c r="AA20" s="127">
        <v>116000.0</v>
      </c>
      <c r="AB20" s="101" t="s">
        <v>131</v>
      </c>
      <c r="AC20" s="128">
        <f t="shared" si="3"/>
        <v>0</v>
      </c>
      <c r="AD20" s="134"/>
      <c r="AE20" s="135"/>
      <c r="AF20" s="135"/>
      <c r="AG20" s="135"/>
      <c r="AH20" s="135"/>
      <c r="AI20" s="135"/>
      <c r="AJ20" s="135"/>
    </row>
    <row r="21" ht="22.5" customHeight="1">
      <c r="A21" s="110">
        <v>716.0</v>
      </c>
      <c r="B21" s="111" t="s">
        <v>40</v>
      </c>
      <c r="C21" s="132"/>
      <c r="D21" s="119">
        <v>40000.0</v>
      </c>
      <c r="E21" s="119">
        <v>5000.0</v>
      </c>
      <c r="F21" s="119">
        <v>5000.0</v>
      </c>
      <c r="G21" s="119">
        <v>2000.0</v>
      </c>
      <c r="H21" s="120">
        <v>0.0</v>
      </c>
      <c r="I21" s="120"/>
      <c r="J21" s="121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5"/>
      <c r="V21" s="125"/>
      <c r="W21" s="123">
        <f t="shared" si="1"/>
        <v>52000</v>
      </c>
      <c r="X21" s="125">
        <v>0.0</v>
      </c>
      <c r="Y21" s="125"/>
      <c r="Z21" s="126">
        <f t="shared" si="2"/>
        <v>52000</v>
      </c>
      <c r="AA21" s="127" t="s">
        <v>132</v>
      </c>
      <c r="AB21" s="101" t="s">
        <v>131</v>
      </c>
      <c r="AC21" s="128">
        <f t="shared" si="3"/>
        <v>0</v>
      </c>
      <c r="AD21" s="134"/>
      <c r="AE21" s="135"/>
      <c r="AF21" s="135"/>
      <c r="AG21" s="135"/>
      <c r="AH21" s="135"/>
      <c r="AI21" s="135"/>
      <c r="AJ21" s="135"/>
    </row>
    <row r="22" ht="22.5" hidden="1" customHeight="1">
      <c r="A22" s="110" t="str">
        <f>'利用者'!A30</f>
        <v/>
      </c>
      <c r="B22" s="111" t="str">
        <f>'利用者'!B30</f>
        <v/>
      </c>
      <c r="C22" s="132"/>
      <c r="D22" s="125"/>
      <c r="E22" s="125"/>
      <c r="F22" s="125"/>
      <c r="G22" s="125"/>
      <c r="H22" s="120"/>
      <c r="I22" s="120"/>
      <c r="J22" s="121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5"/>
      <c r="V22" s="125"/>
      <c r="W22" s="123">
        <f t="shared" si="1"/>
        <v>0</v>
      </c>
      <c r="X22" s="125"/>
      <c r="Y22" s="125"/>
      <c r="Z22" s="126">
        <f t="shared" si="2"/>
        <v>0</v>
      </c>
      <c r="AA22" s="136"/>
      <c r="AB22" s="101" t="s">
        <v>131</v>
      </c>
      <c r="AC22" s="128">
        <f t="shared" si="3"/>
        <v>0</v>
      </c>
      <c r="AD22" s="134"/>
      <c r="AE22" s="135"/>
      <c r="AF22" s="135"/>
      <c r="AG22" s="135"/>
      <c r="AH22" s="135"/>
      <c r="AI22" s="135"/>
      <c r="AJ22" s="135"/>
    </row>
    <row r="23" ht="22.5" hidden="1" customHeight="1">
      <c r="A23" s="110" t="str">
        <f>'利用者'!A31</f>
        <v/>
      </c>
      <c r="B23" s="111" t="str">
        <f>'利用者'!B31</f>
        <v/>
      </c>
      <c r="C23" s="132"/>
      <c r="D23" s="125"/>
      <c r="E23" s="125"/>
      <c r="F23" s="125"/>
      <c r="G23" s="125"/>
      <c r="H23" s="120"/>
      <c r="I23" s="120"/>
      <c r="J23" s="121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5"/>
      <c r="V23" s="125"/>
      <c r="W23" s="123">
        <f t="shared" si="1"/>
        <v>0</v>
      </c>
      <c r="X23" s="125"/>
      <c r="Y23" s="125"/>
      <c r="Z23" s="126">
        <f t="shared" si="2"/>
        <v>0</v>
      </c>
      <c r="AA23" s="136"/>
      <c r="AB23" s="101" t="s">
        <v>131</v>
      </c>
      <c r="AC23" s="128">
        <f t="shared" si="3"/>
        <v>0</v>
      </c>
      <c r="AD23" s="134"/>
      <c r="AE23" s="135"/>
      <c r="AF23" s="135"/>
      <c r="AG23" s="135"/>
      <c r="AH23" s="135"/>
      <c r="AI23" s="135"/>
      <c r="AJ23" s="135"/>
    </row>
    <row r="24" ht="22.5" hidden="1" customHeight="1">
      <c r="A24" s="110" t="str">
        <f>'利用者'!A32</f>
        <v/>
      </c>
      <c r="B24" s="111" t="str">
        <f>'利用者'!B32</f>
        <v/>
      </c>
      <c r="C24" s="132"/>
      <c r="D24" s="125"/>
      <c r="E24" s="125"/>
      <c r="F24" s="125"/>
      <c r="G24" s="125"/>
      <c r="H24" s="120"/>
      <c r="I24" s="120"/>
      <c r="J24" s="121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5"/>
      <c r="V24" s="125"/>
      <c r="W24" s="123">
        <f t="shared" si="1"/>
        <v>0</v>
      </c>
      <c r="X24" s="125"/>
      <c r="Y24" s="125"/>
      <c r="Z24" s="126">
        <f t="shared" si="2"/>
        <v>0</v>
      </c>
      <c r="AA24" s="136"/>
      <c r="AB24" s="101" t="s">
        <v>131</v>
      </c>
      <c r="AC24" s="128">
        <f t="shared" si="3"/>
        <v>0</v>
      </c>
      <c r="AD24" s="134"/>
      <c r="AE24" s="135"/>
      <c r="AF24" s="135"/>
      <c r="AG24" s="135"/>
      <c r="AH24" s="135"/>
      <c r="AI24" s="135"/>
      <c r="AJ24" s="135"/>
    </row>
    <row r="25" ht="22.5" hidden="1" customHeight="1">
      <c r="A25" s="110" t="str">
        <f>'利用者'!A33</f>
        <v/>
      </c>
      <c r="B25" s="111" t="str">
        <f>'利用者'!B33</f>
        <v/>
      </c>
      <c r="C25" s="132"/>
      <c r="D25" s="125"/>
      <c r="E25" s="125"/>
      <c r="F25" s="125"/>
      <c r="G25" s="125"/>
      <c r="H25" s="120"/>
      <c r="I25" s="120"/>
      <c r="J25" s="121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5"/>
      <c r="V25" s="125"/>
      <c r="W25" s="123">
        <f t="shared" si="1"/>
        <v>0</v>
      </c>
      <c r="X25" s="125"/>
      <c r="Y25" s="125"/>
      <c r="Z25" s="126">
        <f t="shared" si="2"/>
        <v>0</v>
      </c>
      <c r="AA25" s="136"/>
      <c r="AB25" s="101" t="s">
        <v>131</v>
      </c>
      <c r="AC25" s="128">
        <f t="shared" si="3"/>
        <v>0</v>
      </c>
      <c r="AD25" s="134"/>
      <c r="AE25" s="135"/>
      <c r="AF25" s="135"/>
      <c r="AG25" s="135"/>
      <c r="AH25" s="135"/>
      <c r="AI25" s="135"/>
      <c r="AJ25" s="135"/>
    </row>
    <row r="26" ht="22.5" hidden="1" customHeight="1">
      <c r="A26" s="110" t="str">
        <f>'利用者'!A34</f>
        <v/>
      </c>
      <c r="B26" s="111" t="str">
        <f>'利用者'!B34</f>
        <v/>
      </c>
      <c r="C26" s="132"/>
      <c r="D26" s="125"/>
      <c r="E26" s="125"/>
      <c r="F26" s="125"/>
      <c r="G26" s="125"/>
      <c r="H26" s="120"/>
      <c r="I26" s="120"/>
      <c r="J26" s="121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5"/>
      <c r="V26" s="125"/>
      <c r="W26" s="123">
        <f t="shared" si="1"/>
        <v>0</v>
      </c>
      <c r="X26" s="125"/>
      <c r="Y26" s="125"/>
      <c r="Z26" s="126">
        <f t="shared" si="2"/>
        <v>0</v>
      </c>
      <c r="AA26" s="136"/>
      <c r="AB26" s="101" t="s">
        <v>131</v>
      </c>
      <c r="AC26" s="128">
        <f t="shared" si="3"/>
        <v>0</v>
      </c>
      <c r="AD26" s="134"/>
      <c r="AE26" s="135"/>
      <c r="AF26" s="135"/>
      <c r="AG26" s="135"/>
      <c r="AH26" s="135"/>
      <c r="AI26" s="135"/>
      <c r="AJ26" s="135"/>
    </row>
    <row r="27" ht="22.5" hidden="1" customHeight="1">
      <c r="A27" s="110" t="str">
        <f>'利用者'!A35</f>
        <v/>
      </c>
      <c r="B27" s="111" t="str">
        <f>'利用者'!B35</f>
        <v/>
      </c>
      <c r="C27" s="132"/>
      <c r="D27" s="125"/>
      <c r="E27" s="125"/>
      <c r="F27" s="125"/>
      <c r="G27" s="125"/>
      <c r="H27" s="120"/>
      <c r="I27" s="120"/>
      <c r="J27" s="121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5"/>
      <c r="V27" s="125"/>
      <c r="W27" s="123">
        <f t="shared" si="1"/>
        <v>0</v>
      </c>
      <c r="X27" s="125"/>
      <c r="Y27" s="125"/>
      <c r="Z27" s="126">
        <f t="shared" si="2"/>
        <v>0</v>
      </c>
      <c r="AA27" s="136"/>
      <c r="AB27" s="101" t="s">
        <v>131</v>
      </c>
      <c r="AC27" s="128">
        <f t="shared" si="3"/>
        <v>0</v>
      </c>
      <c r="AD27" s="134"/>
      <c r="AE27" s="135"/>
      <c r="AF27" s="135"/>
      <c r="AG27" s="135"/>
      <c r="AH27" s="135"/>
      <c r="AI27" s="135"/>
      <c r="AJ27" s="135"/>
    </row>
    <row r="28" ht="22.5" hidden="1" customHeight="1">
      <c r="A28" s="110" t="str">
        <f>'利用者'!A36</f>
        <v/>
      </c>
      <c r="B28" s="111" t="str">
        <f>'利用者'!B36</f>
        <v/>
      </c>
      <c r="C28" s="132"/>
      <c r="D28" s="125"/>
      <c r="E28" s="125"/>
      <c r="F28" s="125"/>
      <c r="G28" s="125"/>
      <c r="H28" s="120"/>
      <c r="I28" s="120"/>
      <c r="J28" s="121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5"/>
      <c r="V28" s="125"/>
      <c r="W28" s="123">
        <f t="shared" si="1"/>
        <v>0</v>
      </c>
      <c r="X28" s="125"/>
      <c r="Y28" s="125"/>
      <c r="Z28" s="126">
        <f t="shared" si="2"/>
        <v>0</v>
      </c>
      <c r="AA28" s="136"/>
      <c r="AB28" s="101" t="s">
        <v>131</v>
      </c>
      <c r="AC28" s="128">
        <f t="shared" si="3"/>
        <v>0</v>
      </c>
      <c r="AD28" s="134"/>
      <c r="AE28" s="135"/>
      <c r="AF28" s="135"/>
      <c r="AG28" s="135"/>
      <c r="AH28" s="135"/>
      <c r="AI28" s="135"/>
      <c r="AJ28" s="135"/>
    </row>
    <row r="29" ht="22.5" hidden="1" customHeight="1">
      <c r="A29" s="110" t="str">
        <f>'利用者'!A37</f>
        <v/>
      </c>
      <c r="B29" s="111" t="str">
        <f>'利用者'!B37</f>
        <v/>
      </c>
      <c r="C29" s="132"/>
      <c r="D29" s="125"/>
      <c r="E29" s="125"/>
      <c r="F29" s="125"/>
      <c r="G29" s="125"/>
      <c r="H29" s="120"/>
      <c r="I29" s="120"/>
      <c r="J29" s="121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5"/>
      <c r="V29" s="125"/>
      <c r="W29" s="123">
        <f t="shared" si="1"/>
        <v>0</v>
      </c>
      <c r="X29" s="125"/>
      <c r="Y29" s="125"/>
      <c r="Z29" s="126">
        <f t="shared" si="2"/>
        <v>0</v>
      </c>
      <c r="AA29" s="136"/>
      <c r="AB29" s="101" t="s">
        <v>131</v>
      </c>
      <c r="AC29" s="128">
        <f t="shared" si="3"/>
        <v>0</v>
      </c>
      <c r="AD29" s="134"/>
      <c r="AE29" s="135"/>
      <c r="AF29" s="135"/>
      <c r="AG29" s="135"/>
      <c r="AH29" s="135"/>
      <c r="AI29" s="135"/>
      <c r="AJ29" s="135"/>
    </row>
    <row r="30" ht="22.5" hidden="1" customHeight="1">
      <c r="A30" s="110" t="str">
        <f>'利用者'!A38</f>
        <v/>
      </c>
      <c r="B30" s="111" t="str">
        <f>'利用者'!B38</f>
        <v/>
      </c>
      <c r="C30" s="132"/>
      <c r="D30" s="125"/>
      <c r="E30" s="125"/>
      <c r="F30" s="125"/>
      <c r="G30" s="125"/>
      <c r="H30" s="120"/>
      <c r="I30" s="120"/>
      <c r="J30" s="12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5"/>
      <c r="V30" s="125"/>
      <c r="W30" s="123">
        <f t="shared" si="1"/>
        <v>0</v>
      </c>
      <c r="X30" s="125"/>
      <c r="Y30" s="125"/>
      <c r="Z30" s="126">
        <f t="shared" si="2"/>
        <v>0</v>
      </c>
      <c r="AA30" s="136"/>
      <c r="AB30" s="101" t="s">
        <v>131</v>
      </c>
      <c r="AC30" s="128">
        <f t="shared" si="3"/>
        <v>0</v>
      </c>
      <c r="AD30" s="134"/>
      <c r="AE30" s="135"/>
      <c r="AF30" s="135"/>
      <c r="AG30" s="135"/>
      <c r="AH30" s="135"/>
      <c r="AI30" s="135"/>
      <c r="AJ30" s="135"/>
    </row>
    <row r="31" ht="22.5" hidden="1" customHeight="1">
      <c r="A31" s="110" t="str">
        <f>'利用者'!A39</f>
        <v/>
      </c>
      <c r="B31" s="111" t="str">
        <f>'利用者'!B39</f>
        <v/>
      </c>
      <c r="C31" s="132"/>
      <c r="D31" s="125"/>
      <c r="E31" s="125"/>
      <c r="F31" s="125"/>
      <c r="G31" s="125"/>
      <c r="H31" s="120"/>
      <c r="I31" s="120"/>
      <c r="J31" s="121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5"/>
      <c r="V31" s="125"/>
      <c r="W31" s="123">
        <f t="shared" si="1"/>
        <v>0</v>
      </c>
      <c r="X31" s="125"/>
      <c r="Y31" s="125"/>
      <c r="Z31" s="126">
        <f t="shared" si="2"/>
        <v>0</v>
      </c>
      <c r="AA31" s="136"/>
      <c r="AB31" s="101" t="s">
        <v>131</v>
      </c>
      <c r="AC31" s="128">
        <f t="shared" si="3"/>
        <v>0</v>
      </c>
      <c r="AD31" s="134"/>
      <c r="AE31" s="135"/>
      <c r="AF31" s="135"/>
      <c r="AG31" s="135"/>
      <c r="AH31" s="135"/>
      <c r="AI31" s="135"/>
      <c r="AJ31" s="135"/>
    </row>
    <row r="32" ht="22.5" hidden="1" customHeight="1">
      <c r="A32" s="110" t="str">
        <f>'利用者'!A40</f>
        <v/>
      </c>
      <c r="B32" s="111" t="str">
        <f>'利用者'!B40</f>
        <v/>
      </c>
      <c r="C32" s="132"/>
      <c r="D32" s="125"/>
      <c r="E32" s="125"/>
      <c r="F32" s="125"/>
      <c r="G32" s="125"/>
      <c r="H32" s="120"/>
      <c r="I32" s="120"/>
      <c r="J32" s="121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5"/>
      <c r="V32" s="125"/>
      <c r="W32" s="123">
        <f t="shared" si="1"/>
        <v>0</v>
      </c>
      <c r="X32" s="125"/>
      <c r="Y32" s="125"/>
      <c r="Z32" s="126">
        <f t="shared" si="2"/>
        <v>0</v>
      </c>
      <c r="AA32" s="136"/>
      <c r="AB32" s="101" t="s">
        <v>131</v>
      </c>
      <c r="AC32" s="128">
        <f t="shared" si="3"/>
        <v>0</v>
      </c>
      <c r="AD32" s="134"/>
      <c r="AE32" s="135"/>
      <c r="AF32" s="135"/>
      <c r="AG32" s="135"/>
      <c r="AH32" s="135"/>
      <c r="AI32" s="135"/>
      <c r="AJ32" s="135"/>
    </row>
    <row r="33" ht="22.5" hidden="1" customHeight="1">
      <c r="A33" s="110" t="str">
        <f>'利用者'!A41</f>
        <v/>
      </c>
      <c r="B33" s="111" t="str">
        <f>'利用者'!B41</f>
        <v/>
      </c>
      <c r="C33" s="132"/>
      <c r="D33" s="125"/>
      <c r="E33" s="125"/>
      <c r="F33" s="125"/>
      <c r="G33" s="125"/>
      <c r="H33" s="120"/>
      <c r="I33" s="120"/>
      <c r="J33" s="121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5"/>
      <c r="V33" s="125"/>
      <c r="W33" s="123">
        <f t="shared" si="1"/>
        <v>0</v>
      </c>
      <c r="X33" s="125"/>
      <c r="Y33" s="125"/>
      <c r="Z33" s="126">
        <f t="shared" si="2"/>
        <v>0</v>
      </c>
      <c r="AA33" s="136"/>
      <c r="AB33" s="101" t="s">
        <v>131</v>
      </c>
      <c r="AC33" s="128">
        <f t="shared" si="3"/>
        <v>0</v>
      </c>
      <c r="AD33" s="134"/>
      <c r="AE33" s="135"/>
      <c r="AF33" s="135"/>
      <c r="AG33" s="135"/>
      <c r="AH33" s="135"/>
      <c r="AI33" s="135"/>
      <c r="AJ33" s="135"/>
    </row>
    <row r="34" ht="22.5" hidden="1" customHeight="1">
      <c r="A34" s="110" t="str">
        <f>'利用者'!A42</f>
        <v/>
      </c>
      <c r="B34" s="111" t="str">
        <f>'利用者'!B42</f>
        <v/>
      </c>
      <c r="C34" s="132"/>
      <c r="D34" s="125"/>
      <c r="E34" s="125"/>
      <c r="F34" s="125"/>
      <c r="G34" s="125"/>
      <c r="H34" s="120"/>
      <c r="I34" s="120"/>
      <c r="J34" s="121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5"/>
      <c r="V34" s="125"/>
      <c r="W34" s="123">
        <f t="shared" si="1"/>
        <v>0</v>
      </c>
      <c r="X34" s="125"/>
      <c r="Y34" s="125"/>
      <c r="Z34" s="126">
        <f t="shared" si="2"/>
        <v>0</v>
      </c>
      <c r="AA34" s="136"/>
      <c r="AB34" s="101" t="s">
        <v>131</v>
      </c>
      <c r="AC34" s="128">
        <f t="shared" si="3"/>
        <v>0</v>
      </c>
      <c r="AD34" s="134"/>
      <c r="AE34" s="135"/>
      <c r="AF34" s="135"/>
      <c r="AG34" s="135"/>
      <c r="AH34" s="135"/>
      <c r="AI34" s="135"/>
      <c r="AJ34" s="135"/>
    </row>
    <row r="35" ht="22.5" hidden="1" customHeight="1">
      <c r="A35" s="110" t="str">
        <f>'利用者'!A43</f>
        <v/>
      </c>
      <c r="B35" s="111" t="str">
        <f>'利用者'!B43</f>
        <v/>
      </c>
      <c r="C35" s="132"/>
      <c r="D35" s="125"/>
      <c r="E35" s="125"/>
      <c r="F35" s="125"/>
      <c r="G35" s="125"/>
      <c r="H35" s="120"/>
      <c r="I35" s="120"/>
      <c r="J35" s="12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5"/>
      <c r="V35" s="125"/>
      <c r="W35" s="123">
        <f t="shared" si="1"/>
        <v>0</v>
      </c>
      <c r="X35" s="125"/>
      <c r="Y35" s="125"/>
      <c r="Z35" s="126">
        <f t="shared" si="2"/>
        <v>0</v>
      </c>
      <c r="AA35" s="136"/>
      <c r="AB35" s="101" t="s">
        <v>131</v>
      </c>
      <c r="AC35" s="128">
        <f t="shared" si="3"/>
        <v>0</v>
      </c>
      <c r="AD35" s="134"/>
      <c r="AE35" s="135"/>
      <c r="AF35" s="135"/>
      <c r="AG35" s="135"/>
      <c r="AH35" s="135"/>
      <c r="AI35" s="135"/>
      <c r="AJ35" s="135"/>
    </row>
    <row r="36" ht="22.5" hidden="1" customHeight="1">
      <c r="A36" s="110" t="str">
        <f>'利用者'!A44</f>
        <v/>
      </c>
      <c r="B36" s="111" t="str">
        <f>'利用者'!B44</f>
        <v/>
      </c>
      <c r="C36" s="132"/>
      <c r="D36" s="125"/>
      <c r="E36" s="125"/>
      <c r="F36" s="125"/>
      <c r="G36" s="125"/>
      <c r="H36" s="120"/>
      <c r="I36" s="120"/>
      <c r="J36" s="12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5"/>
      <c r="V36" s="125"/>
      <c r="W36" s="123">
        <f t="shared" si="1"/>
        <v>0</v>
      </c>
      <c r="X36" s="125"/>
      <c r="Y36" s="125"/>
      <c r="Z36" s="126">
        <f t="shared" si="2"/>
        <v>0</v>
      </c>
      <c r="AA36" s="136"/>
      <c r="AB36" s="101" t="s">
        <v>131</v>
      </c>
      <c r="AC36" s="128">
        <f t="shared" si="3"/>
        <v>0</v>
      </c>
      <c r="AD36" s="134"/>
      <c r="AE36" s="135"/>
      <c r="AF36" s="135"/>
      <c r="AG36" s="135"/>
      <c r="AH36" s="135"/>
      <c r="AI36" s="135"/>
      <c r="AJ36" s="135"/>
    </row>
    <row r="37" ht="22.5" hidden="1" customHeight="1">
      <c r="A37" s="110" t="str">
        <f>'利用者'!A45</f>
        <v/>
      </c>
      <c r="B37" s="111" t="str">
        <f>'利用者'!B45</f>
        <v/>
      </c>
      <c r="C37" s="132"/>
      <c r="D37" s="125"/>
      <c r="E37" s="125"/>
      <c r="F37" s="125"/>
      <c r="G37" s="125"/>
      <c r="H37" s="120"/>
      <c r="I37" s="120"/>
      <c r="J37" s="121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5"/>
      <c r="V37" s="125"/>
      <c r="W37" s="123">
        <f t="shared" si="1"/>
        <v>0</v>
      </c>
      <c r="X37" s="125"/>
      <c r="Y37" s="125"/>
      <c r="Z37" s="126">
        <f t="shared" si="2"/>
        <v>0</v>
      </c>
      <c r="AA37" s="136"/>
      <c r="AB37" s="101" t="s">
        <v>131</v>
      </c>
      <c r="AC37" s="128">
        <f t="shared" si="3"/>
        <v>0</v>
      </c>
      <c r="AD37" s="134"/>
      <c r="AE37" s="135"/>
      <c r="AF37" s="135"/>
      <c r="AG37" s="135"/>
      <c r="AH37" s="135"/>
      <c r="AI37" s="135"/>
      <c r="AJ37" s="135"/>
    </row>
    <row r="38" ht="22.5" hidden="1" customHeight="1">
      <c r="A38" s="110" t="str">
        <f>'利用者'!A46</f>
        <v/>
      </c>
      <c r="B38" s="111" t="str">
        <f>'利用者'!B46</f>
        <v/>
      </c>
      <c r="C38" s="132"/>
      <c r="D38" s="125"/>
      <c r="E38" s="125"/>
      <c r="F38" s="125"/>
      <c r="G38" s="125"/>
      <c r="H38" s="120"/>
      <c r="I38" s="120"/>
      <c r="J38" s="121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5"/>
      <c r="V38" s="125"/>
      <c r="W38" s="123">
        <f t="shared" si="1"/>
        <v>0</v>
      </c>
      <c r="X38" s="125"/>
      <c r="Y38" s="125"/>
      <c r="Z38" s="126">
        <f t="shared" si="2"/>
        <v>0</v>
      </c>
      <c r="AA38" s="136"/>
      <c r="AB38" s="101" t="s">
        <v>131</v>
      </c>
      <c r="AC38" s="128">
        <f t="shared" si="3"/>
        <v>0</v>
      </c>
      <c r="AD38" s="134"/>
      <c r="AE38" s="135"/>
      <c r="AF38" s="135"/>
      <c r="AG38" s="135"/>
      <c r="AH38" s="135"/>
      <c r="AI38" s="135"/>
      <c r="AJ38" s="135"/>
    </row>
    <row r="39" ht="22.5" hidden="1" customHeight="1">
      <c r="A39" s="110" t="str">
        <f>'利用者'!A47</f>
        <v/>
      </c>
      <c r="B39" s="111" t="str">
        <f>'利用者'!B47</f>
        <v/>
      </c>
      <c r="C39" s="132"/>
      <c r="D39" s="125"/>
      <c r="E39" s="125"/>
      <c r="F39" s="125"/>
      <c r="G39" s="125"/>
      <c r="H39" s="120"/>
      <c r="I39" s="120"/>
      <c r="J39" s="121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5"/>
      <c r="V39" s="125"/>
      <c r="W39" s="123">
        <f t="shared" si="1"/>
        <v>0</v>
      </c>
      <c r="X39" s="125"/>
      <c r="Y39" s="125"/>
      <c r="Z39" s="126">
        <f t="shared" si="2"/>
        <v>0</v>
      </c>
      <c r="AA39" s="136"/>
      <c r="AB39" s="101" t="s">
        <v>131</v>
      </c>
      <c r="AC39" s="128">
        <f t="shared" si="3"/>
        <v>0</v>
      </c>
      <c r="AD39" s="134"/>
      <c r="AE39" s="135"/>
      <c r="AF39" s="135"/>
      <c r="AG39" s="135"/>
      <c r="AH39" s="135"/>
      <c r="AI39" s="135"/>
      <c r="AJ39" s="135"/>
    </row>
    <row r="40" ht="22.5" hidden="1" customHeight="1">
      <c r="A40" s="110" t="str">
        <f>'利用者'!A48</f>
        <v/>
      </c>
      <c r="B40" s="111" t="str">
        <f>'利用者'!B48</f>
        <v/>
      </c>
      <c r="C40" s="132"/>
      <c r="D40" s="125"/>
      <c r="E40" s="125"/>
      <c r="F40" s="125"/>
      <c r="G40" s="125"/>
      <c r="H40" s="120"/>
      <c r="I40" s="120"/>
      <c r="J40" s="121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5"/>
      <c r="V40" s="125"/>
      <c r="W40" s="123">
        <f t="shared" si="1"/>
        <v>0</v>
      </c>
      <c r="X40" s="125"/>
      <c r="Y40" s="125"/>
      <c r="Z40" s="126">
        <f t="shared" si="2"/>
        <v>0</v>
      </c>
      <c r="AA40" s="136"/>
      <c r="AB40" s="101" t="s">
        <v>131</v>
      </c>
      <c r="AC40" s="128">
        <f t="shared" si="3"/>
        <v>0</v>
      </c>
      <c r="AD40" s="134"/>
      <c r="AE40" s="135"/>
      <c r="AF40" s="135"/>
      <c r="AG40" s="135"/>
      <c r="AH40" s="135"/>
      <c r="AI40" s="135"/>
      <c r="AJ40" s="135"/>
    </row>
    <row r="41" ht="22.5" hidden="1" customHeight="1">
      <c r="A41" s="110" t="str">
        <f>'利用者'!A49</f>
        <v/>
      </c>
      <c r="B41" s="111" t="str">
        <f>'利用者'!B49</f>
        <v/>
      </c>
      <c r="C41" s="132"/>
      <c r="D41" s="125"/>
      <c r="E41" s="125"/>
      <c r="F41" s="125"/>
      <c r="G41" s="125"/>
      <c r="H41" s="120"/>
      <c r="I41" s="120"/>
      <c r="J41" s="121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5"/>
      <c r="V41" s="125"/>
      <c r="W41" s="123">
        <f t="shared" si="1"/>
        <v>0</v>
      </c>
      <c r="X41" s="125"/>
      <c r="Y41" s="125"/>
      <c r="Z41" s="126">
        <f t="shared" si="2"/>
        <v>0</v>
      </c>
      <c r="AA41" s="136"/>
      <c r="AB41" s="101" t="s">
        <v>131</v>
      </c>
      <c r="AC41" s="128">
        <f t="shared" si="3"/>
        <v>0</v>
      </c>
      <c r="AD41" s="134"/>
      <c r="AE41" s="135"/>
      <c r="AF41" s="135"/>
      <c r="AG41" s="135"/>
      <c r="AH41" s="135"/>
      <c r="AI41" s="135"/>
      <c r="AJ41" s="135"/>
    </row>
    <row r="42" ht="22.5" hidden="1" customHeight="1">
      <c r="A42" s="110" t="str">
        <f>'利用者'!A50</f>
        <v/>
      </c>
      <c r="B42" s="111" t="str">
        <f>'利用者'!B50</f>
        <v/>
      </c>
      <c r="C42" s="132"/>
      <c r="D42" s="125"/>
      <c r="E42" s="125"/>
      <c r="F42" s="125"/>
      <c r="G42" s="125"/>
      <c r="H42" s="120"/>
      <c r="I42" s="120"/>
      <c r="J42" s="121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5"/>
      <c r="V42" s="125"/>
      <c r="W42" s="123">
        <f t="shared" si="1"/>
        <v>0</v>
      </c>
      <c r="X42" s="125"/>
      <c r="Y42" s="125"/>
      <c r="Z42" s="126">
        <f t="shared" si="2"/>
        <v>0</v>
      </c>
      <c r="AA42" s="136"/>
      <c r="AB42" s="101" t="s">
        <v>131</v>
      </c>
      <c r="AC42" s="128">
        <f t="shared" si="3"/>
        <v>0</v>
      </c>
      <c r="AD42" s="134"/>
      <c r="AE42" s="135"/>
      <c r="AF42" s="135"/>
      <c r="AG42" s="135"/>
      <c r="AH42" s="135"/>
      <c r="AI42" s="135"/>
      <c r="AJ42" s="135"/>
    </row>
    <row r="43" ht="22.5" hidden="1" customHeight="1">
      <c r="A43" s="110" t="str">
        <f>'利用者'!A51</f>
        <v/>
      </c>
      <c r="B43" s="111" t="str">
        <f>'利用者'!B51</f>
        <v/>
      </c>
      <c r="C43" s="132"/>
      <c r="D43" s="125"/>
      <c r="E43" s="125"/>
      <c r="F43" s="125"/>
      <c r="G43" s="125"/>
      <c r="H43" s="120"/>
      <c r="I43" s="120"/>
      <c r="J43" s="121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5"/>
      <c r="V43" s="125"/>
      <c r="W43" s="123">
        <f t="shared" si="1"/>
        <v>0</v>
      </c>
      <c r="X43" s="125"/>
      <c r="Y43" s="125"/>
      <c r="Z43" s="126">
        <f t="shared" si="2"/>
        <v>0</v>
      </c>
      <c r="AA43" s="136"/>
      <c r="AB43" s="101" t="s">
        <v>131</v>
      </c>
      <c r="AC43" s="128">
        <f t="shared" si="3"/>
        <v>0</v>
      </c>
      <c r="AD43" s="134"/>
      <c r="AE43" s="135"/>
      <c r="AF43" s="135"/>
      <c r="AG43" s="135"/>
      <c r="AH43" s="135"/>
      <c r="AI43" s="135"/>
      <c r="AJ43" s="135"/>
    </row>
    <row r="44" ht="22.5" hidden="1" customHeight="1">
      <c r="A44" s="110" t="str">
        <f>'利用者'!A52</f>
        <v/>
      </c>
      <c r="B44" s="111" t="str">
        <f>'利用者'!B52</f>
        <v/>
      </c>
      <c r="C44" s="132"/>
      <c r="D44" s="125"/>
      <c r="E44" s="125"/>
      <c r="F44" s="125"/>
      <c r="G44" s="125"/>
      <c r="H44" s="120"/>
      <c r="I44" s="120"/>
      <c r="J44" s="121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5"/>
      <c r="V44" s="125"/>
      <c r="W44" s="123">
        <f t="shared" si="1"/>
        <v>0</v>
      </c>
      <c r="X44" s="125"/>
      <c r="Y44" s="125"/>
      <c r="Z44" s="126">
        <f t="shared" si="2"/>
        <v>0</v>
      </c>
      <c r="AA44" s="136"/>
      <c r="AB44" s="101" t="s">
        <v>131</v>
      </c>
      <c r="AC44" s="128">
        <f t="shared" si="3"/>
        <v>0</v>
      </c>
      <c r="AD44" s="134"/>
      <c r="AE44" s="135"/>
      <c r="AF44" s="135"/>
      <c r="AG44" s="135"/>
      <c r="AH44" s="135"/>
      <c r="AI44" s="135"/>
      <c r="AJ44" s="135"/>
    </row>
    <row r="45" ht="22.5" hidden="1" customHeight="1">
      <c r="A45" s="110" t="str">
        <f>'利用者'!A53</f>
        <v/>
      </c>
      <c r="B45" s="111" t="str">
        <f>'利用者'!B53</f>
        <v/>
      </c>
      <c r="C45" s="132"/>
      <c r="D45" s="125"/>
      <c r="E45" s="125"/>
      <c r="F45" s="125"/>
      <c r="G45" s="125"/>
      <c r="H45" s="120"/>
      <c r="I45" s="120"/>
      <c r="J45" s="121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5"/>
      <c r="V45" s="125"/>
      <c r="W45" s="123">
        <f t="shared" si="1"/>
        <v>0</v>
      </c>
      <c r="X45" s="125"/>
      <c r="Y45" s="125"/>
      <c r="Z45" s="126">
        <f t="shared" si="2"/>
        <v>0</v>
      </c>
      <c r="AA45" s="136"/>
      <c r="AB45" s="101" t="s">
        <v>131</v>
      </c>
      <c r="AC45" s="128">
        <f t="shared" si="3"/>
        <v>0</v>
      </c>
      <c r="AD45" s="134"/>
      <c r="AE45" s="135"/>
      <c r="AF45" s="135"/>
      <c r="AG45" s="135"/>
      <c r="AH45" s="135"/>
      <c r="AI45" s="135"/>
      <c r="AJ45" s="135"/>
    </row>
    <row r="46" ht="22.5" hidden="1" customHeight="1">
      <c r="A46" s="110" t="str">
        <f>'利用者'!A54</f>
        <v/>
      </c>
      <c r="B46" s="111" t="str">
        <f>'利用者'!B54</f>
        <v/>
      </c>
      <c r="C46" s="132"/>
      <c r="D46" s="125"/>
      <c r="E46" s="125"/>
      <c r="F46" s="125"/>
      <c r="G46" s="125"/>
      <c r="H46" s="120"/>
      <c r="I46" s="120"/>
      <c r="J46" s="121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5"/>
      <c r="V46" s="125"/>
      <c r="W46" s="123">
        <f t="shared" si="1"/>
        <v>0</v>
      </c>
      <c r="X46" s="125"/>
      <c r="Y46" s="125"/>
      <c r="Z46" s="126">
        <f t="shared" si="2"/>
        <v>0</v>
      </c>
      <c r="AA46" s="136"/>
      <c r="AB46" s="101" t="s">
        <v>131</v>
      </c>
      <c r="AC46" s="128">
        <f t="shared" si="3"/>
        <v>0</v>
      </c>
      <c r="AD46" s="134"/>
      <c r="AE46" s="135"/>
      <c r="AF46" s="135"/>
      <c r="AG46" s="135"/>
      <c r="AH46" s="135"/>
      <c r="AI46" s="135"/>
      <c r="AJ46" s="135"/>
    </row>
    <row r="47" ht="22.5" hidden="1" customHeight="1">
      <c r="A47" s="110" t="str">
        <f>'利用者'!A55</f>
        <v/>
      </c>
      <c r="B47" s="111" t="str">
        <f>'利用者'!B55</f>
        <v/>
      </c>
      <c r="C47" s="132"/>
      <c r="D47" s="125"/>
      <c r="E47" s="125"/>
      <c r="F47" s="125"/>
      <c r="G47" s="125"/>
      <c r="H47" s="120"/>
      <c r="I47" s="120"/>
      <c r="J47" s="121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5"/>
      <c r="V47" s="125"/>
      <c r="W47" s="123">
        <f t="shared" si="1"/>
        <v>0</v>
      </c>
      <c r="X47" s="125"/>
      <c r="Y47" s="125"/>
      <c r="Z47" s="126">
        <f t="shared" si="2"/>
        <v>0</v>
      </c>
      <c r="AA47" s="136"/>
      <c r="AB47" s="101" t="s">
        <v>131</v>
      </c>
      <c r="AC47" s="128">
        <f t="shared" si="3"/>
        <v>0</v>
      </c>
      <c r="AD47" s="134"/>
      <c r="AE47" s="135"/>
      <c r="AF47" s="135"/>
      <c r="AG47" s="135"/>
      <c r="AH47" s="135"/>
      <c r="AI47" s="135"/>
      <c r="AJ47" s="135"/>
    </row>
    <row r="48" ht="22.5" hidden="1" customHeight="1">
      <c r="A48" s="110" t="str">
        <f>'利用者'!A56</f>
        <v/>
      </c>
      <c r="B48" s="111" t="str">
        <f>'利用者'!B56</f>
        <v/>
      </c>
      <c r="C48" s="132"/>
      <c r="D48" s="125"/>
      <c r="E48" s="125"/>
      <c r="F48" s="125"/>
      <c r="G48" s="125"/>
      <c r="H48" s="120"/>
      <c r="I48" s="120"/>
      <c r="J48" s="121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5"/>
      <c r="V48" s="125"/>
      <c r="W48" s="123">
        <f t="shared" si="1"/>
        <v>0</v>
      </c>
      <c r="X48" s="125"/>
      <c r="Y48" s="125"/>
      <c r="Z48" s="126">
        <f t="shared" si="2"/>
        <v>0</v>
      </c>
      <c r="AA48" s="136"/>
      <c r="AB48" s="101" t="s">
        <v>131</v>
      </c>
      <c r="AC48" s="128">
        <f t="shared" si="3"/>
        <v>0</v>
      </c>
      <c r="AD48" s="134"/>
      <c r="AE48" s="135"/>
      <c r="AF48" s="135"/>
      <c r="AG48" s="135"/>
      <c r="AH48" s="135"/>
      <c r="AI48" s="135"/>
      <c r="AJ48" s="135"/>
    </row>
    <row r="49" ht="22.5" hidden="1" customHeight="1">
      <c r="A49" s="110" t="str">
        <f>'利用者'!A57</f>
        <v/>
      </c>
      <c r="B49" s="111" t="str">
        <f>'利用者'!B57</f>
        <v/>
      </c>
      <c r="C49" s="132"/>
      <c r="D49" s="125"/>
      <c r="E49" s="125"/>
      <c r="F49" s="125"/>
      <c r="G49" s="125"/>
      <c r="H49" s="120"/>
      <c r="I49" s="120"/>
      <c r="J49" s="121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5"/>
      <c r="V49" s="125"/>
      <c r="W49" s="123">
        <f t="shared" si="1"/>
        <v>0</v>
      </c>
      <c r="X49" s="125"/>
      <c r="Y49" s="125"/>
      <c r="Z49" s="126">
        <f t="shared" si="2"/>
        <v>0</v>
      </c>
      <c r="AA49" s="136"/>
      <c r="AB49" s="101" t="s">
        <v>131</v>
      </c>
      <c r="AC49" s="128">
        <f t="shared" si="3"/>
        <v>0</v>
      </c>
      <c r="AD49" s="134"/>
      <c r="AE49" s="135"/>
      <c r="AF49" s="135"/>
      <c r="AG49" s="135"/>
      <c r="AH49" s="135"/>
      <c r="AI49" s="135"/>
      <c r="AJ49" s="135"/>
    </row>
    <row r="50" ht="22.5" hidden="1" customHeight="1">
      <c r="A50" s="110" t="str">
        <f>'利用者'!A58</f>
        <v/>
      </c>
      <c r="B50" s="111" t="str">
        <f>'利用者'!B58</f>
        <v/>
      </c>
      <c r="C50" s="132"/>
      <c r="D50" s="125"/>
      <c r="E50" s="125"/>
      <c r="F50" s="125"/>
      <c r="G50" s="125"/>
      <c r="H50" s="120"/>
      <c r="I50" s="120"/>
      <c r="J50" s="121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5"/>
      <c r="V50" s="125"/>
      <c r="W50" s="123">
        <f t="shared" si="1"/>
        <v>0</v>
      </c>
      <c r="X50" s="125"/>
      <c r="Y50" s="125"/>
      <c r="Z50" s="126">
        <f t="shared" si="2"/>
        <v>0</v>
      </c>
      <c r="AA50" s="136"/>
      <c r="AB50" s="101" t="s">
        <v>131</v>
      </c>
      <c r="AC50" s="128">
        <f t="shared" si="3"/>
        <v>0</v>
      </c>
      <c r="AD50" s="134"/>
      <c r="AE50" s="135"/>
      <c r="AF50" s="135"/>
      <c r="AG50" s="135"/>
      <c r="AH50" s="135"/>
      <c r="AI50" s="135"/>
      <c r="AJ50" s="135"/>
    </row>
    <row r="51" ht="22.5" hidden="1" customHeight="1">
      <c r="A51" s="110" t="str">
        <f>'利用者'!A59</f>
        <v/>
      </c>
      <c r="B51" s="111" t="str">
        <f>'利用者'!B59</f>
        <v/>
      </c>
      <c r="C51" s="132"/>
      <c r="D51" s="125"/>
      <c r="E51" s="125"/>
      <c r="F51" s="125"/>
      <c r="G51" s="125"/>
      <c r="H51" s="120"/>
      <c r="I51" s="120"/>
      <c r="J51" s="121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5"/>
      <c r="V51" s="125"/>
      <c r="W51" s="123">
        <f t="shared" si="1"/>
        <v>0</v>
      </c>
      <c r="X51" s="125"/>
      <c r="Y51" s="125"/>
      <c r="Z51" s="126">
        <f t="shared" si="2"/>
        <v>0</v>
      </c>
      <c r="AA51" s="136"/>
      <c r="AB51" s="101" t="s">
        <v>131</v>
      </c>
      <c r="AC51" s="128">
        <f t="shared" si="3"/>
        <v>0</v>
      </c>
      <c r="AD51" s="134"/>
      <c r="AE51" s="135"/>
      <c r="AF51" s="135"/>
      <c r="AG51" s="135"/>
      <c r="AH51" s="135"/>
      <c r="AI51" s="135"/>
      <c r="AJ51" s="135"/>
    </row>
    <row r="52" ht="22.5" hidden="1" customHeight="1">
      <c r="A52" s="110" t="str">
        <f>'利用者'!A60</f>
        <v/>
      </c>
      <c r="B52" s="111" t="str">
        <f>'利用者'!B60</f>
        <v/>
      </c>
      <c r="C52" s="132"/>
      <c r="D52" s="125"/>
      <c r="E52" s="125"/>
      <c r="F52" s="125"/>
      <c r="G52" s="125"/>
      <c r="H52" s="120"/>
      <c r="I52" s="120"/>
      <c r="J52" s="121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5"/>
      <c r="V52" s="125"/>
      <c r="W52" s="123">
        <f t="shared" si="1"/>
        <v>0</v>
      </c>
      <c r="X52" s="125"/>
      <c r="Y52" s="125"/>
      <c r="Z52" s="126">
        <f t="shared" si="2"/>
        <v>0</v>
      </c>
      <c r="AA52" s="136"/>
      <c r="AB52" s="101" t="s">
        <v>131</v>
      </c>
      <c r="AC52" s="128">
        <f t="shared" si="3"/>
        <v>0</v>
      </c>
      <c r="AD52" s="134"/>
      <c r="AE52" s="135"/>
      <c r="AF52" s="135"/>
      <c r="AG52" s="135"/>
      <c r="AH52" s="135"/>
      <c r="AI52" s="135"/>
      <c r="AJ52" s="135"/>
    </row>
    <row r="53" ht="22.5" hidden="1" customHeight="1">
      <c r="A53" s="110" t="str">
        <f>'利用者'!A61</f>
        <v/>
      </c>
      <c r="B53" s="111" t="str">
        <f>'利用者'!B61</f>
        <v/>
      </c>
      <c r="C53" s="132"/>
      <c r="D53" s="125"/>
      <c r="E53" s="125"/>
      <c r="F53" s="125"/>
      <c r="G53" s="125"/>
      <c r="H53" s="120"/>
      <c r="I53" s="120"/>
      <c r="J53" s="121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5"/>
      <c r="V53" s="125"/>
      <c r="W53" s="123">
        <f t="shared" si="1"/>
        <v>0</v>
      </c>
      <c r="X53" s="125"/>
      <c r="Y53" s="125"/>
      <c r="Z53" s="126">
        <f t="shared" si="2"/>
        <v>0</v>
      </c>
      <c r="AA53" s="136"/>
      <c r="AB53" s="101" t="s">
        <v>131</v>
      </c>
      <c r="AC53" s="128">
        <f t="shared" si="3"/>
        <v>0</v>
      </c>
      <c r="AD53" s="134"/>
      <c r="AE53" s="135"/>
      <c r="AF53" s="135"/>
      <c r="AG53" s="135"/>
      <c r="AH53" s="135"/>
      <c r="AI53" s="135"/>
      <c r="AJ53" s="135"/>
    </row>
    <row r="54" ht="22.5" hidden="1" customHeight="1">
      <c r="A54" s="110" t="str">
        <f>'利用者'!A62</f>
        <v/>
      </c>
      <c r="B54" s="111" t="str">
        <f>'利用者'!B62</f>
        <v/>
      </c>
      <c r="C54" s="132"/>
      <c r="D54" s="125"/>
      <c r="E54" s="125"/>
      <c r="F54" s="125"/>
      <c r="G54" s="125"/>
      <c r="H54" s="120"/>
      <c r="I54" s="120"/>
      <c r="J54" s="121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5"/>
      <c r="V54" s="125"/>
      <c r="W54" s="123">
        <f t="shared" si="1"/>
        <v>0</v>
      </c>
      <c r="X54" s="125"/>
      <c r="Y54" s="125"/>
      <c r="Z54" s="126">
        <f t="shared" si="2"/>
        <v>0</v>
      </c>
      <c r="AA54" s="136"/>
      <c r="AB54" s="101" t="s">
        <v>131</v>
      </c>
      <c r="AC54" s="128">
        <f t="shared" si="3"/>
        <v>0</v>
      </c>
      <c r="AD54" s="134"/>
      <c r="AE54" s="135"/>
      <c r="AF54" s="135"/>
      <c r="AG54" s="135"/>
      <c r="AH54" s="135"/>
      <c r="AI54" s="135"/>
      <c r="AJ54" s="135"/>
    </row>
    <row r="55" ht="22.5" hidden="1" customHeight="1">
      <c r="A55" s="110" t="str">
        <f>'利用者'!A63</f>
        <v/>
      </c>
      <c r="B55" s="111" t="str">
        <f>'利用者'!B63</f>
        <v/>
      </c>
      <c r="C55" s="132"/>
      <c r="D55" s="125"/>
      <c r="E55" s="125"/>
      <c r="F55" s="125"/>
      <c r="G55" s="125"/>
      <c r="H55" s="120"/>
      <c r="I55" s="120"/>
      <c r="J55" s="121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5"/>
      <c r="V55" s="125"/>
      <c r="W55" s="123">
        <f t="shared" si="1"/>
        <v>0</v>
      </c>
      <c r="X55" s="125"/>
      <c r="Y55" s="125"/>
      <c r="Z55" s="126">
        <f t="shared" si="2"/>
        <v>0</v>
      </c>
      <c r="AA55" s="136"/>
      <c r="AB55" s="101" t="s">
        <v>131</v>
      </c>
      <c r="AC55" s="128">
        <f t="shared" si="3"/>
        <v>0</v>
      </c>
      <c r="AD55" s="134"/>
      <c r="AE55" s="135"/>
      <c r="AF55" s="135"/>
      <c r="AG55" s="135"/>
      <c r="AH55" s="135"/>
      <c r="AI55" s="135"/>
      <c r="AJ55" s="135"/>
    </row>
    <row r="56" ht="22.5" hidden="1" customHeight="1">
      <c r="A56" s="110" t="str">
        <f>'利用者'!A64</f>
        <v/>
      </c>
      <c r="B56" s="111" t="str">
        <f>'利用者'!B64</f>
        <v/>
      </c>
      <c r="C56" s="132"/>
      <c r="D56" s="125"/>
      <c r="E56" s="125"/>
      <c r="F56" s="125"/>
      <c r="G56" s="125"/>
      <c r="H56" s="120"/>
      <c r="I56" s="120"/>
      <c r="J56" s="121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5"/>
      <c r="V56" s="125"/>
      <c r="W56" s="123">
        <f t="shared" si="1"/>
        <v>0</v>
      </c>
      <c r="X56" s="125"/>
      <c r="Y56" s="125"/>
      <c r="Z56" s="126">
        <f t="shared" si="2"/>
        <v>0</v>
      </c>
      <c r="AA56" s="136"/>
      <c r="AB56" s="101" t="s">
        <v>131</v>
      </c>
      <c r="AC56" s="128">
        <f t="shared" si="3"/>
        <v>0</v>
      </c>
      <c r="AD56" s="134"/>
      <c r="AE56" s="135"/>
      <c r="AF56" s="135"/>
      <c r="AG56" s="135"/>
      <c r="AH56" s="135"/>
      <c r="AI56" s="135"/>
      <c r="AJ56" s="135"/>
    </row>
    <row r="57" ht="22.5" hidden="1" customHeight="1">
      <c r="A57" s="110" t="str">
        <f>'利用者'!A65</f>
        <v/>
      </c>
      <c r="B57" s="111" t="str">
        <f>'利用者'!B65</f>
        <v/>
      </c>
      <c r="C57" s="132"/>
      <c r="D57" s="125"/>
      <c r="E57" s="125"/>
      <c r="F57" s="125"/>
      <c r="G57" s="125"/>
      <c r="H57" s="120"/>
      <c r="I57" s="120"/>
      <c r="J57" s="121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5"/>
      <c r="V57" s="125"/>
      <c r="W57" s="123">
        <f t="shared" si="1"/>
        <v>0</v>
      </c>
      <c r="X57" s="125"/>
      <c r="Y57" s="125"/>
      <c r="Z57" s="126">
        <f t="shared" si="2"/>
        <v>0</v>
      </c>
      <c r="AA57" s="136"/>
      <c r="AB57" s="101" t="s">
        <v>131</v>
      </c>
      <c r="AC57" s="128">
        <f t="shared" si="3"/>
        <v>0</v>
      </c>
      <c r="AD57" s="134"/>
      <c r="AE57" s="135"/>
      <c r="AF57" s="135"/>
      <c r="AG57" s="135"/>
      <c r="AH57" s="135"/>
      <c r="AI57" s="135"/>
      <c r="AJ57" s="135"/>
    </row>
    <row r="58" ht="22.5" hidden="1" customHeight="1">
      <c r="A58" s="110" t="str">
        <f>'利用者'!A66</f>
        <v/>
      </c>
      <c r="B58" s="111" t="str">
        <f>'利用者'!B66</f>
        <v/>
      </c>
      <c r="C58" s="132"/>
      <c r="D58" s="125"/>
      <c r="E58" s="125"/>
      <c r="F58" s="125"/>
      <c r="G58" s="125"/>
      <c r="H58" s="120"/>
      <c r="I58" s="120"/>
      <c r="J58" s="121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5"/>
      <c r="V58" s="125"/>
      <c r="W58" s="123">
        <f t="shared" si="1"/>
        <v>0</v>
      </c>
      <c r="X58" s="125"/>
      <c r="Y58" s="125"/>
      <c r="Z58" s="126">
        <f t="shared" si="2"/>
        <v>0</v>
      </c>
      <c r="AA58" s="136"/>
      <c r="AB58" s="101" t="s">
        <v>131</v>
      </c>
      <c r="AC58" s="128">
        <f t="shared" si="3"/>
        <v>0</v>
      </c>
      <c r="AD58" s="134"/>
      <c r="AE58" s="135"/>
      <c r="AF58" s="135"/>
      <c r="AG58" s="135"/>
      <c r="AH58" s="135"/>
      <c r="AI58" s="135"/>
      <c r="AJ58" s="135"/>
    </row>
    <row r="59" ht="22.5" hidden="1" customHeight="1">
      <c r="A59" s="110" t="str">
        <f>'利用者'!A67</f>
        <v/>
      </c>
      <c r="B59" s="111" t="str">
        <f>'利用者'!B67</f>
        <v/>
      </c>
      <c r="C59" s="132"/>
      <c r="D59" s="125"/>
      <c r="E59" s="125"/>
      <c r="F59" s="125"/>
      <c r="G59" s="125"/>
      <c r="H59" s="120"/>
      <c r="I59" s="120"/>
      <c r="J59" s="121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5"/>
      <c r="V59" s="125"/>
      <c r="W59" s="123">
        <f t="shared" si="1"/>
        <v>0</v>
      </c>
      <c r="X59" s="125"/>
      <c r="Y59" s="125"/>
      <c r="Z59" s="126">
        <f t="shared" si="2"/>
        <v>0</v>
      </c>
      <c r="AA59" s="136"/>
      <c r="AB59" s="101" t="s">
        <v>131</v>
      </c>
      <c r="AC59" s="128">
        <f t="shared" si="3"/>
        <v>0</v>
      </c>
      <c r="AD59" s="134"/>
      <c r="AE59" s="135"/>
      <c r="AF59" s="135"/>
      <c r="AG59" s="135"/>
      <c r="AH59" s="135"/>
      <c r="AI59" s="135"/>
      <c r="AJ59" s="135"/>
    </row>
    <row r="60" ht="22.5" hidden="1" customHeight="1">
      <c r="A60" s="110" t="str">
        <f>'利用者'!A68</f>
        <v/>
      </c>
      <c r="B60" s="111" t="str">
        <f>'利用者'!B68</f>
        <v/>
      </c>
      <c r="C60" s="132"/>
      <c r="D60" s="125"/>
      <c r="E60" s="125"/>
      <c r="F60" s="125"/>
      <c r="G60" s="125"/>
      <c r="H60" s="120"/>
      <c r="I60" s="120"/>
      <c r="J60" s="121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5"/>
      <c r="V60" s="125"/>
      <c r="W60" s="123">
        <f t="shared" si="1"/>
        <v>0</v>
      </c>
      <c r="X60" s="125"/>
      <c r="Y60" s="125"/>
      <c r="Z60" s="126">
        <f t="shared" si="2"/>
        <v>0</v>
      </c>
      <c r="AA60" s="136"/>
      <c r="AB60" s="101" t="s">
        <v>131</v>
      </c>
      <c r="AC60" s="128">
        <f t="shared" si="3"/>
        <v>0</v>
      </c>
      <c r="AD60" s="134"/>
      <c r="AE60" s="135"/>
      <c r="AF60" s="135"/>
      <c r="AG60" s="135"/>
      <c r="AH60" s="135"/>
      <c r="AI60" s="135"/>
      <c r="AJ60" s="135"/>
    </row>
    <row r="61" ht="22.5" hidden="1" customHeight="1">
      <c r="A61" s="110" t="str">
        <f>'利用者'!A69</f>
        <v/>
      </c>
      <c r="B61" s="111" t="str">
        <f>'利用者'!B69</f>
        <v/>
      </c>
      <c r="C61" s="132"/>
      <c r="D61" s="125"/>
      <c r="E61" s="125"/>
      <c r="F61" s="125"/>
      <c r="G61" s="125"/>
      <c r="H61" s="120"/>
      <c r="I61" s="120"/>
      <c r="J61" s="121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5"/>
      <c r="V61" s="125"/>
      <c r="W61" s="123">
        <f t="shared" si="1"/>
        <v>0</v>
      </c>
      <c r="X61" s="125"/>
      <c r="Y61" s="125"/>
      <c r="Z61" s="126">
        <f t="shared" si="2"/>
        <v>0</v>
      </c>
      <c r="AA61" s="136"/>
      <c r="AB61" s="101" t="s">
        <v>131</v>
      </c>
      <c r="AC61" s="128">
        <f t="shared" si="3"/>
        <v>0</v>
      </c>
      <c r="AD61" s="134"/>
      <c r="AE61" s="135"/>
      <c r="AF61" s="135"/>
      <c r="AG61" s="135"/>
      <c r="AH61" s="135"/>
      <c r="AI61" s="135"/>
      <c r="AJ61" s="135"/>
    </row>
    <row r="62" ht="22.5" hidden="1" customHeight="1">
      <c r="A62" s="110" t="str">
        <f>'利用者'!A70</f>
        <v/>
      </c>
      <c r="B62" s="111" t="str">
        <f>'利用者'!B70</f>
        <v/>
      </c>
      <c r="C62" s="132"/>
      <c r="D62" s="125"/>
      <c r="E62" s="125"/>
      <c r="F62" s="125"/>
      <c r="G62" s="125"/>
      <c r="H62" s="120"/>
      <c r="I62" s="120"/>
      <c r="J62" s="121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5"/>
      <c r="V62" s="125"/>
      <c r="W62" s="123">
        <f t="shared" si="1"/>
        <v>0</v>
      </c>
      <c r="X62" s="125"/>
      <c r="Y62" s="125"/>
      <c r="Z62" s="126">
        <f t="shared" si="2"/>
        <v>0</v>
      </c>
      <c r="AA62" s="136"/>
      <c r="AB62" s="101" t="s">
        <v>131</v>
      </c>
      <c r="AC62" s="128">
        <f t="shared" si="3"/>
        <v>0</v>
      </c>
      <c r="AD62" s="134"/>
      <c r="AE62" s="135"/>
      <c r="AF62" s="135"/>
      <c r="AG62" s="135"/>
      <c r="AH62" s="135"/>
      <c r="AI62" s="135"/>
      <c r="AJ62" s="135"/>
    </row>
    <row r="63" ht="22.5" hidden="1" customHeight="1">
      <c r="A63" s="110" t="str">
        <f>'利用者'!A71</f>
        <v/>
      </c>
      <c r="B63" s="111" t="str">
        <f>'利用者'!B71</f>
        <v/>
      </c>
      <c r="C63" s="132"/>
      <c r="D63" s="125"/>
      <c r="E63" s="125"/>
      <c r="F63" s="125"/>
      <c r="G63" s="125"/>
      <c r="H63" s="120"/>
      <c r="I63" s="120"/>
      <c r="J63" s="121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5"/>
      <c r="V63" s="125"/>
      <c r="W63" s="123">
        <f t="shared" si="1"/>
        <v>0</v>
      </c>
      <c r="X63" s="125"/>
      <c r="Y63" s="125"/>
      <c r="Z63" s="126">
        <f t="shared" si="2"/>
        <v>0</v>
      </c>
      <c r="AA63" s="136"/>
      <c r="AB63" s="101" t="s">
        <v>131</v>
      </c>
      <c r="AC63" s="128">
        <f t="shared" si="3"/>
        <v>0</v>
      </c>
      <c r="AD63" s="134"/>
      <c r="AE63" s="135"/>
      <c r="AF63" s="135"/>
      <c r="AG63" s="135"/>
      <c r="AH63" s="135"/>
      <c r="AI63" s="135"/>
      <c r="AJ63" s="135"/>
    </row>
    <row r="64" ht="22.5" hidden="1" customHeight="1">
      <c r="A64" s="110" t="str">
        <f>'利用者'!A72</f>
        <v/>
      </c>
      <c r="B64" s="111" t="str">
        <f>'利用者'!B72</f>
        <v/>
      </c>
      <c r="C64" s="132"/>
      <c r="D64" s="125"/>
      <c r="E64" s="125"/>
      <c r="F64" s="125"/>
      <c r="G64" s="125"/>
      <c r="H64" s="120"/>
      <c r="I64" s="120"/>
      <c r="J64" s="121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5"/>
      <c r="V64" s="125"/>
      <c r="W64" s="123">
        <f t="shared" si="1"/>
        <v>0</v>
      </c>
      <c r="X64" s="125"/>
      <c r="Y64" s="125"/>
      <c r="Z64" s="126">
        <f t="shared" si="2"/>
        <v>0</v>
      </c>
      <c r="AA64" s="136"/>
      <c r="AB64" s="101" t="s">
        <v>131</v>
      </c>
      <c r="AC64" s="128">
        <f t="shared" si="3"/>
        <v>0</v>
      </c>
      <c r="AD64" s="134"/>
      <c r="AE64" s="135"/>
      <c r="AF64" s="135"/>
      <c r="AG64" s="135"/>
      <c r="AH64" s="135"/>
      <c r="AI64" s="135"/>
      <c r="AJ64" s="135"/>
    </row>
    <row r="65" ht="22.5" hidden="1" customHeight="1">
      <c r="A65" s="110" t="str">
        <f>'利用者'!A73</f>
        <v/>
      </c>
      <c r="B65" s="111" t="str">
        <f>'利用者'!B73</f>
        <v/>
      </c>
      <c r="C65" s="132"/>
      <c r="D65" s="125"/>
      <c r="E65" s="125"/>
      <c r="F65" s="125"/>
      <c r="G65" s="125"/>
      <c r="H65" s="120"/>
      <c r="I65" s="120"/>
      <c r="J65" s="121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5"/>
      <c r="V65" s="125"/>
      <c r="W65" s="123">
        <f t="shared" si="1"/>
        <v>0</v>
      </c>
      <c r="X65" s="125"/>
      <c r="Y65" s="125"/>
      <c r="Z65" s="126">
        <f t="shared" si="2"/>
        <v>0</v>
      </c>
      <c r="AA65" s="136"/>
      <c r="AB65" s="101" t="s">
        <v>131</v>
      </c>
      <c r="AC65" s="128">
        <f t="shared" si="3"/>
        <v>0</v>
      </c>
      <c r="AD65" s="134"/>
      <c r="AE65" s="135"/>
      <c r="AF65" s="135"/>
      <c r="AG65" s="135"/>
      <c r="AH65" s="135"/>
      <c r="AI65" s="135"/>
      <c r="AJ65" s="135"/>
    </row>
    <row r="66" ht="22.5" hidden="1" customHeight="1">
      <c r="A66" s="110" t="str">
        <f>'利用者'!A74</f>
        <v/>
      </c>
      <c r="B66" s="111" t="str">
        <f>'利用者'!B74</f>
        <v/>
      </c>
      <c r="C66" s="132"/>
      <c r="D66" s="125"/>
      <c r="E66" s="125"/>
      <c r="F66" s="125"/>
      <c r="G66" s="125"/>
      <c r="H66" s="120"/>
      <c r="I66" s="120"/>
      <c r="J66" s="121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5"/>
      <c r="V66" s="125"/>
      <c r="W66" s="123">
        <f t="shared" si="1"/>
        <v>0</v>
      </c>
      <c r="X66" s="125"/>
      <c r="Y66" s="125"/>
      <c r="Z66" s="126">
        <f t="shared" si="2"/>
        <v>0</v>
      </c>
      <c r="AA66" s="136"/>
      <c r="AB66" s="101" t="s">
        <v>131</v>
      </c>
      <c r="AC66" s="128">
        <f t="shared" si="3"/>
        <v>0</v>
      </c>
      <c r="AD66" s="134"/>
      <c r="AE66" s="135"/>
      <c r="AF66" s="135"/>
      <c r="AG66" s="135"/>
      <c r="AH66" s="135"/>
      <c r="AI66" s="135"/>
      <c r="AJ66" s="135"/>
    </row>
    <row r="67" ht="22.5" hidden="1" customHeight="1">
      <c r="A67" s="110" t="str">
        <f>'利用者'!A75</f>
        <v/>
      </c>
      <c r="B67" s="111" t="str">
        <f>'利用者'!B75</f>
        <v/>
      </c>
      <c r="C67" s="132"/>
      <c r="D67" s="125"/>
      <c r="E67" s="125"/>
      <c r="F67" s="125"/>
      <c r="G67" s="125"/>
      <c r="H67" s="120"/>
      <c r="I67" s="120"/>
      <c r="J67" s="121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5"/>
      <c r="V67" s="125"/>
      <c r="W67" s="123">
        <f t="shared" si="1"/>
        <v>0</v>
      </c>
      <c r="X67" s="125"/>
      <c r="Y67" s="125"/>
      <c r="Z67" s="126">
        <f t="shared" si="2"/>
        <v>0</v>
      </c>
      <c r="AA67" s="136"/>
      <c r="AB67" s="101" t="s">
        <v>131</v>
      </c>
      <c r="AC67" s="128">
        <f t="shared" si="3"/>
        <v>0</v>
      </c>
      <c r="AD67" s="134"/>
      <c r="AE67" s="135"/>
      <c r="AF67" s="135"/>
      <c r="AG67" s="135"/>
      <c r="AH67" s="135"/>
      <c r="AI67" s="135"/>
      <c r="AJ67" s="135"/>
    </row>
    <row r="68" ht="22.5" hidden="1" customHeight="1">
      <c r="A68" s="110" t="str">
        <f>'利用者'!A76</f>
        <v/>
      </c>
      <c r="B68" s="111" t="str">
        <f>'利用者'!B76</f>
        <v/>
      </c>
      <c r="C68" s="132"/>
      <c r="D68" s="125"/>
      <c r="E68" s="125"/>
      <c r="F68" s="125"/>
      <c r="G68" s="125"/>
      <c r="H68" s="120"/>
      <c r="I68" s="120"/>
      <c r="J68" s="121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5"/>
      <c r="V68" s="125"/>
      <c r="W68" s="123">
        <f t="shared" si="1"/>
        <v>0</v>
      </c>
      <c r="X68" s="125"/>
      <c r="Y68" s="125"/>
      <c r="Z68" s="126">
        <f t="shared" si="2"/>
        <v>0</v>
      </c>
      <c r="AA68" s="136"/>
      <c r="AB68" s="101" t="s">
        <v>131</v>
      </c>
      <c r="AC68" s="128">
        <f t="shared" si="3"/>
        <v>0</v>
      </c>
      <c r="AD68" s="134"/>
      <c r="AE68" s="135"/>
      <c r="AF68" s="135"/>
      <c r="AG68" s="135"/>
      <c r="AH68" s="135"/>
      <c r="AI68" s="135"/>
      <c r="AJ68" s="135"/>
    </row>
    <row r="69" ht="22.5" hidden="1" customHeight="1">
      <c r="A69" s="110" t="str">
        <f>'利用者'!A77</f>
        <v/>
      </c>
      <c r="B69" s="111" t="str">
        <f>'利用者'!B77</f>
        <v/>
      </c>
      <c r="C69" s="132"/>
      <c r="D69" s="125"/>
      <c r="E69" s="125"/>
      <c r="F69" s="125"/>
      <c r="G69" s="125"/>
      <c r="H69" s="120"/>
      <c r="I69" s="120"/>
      <c r="J69" s="121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5"/>
      <c r="V69" s="125"/>
      <c r="W69" s="123">
        <f t="shared" si="1"/>
        <v>0</v>
      </c>
      <c r="X69" s="125"/>
      <c r="Y69" s="125"/>
      <c r="Z69" s="126">
        <f t="shared" si="2"/>
        <v>0</v>
      </c>
      <c r="AA69" s="136"/>
      <c r="AB69" s="101" t="s">
        <v>131</v>
      </c>
      <c r="AC69" s="128">
        <f t="shared" si="3"/>
        <v>0</v>
      </c>
      <c r="AD69" s="134"/>
      <c r="AE69" s="135"/>
      <c r="AF69" s="135"/>
      <c r="AG69" s="135"/>
      <c r="AH69" s="135"/>
      <c r="AI69" s="135"/>
      <c r="AJ69" s="135"/>
    </row>
    <row r="70" ht="22.5" hidden="1" customHeight="1">
      <c r="A70" s="110" t="str">
        <f>'利用者'!A78</f>
        <v/>
      </c>
      <c r="B70" s="111" t="str">
        <f>'利用者'!B78</f>
        <v/>
      </c>
      <c r="C70" s="132"/>
      <c r="D70" s="125"/>
      <c r="E70" s="125"/>
      <c r="F70" s="125"/>
      <c r="G70" s="125"/>
      <c r="H70" s="120"/>
      <c r="I70" s="120"/>
      <c r="J70" s="121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5"/>
      <c r="V70" s="125"/>
      <c r="W70" s="123">
        <f t="shared" si="1"/>
        <v>0</v>
      </c>
      <c r="X70" s="125"/>
      <c r="Y70" s="125"/>
      <c r="Z70" s="126">
        <f t="shared" si="2"/>
        <v>0</v>
      </c>
      <c r="AA70" s="136"/>
      <c r="AB70" s="101" t="s">
        <v>131</v>
      </c>
      <c r="AC70" s="128">
        <f t="shared" si="3"/>
        <v>0</v>
      </c>
      <c r="AD70" s="134"/>
      <c r="AE70" s="135"/>
      <c r="AF70" s="135"/>
      <c r="AG70" s="135"/>
      <c r="AH70" s="135"/>
      <c r="AI70" s="135"/>
      <c r="AJ70" s="135"/>
    </row>
    <row r="71" ht="22.5" hidden="1" customHeight="1">
      <c r="A71" s="110" t="str">
        <f>'利用者'!A79</f>
        <v/>
      </c>
      <c r="B71" s="111" t="str">
        <f>'利用者'!B79</f>
        <v/>
      </c>
      <c r="C71" s="132"/>
      <c r="D71" s="125"/>
      <c r="E71" s="125"/>
      <c r="F71" s="125"/>
      <c r="G71" s="125"/>
      <c r="H71" s="120"/>
      <c r="I71" s="120"/>
      <c r="J71" s="121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5"/>
      <c r="V71" s="125"/>
      <c r="W71" s="123">
        <f t="shared" si="1"/>
        <v>0</v>
      </c>
      <c r="X71" s="125"/>
      <c r="Y71" s="125"/>
      <c r="Z71" s="126">
        <f t="shared" si="2"/>
        <v>0</v>
      </c>
      <c r="AA71" s="136"/>
      <c r="AB71" s="101" t="s">
        <v>131</v>
      </c>
      <c r="AC71" s="128">
        <f t="shared" si="3"/>
        <v>0</v>
      </c>
      <c r="AD71" s="134"/>
      <c r="AE71" s="135"/>
      <c r="AF71" s="135"/>
      <c r="AG71" s="135"/>
      <c r="AH71" s="135"/>
      <c r="AI71" s="135"/>
      <c r="AJ71" s="135"/>
    </row>
    <row r="72" ht="22.5" hidden="1" customHeight="1">
      <c r="A72" s="110" t="str">
        <f>'利用者'!A80</f>
        <v/>
      </c>
      <c r="B72" s="111" t="str">
        <f>'利用者'!B80</f>
        <v/>
      </c>
      <c r="C72" s="132"/>
      <c r="D72" s="125"/>
      <c r="E72" s="125"/>
      <c r="F72" s="125"/>
      <c r="G72" s="125"/>
      <c r="H72" s="120"/>
      <c r="I72" s="120"/>
      <c r="J72" s="121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5"/>
      <c r="V72" s="125"/>
      <c r="W72" s="123">
        <f t="shared" si="1"/>
        <v>0</v>
      </c>
      <c r="X72" s="125"/>
      <c r="Y72" s="125"/>
      <c r="Z72" s="126">
        <f t="shared" si="2"/>
        <v>0</v>
      </c>
      <c r="AA72" s="136"/>
      <c r="AB72" s="101" t="s">
        <v>131</v>
      </c>
      <c r="AC72" s="128">
        <f t="shared" si="3"/>
        <v>0</v>
      </c>
      <c r="AD72" s="134"/>
      <c r="AE72" s="135"/>
      <c r="AF72" s="135"/>
      <c r="AG72" s="135"/>
      <c r="AH72" s="135"/>
      <c r="AI72" s="135"/>
      <c r="AJ72" s="135"/>
    </row>
    <row r="73" ht="22.5" hidden="1" customHeight="1">
      <c r="A73" s="110" t="str">
        <f>'利用者'!A81</f>
        <v/>
      </c>
      <c r="B73" s="111" t="str">
        <f>'利用者'!B81</f>
        <v/>
      </c>
      <c r="C73" s="132"/>
      <c r="D73" s="125"/>
      <c r="E73" s="125"/>
      <c r="F73" s="125"/>
      <c r="G73" s="125"/>
      <c r="H73" s="120"/>
      <c r="I73" s="120"/>
      <c r="J73" s="121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5"/>
      <c r="V73" s="125"/>
      <c r="W73" s="123">
        <f t="shared" si="1"/>
        <v>0</v>
      </c>
      <c r="X73" s="125"/>
      <c r="Y73" s="125"/>
      <c r="Z73" s="126">
        <f t="shared" si="2"/>
        <v>0</v>
      </c>
      <c r="AA73" s="136"/>
      <c r="AB73" s="101" t="s">
        <v>131</v>
      </c>
      <c r="AC73" s="128">
        <f t="shared" si="3"/>
        <v>0</v>
      </c>
      <c r="AD73" s="134"/>
      <c r="AE73" s="135"/>
      <c r="AF73" s="135"/>
      <c r="AG73" s="135"/>
      <c r="AH73" s="135"/>
      <c r="AI73" s="135"/>
      <c r="AJ73" s="135"/>
    </row>
    <row r="74" ht="22.5" hidden="1" customHeight="1">
      <c r="A74" s="110" t="str">
        <f>'利用者'!A82</f>
        <v/>
      </c>
      <c r="B74" s="111" t="str">
        <f>'利用者'!B82</f>
        <v/>
      </c>
      <c r="C74" s="132"/>
      <c r="D74" s="125"/>
      <c r="E74" s="125"/>
      <c r="F74" s="125"/>
      <c r="G74" s="125"/>
      <c r="H74" s="120"/>
      <c r="I74" s="120"/>
      <c r="J74" s="121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5"/>
      <c r="V74" s="125"/>
      <c r="W74" s="123">
        <f t="shared" si="1"/>
        <v>0</v>
      </c>
      <c r="X74" s="125"/>
      <c r="Y74" s="125"/>
      <c r="Z74" s="126">
        <f t="shared" si="2"/>
        <v>0</v>
      </c>
      <c r="AA74" s="136"/>
      <c r="AB74" s="101" t="s">
        <v>131</v>
      </c>
      <c r="AC74" s="128">
        <f t="shared" si="3"/>
        <v>0</v>
      </c>
      <c r="AD74" s="134"/>
      <c r="AE74" s="135"/>
      <c r="AF74" s="135"/>
      <c r="AG74" s="135"/>
      <c r="AH74" s="135"/>
      <c r="AI74" s="135"/>
      <c r="AJ74" s="135"/>
    </row>
    <row r="75" ht="22.5" hidden="1" customHeight="1">
      <c r="A75" s="110" t="str">
        <f>'利用者'!A83</f>
        <v/>
      </c>
      <c r="B75" s="111" t="str">
        <f>'利用者'!B83</f>
        <v/>
      </c>
      <c r="C75" s="132"/>
      <c r="D75" s="125"/>
      <c r="E75" s="125"/>
      <c r="F75" s="125"/>
      <c r="G75" s="125"/>
      <c r="H75" s="120"/>
      <c r="I75" s="120"/>
      <c r="J75" s="121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5"/>
      <c r="V75" s="125"/>
      <c r="W75" s="123">
        <f t="shared" si="1"/>
        <v>0</v>
      </c>
      <c r="X75" s="125"/>
      <c r="Y75" s="125"/>
      <c r="Z75" s="126">
        <f t="shared" si="2"/>
        <v>0</v>
      </c>
      <c r="AA75" s="136"/>
      <c r="AB75" s="101" t="s">
        <v>131</v>
      </c>
      <c r="AC75" s="128">
        <f t="shared" si="3"/>
        <v>0</v>
      </c>
      <c r="AD75" s="134"/>
      <c r="AE75" s="135"/>
      <c r="AF75" s="135"/>
      <c r="AG75" s="135"/>
      <c r="AH75" s="135"/>
      <c r="AI75" s="135"/>
      <c r="AJ75" s="135"/>
    </row>
    <row r="76" ht="22.5" hidden="1" customHeight="1">
      <c r="A76" s="110" t="str">
        <f>'利用者'!A84</f>
        <v/>
      </c>
      <c r="B76" s="111" t="str">
        <f>'利用者'!B84</f>
        <v/>
      </c>
      <c r="C76" s="132"/>
      <c r="D76" s="125"/>
      <c r="E76" s="125"/>
      <c r="F76" s="125"/>
      <c r="G76" s="125"/>
      <c r="H76" s="120"/>
      <c r="I76" s="120"/>
      <c r="J76" s="121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5"/>
      <c r="V76" s="125"/>
      <c r="W76" s="123">
        <f t="shared" si="1"/>
        <v>0</v>
      </c>
      <c r="X76" s="125"/>
      <c r="Y76" s="125"/>
      <c r="Z76" s="126">
        <f t="shared" si="2"/>
        <v>0</v>
      </c>
      <c r="AA76" s="136"/>
      <c r="AB76" s="101" t="s">
        <v>131</v>
      </c>
      <c r="AC76" s="128">
        <f t="shared" si="3"/>
        <v>0</v>
      </c>
      <c r="AD76" s="134"/>
      <c r="AE76" s="135"/>
      <c r="AF76" s="135"/>
      <c r="AG76" s="135"/>
      <c r="AH76" s="135"/>
      <c r="AI76" s="135"/>
      <c r="AJ76" s="135"/>
    </row>
    <row r="77" ht="22.5" hidden="1" customHeight="1">
      <c r="A77" s="110" t="str">
        <f>'利用者'!A85</f>
        <v/>
      </c>
      <c r="B77" s="111" t="str">
        <f>'利用者'!B85</f>
        <v/>
      </c>
      <c r="C77" s="132"/>
      <c r="D77" s="125"/>
      <c r="E77" s="125"/>
      <c r="F77" s="125"/>
      <c r="G77" s="125"/>
      <c r="H77" s="120"/>
      <c r="I77" s="120"/>
      <c r="J77" s="121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5"/>
      <c r="V77" s="125"/>
      <c r="W77" s="123">
        <f t="shared" si="1"/>
        <v>0</v>
      </c>
      <c r="X77" s="125"/>
      <c r="Y77" s="125"/>
      <c r="Z77" s="126">
        <f t="shared" si="2"/>
        <v>0</v>
      </c>
      <c r="AA77" s="136"/>
      <c r="AB77" s="101" t="s">
        <v>131</v>
      </c>
      <c r="AC77" s="128">
        <f t="shared" si="3"/>
        <v>0</v>
      </c>
      <c r="AD77" s="134"/>
      <c r="AE77" s="135"/>
      <c r="AF77" s="135"/>
      <c r="AG77" s="135"/>
      <c r="AH77" s="135"/>
      <c r="AI77" s="135"/>
      <c r="AJ77" s="135"/>
    </row>
    <row r="78" ht="22.5" hidden="1" customHeight="1">
      <c r="A78" s="110" t="str">
        <f>'利用者'!A86</f>
        <v/>
      </c>
      <c r="B78" s="111" t="str">
        <f>'利用者'!B86</f>
        <v/>
      </c>
      <c r="C78" s="132"/>
      <c r="D78" s="125"/>
      <c r="E78" s="125"/>
      <c r="F78" s="125"/>
      <c r="G78" s="125"/>
      <c r="H78" s="120"/>
      <c r="I78" s="120"/>
      <c r="J78" s="121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5"/>
      <c r="V78" s="125"/>
      <c r="W78" s="123">
        <f t="shared" si="1"/>
        <v>0</v>
      </c>
      <c r="X78" s="125"/>
      <c r="Y78" s="125"/>
      <c r="Z78" s="126">
        <f t="shared" si="2"/>
        <v>0</v>
      </c>
      <c r="AA78" s="136"/>
      <c r="AB78" s="101" t="s">
        <v>131</v>
      </c>
      <c r="AC78" s="128">
        <f t="shared" si="3"/>
        <v>0</v>
      </c>
      <c r="AD78" s="134"/>
      <c r="AE78" s="135"/>
      <c r="AF78" s="135"/>
      <c r="AG78" s="135"/>
      <c r="AH78" s="135"/>
      <c r="AI78" s="135"/>
      <c r="AJ78" s="135"/>
    </row>
    <row r="79" ht="22.5" hidden="1" customHeight="1">
      <c r="A79" s="110" t="str">
        <f>'利用者'!A87</f>
        <v/>
      </c>
      <c r="B79" s="111" t="str">
        <f>'利用者'!B87</f>
        <v/>
      </c>
      <c r="C79" s="132"/>
      <c r="D79" s="125"/>
      <c r="E79" s="125"/>
      <c r="F79" s="125"/>
      <c r="G79" s="125"/>
      <c r="H79" s="120"/>
      <c r="I79" s="120"/>
      <c r="J79" s="121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5"/>
      <c r="V79" s="125"/>
      <c r="W79" s="123">
        <f t="shared" si="1"/>
        <v>0</v>
      </c>
      <c r="X79" s="125"/>
      <c r="Y79" s="125"/>
      <c r="Z79" s="126">
        <f t="shared" si="2"/>
        <v>0</v>
      </c>
      <c r="AA79" s="136"/>
      <c r="AB79" s="101" t="s">
        <v>131</v>
      </c>
      <c r="AC79" s="128">
        <f t="shared" si="3"/>
        <v>0</v>
      </c>
      <c r="AD79" s="134"/>
      <c r="AE79" s="135"/>
      <c r="AF79" s="135"/>
      <c r="AG79" s="135"/>
      <c r="AH79" s="135"/>
      <c r="AI79" s="135"/>
      <c r="AJ79" s="135"/>
    </row>
    <row r="80" ht="22.5" hidden="1" customHeight="1">
      <c r="A80" s="110" t="str">
        <f>'利用者'!A88</f>
        <v/>
      </c>
      <c r="B80" s="111" t="str">
        <f>'利用者'!B88</f>
        <v/>
      </c>
      <c r="C80" s="132"/>
      <c r="D80" s="125"/>
      <c r="E80" s="125"/>
      <c r="F80" s="125"/>
      <c r="G80" s="125"/>
      <c r="H80" s="120"/>
      <c r="I80" s="120"/>
      <c r="J80" s="121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5"/>
      <c r="V80" s="125"/>
      <c r="W80" s="123">
        <f t="shared" si="1"/>
        <v>0</v>
      </c>
      <c r="X80" s="125"/>
      <c r="Y80" s="125"/>
      <c r="Z80" s="126">
        <f t="shared" si="2"/>
        <v>0</v>
      </c>
      <c r="AA80" s="136"/>
      <c r="AB80" s="101" t="s">
        <v>131</v>
      </c>
      <c r="AC80" s="128">
        <f t="shared" si="3"/>
        <v>0</v>
      </c>
      <c r="AD80" s="134"/>
      <c r="AE80" s="135"/>
      <c r="AF80" s="135"/>
      <c r="AG80" s="135"/>
      <c r="AH80" s="135"/>
      <c r="AI80" s="135"/>
      <c r="AJ80" s="135"/>
    </row>
    <row r="81" ht="22.5" hidden="1" customHeight="1">
      <c r="A81" s="110" t="str">
        <f>'利用者'!A89</f>
        <v/>
      </c>
      <c r="B81" s="111" t="str">
        <f>'利用者'!B89</f>
        <v/>
      </c>
      <c r="C81" s="132"/>
      <c r="D81" s="125"/>
      <c r="E81" s="125"/>
      <c r="F81" s="125"/>
      <c r="G81" s="125"/>
      <c r="H81" s="120"/>
      <c r="I81" s="120"/>
      <c r="J81" s="121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5"/>
      <c r="V81" s="125"/>
      <c r="W81" s="123">
        <f t="shared" si="1"/>
        <v>0</v>
      </c>
      <c r="X81" s="125"/>
      <c r="Y81" s="125"/>
      <c r="Z81" s="126">
        <f t="shared" si="2"/>
        <v>0</v>
      </c>
      <c r="AA81" s="136"/>
      <c r="AB81" s="101" t="s">
        <v>131</v>
      </c>
      <c r="AC81" s="128">
        <f t="shared" si="3"/>
        <v>0</v>
      </c>
      <c r="AD81" s="134"/>
      <c r="AE81" s="135"/>
      <c r="AF81" s="135"/>
      <c r="AG81" s="135"/>
      <c r="AH81" s="135"/>
      <c r="AI81" s="135"/>
      <c r="AJ81" s="135"/>
    </row>
    <row r="82" ht="22.5" hidden="1" customHeight="1">
      <c r="A82" s="110" t="str">
        <f>'利用者'!A90</f>
        <v/>
      </c>
      <c r="B82" s="111" t="str">
        <f>'利用者'!B90</f>
        <v/>
      </c>
      <c r="C82" s="132"/>
      <c r="D82" s="125"/>
      <c r="E82" s="125"/>
      <c r="F82" s="125"/>
      <c r="G82" s="125"/>
      <c r="H82" s="120"/>
      <c r="I82" s="120"/>
      <c r="J82" s="121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5"/>
      <c r="V82" s="125"/>
      <c r="W82" s="123">
        <f t="shared" si="1"/>
        <v>0</v>
      </c>
      <c r="X82" s="125"/>
      <c r="Y82" s="125"/>
      <c r="Z82" s="126">
        <f t="shared" si="2"/>
        <v>0</v>
      </c>
      <c r="AA82" s="136"/>
      <c r="AB82" s="101" t="s">
        <v>131</v>
      </c>
      <c r="AC82" s="128">
        <f t="shared" si="3"/>
        <v>0</v>
      </c>
      <c r="AD82" s="134"/>
      <c r="AE82" s="135"/>
      <c r="AF82" s="135"/>
      <c r="AG82" s="135"/>
      <c r="AH82" s="135"/>
      <c r="AI82" s="135"/>
      <c r="AJ82" s="135"/>
    </row>
    <row r="83" ht="22.5" hidden="1" customHeight="1">
      <c r="A83" s="110" t="str">
        <f>'利用者'!A91</f>
        <v/>
      </c>
      <c r="B83" s="111" t="str">
        <f>'利用者'!B91</f>
        <v/>
      </c>
      <c r="C83" s="132"/>
      <c r="D83" s="125"/>
      <c r="E83" s="125"/>
      <c r="F83" s="125"/>
      <c r="G83" s="125"/>
      <c r="H83" s="120"/>
      <c r="I83" s="120"/>
      <c r="J83" s="12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5"/>
      <c r="V83" s="125"/>
      <c r="W83" s="123">
        <f t="shared" si="1"/>
        <v>0</v>
      </c>
      <c r="X83" s="125"/>
      <c r="Y83" s="125"/>
      <c r="Z83" s="126">
        <f t="shared" si="2"/>
        <v>0</v>
      </c>
      <c r="AA83" s="136"/>
      <c r="AB83" s="101" t="s">
        <v>131</v>
      </c>
      <c r="AC83" s="128">
        <f t="shared" si="3"/>
        <v>0</v>
      </c>
      <c r="AD83" s="134"/>
      <c r="AE83" s="135"/>
      <c r="AF83" s="135"/>
      <c r="AG83" s="135"/>
      <c r="AH83" s="135"/>
      <c r="AI83" s="135"/>
      <c r="AJ83" s="135"/>
    </row>
    <row r="84" ht="22.5" hidden="1" customHeight="1">
      <c r="A84" s="110" t="str">
        <f>'利用者'!A92</f>
        <v/>
      </c>
      <c r="B84" s="111" t="str">
        <f>'利用者'!B92</f>
        <v/>
      </c>
      <c r="C84" s="132"/>
      <c r="D84" s="125"/>
      <c r="E84" s="125"/>
      <c r="F84" s="125"/>
      <c r="G84" s="125"/>
      <c r="H84" s="120"/>
      <c r="I84" s="120"/>
      <c r="J84" s="121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5"/>
      <c r="V84" s="125"/>
      <c r="W84" s="123">
        <f t="shared" si="1"/>
        <v>0</v>
      </c>
      <c r="X84" s="125"/>
      <c r="Y84" s="125"/>
      <c r="Z84" s="126">
        <f t="shared" si="2"/>
        <v>0</v>
      </c>
      <c r="AA84" s="136"/>
      <c r="AB84" s="101" t="s">
        <v>131</v>
      </c>
      <c r="AC84" s="128">
        <f t="shared" si="3"/>
        <v>0</v>
      </c>
      <c r="AD84" s="134"/>
      <c r="AE84" s="135"/>
      <c r="AF84" s="135"/>
      <c r="AG84" s="135"/>
      <c r="AH84" s="135"/>
      <c r="AI84" s="135"/>
      <c r="AJ84" s="135"/>
    </row>
    <row r="85" ht="22.5" hidden="1" customHeight="1">
      <c r="A85" s="110" t="str">
        <f>'利用者'!A93</f>
        <v/>
      </c>
      <c r="B85" s="111" t="str">
        <f>'利用者'!B93</f>
        <v/>
      </c>
      <c r="C85" s="132"/>
      <c r="D85" s="125"/>
      <c r="E85" s="125"/>
      <c r="F85" s="125"/>
      <c r="G85" s="125"/>
      <c r="H85" s="120"/>
      <c r="I85" s="120"/>
      <c r="J85" s="121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5"/>
      <c r="V85" s="125"/>
      <c r="W85" s="123">
        <f t="shared" si="1"/>
        <v>0</v>
      </c>
      <c r="X85" s="125"/>
      <c r="Y85" s="125"/>
      <c r="Z85" s="126">
        <f t="shared" si="2"/>
        <v>0</v>
      </c>
      <c r="AA85" s="136"/>
      <c r="AB85" s="101" t="s">
        <v>131</v>
      </c>
      <c r="AC85" s="128">
        <f t="shared" si="3"/>
        <v>0</v>
      </c>
      <c r="AD85" s="134"/>
      <c r="AE85" s="135"/>
      <c r="AF85" s="135"/>
      <c r="AG85" s="135"/>
      <c r="AH85" s="135"/>
      <c r="AI85" s="135"/>
      <c r="AJ85" s="135"/>
    </row>
    <row r="86" ht="22.5" hidden="1" customHeight="1">
      <c r="A86" s="110" t="str">
        <f>'利用者'!A94</f>
        <v/>
      </c>
      <c r="B86" s="111" t="str">
        <f>'利用者'!B94</f>
        <v/>
      </c>
      <c r="C86" s="132"/>
      <c r="D86" s="125"/>
      <c r="E86" s="125"/>
      <c r="F86" s="125"/>
      <c r="G86" s="125"/>
      <c r="H86" s="120"/>
      <c r="I86" s="120"/>
      <c r="J86" s="121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5"/>
      <c r="V86" s="125"/>
      <c r="W86" s="123">
        <f t="shared" si="1"/>
        <v>0</v>
      </c>
      <c r="X86" s="125"/>
      <c r="Y86" s="125"/>
      <c r="Z86" s="126">
        <f t="shared" si="2"/>
        <v>0</v>
      </c>
      <c r="AA86" s="136"/>
      <c r="AB86" s="101" t="s">
        <v>131</v>
      </c>
      <c r="AC86" s="128">
        <f t="shared" si="3"/>
        <v>0</v>
      </c>
      <c r="AD86" s="134"/>
      <c r="AE86" s="135"/>
      <c r="AF86" s="135"/>
      <c r="AG86" s="135"/>
      <c r="AH86" s="135"/>
      <c r="AI86" s="135"/>
      <c r="AJ86" s="135"/>
    </row>
    <row r="87" ht="22.5" hidden="1" customHeight="1">
      <c r="A87" s="110" t="str">
        <f>'利用者'!A95</f>
        <v/>
      </c>
      <c r="B87" s="111" t="str">
        <f>'利用者'!B95</f>
        <v/>
      </c>
      <c r="C87" s="132"/>
      <c r="D87" s="125"/>
      <c r="E87" s="125"/>
      <c r="F87" s="125"/>
      <c r="G87" s="125"/>
      <c r="H87" s="120"/>
      <c r="I87" s="120"/>
      <c r="J87" s="121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5"/>
      <c r="V87" s="125"/>
      <c r="W87" s="123">
        <f t="shared" si="1"/>
        <v>0</v>
      </c>
      <c r="X87" s="125"/>
      <c r="Y87" s="125"/>
      <c r="Z87" s="126">
        <f t="shared" si="2"/>
        <v>0</v>
      </c>
      <c r="AA87" s="136"/>
      <c r="AB87" s="101" t="s">
        <v>131</v>
      </c>
      <c r="AC87" s="128">
        <f t="shared" si="3"/>
        <v>0</v>
      </c>
      <c r="AD87" s="134"/>
      <c r="AE87" s="135"/>
      <c r="AF87" s="135"/>
      <c r="AG87" s="135"/>
      <c r="AH87" s="135"/>
      <c r="AI87" s="135"/>
      <c r="AJ87" s="135"/>
    </row>
    <row r="88" ht="22.5" hidden="1" customHeight="1">
      <c r="A88" s="110" t="str">
        <f>'利用者'!A96</f>
        <v/>
      </c>
      <c r="B88" s="111" t="str">
        <f>'利用者'!B96</f>
        <v/>
      </c>
      <c r="C88" s="132"/>
      <c r="D88" s="125"/>
      <c r="E88" s="125"/>
      <c r="F88" s="125"/>
      <c r="G88" s="125"/>
      <c r="H88" s="120"/>
      <c r="I88" s="120"/>
      <c r="J88" s="121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5"/>
      <c r="V88" s="125"/>
      <c r="W88" s="123">
        <f t="shared" si="1"/>
        <v>0</v>
      </c>
      <c r="X88" s="125"/>
      <c r="Y88" s="125"/>
      <c r="Z88" s="126">
        <f t="shared" si="2"/>
        <v>0</v>
      </c>
      <c r="AA88" s="136"/>
      <c r="AB88" s="101" t="s">
        <v>131</v>
      </c>
      <c r="AC88" s="128">
        <f t="shared" si="3"/>
        <v>0</v>
      </c>
      <c r="AD88" s="134"/>
      <c r="AE88" s="135"/>
      <c r="AF88" s="135"/>
      <c r="AG88" s="135"/>
      <c r="AH88" s="135"/>
      <c r="AI88" s="135"/>
      <c r="AJ88" s="135"/>
    </row>
    <row r="89" ht="22.5" hidden="1" customHeight="1">
      <c r="A89" s="110" t="str">
        <f>'利用者'!A97</f>
        <v/>
      </c>
      <c r="B89" s="111" t="str">
        <f>'利用者'!B97</f>
        <v/>
      </c>
      <c r="C89" s="132"/>
      <c r="D89" s="125"/>
      <c r="E89" s="125"/>
      <c r="F89" s="125"/>
      <c r="G89" s="125"/>
      <c r="H89" s="120"/>
      <c r="I89" s="120"/>
      <c r="J89" s="12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5"/>
      <c r="V89" s="125"/>
      <c r="W89" s="123">
        <f t="shared" si="1"/>
        <v>0</v>
      </c>
      <c r="X89" s="125"/>
      <c r="Y89" s="125"/>
      <c r="Z89" s="126">
        <f t="shared" si="2"/>
        <v>0</v>
      </c>
      <c r="AA89" s="136"/>
      <c r="AB89" s="101" t="s">
        <v>131</v>
      </c>
      <c r="AC89" s="128">
        <f t="shared" si="3"/>
        <v>0</v>
      </c>
      <c r="AD89" s="134"/>
      <c r="AE89" s="135"/>
      <c r="AF89" s="135"/>
      <c r="AG89" s="135"/>
      <c r="AH89" s="135"/>
      <c r="AI89" s="135"/>
      <c r="AJ89" s="135"/>
    </row>
    <row r="90" ht="22.5" hidden="1" customHeight="1">
      <c r="A90" s="110" t="str">
        <f>'利用者'!A98</f>
        <v/>
      </c>
      <c r="B90" s="111" t="str">
        <f>'利用者'!B98</f>
        <v/>
      </c>
      <c r="C90" s="132"/>
      <c r="D90" s="125"/>
      <c r="E90" s="125"/>
      <c r="F90" s="125"/>
      <c r="G90" s="125"/>
      <c r="H90" s="120"/>
      <c r="I90" s="120"/>
      <c r="J90" s="121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5"/>
      <c r="V90" s="125"/>
      <c r="W90" s="123">
        <f t="shared" si="1"/>
        <v>0</v>
      </c>
      <c r="X90" s="125"/>
      <c r="Y90" s="125"/>
      <c r="Z90" s="126">
        <f t="shared" si="2"/>
        <v>0</v>
      </c>
      <c r="AA90" s="136"/>
      <c r="AB90" s="101" t="s">
        <v>131</v>
      </c>
      <c r="AC90" s="128">
        <f t="shared" si="3"/>
        <v>0</v>
      </c>
      <c r="AD90" s="134"/>
      <c r="AE90" s="135"/>
      <c r="AF90" s="135"/>
      <c r="AG90" s="135"/>
      <c r="AH90" s="135"/>
      <c r="AI90" s="135"/>
      <c r="AJ90" s="135"/>
    </row>
    <row r="91" ht="22.5" hidden="1" customHeight="1">
      <c r="A91" s="110" t="str">
        <f>'利用者'!A99</f>
        <v/>
      </c>
      <c r="B91" s="111" t="str">
        <f>'利用者'!B99</f>
        <v/>
      </c>
      <c r="C91" s="132"/>
      <c r="D91" s="125"/>
      <c r="E91" s="125"/>
      <c r="F91" s="125"/>
      <c r="G91" s="125"/>
      <c r="H91" s="120"/>
      <c r="I91" s="120"/>
      <c r="J91" s="121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5"/>
      <c r="V91" s="125"/>
      <c r="W91" s="123">
        <f t="shared" si="1"/>
        <v>0</v>
      </c>
      <c r="X91" s="125"/>
      <c r="Y91" s="125"/>
      <c r="Z91" s="126">
        <f t="shared" si="2"/>
        <v>0</v>
      </c>
      <c r="AA91" s="136"/>
      <c r="AB91" s="101" t="s">
        <v>131</v>
      </c>
      <c r="AC91" s="128">
        <f t="shared" si="3"/>
        <v>0</v>
      </c>
      <c r="AD91" s="134"/>
      <c r="AE91" s="135"/>
      <c r="AF91" s="135"/>
      <c r="AG91" s="135"/>
      <c r="AH91" s="135"/>
      <c r="AI91" s="135"/>
      <c r="AJ91" s="135"/>
    </row>
    <row r="92" ht="22.5" hidden="1" customHeight="1">
      <c r="A92" s="110" t="str">
        <f>'利用者'!A100</f>
        <v/>
      </c>
      <c r="B92" s="111" t="str">
        <f>'利用者'!B100</f>
        <v/>
      </c>
      <c r="C92" s="132"/>
      <c r="D92" s="125"/>
      <c r="E92" s="125"/>
      <c r="F92" s="125"/>
      <c r="G92" s="125"/>
      <c r="H92" s="120"/>
      <c r="I92" s="120"/>
      <c r="J92" s="121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5"/>
      <c r="V92" s="125"/>
      <c r="W92" s="123">
        <f t="shared" si="1"/>
        <v>0</v>
      </c>
      <c r="X92" s="125"/>
      <c r="Y92" s="125"/>
      <c r="Z92" s="126">
        <f t="shared" si="2"/>
        <v>0</v>
      </c>
      <c r="AA92" s="136"/>
      <c r="AB92" s="101" t="s">
        <v>131</v>
      </c>
      <c r="AC92" s="128">
        <f t="shared" si="3"/>
        <v>0</v>
      </c>
      <c r="AD92" s="134"/>
      <c r="AE92" s="135"/>
      <c r="AF92" s="135"/>
      <c r="AG92" s="135"/>
      <c r="AH92" s="135"/>
      <c r="AI92" s="135"/>
      <c r="AJ92" s="135"/>
    </row>
    <row r="93" ht="22.5" hidden="1" customHeight="1">
      <c r="A93" s="110" t="str">
        <f>'利用者'!A101</f>
        <v/>
      </c>
      <c r="B93" s="111" t="str">
        <f>'利用者'!B101</f>
        <v/>
      </c>
      <c r="C93" s="132"/>
      <c r="D93" s="125"/>
      <c r="E93" s="125"/>
      <c r="F93" s="125"/>
      <c r="G93" s="125"/>
      <c r="H93" s="120"/>
      <c r="I93" s="120"/>
      <c r="J93" s="121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5"/>
      <c r="V93" s="125"/>
      <c r="W93" s="123">
        <f t="shared" si="1"/>
        <v>0</v>
      </c>
      <c r="X93" s="125"/>
      <c r="Y93" s="125"/>
      <c r="Z93" s="126">
        <f t="shared" si="2"/>
        <v>0</v>
      </c>
      <c r="AA93" s="136"/>
      <c r="AB93" s="101" t="s">
        <v>131</v>
      </c>
      <c r="AC93" s="128">
        <f t="shared" si="3"/>
        <v>0</v>
      </c>
      <c r="AD93" s="134"/>
      <c r="AE93" s="135"/>
      <c r="AF93" s="135"/>
      <c r="AG93" s="135"/>
      <c r="AH93" s="135"/>
      <c r="AI93" s="135"/>
      <c r="AJ93" s="135"/>
    </row>
    <row r="94" ht="22.5" hidden="1" customHeight="1">
      <c r="A94" s="110" t="str">
        <f>'利用者'!A102</f>
        <v/>
      </c>
      <c r="B94" s="111" t="str">
        <f>'利用者'!B102</f>
        <v/>
      </c>
      <c r="C94" s="132"/>
      <c r="D94" s="125"/>
      <c r="E94" s="125"/>
      <c r="F94" s="125"/>
      <c r="G94" s="125"/>
      <c r="H94" s="120"/>
      <c r="I94" s="120"/>
      <c r="J94" s="121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5"/>
      <c r="V94" s="125"/>
      <c r="W94" s="123">
        <f t="shared" si="1"/>
        <v>0</v>
      </c>
      <c r="X94" s="125"/>
      <c r="Y94" s="125"/>
      <c r="Z94" s="126">
        <f t="shared" si="2"/>
        <v>0</v>
      </c>
      <c r="AA94" s="136"/>
      <c r="AB94" s="101" t="s">
        <v>131</v>
      </c>
      <c r="AC94" s="128">
        <f t="shared" si="3"/>
        <v>0</v>
      </c>
      <c r="AD94" s="134"/>
      <c r="AE94" s="135"/>
      <c r="AF94" s="135"/>
      <c r="AG94" s="135"/>
      <c r="AH94" s="135"/>
      <c r="AI94" s="135"/>
      <c r="AJ94" s="135"/>
    </row>
    <row r="95" ht="22.5" hidden="1" customHeight="1">
      <c r="A95" s="110" t="str">
        <f>'利用者'!A103</f>
        <v/>
      </c>
      <c r="B95" s="111" t="str">
        <f>'利用者'!B103</f>
        <v/>
      </c>
      <c r="C95" s="132"/>
      <c r="D95" s="125"/>
      <c r="E95" s="125"/>
      <c r="F95" s="125"/>
      <c r="G95" s="125"/>
      <c r="H95" s="120"/>
      <c r="I95" s="120"/>
      <c r="J95" s="121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5"/>
      <c r="V95" s="125"/>
      <c r="W95" s="123">
        <f t="shared" si="1"/>
        <v>0</v>
      </c>
      <c r="X95" s="125"/>
      <c r="Y95" s="125"/>
      <c r="Z95" s="126">
        <f t="shared" si="2"/>
        <v>0</v>
      </c>
      <c r="AA95" s="136"/>
      <c r="AB95" s="101" t="s">
        <v>131</v>
      </c>
      <c r="AC95" s="128">
        <f t="shared" si="3"/>
        <v>0</v>
      </c>
      <c r="AD95" s="134"/>
      <c r="AE95" s="135"/>
      <c r="AF95" s="135"/>
      <c r="AG95" s="135"/>
      <c r="AH95" s="135"/>
      <c r="AI95" s="135"/>
      <c r="AJ95" s="135"/>
    </row>
    <row r="96" ht="22.5" hidden="1" customHeight="1">
      <c r="A96" s="110" t="str">
        <f>'利用者'!A104</f>
        <v/>
      </c>
      <c r="B96" s="111" t="str">
        <f>'利用者'!B104</f>
        <v/>
      </c>
      <c r="C96" s="132"/>
      <c r="D96" s="125"/>
      <c r="E96" s="125"/>
      <c r="F96" s="125"/>
      <c r="G96" s="125"/>
      <c r="H96" s="120"/>
      <c r="I96" s="120"/>
      <c r="J96" s="121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5"/>
      <c r="V96" s="125"/>
      <c r="W96" s="123">
        <f t="shared" si="1"/>
        <v>0</v>
      </c>
      <c r="X96" s="125"/>
      <c r="Y96" s="125"/>
      <c r="Z96" s="126">
        <f t="shared" si="2"/>
        <v>0</v>
      </c>
      <c r="AA96" s="136"/>
      <c r="AB96" s="101" t="s">
        <v>131</v>
      </c>
      <c r="AC96" s="128">
        <f t="shared" si="3"/>
        <v>0</v>
      </c>
      <c r="AD96" s="134"/>
      <c r="AE96" s="135"/>
      <c r="AF96" s="135"/>
      <c r="AG96" s="135"/>
      <c r="AH96" s="135"/>
      <c r="AI96" s="135"/>
      <c r="AJ96" s="135"/>
    </row>
    <row r="97" ht="22.5" hidden="1" customHeight="1">
      <c r="A97" s="110" t="str">
        <f>'利用者'!A105</f>
        <v/>
      </c>
      <c r="B97" s="111" t="str">
        <f>'利用者'!B105</f>
        <v/>
      </c>
      <c r="C97" s="132"/>
      <c r="D97" s="125"/>
      <c r="E97" s="125"/>
      <c r="F97" s="125"/>
      <c r="G97" s="125"/>
      <c r="H97" s="120"/>
      <c r="I97" s="120"/>
      <c r="J97" s="121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5"/>
      <c r="V97" s="125"/>
      <c r="W97" s="123">
        <f t="shared" si="1"/>
        <v>0</v>
      </c>
      <c r="X97" s="125"/>
      <c r="Y97" s="125"/>
      <c r="Z97" s="126">
        <f t="shared" si="2"/>
        <v>0</v>
      </c>
      <c r="AA97" s="136"/>
      <c r="AB97" s="101" t="s">
        <v>131</v>
      </c>
      <c r="AC97" s="128">
        <f t="shared" si="3"/>
        <v>0</v>
      </c>
      <c r="AD97" s="134"/>
      <c r="AE97" s="135"/>
      <c r="AF97" s="135"/>
      <c r="AG97" s="135"/>
      <c r="AH97" s="135"/>
      <c r="AI97" s="135"/>
      <c r="AJ97" s="135"/>
    </row>
    <row r="98" ht="22.5" hidden="1" customHeight="1">
      <c r="A98" s="110" t="str">
        <f>'利用者'!A106</f>
        <v/>
      </c>
      <c r="B98" s="111" t="str">
        <f>'利用者'!B106</f>
        <v/>
      </c>
      <c r="C98" s="132"/>
      <c r="D98" s="125"/>
      <c r="E98" s="125"/>
      <c r="F98" s="125"/>
      <c r="G98" s="125"/>
      <c r="H98" s="120"/>
      <c r="I98" s="120"/>
      <c r="J98" s="12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5"/>
      <c r="V98" s="125"/>
      <c r="W98" s="123">
        <f t="shared" si="1"/>
        <v>0</v>
      </c>
      <c r="X98" s="125"/>
      <c r="Y98" s="125"/>
      <c r="Z98" s="126">
        <f t="shared" si="2"/>
        <v>0</v>
      </c>
      <c r="AA98" s="136"/>
      <c r="AB98" s="101" t="s">
        <v>131</v>
      </c>
      <c r="AC98" s="128">
        <f t="shared" si="3"/>
        <v>0</v>
      </c>
      <c r="AD98" s="134"/>
      <c r="AE98" s="135"/>
      <c r="AF98" s="135"/>
      <c r="AG98" s="135"/>
      <c r="AH98" s="135"/>
      <c r="AI98" s="135"/>
      <c r="AJ98" s="135"/>
    </row>
    <row r="99" ht="22.5" hidden="1" customHeight="1">
      <c r="A99" s="110" t="str">
        <f>'利用者'!A107</f>
        <v/>
      </c>
      <c r="B99" s="111" t="str">
        <f>'利用者'!B107</f>
        <v/>
      </c>
      <c r="C99" s="132"/>
      <c r="D99" s="125"/>
      <c r="E99" s="125"/>
      <c r="F99" s="125"/>
      <c r="G99" s="125"/>
      <c r="H99" s="120"/>
      <c r="I99" s="120"/>
      <c r="J99" s="121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5"/>
      <c r="V99" s="125"/>
      <c r="W99" s="123">
        <f t="shared" si="1"/>
        <v>0</v>
      </c>
      <c r="X99" s="125"/>
      <c r="Y99" s="125"/>
      <c r="Z99" s="126">
        <f t="shared" si="2"/>
        <v>0</v>
      </c>
      <c r="AA99" s="136"/>
      <c r="AB99" s="101" t="s">
        <v>131</v>
      </c>
      <c r="AC99" s="128">
        <f t="shared" si="3"/>
        <v>0</v>
      </c>
      <c r="AD99" s="134"/>
      <c r="AE99" s="135"/>
      <c r="AF99" s="135"/>
      <c r="AG99" s="135"/>
      <c r="AH99" s="135"/>
      <c r="AI99" s="135"/>
      <c r="AJ99" s="135"/>
    </row>
    <row r="100" ht="22.5" hidden="1" customHeight="1">
      <c r="A100" s="110" t="str">
        <f>'利用者'!A108</f>
        <v>210✕</v>
      </c>
      <c r="B100" s="111" t="str">
        <f>'利用者'!B108</f>
        <v>北村繁弘</v>
      </c>
      <c r="C100" s="132"/>
      <c r="D100" s="125"/>
      <c r="E100" s="125"/>
      <c r="F100" s="125"/>
      <c r="G100" s="125"/>
      <c r="H100" s="120"/>
      <c r="I100" s="120"/>
      <c r="J100" s="12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5"/>
      <c r="V100" s="125"/>
      <c r="W100" s="123">
        <f t="shared" si="1"/>
        <v>0</v>
      </c>
      <c r="X100" s="125"/>
      <c r="Y100" s="125"/>
      <c r="Z100" s="126">
        <f t="shared" si="2"/>
        <v>0</v>
      </c>
      <c r="AA100" s="136"/>
      <c r="AB100" s="101" t="s">
        <v>131</v>
      </c>
      <c r="AC100" s="128">
        <f t="shared" si="3"/>
        <v>0</v>
      </c>
      <c r="AD100" s="134"/>
      <c r="AE100" s="135"/>
      <c r="AF100" s="135"/>
      <c r="AG100" s="135"/>
      <c r="AH100" s="135"/>
      <c r="AI100" s="135"/>
      <c r="AJ100" s="135"/>
    </row>
    <row r="101" ht="22.5" hidden="1" customHeight="1">
      <c r="A101" s="110" t="str">
        <f>'利用者'!A109</f>
        <v>211✕</v>
      </c>
      <c r="B101" s="111" t="str">
        <f>'利用者'!B109</f>
        <v>鈴木信子</v>
      </c>
      <c r="C101" s="132"/>
      <c r="D101" s="125"/>
      <c r="E101" s="125"/>
      <c r="F101" s="125"/>
      <c r="G101" s="125"/>
      <c r="H101" s="120"/>
      <c r="I101" s="120"/>
      <c r="J101" s="12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5"/>
      <c r="V101" s="125"/>
      <c r="W101" s="123">
        <f t="shared" si="1"/>
        <v>0</v>
      </c>
      <c r="X101" s="125"/>
      <c r="Y101" s="125"/>
      <c r="Z101" s="126">
        <f t="shared" si="2"/>
        <v>0</v>
      </c>
      <c r="AA101" s="136"/>
      <c r="AB101" s="101" t="s">
        <v>131</v>
      </c>
      <c r="AC101" s="128">
        <f t="shared" si="3"/>
        <v>0</v>
      </c>
      <c r="AD101" s="134"/>
      <c r="AE101" s="135"/>
      <c r="AF101" s="135"/>
      <c r="AG101" s="135"/>
      <c r="AH101" s="135"/>
      <c r="AI101" s="135"/>
      <c r="AJ101" s="135"/>
    </row>
    <row r="102" ht="22.5" hidden="1" customHeight="1">
      <c r="A102" s="110" t="str">
        <f>'利用者'!A110</f>
        <v/>
      </c>
      <c r="B102" s="111" t="str">
        <f>'利用者'!B110</f>
        <v/>
      </c>
      <c r="C102" s="132"/>
      <c r="D102" s="125"/>
      <c r="E102" s="125"/>
      <c r="F102" s="125"/>
      <c r="G102" s="125"/>
      <c r="H102" s="120"/>
      <c r="I102" s="120"/>
      <c r="J102" s="121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5"/>
      <c r="V102" s="125"/>
      <c r="W102" s="123">
        <f t="shared" si="1"/>
        <v>0</v>
      </c>
      <c r="X102" s="125"/>
      <c r="Y102" s="125"/>
      <c r="Z102" s="126">
        <f t="shared" si="2"/>
        <v>0</v>
      </c>
      <c r="AA102" s="136"/>
      <c r="AB102" s="101" t="s">
        <v>131</v>
      </c>
      <c r="AC102" s="128">
        <f t="shared" si="3"/>
        <v>0</v>
      </c>
      <c r="AD102" s="134"/>
      <c r="AE102" s="135"/>
      <c r="AF102" s="135"/>
      <c r="AG102" s="135"/>
      <c r="AH102" s="135"/>
      <c r="AI102" s="135"/>
      <c r="AJ102" s="135"/>
    </row>
    <row r="103" ht="22.5" hidden="1" customHeight="1">
      <c r="A103" s="110" t="str">
        <f>'利用者'!A111</f>
        <v/>
      </c>
      <c r="B103" s="111" t="str">
        <f>'利用者'!B111</f>
        <v/>
      </c>
      <c r="C103" s="132"/>
      <c r="D103" s="125"/>
      <c r="E103" s="125"/>
      <c r="F103" s="125"/>
      <c r="G103" s="125"/>
      <c r="H103" s="120"/>
      <c r="I103" s="120"/>
      <c r="J103" s="12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5"/>
      <c r="V103" s="125"/>
      <c r="W103" s="123">
        <f t="shared" si="1"/>
        <v>0</v>
      </c>
      <c r="X103" s="125"/>
      <c r="Y103" s="125"/>
      <c r="Z103" s="126">
        <f t="shared" si="2"/>
        <v>0</v>
      </c>
      <c r="AA103" s="136"/>
      <c r="AB103" s="101" t="s">
        <v>131</v>
      </c>
      <c r="AC103" s="128">
        <f t="shared" si="3"/>
        <v>0</v>
      </c>
      <c r="AD103" s="134"/>
      <c r="AE103" s="135"/>
      <c r="AF103" s="135"/>
      <c r="AG103" s="135"/>
      <c r="AH103" s="135"/>
      <c r="AI103" s="135"/>
      <c r="AJ103" s="135"/>
    </row>
    <row r="104" ht="22.5" hidden="1" customHeight="1">
      <c r="A104" s="110" t="str">
        <f>'利用者'!A112</f>
        <v/>
      </c>
      <c r="B104" s="111" t="str">
        <f>'利用者'!B112</f>
        <v/>
      </c>
      <c r="C104" s="132"/>
      <c r="D104" s="125"/>
      <c r="E104" s="125"/>
      <c r="F104" s="125"/>
      <c r="G104" s="125"/>
      <c r="H104" s="120"/>
      <c r="I104" s="120"/>
      <c r="J104" s="12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5"/>
      <c r="V104" s="125"/>
      <c r="W104" s="123">
        <f t="shared" si="1"/>
        <v>0</v>
      </c>
      <c r="X104" s="125"/>
      <c r="Y104" s="125"/>
      <c r="Z104" s="126">
        <f t="shared" si="2"/>
        <v>0</v>
      </c>
      <c r="AA104" s="136"/>
      <c r="AB104" s="101" t="s">
        <v>131</v>
      </c>
      <c r="AC104" s="128">
        <f t="shared" si="3"/>
        <v>0</v>
      </c>
      <c r="AD104" s="134"/>
      <c r="AE104" s="135"/>
      <c r="AF104" s="135"/>
      <c r="AG104" s="135"/>
      <c r="AH104" s="135"/>
      <c r="AI104" s="135"/>
      <c r="AJ104" s="135"/>
    </row>
    <row r="105" ht="22.5" hidden="1" customHeight="1">
      <c r="A105" s="110" t="str">
        <f>'利用者'!A113</f>
        <v/>
      </c>
      <c r="B105" s="111" t="str">
        <f>'利用者'!B113</f>
        <v/>
      </c>
      <c r="C105" s="132"/>
      <c r="D105" s="125"/>
      <c r="E105" s="125"/>
      <c r="F105" s="125"/>
      <c r="G105" s="125"/>
      <c r="H105" s="120"/>
      <c r="I105" s="120"/>
      <c r="J105" s="12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5"/>
      <c r="V105" s="125"/>
      <c r="W105" s="123">
        <f t="shared" si="1"/>
        <v>0</v>
      </c>
      <c r="X105" s="125"/>
      <c r="Y105" s="125"/>
      <c r="Z105" s="126">
        <f t="shared" si="2"/>
        <v>0</v>
      </c>
      <c r="AA105" s="136"/>
      <c r="AB105" s="101" t="s">
        <v>131</v>
      </c>
      <c r="AC105" s="128">
        <f t="shared" si="3"/>
        <v>0</v>
      </c>
      <c r="AD105" s="134"/>
      <c r="AE105" s="135"/>
      <c r="AF105" s="135"/>
      <c r="AG105" s="135"/>
      <c r="AH105" s="135"/>
      <c r="AI105" s="135"/>
      <c r="AJ105" s="135"/>
    </row>
    <row r="106" ht="22.5" hidden="1" customHeight="1">
      <c r="A106" s="110" t="str">
        <f>'利用者'!A114</f>
        <v/>
      </c>
      <c r="B106" s="111" t="str">
        <f>'利用者'!B114</f>
        <v/>
      </c>
      <c r="C106" s="132"/>
      <c r="D106" s="125"/>
      <c r="E106" s="125"/>
      <c r="F106" s="125"/>
      <c r="G106" s="125"/>
      <c r="H106" s="120"/>
      <c r="I106" s="120"/>
      <c r="J106" s="121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5"/>
      <c r="V106" s="125"/>
      <c r="W106" s="123">
        <f t="shared" si="1"/>
        <v>0</v>
      </c>
      <c r="X106" s="125"/>
      <c r="Y106" s="125"/>
      <c r="Z106" s="126">
        <f t="shared" si="2"/>
        <v>0</v>
      </c>
      <c r="AA106" s="136"/>
      <c r="AB106" s="101" t="s">
        <v>131</v>
      </c>
      <c r="AC106" s="128">
        <f t="shared" si="3"/>
        <v>0</v>
      </c>
      <c r="AD106" s="134"/>
      <c r="AE106" s="135"/>
      <c r="AF106" s="135"/>
      <c r="AG106" s="135"/>
      <c r="AH106" s="135"/>
      <c r="AI106" s="135"/>
      <c r="AJ106" s="135"/>
    </row>
    <row r="107" ht="22.5" hidden="1" customHeight="1">
      <c r="A107" s="110" t="str">
        <f>'利用者'!A115</f>
        <v/>
      </c>
      <c r="B107" s="111" t="str">
        <f>'利用者'!B115</f>
        <v/>
      </c>
      <c r="C107" s="132"/>
      <c r="D107" s="125"/>
      <c r="E107" s="125"/>
      <c r="F107" s="125"/>
      <c r="G107" s="125"/>
      <c r="H107" s="120"/>
      <c r="I107" s="120"/>
      <c r="J107" s="12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5"/>
      <c r="V107" s="125"/>
      <c r="W107" s="123">
        <f t="shared" si="1"/>
        <v>0</v>
      </c>
      <c r="X107" s="125"/>
      <c r="Y107" s="125"/>
      <c r="Z107" s="126">
        <f t="shared" si="2"/>
        <v>0</v>
      </c>
      <c r="AA107" s="136"/>
      <c r="AB107" s="101" t="s">
        <v>131</v>
      </c>
      <c r="AC107" s="128">
        <f t="shared" si="3"/>
        <v>0</v>
      </c>
      <c r="AD107" s="134"/>
      <c r="AE107" s="135"/>
      <c r="AF107" s="135"/>
      <c r="AG107" s="135"/>
      <c r="AH107" s="135"/>
      <c r="AI107" s="135"/>
      <c r="AJ107" s="135"/>
    </row>
    <row r="108" ht="22.5" hidden="1" customHeight="1">
      <c r="A108" s="110" t="str">
        <f>'利用者'!A116</f>
        <v/>
      </c>
      <c r="B108" s="111" t="str">
        <f>'利用者'!B116</f>
        <v/>
      </c>
      <c r="C108" s="132"/>
      <c r="D108" s="125"/>
      <c r="E108" s="125"/>
      <c r="F108" s="125"/>
      <c r="G108" s="125"/>
      <c r="H108" s="120"/>
      <c r="I108" s="120"/>
      <c r="J108" s="12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5"/>
      <c r="V108" s="125"/>
      <c r="W108" s="123">
        <f t="shared" si="1"/>
        <v>0</v>
      </c>
      <c r="X108" s="125"/>
      <c r="Y108" s="125"/>
      <c r="Z108" s="126">
        <f t="shared" si="2"/>
        <v>0</v>
      </c>
      <c r="AA108" s="136"/>
      <c r="AB108" s="101" t="s">
        <v>131</v>
      </c>
      <c r="AC108" s="128">
        <f t="shared" si="3"/>
        <v>0</v>
      </c>
      <c r="AD108" s="134"/>
      <c r="AE108" s="135"/>
      <c r="AF108" s="135"/>
      <c r="AG108" s="135"/>
      <c r="AH108" s="135"/>
      <c r="AI108" s="135"/>
      <c r="AJ108" s="135"/>
    </row>
    <row r="109" ht="22.5" customHeight="1">
      <c r="A109" s="110"/>
      <c r="B109" s="111"/>
      <c r="C109" s="132"/>
      <c r="D109" s="125"/>
      <c r="E109" s="125"/>
      <c r="F109" s="125"/>
      <c r="G109" s="125"/>
      <c r="H109" s="120"/>
      <c r="I109" s="120"/>
      <c r="J109" s="12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5"/>
      <c r="V109" s="125"/>
      <c r="W109" s="123">
        <f t="shared" si="1"/>
        <v>0</v>
      </c>
      <c r="X109" s="125"/>
      <c r="Y109" s="125"/>
      <c r="Z109" s="126">
        <f t="shared" si="2"/>
        <v>0</v>
      </c>
      <c r="AA109" s="136"/>
      <c r="AB109" s="101" t="s">
        <v>131</v>
      </c>
      <c r="AC109" s="128">
        <f t="shared" si="3"/>
        <v>0</v>
      </c>
      <c r="AD109" s="134"/>
      <c r="AE109" s="135"/>
      <c r="AF109" s="135"/>
      <c r="AG109" s="135"/>
      <c r="AH109" s="135"/>
      <c r="AI109" s="135"/>
      <c r="AJ109" s="135"/>
    </row>
    <row r="110" ht="22.5" customHeight="1">
      <c r="A110" s="116" t="s">
        <v>128</v>
      </c>
      <c r="B110" s="116"/>
      <c r="C110" s="126"/>
      <c r="D110" s="126">
        <f t="shared" ref="D110:Y110" si="4">SUM(D3:D109)</f>
        <v>520000</v>
      </c>
      <c r="E110" s="126">
        <f t="shared" si="4"/>
        <v>65000</v>
      </c>
      <c r="F110" s="126">
        <f t="shared" si="4"/>
        <v>65000</v>
      </c>
      <c r="G110" s="126">
        <f t="shared" si="4"/>
        <v>26000</v>
      </c>
      <c r="H110" s="126">
        <f t="shared" si="4"/>
        <v>120000</v>
      </c>
      <c r="I110" s="126">
        <f t="shared" si="4"/>
        <v>401060</v>
      </c>
      <c r="J110" s="137">
        <f t="shared" si="4"/>
        <v>-426770</v>
      </c>
      <c r="K110" s="126">
        <f t="shared" si="4"/>
        <v>72630</v>
      </c>
      <c r="L110" s="126">
        <f t="shared" si="4"/>
        <v>19650</v>
      </c>
      <c r="M110" s="126">
        <f t="shared" si="4"/>
        <v>20000</v>
      </c>
      <c r="N110" s="126">
        <f t="shared" si="4"/>
        <v>0</v>
      </c>
      <c r="O110" s="126">
        <f t="shared" si="4"/>
        <v>38919</v>
      </c>
      <c r="P110" s="126">
        <f t="shared" si="4"/>
        <v>0</v>
      </c>
      <c r="Q110" s="126">
        <f t="shared" si="4"/>
        <v>53814</v>
      </c>
      <c r="R110" s="126">
        <f t="shared" si="4"/>
        <v>0</v>
      </c>
      <c r="S110" s="126">
        <f t="shared" si="4"/>
        <v>0</v>
      </c>
      <c r="T110" s="126">
        <f t="shared" si="4"/>
        <v>0</v>
      </c>
      <c r="U110" s="126">
        <f t="shared" si="4"/>
        <v>0</v>
      </c>
      <c r="V110" s="126">
        <f t="shared" si="4"/>
        <v>0</v>
      </c>
      <c r="W110" s="138">
        <f t="shared" si="4"/>
        <v>975303</v>
      </c>
      <c r="X110" s="126">
        <f t="shared" si="4"/>
        <v>209434</v>
      </c>
      <c r="Y110" s="126">
        <f t="shared" si="4"/>
        <v>12500</v>
      </c>
      <c r="Z110" s="126">
        <f t="shared" si="2"/>
        <v>1197237</v>
      </c>
      <c r="AA110" s="127"/>
      <c r="AB110" s="101"/>
      <c r="AC110" s="130"/>
      <c r="AD110" s="101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09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42">
        <v>45961.0</v>
      </c>
      <c r="C1" s="14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  <c r="AB1" s="13" t="s">
        <v>123</v>
      </c>
    </row>
    <row r="2" ht="22.5" customHeight="1">
      <c r="A2" s="6" t="s">
        <v>0</v>
      </c>
      <c r="B2" s="6" t="s">
        <v>1</v>
      </c>
      <c r="C2" s="9" t="s">
        <v>124</v>
      </c>
      <c r="D2" s="144" t="s">
        <v>5</v>
      </c>
      <c r="E2" s="144" t="s">
        <v>8</v>
      </c>
      <c r="F2" s="144" t="s">
        <v>10</v>
      </c>
      <c r="G2" s="144" t="s">
        <v>13</v>
      </c>
      <c r="H2" s="145" t="s">
        <v>15</v>
      </c>
      <c r="I2" s="145" t="s">
        <v>17</v>
      </c>
      <c r="J2" s="146" t="s">
        <v>20</v>
      </c>
      <c r="K2" s="145" t="s">
        <v>21</v>
      </c>
      <c r="L2" s="145" t="s">
        <v>22</v>
      </c>
      <c r="M2" s="145" t="s">
        <v>24</v>
      </c>
      <c r="N2" s="145" t="s">
        <v>26</v>
      </c>
      <c r="O2" s="145" t="s">
        <v>30</v>
      </c>
      <c r="P2" s="144" t="s">
        <v>32</v>
      </c>
      <c r="Q2" s="144" t="s">
        <v>35</v>
      </c>
      <c r="R2" s="144" t="s">
        <v>37</v>
      </c>
      <c r="S2" s="144" t="s">
        <v>27</v>
      </c>
      <c r="T2" s="144" t="s">
        <v>29</v>
      </c>
      <c r="U2" s="144"/>
      <c r="V2" s="144"/>
      <c r="W2" s="147" t="s">
        <v>125</v>
      </c>
      <c r="X2" s="9" t="s">
        <v>126</v>
      </c>
      <c r="Y2" s="9" t="s">
        <v>127</v>
      </c>
      <c r="Z2" s="148" t="s">
        <v>128</v>
      </c>
      <c r="AA2" s="10" t="s">
        <v>59</v>
      </c>
      <c r="AB2" s="10" t="s">
        <v>129</v>
      </c>
      <c r="AC2" s="6" t="s">
        <v>130</v>
      </c>
      <c r="AD2" s="10"/>
      <c r="AE2" s="10"/>
      <c r="AF2" s="10"/>
      <c r="AG2" s="10"/>
      <c r="AH2" s="10"/>
      <c r="AI2" s="10"/>
      <c r="AJ2" s="10"/>
    </row>
    <row r="3" ht="22.5" customHeight="1">
      <c r="A3" s="6">
        <v>108.0</v>
      </c>
      <c r="B3" s="9" t="s">
        <v>4</v>
      </c>
      <c r="C3" s="149">
        <v>185667.0</v>
      </c>
      <c r="D3" s="150">
        <v>40000.0</v>
      </c>
      <c r="E3" s="150">
        <v>5000.0</v>
      </c>
      <c r="F3" s="150">
        <v>5000.0</v>
      </c>
      <c r="G3" s="150">
        <v>2000.0</v>
      </c>
      <c r="H3" s="151">
        <v>10000.0</v>
      </c>
      <c r="I3" s="151">
        <v>44330.0</v>
      </c>
      <c r="J3" s="152">
        <v>-94422.0</v>
      </c>
      <c r="K3" s="151">
        <v>3751.0</v>
      </c>
      <c r="L3" s="151">
        <v>2263.0</v>
      </c>
      <c r="M3" s="151"/>
      <c r="N3" s="151"/>
      <c r="O3" s="151"/>
      <c r="P3" s="151"/>
      <c r="Q3" s="151">
        <v>11580.0</v>
      </c>
      <c r="R3" s="151"/>
      <c r="S3" s="151"/>
      <c r="T3" s="151"/>
      <c r="U3" s="153"/>
      <c r="V3" s="153"/>
      <c r="W3" s="154">
        <f t="shared" ref="W3:W109" si="1">SUM(D3:V3)</f>
        <v>29502</v>
      </c>
      <c r="X3" s="155">
        <v>30498.0</v>
      </c>
      <c r="Y3" s="156">
        <f>5000+5000+5000+5000</f>
        <v>20000</v>
      </c>
      <c r="Z3" s="157">
        <f t="shared" ref="Z3:Z110" si="2">SUM(W3:Y3)</f>
        <v>80000</v>
      </c>
      <c r="AA3" s="139">
        <v>80000.0</v>
      </c>
      <c r="AB3" s="64" t="s">
        <v>131</v>
      </c>
      <c r="AC3" s="149">
        <f t="shared" ref="AC3:AC109" si="3">C3-M3</f>
        <v>185667</v>
      </c>
    </row>
    <row r="4" ht="22.5" customHeight="1">
      <c r="A4" s="6">
        <v>206.0</v>
      </c>
      <c r="B4" s="9" t="s">
        <v>7</v>
      </c>
      <c r="C4" s="158"/>
      <c r="D4" s="150">
        <v>40000.0</v>
      </c>
      <c r="E4" s="150">
        <v>5000.0</v>
      </c>
      <c r="F4" s="150">
        <v>5000.0</v>
      </c>
      <c r="G4" s="150">
        <v>2000.0</v>
      </c>
      <c r="H4" s="151">
        <v>10000.0</v>
      </c>
      <c r="I4" s="151">
        <v>44330.0</v>
      </c>
      <c r="J4" s="152">
        <v>-34631.0</v>
      </c>
      <c r="K4" s="151">
        <v>0.0</v>
      </c>
      <c r="L4" s="151">
        <v>0.0</v>
      </c>
      <c r="M4" s="151"/>
      <c r="N4" s="151"/>
      <c r="O4" s="151"/>
      <c r="P4" s="151"/>
      <c r="Q4" s="151">
        <v>2932.0</v>
      </c>
      <c r="R4" s="151"/>
      <c r="S4" s="151"/>
      <c r="T4" s="151"/>
      <c r="U4" s="156"/>
      <c r="V4" s="156"/>
      <c r="W4" s="154">
        <f t="shared" si="1"/>
        <v>74631</v>
      </c>
      <c r="X4" s="155">
        <v>22869.0</v>
      </c>
      <c r="Y4" s="156">
        <v>2500.0</v>
      </c>
      <c r="Z4" s="157">
        <f t="shared" si="2"/>
        <v>100000</v>
      </c>
      <c r="AA4" s="139">
        <v>100000.0</v>
      </c>
      <c r="AB4" s="64" t="s">
        <v>131</v>
      </c>
      <c r="AC4" s="158">
        <f t="shared" si="3"/>
        <v>0</v>
      </c>
    </row>
    <row r="5" ht="22.5" customHeight="1">
      <c r="A5" s="6">
        <v>210.0</v>
      </c>
      <c r="B5" s="9" t="s">
        <v>9</v>
      </c>
      <c r="C5" s="158">
        <v>160000.0</v>
      </c>
      <c r="D5" s="150">
        <v>40000.0</v>
      </c>
      <c r="E5" s="150">
        <v>5000.0</v>
      </c>
      <c r="F5" s="150">
        <v>5000.0</v>
      </c>
      <c r="G5" s="150">
        <v>2000.0</v>
      </c>
      <c r="H5" s="151">
        <v>10000.0</v>
      </c>
      <c r="I5" s="151">
        <v>13970.0</v>
      </c>
      <c r="J5" s="152">
        <v>0.0</v>
      </c>
      <c r="K5" s="159"/>
      <c r="L5" s="159"/>
      <c r="M5" s="151">
        <v>10000.0</v>
      </c>
      <c r="N5" s="151"/>
      <c r="O5" s="151"/>
      <c r="P5" s="151"/>
      <c r="Q5" s="151"/>
      <c r="R5" s="151"/>
      <c r="S5" s="151"/>
      <c r="T5" s="151"/>
      <c r="U5" s="156"/>
      <c r="V5" s="156"/>
      <c r="W5" s="154">
        <f t="shared" si="1"/>
        <v>85970</v>
      </c>
      <c r="X5" s="155">
        <v>0.0</v>
      </c>
      <c r="Y5" s="156"/>
      <c r="Z5" s="157">
        <f t="shared" si="2"/>
        <v>85970</v>
      </c>
      <c r="AA5" s="139" t="s">
        <v>133</v>
      </c>
      <c r="AB5" s="64" t="s">
        <v>131</v>
      </c>
      <c r="AC5" s="158">
        <f t="shared" si="3"/>
        <v>150000</v>
      </c>
    </row>
    <row r="6" ht="22.5" customHeight="1">
      <c r="A6" s="6">
        <v>211.0</v>
      </c>
      <c r="B6" s="9"/>
      <c r="C6" s="158"/>
      <c r="D6" s="149"/>
      <c r="E6" s="149"/>
      <c r="F6" s="149"/>
      <c r="G6" s="149"/>
      <c r="H6" s="151"/>
      <c r="I6" s="151"/>
      <c r="J6" s="152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6"/>
      <c r="V6" s="156"/>
      <c r="W6" s="154">
        <f t="shared" si="1"/>
        <v>0</v>
      </c>
      <c r="X6" s="155"/>
      <c r="Y6" s="156"/>
      <c r="Z6" s="157">
        <f t="shared" si="2"/>
        <v>0</v>
      </c>
      <c r="AA6" s="139"/>
      <c r="AB6" s="64" t="s">
        <v>131</v>
      </c>
      <c r="AC6" s="158">
        <f t="shared" si="3"/>
        <v>0</v>
      </c>
    </row>
    <row r="7" ht="22.5" customHeight="1">
      <c r="A7" s="6">
        <v>212.0</v>
      </c>
      <c r="B7" s="9" t="s">
        <v>14</v>
      </c>
      <c r="C7" s="158"/>
      <c r="D7" s="150">
        <v>40000.0</v>
      </c>
      <c r="E7" s="150">
        <v>5000.0</v>
      </c>
      <c r="F7" s="150">
        <v>5000.0</v>
      </c>
      <c r="G7" s="150">
        <v>2000.0</v>
      </c>
      <c r="H7" s="151">
        <v>10000.0</v>
      </c>
      <c r="I7" s="151">
        <v>41580.0</v>
      </c>
      <c r="J7" s="152">
        <v>0.0</v>
      </c>
      <c r="K7" s="151">
        <v>11253.0</v>
      </c>
      <c r="L7" s="151">
        <v>2263.0</v>
      </c>
      <c r="M7" s="151"/>
      <c r="N7" s="151"/>
      <c r="O7" s="151"/>
      <c r="P7" s="151"/>
      <c r="Q7" s="151">
        <v>6692.0</v>
      </c>
      <c r="R7" s="151"/>
      <c r="S7" s="151"/>
      <c r="T7" s="151"/>
      <c r="U7" s="156"/>
      <c r="V7" s="156"/>
      <c r="W7" s="154">
        <f t="shared" si="1"/>
        <v>123788</v>
      </c>
      <c r="X7" s="149">
        <v>33484.0</v>
      </c>
      <c r="Y7" s="149">
        <f>18000+18000+18000</f>
        <v>54000</v>
      </c>
      <c r="Z7" s="157">
        <f t="shared" si="2"/>
        <v>211272</v>
      </c>
      <c r="AA7" s="139" t="s">
        <v>132</v>
      </c>
      <c r="AB7" s="64" t="s">
        <v>131</v>
      </c>
      <c r="AC7" s="158">
        <f t="shared" si="3"/>
        <v>0</v>
      </c>
    </row>
    <row r="8" ht="22.5" customHeight="1">
      <c r="A8" s="6">
        <v>303.0</v>
      </c>
      <c r="B8" s="9" t="s">
        <v>136</v>
      </c>
      <c r="C8" s="158"/>
      <c r="D8" s="150">
        <v>40000.0</v>
      </c>
      <c r="E8" s="150">
        <v>5000.0</v>
      </c>
      <c r="F8" s="150">
        <v>5000.0</v>
      </c>
      <c r="G8" s="150">
        <v>2000.0</v>
      </c>
      <c r="H8" s="151">
        <v>10000.0</v>
      </c>
      <c r="I8" s="151">
        <v>0.0</v>
      </c>
      <c r="J8" s="152">
        <v>0.0</v>
      </c>
      <c r="K8" s="151">
        <v>0.0</v>
      </c>
      <c r="L8" s="151">
        <v>0.0</v>
      </c>
      <c r="M8" s="151"/>
      <c r="N8" s="151"/>
      <c r="O8" s="151"/>
      <c r="P8" s="151"/>
      <c r="Q8" s="151">
        <v>4556.0</v>
      </c>
      <c r="R8" s="151"/>
      <c r="S8" s="151"/>
      <c r="T8" s="151"/>
      <c r="U8" s="156"/>
      <c r="V8" s="156"/>
      <c r="W8" s="154">
        <f t="shared" si="1"/>
        <v>66556</v>
      </c>
      <c r="X8" s="149">
        <v>19792.0</v>
      </c>
      <c r="Y8" s="150">
        <v>5060.0</v>
      </c>
      <c r="Z8" s="157">
        <f t="shared" si="2"/>
        <v>91408</v>
      </c>
      <c r="AA8" s="139" t="s">
        <v>137</v>
      </c>
      <c r="AB8" s="64" t="s">
        <v>131</v>
      </c>
      <c r="AC8" s="158">
        <f t="shared" si="3"/>
        <v>0</v>
      </c>
    </row>
    <row r="9" ht="22.5" customHeight="1">
      <c r="A9" s="6">
        <v>401.0</v>
      </c>
      <c r="B9" s="9"/>
      <c r="C9" s="158"/>
      <c r="D9" s="149"/>
      <c r="E9" s="149"/>
      <c r="F9" s="149"/>
      <c r="G9" s="149"/>
      <c r="H9" s="151"/>
      <c r="I9" s="151"/>
      <c r="J9" s="152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6"/>
      <c r="V9" s="156"/>
      <c r="W9" s="154">
        <f t="shared" si="1"/>
        <v>0</v>
      </c>
      <c r="X9" s="160"/>
      <c r="Y9" s="156"/>
      <c r="Z9" s="157">
        <f t="shared" si="2"/>
        <v>0</v>
      </c>
      <c r="AA9" s="139"/>
      <c r="AB9" s="64" t="s">
        <v>131</v>
      </c>
      <c r="AC9" s="158">
        <f t="shared" si="3"/>
        <v>0</v>
      </c>
    </row>
    <row r="10" ht="22.5" customHeight="1">
      <c r="A10" s="6">
        <v>402.0</v>
      </c>
      <c r="B10" s="9" t="s">
        <v>12</v>
      </c>
      <c r="C10" s="161"/>
      <c r="D10" s="150">
        <v>40000.0</v>
      </c>
      <c r="E10" s="150">
        <v>5000.0</v>
      </c>
      <c r="F10" s="150">
        <v>5000.0</v>
      </c>
      <c r="G10" s="150">
        <v>2000.0</v>
      </c>
      <c r="H10" s="151">
        <v>10000.0</v>
      </c>
      <c r="I10" s="151">
        <v>44330.0</v>
      </c>
      <c r="J10" s="152">
        <v>-44431.0</v>
      </c>
      <c r="K10" s="151">
        <v>16895.0</v>
      </c>
      <c r="L10" s="151">
        <v>2263.0</v>
      </c>
      <c r="M10" s="151"/>
      <c r="N10" s="151"/>
      <c r="O10" s="151"/>
      <c r="P10" s="151"/>
      <c r="Q10" s="151">
        <v>4792.0</v>
      </c>
      <c r="R10" s="151"/>
      <c r="S10" s="151"/>
      <c r="T10" s="151"/>
      <c r="U10" s="156"/>
      <c r="V10" s="156"/>
      <c r="W10" s="154">
        <f t="shared" si="1"/>
        <v>85849</v>
      </c>
      <c r="X10" s="156">
        <v>19151.0</v>
      </c>
      <c r="Y10" s="156"/>
      <c r="Z10" s="157">
        <f t="shared" si="2"/>
        <v>105000</v>
      </c>
      <c r="AA10" s="139">
        <v>105000.0</v>
      </c>
      <c r="AB10" s="64" t="s">
        <v>131</v>
      </c>
      <c r="AC10" s="158">
        <f t="shared" si="3"/>
        <v>0</v>
      </c>
    </row>
    <row r="11" ht="22.5" customHeight="1">
      <c r="A11" s="6">
        <v>403.0</v>
      </c>
      <c r="B11" s="9" t="s">
        <v>23</v>
      </c>
      <c r="C11" s="161">
        <v>130000.0</v>
      </c>
      <c r="D11" s="150">
        <v>40000.0</v>
      </c>
      <c r="E11" s="150">
        <v>5000.0</v>
      </c>
      <c r="F11" s="150">
        <v>5000.0</v>
      </c>
      <c r="G11" s="150">
        <v>2000.0</v>
      </c>
      <c r="H11" s="151">
        <v>10000.0</v>
      </c>
      <c r="I11" s="151">
        <v>0.0</v>
      </c>
      <c r="J11" s="152">
        <v>-90403.0</v>
      </c>
      <c r="K11" s="151">
        <v>0.0</v>
      </c>
      <c r="L11" s="151">
        <v>0.0</v>
      </c>
      <c r="M11" s="151">
        <v>10000.0</v>
      </c>
      <c r="N11" s="151"/>
      <c r="O11" s="151"/>
      <c r="P11" s="151"/>
      <c r="Q11" s="156"/>
      <c r="R11" s="151"/>
      <c r="S11" s="151"/>
      <c r="T11" s="151"/>
      <c r="U11" s="156"/>
      <c r="V11" s="156"/>
      <c r="W11" s="154">
        <f t="shared" si="1"/>
        <v>-18403</v>
      </c>
      <c r="X11" s="160">
        <v>18403.0</v>
      </c>
      <c r="Y11" s="156"/>
      <c r="Z11" s="157">
        <f t="shared" si="2"/>
        <v>0</v>
      </c>
      <c r="AA11" s="139" t="s">
        <v>134</v>
      </c>
      <c r="AB11" s="64" t="s">
        <v>131</v>
      </c>
      <c r="AC11" s="158">
        <f t="shared" si="3"/>
        <v>120000</v>
      </c>
      <c r="AD11" s="64" t="s">
        <v>135</v>
      </c>
    </row>
    <row r="12" ht="22.5" customHeight="1">
      <c r="A12" s="6">
        <v>405.0</v>
      </c>
      <c r="B12" s="9" t="s">
        <v>25</v>
      </c>
      <c r="C12" s="161"/>
      <c r="D12" s="150">
        <v>40000.0</v>
      </c>
      <c r="E12" s="150">
        <v>5000.0</v>
      </c>
      <c r="F12" s="150">
        <v>5000.0</v>
      </c>
      <c r="G12" s="150">
        <v>2000.0</v>
      </c>
      <c r="H12" s="151"/>
      <c r="I12" s="151">
        <v>26290.0</v>
      </c>
      <c r="J12" s="152">
        <v>0.0</v>
      </c>
      <c r="K12" s="159"/>
      <c r="L12" s="159"/>
      <c r="M12" s="151"/>
      <c r="N12" s="151"/>
      <c r="O12" s="151"/>
      <c r="P12" s="151"/>
      <c r="Q12" s="151"/>
      <c r="R12" s="151"/>
      <c r="S12" s="151"/>
      <c r="T12" s="151"/>
      <c r="U12" s="156"/>
      <c r="V12" s="156"/>
      <c r="W12" s="154">
        <f t="shared" si="1"/>
        <v>78290</v>
      </c>
      <c r="X12" s="156">
        <v>0.0</v>
      </c>
      <c r="Y12" s="156"/>
      <c r="Z12" s="157">
        <f t="shared" si="2"/>
        <v>78290</v>
      </c>
      <c r="AA12" s="139"/>
      <c r="AB12" s="64" t="s">
        <v>131</v>
      </c>
      <c r="AC12" s="158">
        <f t="shared" si="3"/>
        <v>0</v>
      </c>
    </row>
    <row r="13" ht="22.5" customHeight="1">
      <c r="A13" s="6">
        <v>406.0</v>
      </c>
      <c r="B13" s="9"/>
      <c r="C13" s="161"/>
      <c r="D13" s="149"/>
      <c r="E13" s="149"/>
      <c r="F13" s="149"/>
      <c r="G13" s="149"/>
      <c r="H13" s="151"/>
      <c r="I13" s="151"/>
      <c r="J13" s="152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6"/>
      <c r="V13" s="156"/>
      <c r="W13" s="154">
        <f t="shared" si="1"/>
        <v>0</v>
      </c>
      <c r="X13" s="156"/>
      <c r="Y13" s="156"/>
      <c r="Z13" s="157">
        <f t="shared" si="2"/>
        <v>0</v>
      </c>
      <c r="AA13" s="139"/>
      <c r="AB13" s="64" t="s">
        <v>131</v>
      </c>
      <c r="AC13" s="158">
        <f t="shared" si="3"/>
        <v>0</v>
      </c>
    </row>
    <row r="14" ht="22.5" customHeight="1">
      <c r="A14" s="6">
        <v>407.0</v>
      </c>
      <c r="B14" s="9" t="s">
        <v>28</v>
      </c>
      <c r="C14" s="161"/>
      <c r="D14" s="150">
        <v>40000.0</v>
      </c>
      <c r="E14" s="150">
        <v>5000.0</v>
      </c>
      <c r="F14" s="150">
        <v>5000.0</v>
      </c>
      <c r="G14" s="150">
        <v>2000.0</v>
      </c>
      <c r="H14" s="151">
        <v>10000.0</v>
      </c>
      <c r="I14" s="151">
        <v>39380.0</v>
      </c>
      <c r="J14" s="152">
        <v>-36608.0</v>
      </c>
      <c r="K14" s="151">
        <v>7502.0</v>
      </c>
      <c r="L14" s="151">
        <v>2263.0</v>
      </c>
      <c r="M14" s="151"/>
      <c r="N14" s="151"/>
      <c r="O14" s="151"/>
      <c r="P14" s="151"/>
      <c r="Q14" s="151"/>
      <c r="R14" s="151"/>
      <c r="S14" s="151"/>
      <c r="T14" s="151"/>
      <c r="U14" s="156"/>
      <c r="V14" s="156"/>
      <c r="W14" s="154">
        <f t="shared" si="1"/>
        <v>74537</v>
      </c>
      <c r="X14" s="156">
        <v>25463.0</v>
      </c>
      <c r="Y14" s="156"/>
      <c r="Z14" s="157">
        <f t="shared" si="2"/>
        <v>100000</v>
      </c>
      <c r="AA14" s="139">
        <v>100000.0</v>
      </c>
      <c r="AB14" s="64" t="s">
        <v>131</v>
      </c>
      <c r="AC14" s="158">
        <f t="shared" si="3"/>
        <v>0</v>
      </c>
      <c r="AD14" s="135"/>
      <c r="AE14" s="135"/>
      <c r="AF14" s="135"/>
      <c r="AG14" s="135"/>
      <c r="AH14" s="135"/>
      <c r="AI14" s="135"/>
      <c r="AJ14" s="135"/>
    </row>
    <row r="15" ht="22.5" customHeight="1">
      <c r="A15" s="6">
        <v>408.0</v>
      </c>
      <c r="B15" s="9"/>
      <c r="C15" s="161"/>
      <c r="D15" s="156"/>
      <c r="E15" s="156"/>
      <c r="F15" s="156"/>
      <c r="G15" s="156"/>
      <c r="H15" s="151"/>
      <c r="I15" s="151"/>
      <c r="J15" s="152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6"/>
      <c r="V15" s="156"/>
      <c r="W15" s="154">
        <f t="shared" si="1"/>
        <v>0</v>
      </c>
      <c r="X15" s="156"/>
      <c r="Y15" s="156"/>
      <c r="Z15" s="157">
        <f t="shared" si="2"/>
        <v>0</v>
      </c>
      <c r="AA15" s="162"/>
      <c r="AB15" s="64" t="s">
        <v>131</v>
      </c>
      <c r="AC15" s="158">
        <f t="shared" si="3"/>
        <v>0</v>
      </c>
      <c r="AD15" s="135"/>
      <c r="AE15" s="135"/>
      <c r="AF15" s="135"/>
      <c r="AG15" s="135"/>
      <c r="AH15" s="135"/>
      <c r="AI15" s="135"/>
      <c r="AJ15" s="135"/>
    </row>
    <row r="16" ht="22.5" customHeight="1">
      <c r="A16" s="6"/>
      <c r="B16" s="9"/>
      <c r="C16" s="161"/>
      <c r="D16" s="156"/>
      <c r="E16" s="156"/>
      <c r="F16" s="156"/>
      <c r="G16" s="156"/>
      <c r="H16" s="151"/>
      <c r="I16" s="151"/>
      <c r="J16" s="152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6"/>
      <c r="V16" s="156"/>
      <c r="W16" s="154">
        <f t="shared" si="1"/>
        <v>0</v>
      </c>
      <c r="X16" s="156"/>
      <c r="Y16" s="156"/>
      <c r="Z16" s="157">
        <f t="shared" si="2"/>
        <v>0</v>
      </c>
      <c r="AA16" s="162"/>
      <c r="AB16" s="64" t="s">
        <v>131</v>
      </c>
      <c r="AC16" s="158">
        <f t="shared" si="3"/>
        <v>0</v>
      </c>
      <c r="AD16" s="135"/>
      <c r="AE16" s="135"/>
      <c r="AF16" s="135"/>
      <c r="AG16" s="135"/>
      <c r="AH16" s="135"/>
      <c r="AI16" s="135"/>
      <c r="AJ16" s="135"/>
    </row>
    <row r="17" ht="22.5" customHeight="1">
      <c r="A17" s="6">
        <v>601.0</v>
      </c>
      <c r="B17" s="9" t="s">
        <v>34</v>
      </c>
      <c r="C17" s="161">
        <v>134000.0</v>
      </c>
      <c r="D17" s="150">
        <v>40000.0</v>
      </c>
      <c r="E17" s="150">
        <v>5000.0</v>
      </c>
      <c r="F17" s="150">
        <v>5000.0</v>
      </c>
      <c r="G17" s="150">
        <v>2000.0</v>
      </c>
      <c r="H17" s="151">
        <v>10000.0</v>
      </c>
      <c r="I17" s="151">
        <v>42130.0</v>
      </c>
      <c r="J17" s="152">
        <v>-64928.0</v>
      </c>
      <c r="K17" s="151">
        <v>7502.0</v>
      </c>
      <c r="L17" s="151">
        <v>4495.0</v>
      </c>
      <c r="M17" s="151"/>
      <c r="N17" s="151"/>
      <c r="O17" s="151">
        <v>10017.0</v>
      </c>
      <c r="P17" s="151"/>
      <c r="Q17" s="151">
        <v>4382.0</v>
      </c>
      <c r="R17" s="151"/>
      <c r="S17" s="151"/>
      <c r="T17" s="151"/>
      <c r="U17" s="156"/>
      <c r="V17" s="156"/>
      <c r="W17" s="154">
        <f t="shared" si="1"/>
        <v>65598</v>
      </c>
      <c r="X17" s="156">
        <v>34402.0</v>
      </c>
      <c r="Y17" s="156"/>
      <c r="Z17" s="157">
        <f t="shared" si="2"/>
        <v>100000</v>
      </c>
      <c r="AA17" s="139">
        <v>100000.0</v>
      </c>
      <c r="AB17" s="64" t="s">
        <v>131</v>
      </c>
      <c r="AC17" s="158">
        <f t="shared" si="3"/>
        <v>134000</v>
      </c>
      <c r="AD17" s="135"/>
      <c r="AE17" s="135"/>
      <c r="AF17" s="135"/>
      <c r="AG17" s="135"/>
      <c r="AH17" s="135"/>
      <c r="AI17" s="135"/>
      <c r="AJ17" s="135"/>
    </row>
    <row r="18" ht="22.5" customHeight="1">
      <c r="A18" s="6">
        <v>608.0</v>
      </c>
      <c r="B18" s="9" t="s">
        <v>36</v>
      </c>
      <c r="C18" s="161"/>
      <c r="D18" s="156">
        <v>40000.0</v>
      </c>
      <c r="E18" s="156">
        <v>5000.0</v>
      </c>
      <c r="F18" s="156">
        <v>5000.0</v>
      </c>
      <c r="G18" s="156">
        <v>2000.0</v>
      </c>
      <c r="H18" s="151">
        <v>10000.0</v>
      </c>
      <c r="I18" s="151">
        <v>0.0</v>
      </c>
      <c r="J18" s="152"/>
      <c r="K18" s="159"/>
      <c r="L18" s="159"/>
      <c r="M18" s="151"/>
      <c r="N18" s="151"/>
      <c r="O18" s="151"/>
      <c r="P18" s="151"/>
      <c r="Q18" s="151"/>
      <c r="R18" s="151"/>
      <c r="S18" s="151"/>
      <c r="T18" s="151"/>
      <c r="U18" s="156"/>
      <c r="V18" s="156"/>
      <c r="W18" s="154">
        <f t="shared" si="1"/>
        <v>62000</v>
      </c>
      <c r="X18" s="156">
        <v>0.0</v>
      </c>
      <c r="Y18" s="156"/>
      <c r="Z18" s="157">
        <f t="shared" si="2"/>
        <v>62000</v>
      </c>
      <c r="AA18" s="162">
        <v>62000.0</v>
      </c>
      <c r="AB18" s="64" t="s">
        <v>131</v>
      </c>
      <c r="AC18" s="158">
        <f t="shared" si="3"/>
        <v>0</v>
      </c>
      <c r="AD18" s="135"/>
      <c r="AE18" s="135"/>
      <c r="AF18" s="135"/>
      <c r="AG18" s="135"/>
      <c r="AH18" s="135"/>
      <c r="AI18" s="135"/>
      <c r="AJ18" s="135"/>
    </row>
    <row r="19" ht="22.5" customHeight="1">
      <c r="A19" s="6">
        <v>703.0</v>
      </c>
      <c r="B19" s="9" t="s">
        <v>38</v>
      </c>
      <c r="C19" s="161"/>
      <c r="D19" s="150">
        <v>40000.0</v>
      </c>
      <c r="E19" s="150">
        <v>5000.0</v>
      </c>
      <c r="F19" s="150">
        <v>5000.0</v>
      </c>
      <c r="G19" s="150">
        <v>2000.0</v>
      </c>
      <c r="H19" s="151">
        <v>10000.0</v>
      </c>
      <c r="I19" s="151">
        <v>44330.0</v>
      </c>
      <c r="J19" s="152">
        <v>-111485.0</v>
      </c>
      <c r="K19" s="151">
        <v>28148.0</v>
      </c>
      <c r="L19" s="151">
        <v>4495.0</v>
      </c>
      <c r="M19" s="151"/>
      <c r="N19" s="151"/>
      <c r="O19" s="151"/>
      <c r="P19" s="151"/>
      <c r="Q19" s="151">
        <v>9792.0</v>
      </c>
      <c r="R19" s="151"/>
      <c r="S19" s="151"/>
      <c r="T19" s="151"/>
      <c r="U19" s="156"/>
      <c r="V19" s="156"/>
      <c r="W19" s="154">
        <f t="shared" si="1"/>
        <v>37280</v>
      </c>
      <c r="X19" s="156">
        <v>24720.0</v>
      </c>
      <c r="Y19" s="156">
        <v>18000.0</v>
      </c>
      <c r="Z19" s="157">
        <f t="shared" si="2"/>
        <v>80000</v>
      </c>
      <c r="AA19" s="139">
        <v>80000.0</v>
      </c>
      <c r="AB19" s="64" t="s">
        <v>131</v>
      </c>
      <c r="AC19" s="158">
        <f t="shared" si="3"/>
        <v>0</v>
      </c>
      <c r="AD19" s="135"/>
      <c r="AE19" s="135"/>
      <c r="AF19" s="135"/>
      <c r="AG19" s="135"/>
      <c r="AH19" s="135"/>
      <c r="AI19" s="135"/>
      <c r="AJ19" s="135"/>
    </row>
    <row r="20" ht="22.5" customHeight="1">
      <c r="A20" s="6">
        <v>715.0</v>
      </c>
      <c r="B20" s="9" t="s">
        <v>39</v>
      </c>
      <c r="C20" s="161"/>
      <c r="D20" s="150">
        <v>40000.0</v>
      </c>
      <c r="E20" s="150">
        <v>5000.0</v>
      </c>
      <c r="F20" s="150">
        <v>5000.0</v>
      </c>
      <c r="G20" s="150">
        <v>2000.0</v>
      </c>
      <c r="H20" s="151">
        <v>10000.0</v>
      </c>
      <c r="I20" s="151">
        <v>44330.0</v>
      </c>
      <c r="J20" s="152"/>
      <c r="K20" s="151">
        <v>0.0</v>
      </c>
      <c r="L20" s="151">
        <v>0.0</v>
      </c>
      <c r="M20" s="151"/>
      <c r="N20" s="151"/>
      <c r="O20" s="151"/>
      <c r="P20" s="151"/>
      <c r="Q20" s="151"/>
      <c r="R20" s="151"/>
      <c r="S20" s="151"/>
      <c r="T20" s="151"/>
      <c r="U20" s="156"/>
      <c r="V20" s="156"/>
      <c r="W20" s="154">
        <f t="shared" si="1"/>
        <v>106330</v>
      </c>
      <c r="X20" s="156">
        <v>0.0</v>
      </c>
      <c r="Y20" s="156"/>
      <c r="Z20" s="157">
        <f t="shared" si="2"/>
        <v>106330</v>
      </c>
      <c r="AA20" s="139">
        <v>116000.0</v>
      </c>
      <c r="AB20" s="64" t="s">
        <v>131</v>
      </c>
      <c r="AC20" s="158">
        <f t="shared" si="3"/>
        <v>0</v>
      </c>
      <c r="AD20" s="135"/>
      <c r="AE20" s="135"/>
      <c r="AF20" s="135"/>
      <c r="AG20" s="135"/>
      <c r="AH20" s="135"/>
      <c r="AI20" s="135"/>
      <c r="AJ20" s="135"/>
    </row>
    <row r="21" ht="22.5" customHeight="1">
      <c r="A21" s="6">
        <v>716.0</v>
      </c>
      <c r="B21" s="9" t="s">
        <v>40</v>
      </c>
      <c r="C21" s="161"/>
      <c r="D21" s="150">
        <v>40000.0</v>
      </c>
      <c r="E21" s="150">
        <v>5000.0</v>
      </c>
      <c r="F21" s="150">
        <v>5000.0</v>
      </c>
      <c r="G21" s="150">
        <v>2000.0</v>
      </c>
      <c r="H21" s="151">
        <v>0.0</v>
      </c>
      <c r="I21" s="151">
        <v>0.0</v>
      </c>
      <c r="J21" s="152"/>
      <c r="K21" s="151">
        <v>0.0</v>
      </c>
      <c r="L21" s="151">
        <v>0.0</v>
      </c>
      <c r="M21" s="151"/>
      <c r="N21" s="151"/>
      <c r="O21" s="151"/>
      <c r="P21" s="151"/>
      <c r="Q21" s="151"/>
      <c r="R21" s="151"/>
      <c r="S21" s="151"/>
      <c r="T21" s="151"/>
      <c r="U21" s="156"/>
      <c r="V21" s="156"/>
      <c r="W21" s="154">
        <f t="shared" si="1"/>
        <v>52000</v>
      </c>
      <c r="X21" s="156">
        <v>0.0</v>
      </c>
      <c r="Y21" s="156"/>
      <c r="Z21" s="157">
        <f t="shared" si="2"/>
        <v>52000</v>
      </c>
      <c r="AA21" s="139" t="s">
        <v>132</v>
      </c>
      <c r="AB21" s="64" t="s">
        <v>131</v>
      </c>
      <c r="AC21" s="158">
        <f t="shared" si="3"/>
        <v>0</v>
      </c>
      <c r="AD21" s="135"/>
      <c r="AE21" s="135"/>
      <c r="AF21" s="135"/>
      <c r="AG21" s="135"/>
      <c r="AH21" s="135"/>
      <c r="AI21" s="135"/>
      <c r="AJ21" s="135"/>
    </row>
    <row r="22" ht="22.5" hidden="1" customHeight="1">
      <c r="A22" s="6" t="str">
        <f>'利用者'!A30</f>
        <v/>
      </c>
      <c r="B22" s="9" t="str">
        <f>'利用者'!B30</f>
        <v/>
      </c>
      <c r="C22" s="161"/>
      <c r="D22" s="156"/>
      <c r="E22" s="156"/>
      <c r="F22" s="156"/>
      <c r="G22" s="156"/>
      <c r="H22" s="151"/>
      <c r="I22" s="151"/>
      <c r="J22" s="152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6"/>
      <c r="V22" s="156"/>
      <c r="W22" s="154">
        <f t="shared" si="1"/>
        <v>0</v>
      </c>
      <c r="X22" s="156"/>
      <c r="Y22" s="156"/>
      <c r="Z22" s="157">
        <f t="shared" si="2"/>
        <v>0</v>
      </c>
      <c r="AA22" s="162"/>
      <c r="AB22" s="64" t="s">
        <v>131</v>
      </c>
      <c r="AC22" s="158">
        <f t="shared" si="3"/>
        <v>0</v>
      </c>
      <c r="AD22" s="135"/>
      <c r="AE22" s="135"/>
      <c r="AF22" s="135"/>
      <c r="AG22" s="135"/>
      <c r="AH22" s="135"/>
      <c r="AI22" s="135"/>
      <c r="AJ22" s="135"/>
    </row>
    <row r="23" ht="22.5" hidden="1" customHeight="1">
      <c r="A23" s="6" t="str">
        <f>'利用者'!A31</f>
        <v/>
      </c>
      <c r="B23" s="9" t="str">
        <f>'利用者'!B31</f>
        <v/>
      </c>
      <c r="C23" s="161"/>
      <c r="D23" s="156"/>
      <c r="E23" s="156"/>
      <c r="F23" s="156"/>
      <c r="G23" s="156"/>
      <c r="H23" s="151"/>
      <c r="I23" s="151"/>
      <c r="J23" s="152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6"/>
      <c r="V23" s="156"/>
      <c r="W23" s="154">
        <f t="shared" si="1"/>
        <v>0</v>
      </c>
      <c r="X23" s="156"/>
      <c r="Y23" s="156"/>
      <c r="Z23" s="157">
        <f t="shared" si="2"/>
        <v>0</v>
      </c>
      <c r="AA23" s="162"/>
      <c r="AB23" s="64" t="s">
        <v>131</v>
      </c>
      <c r="AC23" s="158">
        <f t="shared" si="3"/>
        <v>0</v>
      </c>
      <c r="AD23" s="135"/>
      <c r="AE23" s="135"/>
      <c r="AF23" s="135"/>
      <c r="AG23" s="135"/>
      <c r="AH23" s="135"/>
      <c r="AI23" s="135"/>
      <c r="AJ23" s="135"/>
    </row>
    <row r="24" ht="22.5" hidden="1" customHeight="1">
      <c r="A24" s="6" t="str">
        <f>'利用者'!A32</f>
        <v/>
      </c>
      <c r="B24" s="9" t="str">
        <f>'利用者'!B32</f>
        <v/>
      </c>
      <c r="C24" s="161"/>
      <c r="D24" s="156"/>
      <c r="E24" s="156"/>
      <c r="F24" s="156"/>
      <c r="G24" s="156"/>
      <c r="H24" s="151"/>
      <c r="I24" s="151"/>
      <c r="J24" s="152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6"/>
      <c r="V24" s="156"/>
      <c r="W24" s="154">
        <f t="shared" si="1"/>
        <v>0</v>
      </c>
      <c r="X24" s="156"/>
      <c r="Y24" s="156"/>
      <c r="Z24" s="157">
        <f t="shared" si="2"/>
        <v>0</v>
      </c>
      <c r="AA24" s="162"/>
      <c r="AB24" s="64" t="s">
        <v>131</v>
      </c>
      <c r="AC24" s="158">
        <f t="shared" si="3"/>
        <v>0</v>
      </c>
      <c r="AD24" s="135"/>
      <c r="AE24" s="135"/>
      <c r="AF24" s="135"/>
      <c r="AG24" s="135"/>
      <c r="AH24" s="135"/>
      <c r="AI24" s="135"/>
      <c r="AJ24" s="135"/>
    </row>
    <row r="25" ht="22.5" hidden="1" customHeight="1">
      <c r="A25" s="6" t="str">
        <f>'利用者'!A33</f>
        <v/>
      </c>
      <c r="B25" s="9" t="str">
        <f>'利用者'!B33</f>
        <v/>
      </c>
      <c r="C25" s="161"/>
      <c r="D25" s="156"/>
      <c r="E25" s="156"/>
      <c r="F25" s="156"/>
      <c r="G25" s="156"/>
      <c r="H25" s="151"/>
      <c r="I25" s="151"/>
      <c r="J25" s="152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6"/>
      <c r="V25" s="156"/>
      <c r="W25" s="154">
        <f t="shared" si="1"/>
        <v>0</v>
      </c>
      <c r="X25" s="156"/>
      <c r="Y25" s="156"/>
      <c r="Z25" s="157">
        <f t="shared" si="2"/>
        <v>0</v>
      </c>
      <c r="AA25" s="162"/>
      <c r="AB25" s="64" t="s">
        <v>131</v>
      </c>
      <c r="AC25" s="158">
        <f t="shared" si="3"/>
        <v>0</v>
      </c>
      <c r="AD25" s="135"/>
      <c r="AE25" s="135"/>
      <c r="AF25" s="135"/>
      <c r="AG25" s="135"/>
      <c r="AH25" s="135"/>
      <c r="AI25" s="135"/>
      <c r="AJ25" s="135"/>
    </row>
    <row r="26" ht="22.5" hidden="1" customHeight="1">
      <c r="A26" s="6" t="str">
        <f>'利用者'!A34</f>
        <v/>
      </c>
      <c r="B26" s="9" t="str">
        <f>'利用者'!B34</f>
        <v/>
      </c>
      <c r="C26" s="161"/>
      <c r="D26" s="156"/>
      <c r="E26" s="156"/>
      <c r="F26" s="156"/>
      <c r="G26" s="156"/>
      <c r="H26" s="151"/>
      <c r="I26" s="151"/>
      <c r="J26" s="152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6"/>
      <c r="V26" s="156"/>
      <c r="W26" s="154">
        <f t="shared" si="1"/>
        <v>0</v>
      </c>
      <c r="X26" s="156"/>
      <c r="Y26" s="156"/>
      <c r="Z26" s="157">
        <f t="shared" si="2"/>
        <v>0</v>
      </c>
      <c r="AA26" s="162"/>
      <c r="AB26" s="64" t="s">
        <v>131</v>
      </c>
      <c r="AC26" s="158">
        <f t="shared" si="3"/>
        <v>0</v>
      </c>
      <c r="AD26" s="135"/>
      <c r="AE26" s="135"/>
      <c r="AF26" s="135"/>
      <c r="AG26" s="135"/>
      <c r="AH26" s="135"/>
      <c r="AI26" s="135"/>
      <c r="AJ26" s="135"/>
    </row>
    <row r="27" ht="22.5" hidden="1" customHeight="1">
      <c r="A27" s="6" t="str">
        <f>'利用者'!A35</f>
        <v/>
      </c>
      <c r="B27" s="9" t="str">
        <f>'利用者'!B35</f>
        <v/>
      </c>
      <c r="C27" s="161"/>
      <c r="D27" s="156"/>
      <c r="E27" s="156"/>
      <c r="F27" s="156"/>
      <c r="G27" s="156"/>
      <c r="H27" s="151"/>
      <c r="I27" s="151"/>
      <c r="J27" s="152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6"/>
      <c r="V27" s="156"/>
      <c r="W27" s="154">
        <f t="shared" si="1"/>
        <v>0</v>
      </c>
      <c r="X27" s="156"/>
      <c r="Y27" s="156"/>
      <c r="Z27" s="157">
        <f t="shared" si="2"/>
        <v>0</v>
      </c>
      <c r="AA27" s="162"/>
      <c r="AB27" s="64" t="s">
        <v>131</v>
      </c>
      <c r="AC27" s="158">
        <f t="shared" si="3"/>
        <v>0</v>
      </c>
      <c r="AD27" s="135"/>
      <c r="AE27" s="135"/>
      <c r="AF27" s="135"/>
      <c r="AG27" s="135"/>
      <c r="AH27" s="135"/>
      <c r="AI27" s="135"/>
      <c r="AJ27" s="135"/>
    </row>
    <row r="28" ht="22.5" hidden="1" customHeight="1">
      <c r="A28" s="6" t="str">
        <f>'利用者'!A36</f>
        <v/>
      </c>
      <c r="B28" s="9" t="str">
        <f>'利用者'!B36</f>
        <v/>
      </c>
      <c r="C28" s="161"/>
      <c r="D28" s="156"/>
      <c r="E28" s="156"/>
      <c r="F28" s="156"/>
      <c r="G28" s="156"/>
      <c r="H28" s="151"/>
      <c r="I28" s="151"/>
      <c r="J28" s="152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6"/>
      <c r="V28" s="156"/>
      <c r="W28" s="154">
        <f t="shared" si="1"/>
        <v>0</v>
      </c>
      <c r="X28" s="156"/>
      <c r="Y28" s="156"/>
      <c r="Z28" s="157">
        <f t="shared" si="2"/>
        <v>0</v>
      </c>
      <c r="AA28" s="162"/>
      <c r="AB28" s="64" t="s">
        <v>131</v>
      </c>
      <c r="AC28" s="158">
        <f t="shared" si="3"/>
        <v>0</v>
      </c>
      <c r="AD28" s="135"/>
      <c r="AE28" s="135"/>
      <c r="AF28" s="135"/>
      <c r="AG28" s="135"/>
      <c r="AH28" s="135"/>
      <c r="AI28" s="135"/>
      <c r="AJ28" s="135"/>
    </row>
    <row r="29" ht="22.5" hidden="1" customHeight="1">
      <c r="A29" s="6" t="str">
        <f>'利用者'!A37</f>
        <v/>
      </c>
      <c r="B29" s="9" t="str">
        <f>'利用者'!B37</f>
        <v/>
      </c>
      <c r="C29" s="161"/>
      <c r="D29" s="156"/>
      <c r="E29" s="156"/>
      <c r="F29" s="156"/>
      <c r="G29" s="156"/>
      <c r="H29" s="151"/>
      <c r="I29" s="151"/>
      <c r="J29" s="152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6"/>
      <c r="V29" s="156"/>
      <c r="W29" s="154">
        <f t="shared" si="1"/>
        <v>0</v>
      </c>
      <c r="X29" s="156"/>
      <c r="Y29" s="156"/>
      <c r="Z29" s="157">
        <f t="shared" si="2"/>
        <v>0</v>
      </c>
      <c r="AA29" s="162"/>
      <c r="AB29" s="64" t="s">
        <v>131</v>
      </c>
      <c r="AC29" s="158">
        <f t="shared" si="3"/>
        <v>0</v>
      </c>
      <c r="AD29" s="135"/>
      <c r="AE29" s="135"/>
      <c r="AF29" s="135"/>
      <c r="AG29" s="135"/>
      <c r="AH29" s="135"/>
      <c r="AI29" s="135"/>
      <c r="AJ29" s="135"/>
    </row>
    <row r="30" ht="22.5" hidden="1" customHeight="1">
      <c r="A30" s="6" t="str">
        <f>'利用者'!A38</f>
        <v/>
      </c>
      <c r="B30" s="9" t="str">
        <f>'利用者'!B38</f>
        <v/>
      </c>
      <c r="C30" s="161"/>
      <c r="D30" s="156"/>
      <c r="E30" s="156"/>
      <c r="F30" s="156"/>
      <c r="G30" s="156"/>
      <c r="H30" s="151"/>
      <c r="I30" s="151"/>
      <c r="J30" s="152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6"/>
      <c r="V30" s="156"/>
      <c r="W30" s="154">
        <f t="shared" si="1"/>
        <v>0</v>
      </c>
      <c r="X30" s="156"/>
      <c r="Y30" s="156"/>
      <c r="Z30" s="157">
        <f t="shared" si="2"/>
        <v>0</v>
      </c>
      <c r="AA30" s="162"/>
      <c r="AB30" s="64" t="s">
        <v>131</v>
      </c>
      <c r="AC30" s="158">
        <f t="shared" si="3"/>
        <v>0</v>
      </c>
      <c r="AD30" s="135"/>
      <c r="AE30" s="135"/>
      <c r="AF30" s="135"/>
      <c r="AG30" s="135"/>
      <c r="AH30" s="135"/>
      <c r="AI30" s="135"/>
      <c r="AJ30" s="135"/>
    </row>
    <row r="31" ht="22.5" hidden="1" customHeight="1">
      <c r="A31" s="6" t="str">
        <f>'利用者'!A39</f>
        <v/>
      </c>
      <c r="B31" s="9" t="str">
        <f>'利用者'!B39</f>
        <v/>
      </c>
      <c r="C31" s="161"/>
      <c r="D31" s="156"/>
      <c r="E31" s="156"/>
      <c r="F31" s="156"/>
      <c r="G31" s="156"/>
      <c r="H31" s="151"/>
      <c r="I31" s="151"/>
      <c r="J31" s="152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6"/>
      <c r="V31" s="156"/>
      <c r="W31" s="154">
        <f t="shared" si="1"/>
        <v>0</v>
      </c>
      <c r="X31" s="156"/>
      <c r="Y31" s="156"/>
      <c r="Z31" s="157">
        <f t="shared" si="2"/>
        <v>0</v>
      </c>
      <c r="AA31" s="162"/>
      <c r="AB31" s="64" t="s">
        <v>131</v>
      </c>
      <c r="AC31" s="158">
        <f t="shared" si="3"/>
        <v>0</v>
      </c>
      <c r="AD31" s="135"/>
      <c r="AE31" s="135"/>
      <c r="AF31" s="135"/>
      <c r="AG31" s="135"/>
      <c r="AH31" s="135"/>
      <c r="AI31" s="135"/>
      <c r="AJ31" s="135"/>
    </row>
    <row r="32" ht="22.5" hidden="1" customHeight="1">
      <c r="A32" s="6" t="str">
        <f>'利用者'!A40</f>
        <v/>
      </c>
      <c r="B32" s="9" t="str">
        <f>'利用者'!B40</f>
        <v/>
      </c>
      <c r="C32" s="161"/>
      <c r="D32" s="156"/>
      <c r="E32" s="156"/>
      <c r="F32" s="156"/>
      <c r="G32" s="156"/>
      <c r="H32" s="151"/>
      <c r="I32" s="151"/>
      <c r="J32" s="152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6"/>
      <c r="V32" s="156"/>
      <c r="W32" s="154">
        <f t="shared" si="1"/>
        <v>0</v>
      </c>
      <c r="X32" s="156"/>
      <c r="Y32" s="156"/>
      <c r="Z32" s="157">
        <f t="shared" si="2"/>
        <v>0</v>
      </c>
      <c r="AA32" s="162"/>
      <c r="AB32" s="64" t="s">
        <v>131</v>
      </c>
      <c r="AC32" s="158">
        <f t="shared" si="3"/>
        <v>0</v>
      </c>
      <c r="AD32" s="135"/>
      <c r="AE32" s="135"/>
      <c r="AF32" s="135"/>
      <c r="AG32" s="135"/>
      <c r="AH32" s="135"/>
      <c r="AI32" s="135"/>
      <c r="AJ32" s="135"/>
    </row>
    <row r="33" ht="22.5" hidden="1" customHeight="1">
      <c r="A33" s="6" t="str">
        <f>'利用者'!A41</f>
        <v/>
      </c>
      <c r="B33" s="9" t="str">
        <f>'利用者'!B41</f>
        <v/>
      </c>
      <c r="C33" s="161"/>
      <c r="D33" s="156"/>
      <c r="E33" s="156"/>
      <c r="F33" s="156"/>
      <c r="G33" s="156"/>
      <c r="H33" s="151"/>
      <c r="I33" s="151"/>
      <c r="J33" s="152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6"/>
      <c r="V33" s="156"/>
      <c r="W33" s="154">
        <f t="shared" si="1"/>
        <v>0</v>
      </c>
      <c r="X33" s="156"/>
      <c r="Y33" s="156"/>
      <c r="Z33" s="157">
        <f t="shared" si="2"/>
        <v>0</v>
      </c>
      <c r="AA33" s="162"/>
      <c r="AB33" s="64" t="s">
        <v>131</v>
      </c>
      <c r="AC33" s="158">
        <f t="shared" si="3"/>
        <v>0</v>
      </c>
      <c r="AD33" s="135"/>
      <c r="AE33" s="135"/>
      <c r="AF33" s="135"/>
      <c r="AG33" s="135"/>
      <c r="AH33" s="135"/>
      <c r="AI33" s="135"/>
      <c r="AJ33" s="135"/>
    </row>
    <row r="34" ht="22.5" hidden="1" customHeight="1">
      <c r="A34" s="6" t="str">
        <f>'利用者'!A42</f>
        <v/>
      </c>
      <c r="B34" s="9" t="str">
        <f>'利用者'!B42</f>
        <v/>
      </c>
      <c r="C34" s="161"/>
      <c r="D34" s="156"/>
      <c r="E34" s="156"/>
      <c r="F34" s="156"/>
      <c r="G34" s="156"/>
      <c r="H34" s="151"/>
      <c r="I34" s="151"/>
      <c r="J34" s="152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6"/>
      <c r="V34" s="156"/>
      <c r="W34" s="154">
        <f t="shared" si="1"/>
        <v>0</v>
      </c>
      <c r="X34" s="156"/>
      <c r="Y34" s="156"/>
      <c r="Z34" s="157">
        <f t="shared" si="2"/>
        <v>0</v>
      </c>
      <c r="AA34" s="162"/>
      <c r="AB34" s="64" t="s">
        <v>131</v>
      </c>
      <c r="AC34" s="158">
        <f t="shared" si="3"/>
        <v>0</v>
      </c>
      <c r="AD34" s="135"/>
      <c r="AE34" s="135"/>
      <c r="AF34" s="135"/>
      <c r="AG34" s="135"/>
      <c r="AH34" s="135"/>
      <c r="AI34" s="135"/>
      <c r="AJ34" s="135"/>
    </row>
    <row r="35" ht="22.5" hidden="1" customHeight="1">
      <c r="A35" s="6" t="str">
        <f>'利用者'!A43</f>
        <v/>
      </c>
      <c r="B35" s="9" t="str">
        <f>'利用者'!B43</f>
        <v/>
      </c>
      <c r="C35" s="161"/>
      <c r="D35" s="156"/>
      <c r="E35" s="156"/>
      <c r="F35" s="156"/>
      <c r="G35" s="156"/>
      <c r="H35" s="151"/>
      <c r="I35" s="151"/>
      <c r="J35" s="152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6"/>
      <c r="V35" s="156"/>
      <c r="W35" s="154">
        <f t="shared" si="1"/>
        <v>0</v>
      </c>
      <c r="X35" s="156"/>
      <c r="Y35" s="156"/>
      <c r="Z35" s="157">
        <f t="shared" si="2"/>
        <v>0</v>
      </c>
      <c r="AA35" s="162"/>
      <c r="AB35" s="64" t="s">
        <v>131</v>
      </c>
      <c r="AC35" s="158">
        <f t="shared" si="3"/>
        <v>0</v>
      </c>
      <c r="AD35" s="135"/>
      <c r="AE35" s="135"/>
      <c r="AF35" s="135"/>
      <c r="AG35" s="135"/>
      <c r="AH35" s="135"/>
      <c r="AI35" s="135"/>
      <c r="AJ35" s="135"/>
    </row>
    <row r="36" ht="22.5" hidden="1" customHeight="1">
      <c r="A36" s="6" t="str">
        <f>'利用者'!A44</f>
        <v/>
      </c>
      <c r="B36" s="9" t="str">
        <f>'利用者'!B44</f>
        <v/>
      </c>
      <c r="C36" s="161"/>
      <c r="D36" s="156"/>
      <c r="E36" s="156"/>
      <c r="F36" s="156"/>
      <c r="G36" s="156"/>
      <c r="H36" s="151"/>
      <c r="I36" s="151"/>
      <c r="J36" s="152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6"/>
      <c r="V36" s="156"/>
      <c r="W36" s="154">
        <f t="shared" si="1"/>
        <v>0</v>
      </c>
      <c r="X36" s="156"/>
      <c r="Y36" s="156"/>
      <c r="Z36" s="157">
        <f t="shared" si="2"/>
        <v>0</v>
      </c>
      <c r="AA36" s="162"/>
      <c r="AB36" s="64" t="s">
        <v>131</v>
      </c>
      <c r="AC36" s="158">
        <f t="shared" si="3"/>
        <v>0</v>
      </c>
      <c r="AD36" s="135"/>
      <c r="AE36" s="135"/>
      <c r="AF36" s="135"/>
      <c r="AG36" s="135"/>
      <c r="AH36" s="135"/>
      <c r="AI36" s="135"/>
      <c r="AJ36" s="135"/>
    </row>
    <row r="37" ht="22.5" hidden="1" customHeight="1">
      <c r="A37" s="6" t="str">
        <f>'利用者'!A45</f>
        <v/>
      </c>
      <c r="B37" s="9" t="str">
        <f>'利用者'!B45</f>
        <v/>
      </c>
      <c r="C37" s="161"/>
      <c r="D37" s="156"/>
      <c r="E37" s="156"/>
      <c r="F37" s="156"/>
      <c r="G37" s="156"/>
      <c r="H37" s="151"/>
      <c r="I37" s="151"/>
      <c r="J37" s="152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6"/>
      <c r="V37" s="156"/>
      <c r="W37" s="154">
        <f t="shared" si="1"/>
        <v>0</v>
      </c>
      <c r="X37" s="156"/>
      <c r="Y37" s="156"/>
      <c r="Z37" s="157">
        <f t="shared" si="2"/>
        <v>0</v>
      </c>
      <c r="AA37" s="162"/>
      <c r="AB37" s="64" t="s">
        <v>131</v>
      </c>
      <c r="AC37" s="158">
        <f t="shared" si="3"/>
        <v>0</v>
      </c>
      <c r="AD37" s="135"/>
      <c r="AE37" s="135"/>
      <c r="AF37" s="135"/>
      <c r="AG37" s="135"/>
      <c r="AH37" s="135"/>
      <c r="AI37" s="135"/>
      <c r="AJ37" s="135"/>
    </row>
    <row r="38" ht="22.5" hidden="1" customHeight="1">
      <c r="A38" s="6" t="str">
        <f>'利用者'!A46</f>
        <v/>
      </c>
      <c r="B38" s="9" t="str">
        <f>'利用者'!B46</f>
        <v/>
      </c>
      <c r="C38" s="161"/>
      <c r="D38" s="156"/>
      <c r="E38" s="156"/>
      <c r="F38" s="156"/>
      <c r="G38" s="156"/>
      <c r="H38" s="151"/>
      <c r="I38" s="151"/>
      <c r="J38" s="152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6"/>
      <c r="V38" s="156"/>
      <c r="W38" s="154">
        <f t="shared" si="1"/>
        <v>0</v>
      </c>
      <c r="X38" s="156"/>
      <c r="Y38" s="156"/>
      <c r="Z38" s="157">
        <f t="shared" si="2"/>
        <v>0</v>
      </c>
      <c r="AA38" s="162"/>
      <c r="AB38" s="64" t="s">
        <v>131</v>
      </c>
      <c r="AC38" s="158">
        <f t="shared" si="3"/>
        <v>0</v>
      </c>
      <c r="AD38" s="135"/>
      <c r="AE38" s="135"/>
      <c r="AF38" s="135"/>
      <c r="AG38" s="135"/>
      <c r="AH38" s="135"/>
      <c r="AI38" s="135"/>
      <c r="AJ38" s="135"/>
    </row>
    <row r="39" ht="22.5" hidden="1" customHeight="1">
      <c r="A39" s="6" t="str">
        <f>'利用者'!A47</f>
        <v/>
      </c>
      <c r="B39" s="9" t="str">
        <f>'利用者'!B47</f>
        <v/>
      </c>
      <c r="C39" s="161"/>
      <c r="D39" s="156"/>
      <c r="E39" s="156"/>
      <c r="F39" s="156"/>
      <c r="G39" s="156"/>
      <c r="H39" s="151"/>
      <c r="I39" s="151"/>
      <c r="J39" s="152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6"/>
      <c r="V39" s="156"/>
      <c r="W39" s="154">
        <f t="shared" si="1"/>
        <v>0</v>
      </c>
      <c r="X39" s="156"/>
      <c r="Y39" s="156"/>
      <c r="Z39" s="157">
        <f t="shared" si="2"/>
        <v>0</v>
      </c>
      <c r="AA39" s="162"/>
      <c r="AB39" s="64" t="s">
        <v>131</v>
      </c>
      <c r="AC39" s="158">
        <f t="shared" si="3"/>
        <v>0</v>
      </c>
      <c r="AD39" s="135"/>
      <c r="AE39" s="135"/>
      <c r="AF39" s="135"/>
      <c r="AG39" s="135"/>
      <c r="AH39" s="135"/>
      <c r="AI39" s="135"/>
      <c r="AJ39" s="135"/>
    </row>
    <row r="40" ht="22.5" hidden="1" customHeight="1">
      <c r="A40" s="6" t="str">
        <f>'利用者'!A48</f>
        <v/>
      </c>
      <c r="B40" s="9" t="str">
        <f>'利用者'!B48</f>
        <v/>
      </c>
      <c r="C40" s="161"/>
      <c r="D40" s="156"/>
      <c r="E40" s="156"/>
      <c r="F40" s="156"/>
      <c r="G40" s="156"/>
      <c r="H40" s="151"/>
      <c r="I40" s="151"/>
      <c r="J40" s="152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6"/>
      <c r="V40" s="156"/>
      <c r="W40" s="154">
        <f t="shared" si="1"/>
        <v>0</v>
      </c>
      <c r="X40" s="156"/>
      <c r="Y40" s="156"/>
      <c r="Z40" s="157">
        <f t="shared" si="2"/>
        <v>0</v>
      </c>
      <c r="AA40" s="162"/>
      <c r="AB40" s="64" t="s">
        <v>131</v>
      </c>
      <c r="AC40" s="158">
        <f t="shared" si="3"/>
        <v>0</v>
      </c>
      <c r="AD40" s="135"/>
      <c r="AE40" s="135"/>
      <c r="AF40" s="135"/>
      <c r="AG40" s="135"/>
      <c r="AH40" s="135"/>
      <c r="AI40" s="135"/>
      <c r="AJ40" s="135"/>
    </row>
    <row r="41" ht="22.5" hidden="1" customHeight="1">
      <c r="A41" s="6" t="str">
        <f>'利用者'!A49</f>
        <v/>
      </c>
      <c r="B41" s="9" t="str">
        <f>'利用者'!B49</f>
        <v/>
      </c>
      <c r="C41" s="161"/>
      <c r="D41" s="156"/>
      <c r="E41" s="156"/>
      <c r="F41" s="156"/>
      <c r="G41" s="156"/>
      <c r="H41" s="151"/>
      <c r="I41" s="151"/>
      <c r="J41" s="152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6"/>
      <c r="V41" s="156"/>
      <c r="W41" s="154">
        <f t="shared" si="1"/>
        <v>0</v>
      </c>
      <c r="X41" s="156"/>
      <c r="Y41" s="156"/>
      <c r="Z41" s="157">
        <f t="shared" si="2"/>
        <v>0</v>
      </c>
      <c r="AA41" s="162"/>
      <c r="AB41" s="64" t="s">
        <v>131</v>
      </c>
      <c r="AC41" s="158">
        <f t="shared" si="3"/>
        <v>0</v>
      </c>
      <c r="AD41" s="135"/>
      <c r="AE41" s="135"/>
      <c r="AF41" s="135"/>
      <c r="AG41" s="135"/>
      <c r="AH41" s="135"/>
      <c r="AI41" s="135"/>
      <c r="AJ41" s="135"/>
    </row>
    <row r="42" ht="22.5" hidden="1" customHeight="1">
      <c r="A42" s="6" t="str">
        <f>'利用者'!A50</f>
        <v/>
      </c>
      <c r="B42" s="9" t="str">
        <f>'利用者'!B50</f>
        <v/>
      </c>
      <c r="C42" s="161"/>
      <c r="D42" s="156"/>
      <c r="E42" s="156"/>
      <c r="F42" s="156"/>
      <c r="G42" s="156"/>
      <c r="H42" s="151"/>
      <c r="I42" s="151"/>
      <c r="J42" s="152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6"/>
      <c r="V42" s="156"/>
      <c r="W42" s="154">
        <f t="shared" si="1"/>
        <v>0</v>
      </c>
      <c r="X42" s="156"/>
      <c r="Y42" s="156"/>
      <c r="Z42" s="157">
        <f t="shared" si="2"/>
        <v>0</v>
      </c>
      <c r="AA42" s="162"/>
      <c r="AB42" s="64" t="s">
        <v>131</v>
      </c>
      <c r="AC42" s="158">
        <f t="shared" si="3"/>
        <v>0</v>
      </c>
      <c r="AD42" s="135"/>
      <c r="AE42" s="135"/>
      <c r="AF42" s="135"/>
      <c r="AG42" s="135"/>
      <c r="AH42" s="135"/>
      <c r="AI42" s="135"/>
      <c r="AJ42" s="135"/>
    </row>
    <row r="43" ht="22.5" hidden="1" customHeight="1">
      <c r="A43" s="6" t="str">
        <f>'利用者'!A51</f>
        <v/>
      </c>
      <c r="B43" s="9" t="str">
        <f>'利用者'!B51</f>
        <v/>
      </c>
      <c r="C43" s="161"/>
      <c r="D43" s="156"/>
      <c r="E43" s="156"/>
      <c r="F43" s="156"/>
      <c r="G43" s="156"/>
      <c r="H43" s="151"/>
      <c r="I43" s="151"/>
      <c r="J43" s="152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6"/>
      <c r="V43" s="156"/>
      <c r="W43" s="154">
        <f t="shared" si="1"/>
        <v>0</v>
      </c>
      <c r="X43" s="156"/>
      <c r="Y43" s="156"/>
      <c r="Z43" s="157">
        <f t="shared" si="2"/>
        <v>0</v>
      </c>
      <c r="AA43" s="162"/>
      <c r="AB43" s="64" t="s">
        <v>131</v>
      </c>
      <c r="AC43" s="158">
        <f t="shared" si="3"/>
        <v>0</v>
      </c>
      <c r="AD43" s="135"/>
      <c r="AE43" s="135"/>
      <c r="AF43" s="135"/>
      <c r="AG43" s="135"/>
      <c r="AH43" s="135"/>
      <c r="AI43" s="135"/>
      <c r="AJ43" s="135"/>
    </row>
    <row r="44" ht="22.5" hidden="1" customHeight="1">
      <c r="A44" s="6" t="str">
        <f>'利用者'!A52</f>
        <v/>
      </c>
      <c r="B44" s="9" t="str">
        <f>'利用者'!B52</f>
        <v/>
      </c>
      <c r="C44" s="161"/>
      <c r="D44" s="156"/>
      <c r="E44" s="156"/>
      <c r="F44" s="156"/>
      <c r="G44" s="156"/>
      <c r="H44" s="151"/>
      <c r="I44" s="151"/>
      <c r="J44" s="152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6"/>
      <c r="V44" s="156"/>
      <c r="W44" s="154">
        <f t="shared" si="1"/>
        <v>0</v>
      </c>
      <c r="X44" s="156"/>
      <c r="Y44" s="156"/>
      <c r="Z44" s="157">
        <f t="shared" si="2"/>
        <v>0</v>
      </c>
      <c r="AA44" s="162"/>
      <c r="AB44" s="64" t="s">
        <v>131</v>
      </c>
      <c r="AC44" s="158">
        <f t="shared" si="3"/>
        <v>0</v>
      </c>
      <c r="AD44" s="135"/>
      <c r="AE44" s="135"/>
      <c r="AF44" s="135"/>
      <c r="AG44" s="135"/>
      <c r="AH44" s="135"/>
      <c r="AI44" s="135"/>
      <c r="AJ44" s="135"/>
    </row>
    <row r="45" ht="22.5" hidden="1" customHeight="1">
      <c r="A45" s="6" t="str">
        <f>'利用者'!A53</f>
        <v/>
      </c>
      <c r="B45" s="9" t="str">
        <f>'利用者'!B53</f>
        <v/>
      </c>
      <c r="C45" s="161"/>
      <c r="D45" s="156"/>
      <c r="E45" s="156"/>
      <c r="F45" s="156"/>
      <c r="G45" s="156"/>
      <c r="H45" s="151"/>
      <c r="I45" s="151"/>
      <c r="J45" s="152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6"/>
      <c r="V45" s="156"/>
      <c r="W45" s="154">
        <f t="shared" si="1"/>
        <v>0</v>
      </c>
      <c r="X45" s="156"/>
      <c r="Y45" s="156"/>
      <c r="Z45" s="157">
        <f t="shared" si="2"/>
        <v>0</v>
      </c>
      <c r="AA45" s="162"/>
      <c r="AB45" s="64" t="s">
        <v>131</v>
      </c>
      <c r="AC45" s="158">
        <f t="shared" si="3"/>
        <v>0</v>
      </c>
      <c r="AD45" s="135"/>
      <c r="AE45" s="135"/>
      <c r="AF45" s="135"/>
      <c r="AG45" s="135"/>
      <c r="AH45" s="135"/>
      <c r="AI45" s="135"/>
      <c r="AJ45" s="135"/>
    </row>
    <row r="46" ht="22.5" hidden="1" customHeight="1">
      <c r="A46" s="6" t="str">
        <f>'利用者'!A54</f>
        <v/>
      </c>
      <c r="B46" s="9" t="str">
        <f>'利用者'!B54</f>
        <v/>
      </c>
      <c r="C46" s="161"/>
      <c r="D46" s="156"/>
      <c r="E46" s="156"/>
      <c r="F46" s="156"/>
      <c r="G46" s="156"/>
      <c r="H46" s="151"/>
      <c r="I46" s="151"/>
      <c r="J46" s="152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6"/>
      <c r="V46" s="156"/>
      <c r="W46" s="154">
        <f t="shared" si="1"/>
        <v>0</v>
      </c>
      <c r="X46" s="156"/>
      <c r="Y46" s="156"/>
      <c r="Z46" s="157">
        <f t="shared" si="2"/>
        <v>0</v>
      </c>
      <c r="AA46" s="162"/>
      <c r="AB46" s="64" t="s">
        <v>131</v>
      </c>
      <c r="AC46" s="158">
        <f t="shared" si="3"/>
        <v>0</v>
      </c>
      <c r="AD46" s="135"/>
      <c r="AE46" s="135"/>
      <c r="AF46" s="135"/>
      <c r="AG46" s="135"/>
      <c r="AH46" s="135"/>
      <c r="AI46" s="135"/>
      <c r="AJ46" s="135"/>
    </row>
    <row r="47" ht="22.5" hidden="1" customHeight="1">
      <c r="A47" s="6" t="str">
        <f>'利用者'!A55</f>
        <v/>
      </c>
      <c r="B47" s="9" t="str">
        <f>'利用者'!B55</f>
        <v/>
      </c>
      <c r="C47" s="161"/>
      <c r="D47" s="156"/>
      <c r="E47" s="156"/>
      <c r="F47" s="156"/>
      <c r="G47" s="156"/>
      <c r="H47" s="151"/>
      <c r="I47" s="151"/>
      <c r="J47" s="152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6"/>
      <c r="V47" s="156"/>
      <c r="W47" s="154">
        <f t="shared" si="1"/>
        <v>0</v>
      </c>
      <c r="X47" s="156"/>
      <c r="Y47" s="156"/>
      <c r="Z47" s="157">
        <f t="shared" si="2"/>
        <v>0</v>
      </c>
      <c r="AA47" s="162"/>
      <c r="AB47" s="64" t="s">
        <v>131</v>
      </c>
      <c r="AC47" s="158">
        <f t="shared" si="3"/>
        <v>0</v>
      </c>
      <c r="AD47" s="135"/>
      <c r="AE47" s="135"/>
      <c r="AF47" s="135"/>
      <c r="AG47" s="135"/>
      <c r="AH47" s="135"/>
      <c r="AI47" s="135"/>
      <c r="AJ47" s="135"/>
    </row>
    <row r="48" ht="22.5" hidden="1" customHeight="1">
      <c r="A48" s="6" t="str">
        <f>'利用者'!A56</f>
        <v/>
      </c>
      <c r="B48" s="9" t="str">
        <f>'利用者'!B56</f>
        <v/>
      </c>
      <c r="C48" s="161"/>
      <c r="D48" s="156"/>
      <c r="E48" s="156"/>
      <c r="F48" s="156"/>
      <c r="G48" s="156"/>
      <c r="H48" s="151"/>
      <c r="I48" s="151"/>
      <c r="J48" s="152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6"/>
      <c r="V48" s="156"/>
      <c r="W48" s="154">
        <f t="shared" si="1"/>
        <v>0</v>
      </c>
      <c r="X48" s="156"/>
      <c r="Y48" s="156"/>
      <c r="Z48" s="157">
        <f t="shared" si="2"/>
        <v>0</v>
      </c>
      <c r="AA48" s="162"/>
      <c r="AB48" s="64" t="s">
        <v>131</v>
      </c>
      <c r="AC48" s="158">
        <f t="shared" si="3"/>
        <v>0</v>
      </c>
      <c r="AD48" s="135"/>
      <c r="AE48" s="135"/>
      <c r="AF48" s="135"/>
      <c r="AG48" s="135"/>
      <c r="AH48" s="135"/>
      <c r="AI48" s="135"/>
      <c r="AJ48" s="135"/>
    </row>
    <row r="49" ht="22.5" hidden="1" customHeight="1">
      <c r="A49" s="6" t="str">
        <f>'利用者'!A57</f>
        <v/>
      </c>
      <c r="B49" s="9" t="str">
        <f>'利用者'!B57</f>
        <v/>
      </c>
      <c r="C49" s="161"/>
      <c r="D49" s="156"/>
      <c r="E49" s="156"/>
      <c r="F49" s="156"/>
      <c r="G49" s="156"/>
      <c r="H49" s="151"/>
      <c r="I49" s="151"/>
      <c r="J49" s="152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6"/>
      <c r="V49" s="156"/>
      <c r="W49" s="154">
        <f t="shared" si="1"/>
        <v>0</v>
      </c>
      <c r="X49" s="156"/>
      <c r="Y49" s="156"/>
      <c r="Z49" s="157">
        <f t="shared" si="2"/>
        <v>0</v>
      </c>
      <c r="AA49" s="162"/>
      <c r="AB49" s="64" t="s">
        <v>131</v>
      </c>
      <c r="AC49" s="158">
        <f t="shared" si="3"/>
        <v>0</v>
      </c>
      <c r="AD49" s="135"/>
      <c r="AE49" s="135"/>
      <c r="AF49" s="135"/>
      <c r="AG49" s="135"/>
      <c r="AH49" s="135"/>
      <c r="AI49" s="135"/>
      <c r="AJ49" s="135"/>
    </row>
    <row r="50" ht="22.5" hidden="1" customHeight="1">
      <c r="A50" s="6" t="str">
        <f>'利用者'!A58</f>
        <v/>
      </c>
      <c r="B50" s="9" t="str">
        <f>'利用者'!B58</f>
        <v/>
      </c>
      <c r="C50" s="161"/>
      <c r="D50" s="156"/>
      <c r="E50" s="156"/>
      <c r="F50" s="156"/>
      <c r="G50" s="156"/>
      <c r="H50" s="151"/>
      <c r="I50" s="151"/>
      <c r="J50" s="152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6"/>
      <c r="V50" s="156"/>
      <c r="W50" s="154">
        <f t="shared" si="1"/>
        <v>0</v>
      </c>
      <c r="X50" s="156"/>
      <c r="Y50" s="156"/>
      <c r="Z50" s="157">
        <f t="shared" si="2"/>
        <v>0</v>
      </c>
      <c r="AA50" s="162"/>
      <c r="AB50" s="64" t="s">
        <v>131</v>
      </c>
      <c r="AC50" s="158">
        <f t="shared" si="3"/>
        <v>0</v>
      </c>
      <c r="AD50" s="135"/>
      <c r="AE50" s="135"/>
      <c r="AF50" s="135"/>
      <c r="AG50" s="135"/>
      <c r="AH50" s="135"/>
      <c r="AI50" s="135"/>
      <c r="AJ50" s="135"/>
    </row>
    <row r="51" ht="22.5" hidden="1" customHeight="1">
      <c r="A51" s="6" t="str">
        <f>'利用者'!A59</f>
        <v/>
      </c>
      <c r="B51" s="9" t="str">
        <f>'利用者'!B59</f>
        <v/>
      </c>
      <c r="C51" s="161"/>
      <c r="D51" s="156"/>
      <c r="E51" s="156"/>
      <c r="F51" s="156"/>
      <c r="G51" s="156"/>
      <c r="H51" s="151"/>
      <c r="I51" s="151"/>
      <c r="J51" s="152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6"/>
      <c r="V51" s="156"/>
      <c r="W51" s="154">
        <f t="shared" si="1"/>
        <v>0</v>
      </c>
      <c r="X51" s="156"/>
      <c r="Y51" s="156"/>
      <c r="Z51" s="157">
        <f t="shared" si="2"/>
        <v>0</v>
      </c>
      <c r="AA51" s="162"/>
      <c r="AB51" s="64" t="s">
        <v>131</v>
      </c>
      <c r="AC51" s="158">
        <f t="shared" si="3"/>
        <v>0</v>
      </c>
      <c r="AD51" s="135"/>
      <c r="AE51" s="135"/>
      <c r="AF51" s="135"/>
      <c r="AG51" s="135"/>
      <c r="AH51" s="135"/>
      <c r="AI51" s="135"/>
      <c r="AJ51" s="135"/>
    </row>
    <row r="52" ht="22.5" hidden="1" customHeight="1">
      <c r="A52" s="6" t="str">
        <f>'利用者'!A60</f>
        <v/>
      </c>
      <c r="B52" s="9" t="str">
        <f>'利用者'!B60</f>
        <v/>
      </c>
      <c r="C52" s="161"/>
      <c r="D52" s="156"/>
      <c r="E52" s="156"/>
      <c r="F52" s="156"/>
      <c r="G52" s="156"/>
      <c r="H52" s="151"/>
      <c r="I52" s="151"/>
      <c r="J52" s="152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6"/>
      <c r="V52" s="156"/>
      <c r="W52" s="154">
        <f t="shared" si="1"/>
        <v>0</v>
      </c>
      <c r="X52" s="156"/>
      <c r="Y52" s="156"/>
      <c r="Z52" s="157">
        <f t="shared" si="2"/>
        <v>0</v>
      </c>
      <c r="AA52" s="162"/>
      <c r="AB52" s="64" t="s">
        <v>131</v>
      </c>
      <c r="AC52" s="158">
        <f t="shared" si="3"/>
        <v>0</v>
      </c>
      <c r="AD52" s="135"/>
      <c r="AE52" s="135"/>
      <c r="AF52" s="135"/>
      <c r="AG52" s="135"/>
      <c r="AH52" s="135"/>
      <c r="AI52" s="135"/>
      <c r="AJ52" s="135"/>
    </row>
    <row r="53" ht="22.5" hidden="1" customHeight="1">
      <c r="A53" s="6" t="str">
        <f>'利用者'!A61</f>
        <v/>
      </c>
      <c r="B53" s="9" t="str">
        <f>'利用者'!B61</f>
        <v/>
      </c>
      <c r="C53" s="161"/>
      <c r="D53" s="156"/>
      <c r="E53" s="156"/>
      <c r="F53" s="156"/>
      <c r="G53" s="156"/>
      <c r="H53" s="151"/>
      <c r="I53" s="151"/>
      <c r="J53" s="152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6"/>
      <c r="V53" s="156"/>
      <c r="W53" s="154">
        <f t="shared" si="1"/>
        <v>0</v>
      </c>
      <c r="X53" s="156"/>
      <c r="Y53" s="156"/>
      <c r="Z53" s="157">
        <f t="shared" si="2"/>
        <v>0</v>
      </c>
      <c r="AA53" s="162"/>
      <c r="AB53" s="64" t="s">
        <v>131</v>
      </c>
      <c r="AC53" s="158">
        <f t="shared" si="3"/>
        <v>0</v>
      </c>
      <c r="AD53" s="135"/>
      <c r="AE53" s="135"/>
      <c r="AF53" s="135"/>
      <c r="AG53" s="135"/>
      <c r="AH53" s="135"/>
      <c r="AI53" s="135"/>
      <c r="AJ53" s="135"/>
    </row>
    <row r="54" ht="22.5" hidden="1" customHeight="1">
      <c r="A54" s="6" t="str">
        <f>'利用者'!A62</f>
        <v/>
      </c>
      <c r="B54" s="9" t="str">
        <f>'利用者'!B62</f>
        <v/>
      </c>
      <c r="C54" s="161"/>
      <c r="D54" s="156"/>
      <c r="E54" s="156"/>
      <c r="F54" s="156"/>
      <c r="G54" s="156"/>
      <c r="H54" s="151"/>
      <c r="I54" s="151"/>
      <c r="J54" s="152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6"/>
      <c r="V54" s="156"/>
      <c r="W54" s="154">
        <f t="shared" si="1"/>
        <v>0</v>
      </c>
      <c r="X54" s="156"/>
      <c r="Y54" s="156"/>
      <c r="Z54" s="157">
        <f t="shared" si="2"/>
        <v>0</v>
      </c>
      <c r="AA54" s="162"/>
      <c r="AB54" s="64" t="s">
        <v>131</v>
      </c>
      <c r="AC54" s="158">
        <f t="shared" si="3"/>
        <v>0</v>
      </c>
      <c r="AD54" s="135"/>
      <c r="AE54" s="135"/>
      <c r="AF54" s="135"/>
      <c r="AG54" s="135"/>
      <c r="AH54" s="135"/>
      <c r="AI54" s="135"/>
      <c r="AJ54" s="135"/>
    </row>
    <row r="55" ht="22.5" hidden="1" customHeight="1">
      <c r="A55" s="6" t="str">
        <f>'利用者'!A63</f>
        <v/>
      </c>
      <c r="B55" s="9" t="str">
        <f>'利用者'!B63</f>
        <v/>
      </c>
      <c r="C55" s="161"/>
      <c r="D55" s="156"/>
      <c r="E55" s="156"/>
      <c r="F55" s="156"/>
      <c r="G55" s="156"/>
      <c r="H55" s="151"/>
      <c r="I55" s="151"/>
      <c r="J55" s="152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6"/>
      <c r="V55" s="156"/>
      <c r="W55" s="154">
        <f t="shared" si="1"/>
        <v>0</v>
      </c>
      <c r="X55" s="156"/>
      <c r="Y55" s="156"/>
      <c r="Z55" s="157">
        <f t="shared" si="2"/>
        <v>0</v>
      </c>
      <c r="AA55" s="162"/>
      <c r="AB55" s="64" t="s">
        <v>131</v>
      </c>
      <c r="AC55" s="158">
        <f t="shared" si="3"/>
        <v>0</v>
      </c>
      <c r="AD55" s="135"/>
      <c r="AE55" s="135"/>
      <c r="AF55" s="135"/>
      <c r="AG55" s="135"/>
      <c r="AH55" s="135"/>
      <c r="AI55" s="135"/>
      <c r="AJ55" s="135"/>
    </row>
    <row r="56" ht="22.5" hidden="1" customHeight="1">
      <c r="A56" s="6" t="str">
        <f>'利用者'!A64</f>
        <v/>
      </c>
      <c r="B56" s="9" t="str">
        <f>'利用者'!B64</f>
        <v/>
      </c>
      <c r="C56" s="161"/>
      <c r="D56" s="156"/>
      <c r="E56" s="156"/>
      <c r="F56" s="156"/>
      <c r="G56" s="156"/>
      <c r="H56" s="151"/>
      <c r="I56" s="151"/>
      <c r="J56" s="152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6"/>
      <c r="V56" s="156"/>
      <c r="W56" s="154">
        <f t="shared" si="1"/>
        <v>0</v>
      </c>
      <c r="X56" s="156"/>
      <c r="Y56" s="156"/>
      <c r="Z56" s="157">
        <f t="shared" si="2"/>
        <v>0</v>
      </c>
      <c r="AA56" s="162"/>
      <c r="AB56" s="64" t="s">
        <v>131</v>
      </c>
      <c r="AC56" s="158">
        <f t="shared" si="3"/>
        <v>0</v>
      </c>
      <c r="AD56" s="135"/>
      <c r="AE56" s="135"/>
      <c r="AF56" s="135"/>
      <c r="AG56" s="135"/>
      <c r="AH56" s="135"/>
      <c r="AI56" s="135"/>
      <c r="AJ56" s="135"/>
    </row>
    <row r="57" ht="22.5" hidden="1" customHeight="1">
      <c r="A57" s="6" t="str">
        <f>'利用者'!A65</f>
        <v/>
      </c>
      <c r="B57" s="9" t="str">
        <f>'利用者'!B65</f>
        <v/>
      </c>
      <c r="C57" s="161"/>
      <c r="D57" s="156"/>
      <c r="E57" s="156"/>
      <c r="F57" s="156"/>
      <c r="G57" s="156"/>
      <c r="H57" s="151"/>
      <c r="I57" s="151"/>
      <c r="J57" s="152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6"/>
      <c r="V57" s="156"/>
      <c r="W57" s="154">
        <f t="shared" si="1"/>
        <v>0</v>
      </c>
      <c r="X57" s="156"/>
      <c r="Y57" s="156"/>
      <c r="Z57" s="157">
        <f t="shared" si="2"/>
        <v>0</v>
      </c>
      <c r="AA57" s="162"/>
      <c r="AB57" s="64" t="s">
        <v>131</v>
      </c>
      <c r="AC57" s="158">
        <f t="shared" si="3"/>
        <v>0</v>
      </c>
      <c r="AD57" s="135"/>
      <c r="AE57" s="135"/>
      <c r="AF57" s="135"/>
      <c r="AG57" s="135"/>
      <c r="AH57" s="135"/>
      <c r="AI57" s="135"/>
      <c r="AJ57" s="135"/>
    </row>
    <row r="58" ht="22.5" hidden="1" customHeight="1">
      <c r="A58" s="6" t="str">
        <f>'利用者'!A66</f>
        <v/>
      </c>
      <c r="B58" s="9" t="str">
        <f>'利用者'!B66</f>
        <v/>
      </c>
      <c r="C58" s="161"/>
      <c r="D58" s="156"/>
      <c r="E58" s="156"/>
      <c r="F58" s="156"/>
      <c r="G58" s="156"/>
      <c r="H58" s="151"/>
      <c r="I58" s="151"/>
      <c r="J58" s="152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6"/>
      <c r="V58" s="156"/>
      <c r="W58" s="154">
        <f t="shared" si="1"/>
        <v>0</v>
      </c>
      <c r="X58" s="156"/>
      <c r="Y58" s="156"/>
      <c r="Z58" s="157">
        <f t="shared" si="2"/>
        <v>0</v>
      </c>
      <c r="AA58" s="162"/>
      <c r="AB58" s="64" t="s">
        <v>131</v>
      </c>
      <c r="AC58" s="158">
        <f t="shared" si="3"/>
        <v>0</v>
      </c>
      <c r="AD58" s="135"/>
      <c r="AE58" s="135"/>
      <c r="AF58" s="135"/>
      <c r="AG58" s="135"/>
      <c r="AH58" s="135"/>
      <c r="AI58" s="135"/>
      <c r="AJ58" s="135"/>
    </row>
    <row r="59" ht="22.5" hidden="1" customHeight="1">
      <c r="A59" s="6" t="str">
        <f>'利用者'!A67</f>
        <v/>
      </c>
      <c r="B59" s="9" t="str">
        <f>'利用者'!B67</f>
        <v/>
      </c>
      <c r="C59" s="161"/>
      <c r="D59" s="156"/>
      <c r="E59" s="156"/>
      <c r="F59" s="156"/>
      <c r="G59" s="156"/>
      <c r="H59" s="151"/>
      <c r="I59" s="151"/>
      <c r="J59" s="152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6"/>
      <c r="V59" s="156"/>
      <c r="W59" s="154">
        <f t="shared" si="1"/>
        <v>0</v>
      </c>
      <c r="X59" s="156"/>
      <c r="Y59" s="156"/>
      <c r="Z59" s="157">
        <f t="shared" si="2"/>
        <v>0</v>
      </c>
      <c r="AA59" s="162"/>
      <c r="AB59" s="64" t="s">
        <v>131</v>
      </c>
      <c r="AC59" s="158">
        <f t="shared" si="3"/>
        <v>0</v>
      </c>
      <c r="AD59" s="135"/>
      <c r="AE59" s="135"/>
      <c r="AF59" s="135"/>
      <c r="AG59" s="135"/>
      <c r="AH59" s="135"/>
      <c r="AI59" s="135"/>
      <c r="AJ59" s="135"/>
    </row>
    <row r="60" ht="22.5" hidden="1" customHeight="1">
      <c r="A60" s="6" t="str">
        <f>'利用者'!A68</f>
        <v/>
      </c>
      <c r="B60" s="9" t="str">
        <f>'利用者'!B68</f>
        <v/>
      </c>
      <c r="C60" s="161"/>
      <c r="D60" s="156"/>
      <c r="E60" s="156"/>
      <c r="F60" s="156"/>
      <c r="G60" s="156"/>
      <c r="H60" s="151"/>
      <c r="I60" s="151"/>
      <c r="J60" s="152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6"/>
      <c r="V60" s="156"/>
      <c r="W60" s="154">
        <f t="shared" si="1"/>
        <v>0</v>
      </c>
      <c r="X60" s="156"/>
      <c r="Y60" s="156"/>
      <c r="Z60" s="157">
        <f t="shared" si="2"/>
        <v>0</v>
      </c>
      <c r="AA60" s="162"/>
      <c r="AB60" s="64" t="s">
        <v>131</v>
      </c>
      <c r="AC60" s="158">
        <f t="shared" si="3"/>
        <v>0</v>
      </c>
      <c r="AD60" s="135"/>
      <c r="AE60" s="135"/>
      <c r="AF60" s="135"/>
      <c r="AG60" s="135"/>
      <c r="AH60" s="135"/>
      <c r="AI60" s="135"/>
      <c r="AJ60" s="135"/>
    </row>
    <row r="61" ht="22.5" hidden="1" customHeight="1">
      <c r="A61" s="6" t="str">
        <f>'利用者'!A69</f>
        <v/>
      </c>
      <c r="B61" s="9" t="str">
        <f>'利用者'!B69</f>
        <v/>
      </c>
      <c r="C61" s="161"/>
      <c r="D61" s="156"/>
      <c r="E61" s="156"/>
      <c r="F61" s="156"/>
      <c r="G61" s="156"/>
      <c r="H61" s="151"/>
      <c r="I61" s="151"/>
      <c r="J61" s="152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6"/>
      <c r="V61" s="156"/>
      <c r="W61" s="154">
        <f t="shared" si="1"/>
        <v>0</v>
      </c>
      <c r="X61" s="156"/>
      <c r="Y61" s="156"/>
      <c r="Z61" s="157">
        <f t="shared" si="2"/>
        <v>0</v>
      </c>
      <c r="AA61" s="162"/>
      <c r="AB61" s="64" t="s">
        <v>131</v>
      </c>
      <c r="AC61" s="158">
        <f t="shared" si="3"/>
        <v>0</v>
      </c>
      <c r="AD61" s="135"/>
      <c r="AE61" s="135"/>
      <c r="AF61" s="135"/>
      <c r="AG61" s="135"/>
      <c r="AH61" s="135"/>
      <c r="AI61" s="135"/>
      <c r="AJ61" s="135"/>
    </row>
    <row r="62" ht="22.5" hidden="1" customHeight="1">
      <c r="A62" s="6" t="str">
        <f>'利用者'!A70</f>
        <v/>
      </c>
      <c r="B62" s="9" t="str">
        <f>'利用者'!B70</f>
        <v/>
      </c>
      <c r="C62" s="161"/>
      <c r="D62" s="156"/>
      <c r="E62" s="156"/>
      <c r="F62" s="156"/>
      <c r="G62" s="156"/>
      <c r="H62" s="151"/>
      <c r="I62" s="151"/>
      <c r="J62" s="152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6"/>
      <c r="V62" s="156"/>
      <c r="W62" s="154">
        <f t="shared" si="1"/>
        <v>0</v>
      </c>
      <c r="X62" s="156"/>
      <c r="Y62" s="156"/>
      <c r="Z62" s="157">
        <f t="shared" si="2"/>
        <v>0</v>
      </c>
      <c r="AA62" s="162"/>
      <c r="AB62" s="64" t="s">
        <v>131</v>
      </c>
      <c r="AC62" s="158">
        <f t="shared" si="3"/>
        <v>0</v>
      </c>
      <c r="AD62" s="135"/>
      <c r="AE62" s="135"/>
      <c r="AF62" s="135"/>
      <c r="AG62" s="135"/>
      <c r="AH62" s="135"/>
      <c r="AI62" s="135"/>
      <c r="AJ62" s="135"/>
    </row>
    <row r="63" ht="22.5" hidden="1" customHeight="1">
      <c r="A63" s="6" t="str">
        <f>'利用者'!A71</f>
        <v/>
      </c>
      <c r="B63" s="9" t="str">
        <f>'利用者'!B71</f>
        <v/>
      </c>
      <c r="C63" s="161"/>
      <c r="D63" s="156"/>
      <c r="E63" s="156"/>
      <c r="F63" s="156"/>
      <c r="G63" s="156"/>
      <c r="H63" s="151"/>
      <c r="I63" s="151"/>
      <c r="J63" s="152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6"/>
      <c r="V63" s="156"/>
      <c r="W63" s="154">
        <f t="shared" si="1"/>
        <v>0</v>
      </c>
      <c r="X63" s="156"/>
      <c r="Y63" s="156"/>
      <c r="Z63" s="157">
        <f t="shared" si="2"/>
        <v>0</v>
      </c>
      <c r="AA63" s="162"/>
      <c r="AB63" s="64" t="s">
        <v>131</v>
      </c>
      <c r="AC63" s="158">
        <f t="shared" si="3"/>
        <v>0</v>
      </c>
      <c r="AD63" s="135"/>
      <c r="AE63" s="135"/>
      <c r="AF63" s="135"/>
      <c r="AG63" s="135"/>
      <c r="AH63" s="135"/>
      <c r="AI63" s="135"/>
      <c r="AJ63" s="135"/>
    </row>
    <row r="64" ht="22.5" hidden="1" customHeight="1">
      <c r="A64" s="6" t="str">
        <f>'利用者'!A72</f>
        <v/>
      </c>
      <c r="B64" s="9" t="str">
        <f>'利用者'!B72</f>
        <v/>
      </c>
      <c r="C64" s="161"/>
      <c r="D64" s="156"/>
      <c r="E64" s="156"/>
      <c r="F64" s="156"/>
      <c r="G64" s="156"/>
      <c r="H64" s="151"/>
      <c r="I64" s="151"/>
      <c r="J64" s="152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6"/>
      <c r="V64" s="156"/>
      <c r="W64" s="154">
        <f t="shared" si="1"/>
        <v>0</v>
      </c>
      <c r="X64" s="156"/>
      <c r="Y64" s="156"/>
      <c r="Z64" s="157">
        <f t="shared" si="2"/>
        <v>0</v>
      </c>
      <c r="AA64" s="162"/>
      <c r="AB64" s="64" t="s">
        <v>131</v>
      </c>
      <c r="AC64" s="158">
        <f t="shared" si="3"/>
        <v>0</v>
      </c>
      <c r="AD64" s="135"/>
      <c r="AE64" s="135"/>
      <c r="AF64" s="135"/>
      <c r="AG64" s="135"/>
      <c r="AH64" s="135"/>
      <c r="AI64" s="135"/>
      <c r="AJ64" s="135"/>
    </row>
    <row r="65" ht="22.5" hidden="1" customHeight="1">
      <c r="A65" s="6" t="str">
        <f>'利用者'!A73</f>
        <v/>
      </c>
      <c r="B65" s="9" t="str">
        <f>'利用者'!B73</f>
        <v/>
      </c>
      <c r="C65" s="161"/>
      <c r="D65" s="156"/>
      <c r="E65" s="156"/>
      <c r="F65" s="156"/>
      <c r="G65" s="156"/>
      <c r="H65" s="151"/>
      <c r="I65" s="151"/>
      <c r="J65" s="152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6"/>
      <c r="V65" s="156"/>
      <c r="W65" s="154">
        <f t="shared" si="1"/>
        <v>0</v>
      </c>
      <c r="X65" s="156"/>
      <c r="Y65" s="156"/>
      <c r="Z65" s="157">
        <f t="shared" si="2"/>
        <v>0</v>
      </c>
      <c r="AA65" s="162"/>
      <c r="AB65" s="64" t="s">
        <v>131</v>
      </c>
      <c r="AC65" s="158">
        <f t="shared" si="3"/>
        <v>0</v>
      </c>
      <c r="AD65" s="135"/>
      <c r="AE65" s="135"/>
      <c r="AF65" s="135"/>
      <c r="AG65" s="135"/>
      <c r="AH65" s="135"/>
      <c r="AI65" s="135"/>
      <c r="AJ65" s="135"/>
    </row>
    <row r="66" ht="22.5" hidden="1" customHeight="1">
      <c r="A66" s="6" t="str">
        <f>'利用者'!A74</f>
        <v/>
      </c>
      <c r="B66" s="9" t="str">
        <f>'利用者'!B74</f>
        <v/>
      </c>
      <c r="C66" s="161"/>
      <c r="D66" s="156"/>
      <c r="E66" s="156"/>
      <c r="F66" s="156"/>
      <c r="G66" s="156"/>
      <c r="H66" s="151"/>
      <c r="I66" s="151"/>
      <c r="J66" s="152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6"/>
      <c r="V66" s="156"/>
      <c r="W66" s="154">
        <f t="shared" si="1"/>
        <v>0</v>
      </c>
      <c r="X66" s="156"/>
      <c r="Y66" s="156"/>
      <c r="Z66" s="157">
        <f t="shared" si="2"/>
        <v>0</v>
      </c>
      <c r="AA66" s="162"/>
      <c r="AB66" s="64" t="s">
        <v>131</v>
      </c>
      <c r="AC66" s="158">
        <f t="shared" si="3"/>
        <v>0</v>
      </c>
      <c r="AD66" s="135"/>
      <c r="AE66" s="135"/>
      <c r="AF66" s="135"/>
      <c r="AG66" s="135"/>
      <c r="AH66" s="135"/>
      <c r="AI66" s="135"/>
      <c r="AJ66" s="135"/>
    </row>
    <row r="67" ht="22.5" hidden="1" customHeight="1">
      <c r="A67" s="6" t="str">
        <f>'利用者'!A75</f>
        <v/>
      </c>
      <c r="B67" s="9" t="str">
        <f>'利用者'!B75</f>
        <v/>
      </c>
      <c r="C67" s="161"/>
      <c r="D67" s="156"/>
      <c r="E67" s="156"/>
      <c r="F67" s="156"/>
      <c r="G67" s="156"/>
      <c r="H67" s="151"/>
      <c r="I67" s="151"/>
      <c r="J67" s="152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6"/>
      <c r="V67" s="156"/>
      <c r="W67" s="154">
        <f t="shared" si="1"/>
        <v>0</v>
      </c>
      <c r="X67" s="156"/>
      <c r="Y67" s="156"/>
      <c r="Z67" s="157">
        <f t="shared" si="2"/>
        <v>0</v>
      </c>
      <c r="AA67" s="162"/>
      <c r="AB67" s="64" t="s">
        <v>131</v>
      </c>
      <c r="AC67" s="158">
        <f t="shared" si="3"/>
        <v>0</v>
      </c>
      <c r="AD67" s="135"/>
      <c r="AE67" s="135"/>
      <c r="AF67" s="135"/>
      <c r="AG67" s="135"/>
      <c r="AH67" s="135"/>
      <c r="AI67" s="135"/>
      <c r="AJ67" s="135"/>
    </row>
    <row r="68" ht="22.5" hidden="1" customHeight="1">
      <c r="A68" s="6" t="str">
        <f>'利用者'!A76</f>
        <v/>
      </c>
      <c r="B68" s="9" t="str">
        <f>'利用者'!B76</f>
        <v/>
      </c>
      <c r="C68" s="161"/>
      <c r="D68" s="156"/>
      <c r="E68" s="156"/>
      <c r="F68" s="156"/>
      <c r="G68" s="156"/>
      <c r="H68" s="151"/>
      <c r="I68" s="151"/>
      <c r="J68" s="152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6"/>
      <c r="V68" s="156"/>
      <c r="W68" s="154">
        <f t="shared" si="1"/>
        <v>0</v>
      </c>
      <c r="X68" s="156"/>
      <c r="Y68" s="156"/>
      <c r="Z68" s="157">
        <f t="shared" si="2"/>
        <v>0</v>
      </c>
      <c r="AA68" s="162"/>
      <c r="AB68" s="64" t="s">
        <v>131</v>
      </c>
      <c r="AC68" s="158">
        <f t="shared" si="3"/>
        <v>0</v>
      </c>
      <c r="AD68" s="135"/>
      <c r="AE68" s="135"/>
      <c r="AF68" s="135"/>
      <c r="AG68" s="135"/>
      <c r="AH68" s="135"/>
      <c r="AI68" s="135"/>
      <c r="AJ68" s="135"/>
    </row>
    <row r="69" ht="22.5" hidden="1" customHeight="1">
      <c r="A69" s="6" t="str">
        <f>'利用者'!A77</f>
        <v/>
      </c>
      <c r="B69" s="9" t="str">
        <f>'利用者'!B77</f>
        <v/>
      </c>
      <c r="C69" s="161"/>
      <c r="D69" s="156"/>
      <c r="E69" s="156"/>
      <c r="F69" s="156"/>
      <c r="G69" s="156"/>
      <c r="H69" s="151"/>
      <c r="I69" s="151"/>
      <c r="J69" s="152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6"/>
      <c r="V69" s="156"/>
      <c r="W69" s="154">
        <f t="shared" si="1"/>
        <v>0</v>
      </c>
      <c r="X69" s="156"/>
      <c r="Y69" s="156"/>
      <c r="Z69" s="157">
        <f t="shared" si="2"/>
        <v>0</v>
      </c>
      <c r="AA69" s="162"/>
      <c r="AB69" s="64" t="s">
        <v>131</v>
      </c>
      <c r="AC69" s="158">
        <f t="shared" si="3"/>
        <v>0</v>
      </c>
      <c r="AD69" s="135"/>
      <c r="AE69" s="135"/>
      <c r="AF69" s="135"/>
      <c r="AG69" s="135"/>
      <c r="AH69" s="135"/>
      <c r="AI69" s="135"/>
      <c r="AJ69" s="135"/>
    </row>
    <row r="70" ht="22.5" hidden="1" customHeight="1">
      <c r="A70" s="6" t="str">
        <f>'利用者'!A78</f>
        <v/>
      </c>
      <c r="B70" s="9" t="str">
        <f>'利用者'!B78</f>
        <v/>
      </c>
      <c r="C70" s="161"/>
      <c r="D70" s="156"/>
      <c r="E70" s="156"/>
      <c r="F70" s="156"/>
      <c r="G70" s="156"/>
      <c r="H70" s="151"/>
      <c r="I70" s="151"/>
      <c r="J70" s="152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6"/>
      <c r="V70" s="156"/>
      <c r="W70" s="154">
        <f t="shared" si="1"/>
        <v>0</v>
      </c>
      <c r="X70" s="156"/>
      <c r="Y70" s="156"/>
      <c r="Z70" s="157">
        <f t="shared" si="2"/>
        <v>0</v>
      </c>
      <c r="AA70" s="162"/>
      <c r="AB70" s="64" t="s">
        <v>131</v>
      </c>
      <c r="AC70" s="158">
        <f t="shared" si="3"/>
        <v>0</v>
      </c>
      <c r="AD70" s="135"/>
      <c r="AE70" s="135"/>
      <c r="AF70" s="135"/>
      <c r="AG70" s="135"/>
      <c r="AH70" s="135"/>
      <c r="AI70" s="135"/>
      <c r="AJ70" s="135"/>
    </row>
    <row r="71" ht="22.5" hidden="1" customHeight="1">
      <c r="A71" s="6" t="str">
        <f>'利用者'!A79</f>
        <v/>
      </c>
      <c r="B71" s="9" t="str">
        <f>'利用者'!B79</f>
        <v/>
      </c>
      <c r="C71" s="161"/>
      <c r="D71" s="156"/>
      <c r="E71" s="156"/>
      <c r="F71" s="156"/>
      <c r="G71" s="156"/>
      <c r="H71" s="151"/>
      <c r="I71" s="151"/>
      <c r="J71" s="152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6"/>
      <c r="V71" s="156"/>
      <c r="W71" s="154">
        <f t="shared" si="1"/>
        <v>0</v>
      </c>
      <c r="X71" s="156"/>
      <c r="Y71" s="156"/>
      <c r="Z71" s="157">
        <f t="shared" si="2"/>
        <v>0</v>
      </c>
      <c r="AA71" s="162"/>
      <c r="AB71" s="64" t="s">
        <v>131</v>
      </c>
      <c r="AC71" s="158">
        <f t="shared" si="3"/>
        <v>0</v>
      </c>
      <c r="AD71" s="135"/>
      <c r="AE71" s="135"/>
      <c r="AF71" s="135"/>
      <c r="AG71" s="135"/>
      <c r="AH71" s="135"/>
      <c r="AI71" s="135"/>
      <c r="AJ71" s="135"/>
    </row>
    <row r="72" ht="22.5" hidden="1" customHeight="1">
      <c r="A72" s="6" t="str">
        <f>'利用者'!A80</f>
        <v/>
      </c>
      <c r="B72" s="9" t="str">
        <f>'利用者'!B80</f>
        <v/>
      </c>
      <c r="C72" s="161"/>
      <c r="D72" s="156"/>
      <c r="E72" s="156"/>
      <c r="F72" s="156"/>
      <c r="G72" s="156"/>
      <c r="H72" s="151"/>
      <c r="I72" s="151"/>
      <c r="J72" s="152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6"/>
      <c r="V72" s="156"/>
      <c r="W72" s="154">
        <f t="shared" si="1"/>
        <v>0</v>
      </c>
      <c r="X72" s="156"/>
      <c r="Y72" s="156"/>
      <c r="Z72" s="157">
        <f t="shared" si="2"/>
        <v>0</v>
      </c>
      <c r="AA72" s="162"/>
      <c r="AB72" s="64" t="s">
        <v>131</v>
      </c>
      <c r="AC72" s="158">
        <f t="shared" si="3"/>
        <v>0</v>
      </c>
      <c r="AD72" s="135"/>
      <c r="AE72" s="135"/>
      <c r="AF72" s="135"/>
      <c r="AG72" s="135"/>
      <c r="AH72" s="135"/>
      <c r="AI72" s="135"/>
      <c r="AJ72" s="135"/>
    </row>
    <row r="73" ht="22.5" hidden="1" customHeight="1">
      <c r="A73" s="6" t="str">
        <f>'利用者'!A81</f>
        <v/>
      </c>
      <c r="B73" s="9" t="str">
        <f>'利用者'!B81</f>
        <v/>
      </c>
      <c r="C73" s="161"/>
      <c r="D73" s="156"/>
      <c r="E73" s="156"/>
      <c r="F73" s="156"/>
      <c r="G73" s="156"/>
      <c r="H73" s="151"/>
      <c r="I73" s="151"/>
      <c r="J73" s="152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6"/>
      <c r="V73" s="156"/>
      <c r="W73" s="154">
        <f t="shared" si="1"/>
        <v>0</v>
      </c>
      <c r="X73" s="156"/>
      <c r="Y73" s="156"/>
      <c r="Z73" s="157">
        <f t="shared" si="2"/>
        <v>0</v>
      </c>
      <c r="AA73" s="162"/>
      <c r="AB73" s="64" t="s">
        <v>131</v>
      </c>
      <c r="AC73" s="158">
        <f t="shared" si="3"/>
        <v>0</v>
      </c>
      <c r="AD73" s="135"/>
      <c r="AE73" s="135"/>
      <c r="AF73" s="135"/>
      <c r="AG73" s="135"/>
      <c r="AH73" s="135"/>
      <c r="AI73" s="135"/>
      <c r="AJ73" s="135"/>
    </row>
    <row r="74" ht="22.5" hidden="1" customHeight="1">
      <c r="A74" s="6" t="str">
        <f>'利用者'!A82</f>
        <v/>
      </c>
      <c r="B74" s="9" t="str">
        <f>'利用者'!B82</f>
        <v/>
      </c>
      <c r="C74" s="161"/>
      <c r="D74" s="156"/>
      <c r="E74" s="156"/>
      <c r="F74" s="156"/>
      <c r="G74" s="156"/>
      <c r="H74" s="151"/>
      <c r="I74" s="151"/>
      <c r="J74" s="152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6"/>
      <c r="V74" s="156"/>
      <c r="W74" s="154">
        <f t="shared" si="1"/>
        <v>0</v>
      </c>
      <c r="X74" s="156"/>
      <c r="Y74" s="156"/>
      <c r="Z74" s="157">
        <f t="shared" si="2"/>
        <v>0</v>
      </c>
      <c r="AA74" s="162"/>
      <c r="AB74" s="64" t="s">
        <v>131</v>
      </c>
      <c r="AC74" s="158">
        <f t="shared" si="3"/>
        <v>0</v>
      </c>
      <c r="AD74" s="135"/>
      <c r="AE74" s="135"/>
      <c r="AF74" s="135"/>
      <c r="AG74" s="135"/>
      <c r="AH74" s="135"/>
      <c r="AI74" s="135"/>
      <c r="AJ74" s="135"/>
    </row>
    <row r="75" ht="22.5" hidden="1" customHeight="1">
      <c r="A75" s="6" t="str">
        <f>'利用者'!A83</f>
        <v/>
      </c>
      <c r="B75" s="9" t="str">
        <f>'利用者'!B83</f>
        <v/>
      </c>
      <c r="C75" s="161"/>
      <c r="D75" s="156"/>
      <c r="E75" s="156"/>
      <c r="F75" s="156"/>
      <c r="G75" s="156"/>
      <c r="H75" s="151"/>
      <c r="I75" s="151"/>
      <c r="J75" s="152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6"/>
      <c r="V75" s="156"/>
      <c r="W75" s="154">
        <f t="shared" si="1"/>
        <v>0</v>
      </c>
      <c r="X75" s="156"/>
      <c r="Y75" s="156"/>
      <c r="Z75" s="157">
        <f t="shared" si="2"/>
        <v>0</v>
      </c>
      <c r="AA75" s="162"/>
      <c r="AB75" s="64" t="s">
        <v>131</v>
      </c>
      <c r="AC75" s="158">
        <f t="shared" si="3"/>
        <v>0</v>
      </c>
      <c r="AD75" s="135"/>
      <c r="AE75" s="135"/>
      <c r="AF75" s="135"/>
      <c r="AG75" s="135"/>
      <c r="AH75" s="135"/>
      <c r="AI75" s="135"/>
      <c r="AJ75" s="135"/>
    </row>
    <row r="76" ht="22.5" hidden="1" customHeight="1">
      <c r="A76" s="6" t="str">
        <f>'利用者'!A84</f>
        <v/>
      </c>
      <c r="B76" s="9" t="str">
        <f>'利用者'!B84</f>
        <v/>
      </c>
      <c r="C76" s="161"/>
      <c r="D76" s="156"/>
      <c r="E76" s="156"/>
      <c r="F76" s="156"/>
      <c r="G76" s="156"/>
      <c r="H76" s="151"/>
      <c r="I76" s="151"/>
      <c r="J76" s="152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6"/>
      <c r="V76" s="156"/>
      <c r="W76" s="154">
        <f t="shared" si="1"/>
        <v>0</v>
      </c>
      <c r="X76" s="156"/>
      <c r="Y76" s="156"/>
      <c r="Z76" s="157">
        <f t="shared" si="2"/>
        <v>0</v>
      </c>
      <c r="AA76" s="162"/>
      <c r="AB76" s="64" t="s">
        <v>131</v>
      </c>
      <c r="AC76" s="158">
        <f t="shared" si="3"/>
        <v>0</v>
      </c>
      <c r="AD76" s="135"/>
      <c r="AE76" s="135"/>
      <c r="AF76" s="135"/>
      <c r="AG76" s="135"/>
      <c r="AH76" s="135"/>
      <c r="AI76" s="135"/>
      <c r="AJ76" s="135"/>
    </row>
    <row r="77" ht="22.5" hidden="1" customHeight="1">
      <c r="A77" s="6" t="str">
        <f>'利用者'!A85</f>
        <v/>
      </c>
      <c r="B77" s="9" t="str">
        <f>'利用者'!B85</f>
        <v/>
      </c>
      <c r="C77" s="161"/>
      <c r="D77" s="156"/>
      <c r="E77" s="156"/>
      <c r="F77" s="156"/>
      <c r="G77" s="156"/>
      <c r="H77" s="151"/>
      <c r="I77" s="151"/>
      <c r="J77" s="152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6"/>
      <c r="V77" s="156"/>
      <c r="W77" s="154">
        <f t="shared" si="1"/>
        <v>0</v>
      </c>
      <c r="X77" s="156"/>
      <c r="Y77" s="156"/>
      <c r="Z77" s="157">
        <f t="shared" si="2"/>
        <v>0</v>
      </c>
      <c r="AA77" s="162"/>
      <c r="AB77" s="64" t="s">
        <v>131</v>
      </c>
      <c r="AC77" s="158">
        <f t="shared" si="3"/>
        <v>0</v>
      </c>
      <c r="AD77" s="135"/>
      <c r="AE77" s="135"/>
      <c r="AF77" s="135"/>
      <c r="AG77" s="135"/>
      <c r="AH77" s="135"/>
      <c r="AI77" s="135"/>
      <c r="AJ77" s="135"/>
    </row>
    <row r="78" ht="22.5" hidden="1" customHeight="1">
      <c r="A78" s="6" t="str">
        <f>'利用者'!A86</f>
        <v/>
      </c>
      <c r="B78" s="9" t="str">
        <f>'利用者'!B86</f>
        <v/>
      </c>
      <c r="C78" s="161"/>
      <c r="D78" s="156"/>
      <c r="E78" s="156"/>
      <c r="F78" s="156"/>
      <c r="G78" s="156"/>
      <c r="H78" s="151"/>
      <c r="I78" s="151"/>
      <c r="J78" s="152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6"/>
      <c r="V78" s="156"/>
      <c r="W78" s="154">
        <f t="shared" si="1"/>
        <v>0</v>
      </c>
      <c r="X78" s="156"/>
      <c r="Y78" s="156"/>
      <c r="Z78" s="157">
        <f t="shared" si="2"/>
        <v>0</v>
      </c>
      <c r="AA78" s="162"/>
      <c r="AB78" s="64" t="s">
        <v>131</v>
      </c>
      <c r="AC78" s="158">
        <f t="shared" si="3"/>
        <v>0</v>
      </c>
      <c r="AD78" s="135"/>
      <c r="AE78" s="135"/>
      <c r="AF78" s="135"/>
      <c r="AG78" s="135"/>
      <c r="AH78" s="135"/>
      <c r="AI78" s="135"/>
      <c r="AJ78" s="135"/>
    </row>
    <row r="79" ht="22.5" hidden="1" customHeight="1">
      <c r="A79" s="6" t="str">
        <f>'利用者'!A87</f>
        <v/>
      </c>
      <c r="B79" s="9" t="str">
        <f>'利用者'!B87</f>
        <v/>
      </c>
      <c r="C79" s="161"/>
      <c r="D79" s="156"/>
      <c r="E79" s="156"/>
      <c r="F79" s="156"/>
      <c r="G79" s="156"/>
      <c r="H79" s="151"/>
      <c r="I79" s="151"/>
      <c r="J79" s="152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6"/>
      <c r="V79" s="156"/>
      <c r="W79" s="154">
        <f t="shared" si="1"/>
        <v>0</v>
      </c>
      <c r="X79" s="156"/>
      <c r="Y79" s="156"/>
      <c r="Z79" s="157">
        <f t="shared" si="2"/>
        <v>0</v>
      </c>
      <c r="AA79" s="162"/>
      <c r="AB79" s="64" t="s">
        <v>131</v>
      </c>
      <c r="AC79" s="158">
        <f t="shared" si="3"/>
        <v>0</v>
      </c>
      <c r="AD79" s="135"/>
      <c r="AE79" s="135"/>
      <c r="AF79" s="135"/>
      <c r="AG79" s="135"/>
      <c r="AH79" s="135"/>
      <c r="AI79" s="135"/>
      <c r="AJ79" s="135"/>
    </row>
    <row r="80" ht="22.5" hidden="1" customHeight="1">
      <c r="A80" s="6" t="str">
        <f>'利用者'!A88</f>
        <v/>
      </c>
      <c r="B80" s="9" t="str">
        <f>'利用者'!B88</f>
        <v/>
      </c>
      <c r="C80" s="161"/>
      <c r="D80" s="156"/>
      <c r="E80" s="156"/>
      <c r="F80" s="156"/>
      <c r="G80" s="156"/>
      <c r="H80" s="151"/>
      <c r="I80" s="151"/>
      <c r="J80" s="152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6"/>
      <c r="V80" s="156"/>
      <c r="W80" s="154">
        <f t="shared" si="1"/>
        <v>0</v>
      </c>
      <c r="X80" s="156"/>
      <c r="Y80" s="156"/>
      <c r="Z80" s="157">
        <f t="shared" si="2"/>
        <v>0</v>
      </c>
      <c r="AA80" s="162"/>
      <c r="AB80" s="64" t="s">
        <v>131</v>
      </c>
      <c r="AC80" s="158">
        <f t="shared" si="3"/>
        <v>0</v>
      </c>
      <c r="AD80" s="135"/>
      <c r="AE80" s="135"/>
      <c r="AF80" s="135"/>
      <c r="AG80" s="135"/>
      <c r="AH80" s="135"/>
      <c r="AI80" s="135"/>
      <c r="AJ80" s="135"/>
    </row>
    <row r="81" ht="22.5" hidden="1" customHeight="1">
      <c r="A81" s="6" t="str">
        <f>'利用者'!A89</f>
        <v/>
      </c>
      <c r="B81" s="9" t="str">
        <f>'利用者'!B89</f>
        <v/>
      </c>
      <c r="C81" s="161"/>
      <c r="D81" s="156"/>
      <c r="E81" s="156"/>
      <c r="F81" s="156"/>
      <c r="G81" s="156"/>
      <c r="H81" s="151"/>
      <c r="I81" s="151"/>
      <c r="J81" s="152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6"/>
      <c r="V81" s="156"/>
      <c r="W81" s="154">
        <f t="shared" si="1"/>
        <v>0</v>
      </c>
      <c r="X81" s="156"/>
      <c r="Y81" s="156"/>
      <c r="Z81" s="157">
        <f t="shared" si="2"/>
        <v>0</v>
      </c>
      <c r="AA81" s="162"/>
      <c r="AB81" s="64" t="s">
        <v>131</v>
      </c>
      <c r="AC81" s="158">
        <f t="shared" si="3"/>
        <v>0</v>
      </c>
      <c r="AD81" s="135"/>
      <c r="AE81" s="135"/>
      <c r="AF81" s="135"/>
      <c r="AG81" s="135"/>
      <c r="AH81" s="135"/>
      <c r="AI81" s="135"/>
      <c r="AJ81" s="135"/>
    </row>
    <row r="82" ht="22.5" hidden="1" customHeight="1">
      <c r="A82" s="6" t="str">
        <f>'利用者'!A90</f>
        <v/>
      </c>
      <c r="B82" s="9" t="str">
        <f>'利用者'!B90</f>
        <v/>
      </c>
      <c r="C82" s="161"/>
      <c r="D82" s="156"/>
      <c r="E82" s="156"/>
      <c r="F82" s="156"/>
      <c r="G82" s="156"/>
      <c r="H82" s="151"/>
      <c r="I82" s="151"/>
      <c r="J82" s="152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6"/>
      <c r="V82" s="156"/>
      <c r="W82" s="154">
        <f t="shared" si="1"/>
        <v>0</v>
      </c>
      <c r="X82" s="156"/>
      <c r="Y82" s="156"/>
      <c r="Z82" s="157">
        <f t="shared" si="2"/>
        <v>0</v>
      </c>
      <c r="AA82" s="162"/>
      <c r="AB82" s="64" t="s">
        <v>131</v>
      </c>
      <c r="AC82" s="158">
        <f t="shared" si="3"/>
        <v>0</v>
      </c>
      <c r="AD82" s="135"/>
      <c r="AE82" s="135"/>
      <c r="AF82" s="135"/>
      <c r="AG82" s="135"/>
      <c r="AH82" s="135"/>
      <c r="AI82" s="135"/>
      <c r="AJ82" s="135"/>
    </row>
    <row r="83" ht="22.5" hidden="1" customHeight="1">
      <c r="A83" s="6" t="str">
        <f>'利用者'!A91</f>
        <v/>
      </c>
      <c r="B83" s="9" t="str">
        <f>'利用者'!B91</f>
        <v/>
      </c>
      <c r="C83" s="161"/>
      <c r="D83" s="156"/>
      <c r="E83" s="156"/>
      <c r="F83" s="156"/>
      <c r="G83" s="156"/>
      <c r="H83" s="151"/>
      <c r="I83" s="151"/>
      <c r="J83" s="152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6"/>
      <c r="V83" s="156"/>
      <c r="W83" s="154">
        <f t="shared" si="1"/>
        <v>0</v>
      </c>
      <c r="X83" s="156"/>
      <c r="Y83" s="156"/>
      <c r="Z83" s="157">
        <f t="shared" si="2"/>
        <v>0</v>
      </c>
      <c r="AA83" s="162"/>
      <c r="AB83" s="64" t="s">
        <v>131</v>
      </c>
      <c r="AC83" s="158">
        <f t="shared" si="3"/>
        <v>0</v>
      </c>
      <c r="AD83" s="135"/>
      <c r="AE83" s="135"/>
      <c r="AF83" s="135"/>
      <c r="AG83" s="135"/>
      <c r="AH83" s="135"/>
      <c r="AI83" s="135"/>
      <c r="AJ83" s="135"/>
    </row>
    <row r="84" ht="22.5" hidden="1" customHeight="1">
      <c r="A84" s="6" t="str">
        <f>'利用者'!A92</f>
        <v/>
      </c>
      <c r="B84" s="9" t="str">
        <f>'利用者'!B92</f>
        <v/>
      </c>
      <c r="C84" s="161"/>
      <c r="D84" s="156"/>
      <c r="E84" s="156"/>
      <c r="F84" s="156"/>
      <c r="G84" s="156"/>
      <c r="H84" s="151"/>
      <c r="I84" s="151"/>
      <c r="J84" s="152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6"/>
      <c r="V84" s="156"/>
      <c r="W84" s="154">
        <f t="shared" si="1"/>
        <v>0</v>
      </c>
      <c r="X84" s="156"/>
      <c r="Y84" s="156"/>
      <c r="Z84" s="157">
        <f t="shared" si="2"/>
        <v>0</v>
      </c>
      <c r="AA84" s="162"/>
      <c r="AB84" s="64" t="s">
        <v>131</v>
      </c>
      <c r="AC84" s="158">
        <f t="shared" si="3"/>
        <v>0</v>
      </c>
      <c r="AD84" s="135"/>
      <c r="AE84" s="135"/>
      <c r="AF84" s="135"/>
      <c r="AG84" s="135"/>
      <c r="AH84" s="135"/>
      <c r="AI84" s="135"/>
      <c r="AJ84" s="135"/>
    </row>
    <row r="85" ht="22.5" hidden="1" customHeight="1">
      <c r="A85" s="6" t="str">
        <f>'利用者'!A93</f>
        <v/>
      </c>
      <c r="B85" s="9" t="str">
        <f>'利用者'!B93</f>
        <v/>
      </c>
      <c r="C85" s="161"/>
      <c r="D85" s="156"/>
      <c r="E85" s="156"/>
      <c r="F85" s="156"/>
      <c r="G85" s="156"/>
      <c r="H85" s="151"/>
      <c r="I85" s="151"/>
      <c r="J85" s="152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6"/>
      <c r="V85" s="156"/>
      <c r="W85" s="154">
        <f t="shared" si="1"/>
        <v>0</v>
      </c>
      <c r="X85" s="156"/>
      <c r="Y85" s="156"/>
      <c r="Z85" s="157">
        <f t="shared" si="2"/>
        <v>0</v>
      </c>
      <c r="AA85" s="162"/>
      <c r="AB85" s="64" t="s">
        <v>131</v>
      </c>
      <c r="AC85" s="158">
        <f t="shared" si="3"/>
        <v>0</v>
      </c>
      <c r="AD85" s="135"/>
      <c r="AE85" s="135"/>
      <c r="AF85" s="135"/>
      <c r="AG85" s="135"/>
      <c r="AH85" s="135"/>
      <c r="AI85" s="135"/>
      <c r="AJ85" s="135"/>
    </row>
    <row r="86" ht="22.5" hidden="1" customHeight="1">
      <c r="A86" s="6" t="str">
        <f>'利用者'!A94</f>
        <v/>
      </c>
      <c r="B86" s="9" t="str">
        <f>'利用者'!B94</f>
        <v/>
      </c>
      <c r="C86" s="161"/>
      <c r="D86" s="156"/>
      <c r="E86" s="156"/>
      <c r="F86" s="156"/>
      <c r="G86" s="156"/>
      <c r="H86" s="151"/>
      <c r="I86" s="151"/>
      <c r="J86" s="152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6"/>
      <c r="V86" s="156"/>
      <c r="W86" s="154">
        <f t="shared" si="1"/>
        <v>0</v>
      </c>
      <c r="X86" s="156"/>
      <c r="Y86" s="156"/>
      <c r="Z86" s="157">
        <f t="shared" si="2"/>
        <v>0</v>
      </c>
      <c r="AA86" s="162"/>
      <c r="AB86" s="64" t="s">
        <v>131</v>
      </c>
      <c r="AC86" s="158">
        <f t="shared" si="3"/>
        <v>0</v>
      </c>
      <c r="AD86" s="135"/>
      <c r="AE86" s="135"/>
      <c r="AF86" s="135"/>
      <c r="AG86" s="135"/>
      <c r="AH86" s="135"/>
      <c r="AI86" s="135"/>
      <c r="AJ86" s="135"/>
    </row>
    <row r="87" ht="22.5" hidden="1" customHeight="1">
      <c r="A87" s="6" t="str">
        <f>'利用者'!A95</f>
        <v/>
      </c>
      <c r="B87" s="9" t="str">
        <f>'利用者'!B95</f>
        <v/>
      </c>
      <c r="C87" s="161"/>
      <c r="D87" s="156"/>
      <c r="E87" s="156"/>
      <c r="F87" s="156"/>
      <c r="G87" s="156"/>
      <c r="H87" s="151"/>
      <c r="I87" s="151"/>
      <c r="J87" s="152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6"/>
      <c r="V87" s="156"/>
      <c r="W87" s="154">
        <f t="shared" si="1"/>
        <v>0</v>
      </c>
      <c r="X87" s="156"/>
      <c r="Y87" s="156"/>
      <c r="Z87" s="157">
        <f t="shared" si="2"/>
        <v>0</v>
      </c>
      <c r="AA87" s="162"/>
      <c r="AB87" s="64" t="s">
        <v>131</v>
      </c>
      <c r="AC87" s="158">
        <f t="shared" si="3"/>
        <v>0</v>
      </c>
      <c r="AD87" s="135"/>
      <c r="AE87" s="135"/>
      <c r="AF87" s="135"/>
      <c r="AG87" s="135"/>
      <c r="AH87" s="135"/>
      <c r="AI87" s="135"/>
      <c r="AJ87" s="135"/>
    </row>
    <row r="88" ht="22.5" hidden="1" customHeight="1">
      <c r="A88" s="6" t="str">
        <f>'利用者'!A96</f>
        <v/>
      </c>
      <c r="B88" s="9" t="str">
        <f>'利用者'!B96</f>
        <v/>
      </c>
      <c r="C88" s="161"/>
      <c r="D88" s="156"/>
      <c r="E88" s="156"/>
      <c r="F88" s="156"/>
      <c r="G88" s="156"/>
      <c r="H88" s="151"/>
      <c r="I88" s="151"/>
      <c r="J88" s="152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6"/>
      <c r="V88" s="156"/>
      <c r="W88" s="154">
        <f t="shared" si="1"/>
        <v>0</v>
      </c>
      <c r="X88" s="156"/>
      <c r="Y88" s="156"/>
      <c r="Z88" s="157">
        <f t="shared" si="2"/>
        <v>0</v>
      </c>
      <c r="AA88" s="162"/>
      <c r="AB88" s="64" t="s">
        <v>131</v>
      </c>
      <c r="AC88" s="158">
        <f t="shared" si="3"/>
        <v>0</v>
      </c>
      <c r="AD88" s="135"/>
      <c r="AE88" s="135"/>
      <c r="AF88" s="135"/>
      <c r="AG88" s="135"/>
      <c r="AH88" s="135"/>
      <c r="AI88" s="135"/>
      <c r="AJ88" s="135"/>
    </row>
    <row r="89" ht="22.5" hidden="1" customHeight="1">
      <c r="A89" s="6" t="str">
        <f>'利用者'!A97</f>
        <v/>
      </c>
      <c r="B89" s="9" t="str">
        <f>'利用者'!B97</f>
        <v/>
      </c>
      <c r="C89" s="161"/>
      <c r="D89" s="156"/>
      <c r="E89" s="156"/>
      <c r="F89" s="156"/>
      <c r="G89" s="156"/>
      <c r="H89" s="151"/>
      <c r="I89" s="151"/>
      <c r="J89" s="152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6"/>
      <c r="V89" s="156"/>
      <c r="W89" s="154">
        <f t="shared" si="1"/>
        <v>0</v>
      </c>
      <c r="X89" s="156"/>
      <c r="Y89" s="156"/>
      <c r="Z89" s="157">
        <f t="shared" si="2"/>
        <v>0</v>
      </c>
      <c r="AA89" s="162"/>
      <c r="AB89" s="64" t="s">
        <v>131</v>
      </c>
      <c r="AC89" s="158">
        <f t="shared" si="3"/>
        <v>0</v>
      </c>
      <c r="AD89" s="135"/>
      <c r="AE89" s="135"/>
      <c r="AF89" s="135"/>
      <c r="AG89" s="135"/>
      <c r="AH89" s="135"/>
      <c r="AI89" s="135"/>
      <c r="AJ89" s="135"/>
    </row>
    <row r="90" ht="22.5" hidden="1" customHeight="1">
      <c r="A90" s="6" t="str">
        <f>'利用者'!A98</f>
        <v/>
      </c>
      <c r="B90" s="9" t="str">
        <f>'利用者'!B98</f>
        <v/>
      </c>
      <c r="C90" s="161"/>
      <c r="D90" s="156"/>
      <c r="E90" s="156"/>
      <c r="F90" s="156"/>
      <c r="G90" s="156"/>
      <c r="H90" s="151"/>
      <c r="I90" s="151"/>
      <c r="J90" s="152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6"/>
      <c r="V90" s="156"/>
      <c r="W90" s="154">
        <f t="shared" si="1"/>
        <v>0</v>
      </c>
      <c r="X90" s="156"/>
      <c r="Y90" s="156"/>
      <c r="Z90" s="157">
        <f t="shared" si="2"/>
        <v>0</v>
      </c>
      <c r="AA90" s="162"/>
      <c r="AB90" s="64" t="s">
        <v>131</v>
      </c>
      <c r="AC90" s="158">
        <f t="shared" si="3"/>
        <v>0</v>
      </c>
      <c r="AD90" s="135"/>
      <c r="AE90" s="135"/>
      <c r="AF90" s="135"/>
      <c r="AG90" s="135"/>
      <c r="AH90" s="135"/>
      <c r="AI90" s="135"/>
      <c r="AJ90" s="135"/>
    </row>
    <row r="91" ht="22.5" hidden="1" customHeight="1">
      <c r="A91" s="6" t="str">
        <f>'利用者'!A99</f>
        <v/>
      </c>
      <c r="B91" s="9" t="str">
        <f>'利用者'!B99</f>
        <v/>
      </c>
      <c r="C91" s="161"/>
      <c r="D91" s="156"/>
      <c r="E91" s="156"/>
      <c r="F91" s="156"/>
      <c r="G91" s="156"/>
      <c r="H91" s="151"/>
      <c r="I91" s="151"/>
      <c r="J91" s="152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6"/>
      <c r="V91" s="156"/>
      <c r="W91" s="154">
        <f t="shared" si="1"/>
        <v>0</v>
      </c>
      <c r="X91" s="156"/>
      <c r="Y91" s="156"/>
      <c r="Z91" s="157">
        <f t="shared" si="2"/>
        <v>0</v>
      </c>
      <c r="AA91" s="162"/>
      <c r="AB91" s="64" t="s">
        <v>131</v>
      </c>
      <c r="AC91" s="158">
        <f t="shared" si="3"/>
        <v>0</v>
      </c>
      <c r="AD91" s="135"/>
      <c r="AE91" s="135"/>
      <c r="AF91" s="135"/>
      <c r="AG91" s="135"/>
      <c r="AH91" s="135"/>
      <c r="AI91" s="135"/>
      <c r="AJ91" s="135"/>
    </row>
    <row r="92" ht="22.5" hidden="1" customHeight="1">
      <c r="A92" s="6" t="str">
        <f>'利用者'!A100</f>
        <v/>
      </c>
      <c r="B92" s="9" t="str">
        <f>'利用者'!B100</f>
        <v/>
      </c>
      <c r="C92" s="161"/>
      <c r="D92" s="156"/>
      <c r="E92" s="156"/>
      <c r="F92" s="156"/>
      <c r="G92" s="156"/>
      <c r="H92" s="151"/>
      <c r="I92" s="151"/>
      <c r="J92" s="152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6"/>
      <c r="V92" s="156"/>
      <c r="W92" s="154">
        <f t="shared" si="1"/>
        <v>0</v>
      </c>
      <c r="X92" s="156"/>
      <c r="Y92" s="156"/>
      <c r="Z92" s="157">
        <f t="shared" si="2"/>
        <v>0</v>
      </c>
      <c r="AA92" s="162"/>
      <c r="AB92" s="64" t="s">
        <v>131</v>
      </c>
      <c r="AC92" s="158">
        <f t="shared" si="3"/>
        <v>0</v>
      </c>
      <c r="AD92" s="135"/>
      <c r="AE92" s="135"/>
      <c r="AF92" s="135"/>
      <c r="AG92" s="135"/>
      <c r="AH92" s="135"/>
      <c r="AI92" s="135"/>
      <c r="AJ92" s="135"/>
    </row>
    <row r="93" ht="22.5" hidden="1" customHeight="1">
      <c r="A93" s="6" t="str">
        <f>'利用者'!A101</f>
        <v/>
      </c>
      <c r="B93" s="9" t="str">
        <f>'利用者'!B101</f>
        <v/>
      </c>
      <c r="C93" s="161"/>
      <c r="D93" s="156"/>
      <c r="E93" s="156"/>
      <c r="F93" s="156"/>
      <c r="G93" s="156"/>
      <c r="H93" s="151"/>
      <c r="I93" s="151"/>
      <c r="J93" s="152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6"/>
      <c r="V93" s="156"/>
      <c r="W93" s="154">
        <f t="shared" si="1"/>
        <v>0</v>
      </c>
      <c r="X93" s="156"/>
      <c r="Y93" s="156"/>
      <c r="Z93" s="157">
        <f t="shared" si="2"/>
        <v>0</v>
      </c>
      <c r="AA93" s="162"/>
      <c r="AB93" s="64" t="s">
        <v>131</v>
      </c>
      <c r="AC93" s="158">
        <f t="shared" si="3"/>
        <v>0</v>
      </c>
      <c r="AD93" s="135"/>
      <c r="AE93" s="135"/>
      <c r="AF93" s="135"/>
      <c r="AG93" s="135"/>
      <c r="AH93" s="135"/>
      <c r="AI93" s="135"/>
      <c r="AJ93" s="135"/>
    </row>
    <row r="94" ht="22.5" hidden="1" customHeight="1">
      <c r="A94" s="6" t="str">
        <f>'利用者'!A102</f>
        <v/>
      </c>
      <c r="B94" s="9" t="str">
        <f>'利用者'!B102</f>
        <v/>
      </c>
      <c r="C94" s="161"/>
      <c r="D94" s="156"/>
      <c r="E94" s="156"/>
      <c r="F94" s="156"/>
      <c r="G94" s="156"/>
      <c r="H94" s="151"/>
      <c r="I94" s="151"/>
      <c r="J94" s="152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6"/>
      <c r="V94" s="156"/>
      <c r="W94" s="154">
        <f t="shared" si="1"/>
        <v>0</v>
      </c>
      <c r="X94" s="156"/>
      <c r="Y94" s="156"/>
      <c r="Z94" s="157">
        <f t="shared" si="2"/>
        <v>0</v>
      </c>
      <c r="AA94" s="162"/>
      <c r="AB94" s="64" t="s">
        <v>131</v>
      </c>
      <c r="AC94" s="158">
        <f t="shared" si="3"/>
        <v>0</v>
      </c>
      <c r="AD94" s="135"/>
      <c r="AE94" s="135"/>
      <c r="AF94" s="135"/>
      <c r="AG94" s="135"/>
      <c r="AH94" s="135"/>
      <c r="AI94" s="135"/>
      <c r="AJ94" s="135"/>
    </row>
    <row r="95" ht="22.5" hidden="1" customHeight="1">
      <c r="A95" s="6" t="str">
        <f>'利用者'!A103</f>
        <v/>
      </c>
      <c r="B95" s="9" t="str">
        <f>'利用者'!B103</f>
        <v/>
      </c>
      <c r="C95" s="161"/>
      <c r="D95" s="156"/>
      <c r="E95" s="156"/>
      <c r="F95" s="156"/>
      <c r="G95" s="156"/>
      <c r="H95" s="151"/>
      <c r="I95" s="151"/>
      <c r="J95" s="152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6"/>
      <c r="V95" s="156"/>
      <c r="W95" s="154">
        <f t="shared" si="1"/>
        <v>0</v>
      </c>
      <c r="X95" s="156"/>
      <c r="Y95" s="156"/>
      <c r="Z95" s="157">
        <f t="shared" si="2"/>
        <v>0</v>
      </c>
      <c r="AA95" s="162"/>
      <c r="AB95" s="64" t="s">
        <v>131</v>
      </c>
      <c r="AC95" s="158">
        <f t="shared" si="3"/>
        <v>0</v>
      </c>
      <c r="AD95" s="135"/>
      <c r="AE95" s="135"/>
      <c r="AF95" s="135"/>
      <c r="AG95" s="135"/>
      <c r="AH95" s="135"/>
      <c r="AI95" s="135"/>
      <c r="AJ95" s="135"/>
    </row>
    <row r="96" ht="22.5" hidden="1" customHeight="1">
      <c r="A96" s="6" t="str">
        <f>'利用者'!A104</f>
        <v/>
      </c>
      <c r="B96" s="9" t="str">
        <f>'利用者'!B104</f>
        <v/>
      </c>
      <c r="C96" s="161"/>
      <c r="D96" s="156"/>
      <c r="E96" s="156"/>
      <c r="F96" s="156"/>
      <c r="G96" s="156"/>
      <c r="H96" s="151"/>
      <c r="I96" s="151"/>
      <c r="J96" s="152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6"/>
      <c r="V96" s="156"/>
      <c r="W96" s="154">
        <f t="shared" si="1"/>
        <v>0</v>
      </c>
      <c r="X96" s="156"/>
      <c r="Y96" s="156"/>
      <c r="Z96" s="157">
        <f t="shared" si="2"/>
        <v>0</v>
      </c>
      <c r="AA96" s="162"/>
      <c r="AB96" s="64" t="s">
        <v>131</v>
      </c>
      <c r="AC96" s="158">
        <f t="shared" si="3"/>
        <v>0</v>
      </c>
      <c r="AD96" s="135"/>
      <c r="AE96" s="135"/>
      <c r="AF96" s="135"/>
      <c r="AG96" s="135"/>
      <c r="AH96" s="135"/>
      <c r="AI96" s="135"/>
      <c r="AJ96" s="135"/>
    </row>
    <row r="97" ht="22.5" hidden="1" customHeight="1">
      <c r="A97" s="6" t="str">
        <f>'利用者'!A105</f>
        <v/>
      </c>
      <c r="B97" s="9" t="str">
        <f>'利用者'!B105</f>
        <v/>
      </c>
      <c r="C97" s="161"/>
      <c r="D97" s="156"/>
      <c r="E97" s="156"/>
      <c r="F97" s="156"/>
      <c r="G97" s="156"/>
      <c r="H97" s="151"/>
      <c r="I97" s="151"/>
      <c r="J97" s="152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6"/>
      <c r="V97" s="156"/>
      <c r="W97" s="154">
        <f t="shared" si="1"/>
        <v>0</v>
      </c>
      <c r="X97" s="156"/>
      <c r="Y97" s="156"/>
      <c r="Z97" s="157">
        <f t="shared" si="2"/>
        <v>0</v>
      </c>
      <c r="AA97" s="162"/>
      <c r="AB97" s="64" t="s">
        <v>131</v>
      </c>
      <c r="AC97" s="158">
        <f t="shared" si="3"/>
        <v>0</v>
      </c>
      <c r="AD97" s="135"/>
      <c r="AE97" s="135"/>
      <c r="AF97" s="135"/>
      <c r="AG97" s="135"/>
      <c r="AH97" s="135"/>
      <c r="AI97" s="135"/>
      <c r="AJ97" s="135"/>
    </row>
    <row r="98" ht="22.5" hidden="1" customHeight="1">
      <c r="A98" s="6" t="str">
        <f>'利用者'!A106</f>
        <v/>
      </c>
      <c r="B98" s="9" t="str">
        <f>'利用者'!B106</f>
        <v/>
      </c>
      <c r="C98" s="161"/>
      <c r="D98" s="156"/>
      <c r="E98" s="156"/>
      <c r="F98" s="156"/>
      <c r="G98" s="156"/>
      <c r="H98" s="151"/>
      <c r="I98" s="151"/>
      <c r="J98" s="152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6"/>
      <c r="V98" s="156"/>
      <c r="W98" s="154">
        <f t="shared" si="1"/>
        <v>0</v>
      </c>
      <c r="X98" s="156"/>
      <c r="Y98" s="156"/>
      <c r="Z98" s="157">
        <f t="shared" si="2"/>
        <v>0</v>
      </c>
      <c r="AA98" s="162"/>
      <c r="AB98" s="64" t="s">
        <v>131</v>
      </c>
      <c r="AC98" s="158">
        <f t="shared" si="3"/>
        <v>0</v>
      </c>
      <c r="AD98" s="135"/>
      <c r="AE98" s="135"/>
      <c r="AF98" s="135"/>
      <c r="AG98" s="135"/>
      <c r="AH98" s="135"/>
      <c r="AI98" s="135"/>
      <c r="AJ98" s="135"/>
    </row>
    <row r="99" ht="22.5" hidden="1" customHeight="1">
      <c r="A99" s="6" t="str">
        <f>'利用者'!A107</f>
        <v/>
      </c>
      <c r="B99" s="9" t="str">
        <f>'利用者'!B107</f>
        <v/>
      </c>
      <c r="C99" s="161"/>
      <c r="D99" s="156"/>
      <c r="E99" s="156"/>
      <c r="F99" s="156"/>
      <c r="G99" s="156"/>
      <c r="H99" s="151"/>
      <c r="I99" s="151"/>
      <c r="J99" s="152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6"/>
      <c r="V99" s="156"/>
      <c r="W99" s="154">
        <f t="shared" si="1"/>
        <v>0</v>
      </c>
      <c r="X99" s="156"/>
      <c r="Y99" s="156"/>
      <c r="Z99" s="157">
        <f t="shared" si="2"/>
        <v>0</v>
      </c>
      <c r="AA99" s="162"/>
      <c r="AB99" s="64" t="s">
        <v>131</v>
      </c>
      <c r="AC99" s="158">
        <f t="shared" si="3"/>
        <v>0</v>
      </c>
      <c r="AD99" s="135"/>
      <c r="AE99" s="135"/>
      <c r="AF99" s="135"/>
      <c r="AG99" s="135"/>
      <c r="AH99" s="135"/>
      <c r="AI99" s="135"/>
      <c r="AJ99" s="135"/>
    </row>
    <row r="100" ht="22.5" hidden="1" customHeight="1">
      <c r="A100" s="6" t="str">
        <f>'利用者'!A108</f>
        <v>210✕</v>
      </c>
      <c r="B100" s="9" t="str">
        <f>'利用者'!B108</f>
        <v>北村繁弘</v>
      </c>
      <c r="C100" s="161"/>
      <c r="D100" s="156"/>
      <c r="E100" s="156"/>
      <c r="F100" s="156"/>
      <c r="G100" s="156"/>
      <c r="H100" s="151"/>
      <c r="I100" s="151"/>
      <c r="J100" s="152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6"/>
      <c r="V100" s="156"/>
      <c r="W100" s="154">
        <f t="shared" si="1"/>
        <v>0</v>
      </c>
      <c r="X100" s="156"/>
      <c r="Y100" s="156"/>
      <c r="Z100" s="157">
        <f t="shared" si="2"/>
        <v>0</v>
      </c>
      <c r="AA100" s="162"/>
      <c r="AB100" s="64" t="s">
        <v>131</v>
      </c>
      <c r="AC100" s="158">
        <f t="shared" si="3"/>
        <v>0</v>
      </c>
      <c r="AD100" s="135"/>
      <c r="AE100" s="135"/>
      <c r="AF100" s="135"/>
      <c r="AG100" s="135"/>
      <c r="AH100" s="135"/>
      <c r="AI100" s="135"/>
      <c r="AJ100" s="135"/>
    </row>
    <row r="101" ht="22.5" hidden="1" customHeight="1">
      <c r="A101" s="6" t="str">
        <f>'利用者'!A109</f>
        <v>211✕</v>
      </c>
      <c r="B101" s="9" t="str">
        <f>'利用者'!B109</f>
        <v>鈴木信子</v>
      </c>
      <c r="C101" s="161"/>
      <c r="D101" s="156"/>
      <c r="E101" s="156"/>
      <c r="F101" s="156"/>
      <c r="G101" s="156"/>
      <c r="H101" s="151"/>
      <c r="I101" s="151"/>
      <c r="J101" s="152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6"/>
      <c r="V101" s="156"/>
      <c r="W101" s="154">
        <f t="shared" si="1"/>
        <v>0</v>
      </c>
      <c r="X101" s="156"/>
      <c r="Y101" s="156"/>
      <c r="Z101" s="157">
        <f t="shared" si="2"/>
        <v>0</v>
      </c>
      <c r="AA101" s="162"/>
      <c r="AB101" s="64" t="s">
        <v>131</v>
      </c>
      <c r="AC101" s="158">
        <f t="shared" si="3"/>
        <v>0</v>
      </c>
      <c r="AD101" s="135"/>
      <c r="AE101" s="135"/>
      <c r="AF101" s="135"/>
      <c r="AG101" s="135"/>
      <c r="AH101" s="135"/>
      <c r="AI101" s="135"/>
      <c r="AJ101" s="135"/>
    </row>
    <row r="102" ht="22.5" hidden="1" customHeight="1">
      <c r="A102" s="6" t="str">
        <f>'利用者'!A110</f>
        <v/>
      </c>
      <c r="B102" s="9" t="str">
        <f>'利用者'!B110</f>
        <v/>
      </c>
      <c r="C102" s="161"/>
      <c r="D102" s="156"/>
      <c r="E102" s="156"/>
      <c r="F102" s="156"/>
      <c r="G102" s="156"/>
      <c r="H102" s="151"/>
      <c r="I102" s="151"/>
      <c r="J102" s="152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6"/>
      <c r="V102" s="156"/>
      <c r="W102" s="154">
        <f t="shared" si="1"/>
        <v>0</v>
      </c>
      <c r="X102" s="156"/>
      <c r="Y102" s="156"/>
      <c r="Z102" s="157">
        <f t="shared" si="2"/>
        <v>0</v>
      </c>
      <c r="AA102" s="162"/>
      <c r="AB102" s="64" t="s">
        <v>131</v>
      </c>
      <c r="AC102" s="158">
        <f t="shared" si="3"/>
        <v>0</v>
      </c>
      <c r="AD102" s="135"/>
      <c r="AE102" s="135"/>
      <c r="AF102" s="135"/>
      <c r="AG102" s="135"/>
      <c r="AH102" s="135"/>
      <c r="AI102" s="135"/>
      <c r="AJ102" s="135"/>
    </row>
    <row r="103" ht="22.5" hidden="1" customHeight="1">
      <c r="A103" s="6" t="str">
        <f>'利用者'!A111</f>
        <v/>
      </c>
      <c r="B103" s="9" t="str">
        <f>'利用者'!B111</f>
        <v/>
      </c>
      <c r="C103" s="161"/>
      <c r="D103" s="156"/>
      <c r="E103" s="156"/>
      <c r="F103" s="156"/>
      <c r="G103" s="156"/>
      <c r="H103" s="151"/>
      <c r="I103" s="151"/>
      <c r="J103" s="152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6"/>
      <c r="V103" s="156"/>
      <c r="W103" s="154">
        <f t="shared" si="1"/>
        <v>0</v>
      </c>
      <c r="X103" s="156"/>
      <c r="Y103" s="156"/>
      <c r="Z103" s="157">
        <f t="shared" si="2"/>
        <v>0</v>
      </c>
      <c r="AA103" s="162"/>
      <c r="AB103" s="64" t="s">
        <v>131</v>
      </c>
      <c r="AC103" s="158">
        <f t="shared" si="3"/>
        <v>0</v>
      </c>
      <c r="AD103" s="135"/>
      <c r="AE103" s="135"/>
      <c r="AF103" s="135"/>
      <c r="AG103" s="135"/>
      <c r="AH103" s="135"/>
      <c r="AI103" s="135"/>
      <c r="AJ103" s="135"/>
    </row>
    <row r="104" ht="22.5" hidden="1" customHeight="1">
      <c r="A104" s="6" t="str">
        <f>'利用者'!A112</f>
        <v/>
      </c>
      <c r="B104" s="9" t="str">
        <f>'利用者'!B112</f>
        <v/>
      </c>
      <c r="C104" s="161"/>
      <c r="D104" s="156"/>
      <c r="E104" s="156"/>
      <c r="F104" s="156"/>
      <c r="G104" s="156"/>
      <c r="H104" s="151"/>
      <c r="I104" s="151"/>
      <c r="J104" s="152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6"/>
      <c r="V104" s="156"/>
      <c r="W104" s="154">
        <f t="shared" si="1"/>
        <v>0</v>
      </c>
      <c r="X104" s="156"/>
      <c r="Y104" s="156"/>
      <c r="Z104" s="157">
        <f t="shared" si="2"/>
        <v>0</v>
      </c>
      <c r="AA104" s="162"/>
      <c r="AB104" s="64" t="s">
        <v>131</v>
      </c>
      <c r="AC104" s="158">
        <f t="shared" si="3"/>
        <v>0</v>
      </c>
      <c r="AD104" s="135"/>
      <c r="AE104" s="135"/>
      <c r="AF104" s="135"/>
      <c r="AG104" s="135"/>
      <c r="AH104" s="135"/>
      <c r="AI104" s="135"/>
      <c r="AJ104" s="135"/>
    </row>
    <row r="105" ht="22.5" hidden="1" customHeight="1">
      <c r="A105" s="6" t="str">
        <f>'利用者'!A113</f>
        <v/>
      </c>
      <c r="B105" s="9" t="str">
        <f>'利用者'!B113</f>
        <v/>
      </c>
      <c r="C105" s="161"/>
      <c r="D105" s="156"/>
      <c r="E105" s="156"/>
      <c r="F105" s="156"/>
      <c r="G105" s="156"/>
      <c r="H105" s="151"/>
      <c r="I105" s="151"/>
      <c r="J105" s="152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6"/>
      <c r="V105" s="156"/>
      <c r="W105" s="154">
        <f t="shared" si="1"/>
        <v>0</v>
      </c>
      <c r="X105" s="156"/>
      <c r="Y105" s="156"/>
      <c r="Z105" s="157">
        <f t="shared" si="2"/>
        <v>0</v>
      </c>
      <c r="AA105" s="162"/>
      <c r="AB105" s="64" t="s">
        <v>131</v>
      </c>
      <c r="AC105" s="158">
        <f t="shared" si="3"/>
        <v>0</v>
      </c>
      <c r="AD105" s="135"/>
      <c r="AE105" s="135"/>
      <c r="AF105" s="135"/>
      <c r="AG105" s="135"/>
      <c r="AH105" s="135"/>
      <c r="AI105" s="135"/>
      <c r="AJ105" s="135"/>
    </row>
    <row r="106" ht="22.5" hidden="1" customHeight="1">
      <c r="A106" s="6" t="str">
        <f>'利用者'!A114</f>
        <v/>
      </c>
      <c r="B106" s="9" t="str">
        <f>'利用者'!B114</f>
        <v/>
      </c>
      <c r="C106" s="161"/>
      <c r="D106" s="156"/>
      <c r="E106" s="156"/>
      <c r="F106" s="156"/>
      <c r="G106" s="156"/>
      <c r="H106" s="151"/>
      <c r="I106" s="151"/>
      <c r="J106" s="152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6"/>
      <c r="V106" s="156"/>
      <c r="W106" s="154">
        <f t="shared" si="1"/>
        <v>0</v>
      </c>
      <c r="X106" s="156"/>
      <c r="Y106" s="156"/>
      <c r="Z106" s="157">
        <f t="shared" si="2"/>
        <v>0</v>
      </c>
      <c r="AA106" s="162"/>
      <c r="AB106" s="64" t="s">
        <v>131</v>
      </c>
      <c r="AC106" s="158">
        <f t="shared" si="3"/>
        <v>0</v>
      </c>
      <c r="AD106" s="135"/>
      <c r="AE106" s="135"/>
      <c r="AF106" s="135"/>
      <c r="AG106" s="135"/>
      <c r="AH106" s="135"/>
      <c r="AI106" s="135"/>
      <c r="AJ106" s="135"/>
    </row>
    <row r="107" ht="22.5" hidden="1" customHeight="1">
      <c r="A107" s="6" t="str">
        <f>'利用者'!A115</f>
        <v/>
      </c>
      <c r="B107" s="9" t="str">
        <f>'利用者'!B115</f>
        <v/>
      </c>
      <c r="C107" s="161"/>
      <c r="D107" s="156"/>
      <c r="E107" s="156"/>
      <c r="F107" s="156"/>
      <c r="G107" s="156"/>
      <c r="H107" s="151"/>
      <c r="I107" s="151"/>
      <c r="J107" s="152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6"/>
      <c r="V107" s="156"/>
      <c r="W107" s="154">
        <f t="shared" si="1"/>
        <v>0</v>
      </c>
      <c r="X107" s="156"/>
      <c r="Y107" s="156"/>
      <c r="Z107" s="157">
        <f t="shared" si="2"/>
        <v>0</v>
      </c>
      <c r="AA107" s="162"/>
      <c r="AB107" s="64" t="s">
        <v>131</v>
      </c>
      <c r="AC107" s="158">
        <f t="shared" si="3"/>
        <v>0</v>
      </c>
      <c r="AD107" s="135"/>
      <c r="AE107" s="135"/>
      <c r="AF107" s="135"/>
      <c r="AG107" s="135"/>
      <c r="AH107" s="135"/>
      <c r="AI107" s="135"/>
      <c r="AJ107" s="135"/>
    </row>
    <row r="108" ht="22.5" hidden="1" customHeight="1">
      <c r="A108" s="6" t="str">
        <f>'利用者'!A116</f>
        <v/>
      </c>
      <c r="B108" s="9" t="str">
        <f>'利用者'!B116</f>
        <v/>
      </c>
      <c r="C108" s="161"/>
      <c r="D108" s="156"/>
      <c r="E108" s="156"/>
      <c r="F108" s="156"/>
      <c r="G108" s="156"/>
      <c r="H108" s="151"/>
      <c r="I108" s="151"/>
      <c r="J108" s="152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6"/>
      <c r="V108" s="156"/>
      <c r="W108" s="154">
        <f t="shared" si="1"/>
        <v>0</v>
      </c>
      <c r="X108" s="156"/>
      <c r="Y108" s="156"/>
      <c r="Z108" s="157">
        <f t="shared" si="2"/>
        <v>0</v>
      </c>
      <c r="AA108" s="162"/>
      <c r="AB108" s="64" t="s">
        <v>131</v>
      </c>
      <c r="AC108" s="158">
        <f t="shared" si="3"/>
        <v>0</v>
      </c>
      <c r="AD108" s="135"/>
      <c r="AE108" s="135"/>
      <c r="AF108" s="135"/>
      <c r="AG108" s="135"/>
      <c r="AH108" s="135"/>
      <c r="AI108" s="135"/>
      <c r="AJ108" s="135"/>
    </row>
    <row r="109" ht="22.5" customHeight="1">
      <c r="A109" s="6"/>
      <c r="B109" s="9"/>
      <c r="C109" s="161"/>
      <c r="D109" s="156"/>
      <c r="E109" s="156"/>
      <c r="F109" s="156"/>
      <c r="G109" s="156"/>
      <c r="H109" s="151"/>
      <c r="I109" s="151"/>
      <c r="J109" s="152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6"/>
      <c r="V109" s="156"/>
      <c r="W109" s="154">
        <f t="shared" si="1"/>
        <v>0</v>
      </c>
      <c r="X109" s="156"/>
      <c r="Y109" s="156"/>
      <c r="Z109" s="157">
        <f t="shared" si="2"/>
        <v>0</v>
      </c>
      <c r="AA109" s="162"/>
      <c r="AB109" s="64" t="s">
        <v>131</v>
      </c>
      <c r="AC109" s="158">
        <f t="shared" si="3"/>
        <v>0</v>
      </c>
      <c r="AD109" s="135"/>
      <c r="AE109" s="135"/>
      <c r="AF109" s="135"/>
      <c r="AG109" s="135"/>
      <c r="AH109" s="135"/>
      <c r="AI109" s="135"/>
      <c r="AJ109" s="135"/>
    </row>
    <row r="110" ht="22.5" customHeight="1">
      <c r="A110" s="148" t="s">
        <v>128</v>
      </c>
      <c r="B110" s="148"/>
      <c r="C110" s="157"/>
      <c r="D110" s="157">
        <f t="shared" ref="D110:Y110" si="4">SUM(D3:D109)</f>
        <v>560000</v>
      </c>
      <c r="E110" s="157">
        <f t="shared" si="4"/>
        <v>70000</v>
      </c>
      <c r="F110" s="157">
        <f t="shared" si="4"/>
        <v>70000</v>
      </c>
      <c r="G110" s="157">
        <f t="shared" si="4"/>
        <v>28000</v>
      </c>
      <c r="H110" s="157">
        <f t="shared" si="4"/>
        <v>120000</v>
      </c>
      <c r="I110" s="157">
        <f t="shared" si="4"/>
        <v>385000</v>
      </c>
      <c r="J110" s="163">
        <f t="shared" si="4"/>
        <v>-476908</v>
      </c>
      <c r="K110" s="157">
        <f t="shared" si="4"/>
        <v>75051</v>
      </c>
      <c r="L110" s="157">
        <f t="shared" si="4"/>
        <v>18042</v>
      </c>
      <c r="M110" s="157">
        <f t="shared" si="4"/>
        <v>20000</v>
      </c>
      <c r="N110" s="157">
        <f t="shared" si="4"/>
        <v>0</v>
      </c>
      <c r="O110" s="157">
        <f t="shared" si="4"/>
        <v>10017</v>
      </c>
      <c r="P110" s="157">
        <f t="shared" si="4"/>
        <v>0</v>
      </c>
      <c r="Q110" s="157">
        <f t="shared" si="4"/>
        <v>44726</v>
      </c>
      <c r="R110" s="157">
        <f t="shared" si="4"/>
        <v>0</v>
      </c>
      <c r="S110" s="157">
        <f t="shared" si="4"/>
        <v>0</v>
      </c>
      <c r="T110" s="157">
        <f t="shared" si="4"/>
        <v>0</v>
      </c>
      <c r="U110" s="157">
        <f t="shared" si="4"/>
        <v>0</v>
      </c>
      <c r="V110" s="157">
        <f t="shared" si="4"/>
        <v>0</v>
      </c>
      <c r="W110" s="164">
        <f t="shared" si="4"/>
        <v>923928</v>
      </c>
      <c r="X110" s="157">
        <f t="shared" si="4"/>
        <v>228782</v>
      </c>
      <c r="Y110" s="157">
        <f t="shared" si="4"/>
        <v>99560</v>
      </c>
      <c r="Z110" s="157">
        <f t="shared" si="2"/>
        <v>1252270</v>
      </c>
      <c r="AA110" s="139"/>
      <c r="AC110" s="165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09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42">
        <v>45930.0</v>
      </c>
      <c r="C1" s="14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  <c r="AB1" s="13" t="s">
        <v>123</v>
      </c>
    </row>
    <row r="2" ht="22.5" customHeight="1">
      <c r="A2" s="6" t="s">
        <v>0</v>
      </c>
      <c r="B2" s="6" t="s">
        <v>1</v>
      </c>
      <c r="C2" s="9" t="s">
        <v>124</v>
      </c>
      <c r="D2" s="144" t="s">
        <v>5</v>
      </c>
      <c r="E2" s="144" t="s">
        <v>8</v>
      </c>
      <c r="F2" s="144" t="s">
        <v>10</v>
      </c>
      <c r="G2" s="144" t="s">
        <v>13</v>
      </c>
      <c r="H2" s="145" t="s">
        <v>15</v>
      </c>
      <c r="I2" s="145" t="s">
        <v>17</v>
      </c>
      <c r="J2" s="146" t="s">
        <v>20</v>
      </c>
      <c r="K2" s="145" t="s">
        <v>21</v>
      </c>
      <c r="L2" s="145" t="s">
        <v>22</v>
      </c>
      <c r="M2" s="145" t="s">
        <v>24</v>
      </c>
      <c r="N2" s="145" t="s">
        <v>26</v>
      </c>
      <c r="O2" s="145" t="s">
        <v>30</v>
      </c>
      <c r="P2" s="144" t="s">
        <v>32</v>
      </c>
      <c r="Q2" s="144" t="s">
        <v>35</v>
      </c>
      <c r="R2" s="144" t="s">
        <v>37</v>
      </c>
      <c r="S2" s="144" t="s">
        <v>27</v>
      </c>
      <c r="T2" s="144" t="s">
        <v>29</v>
      </c>
      <c r="U2" s="144"/>
      <c r="V2" s="144"/>
      <c r="W2" s="147" t="s">
        <v>125</v>
      </c>
      <c r="X2" s="9" t="s">
        <v>126</v>
      </c>
      <c r="Y2" s="9" t="s">
        <v>127</v>
      </c>
      <c r="Z2" s="148" t="s">
        <v>128</v>
      </c>
      <c r="AA2" s="10" t="s">
        <v>59</v>
      </c>
      <c r="AB2" s="10" t="s">
        <v>129</v>
      </c>
      <c r="AC2" s="6" t="s">
        <v>130</v>
      </c>
      <c r="AD2" s="10"/>
      <c r="AE2" s="10"/>
      <c r="AF2" s="10"/>
      <c r="AG2" s="10"/>
      <c r="AH2" s="10"/>
      <c r="AI2" s="10"/>
      <c r="AJ2" s="10"/>
    </row>
    <row r="3" ht="22.5" customHeight="1">
      <c r="A3" s="6">
        <v>108.0</v>
      </c>
      <c r="B3" s="9" t="s">
        <v>4</v>
      </c>
      <c r="C3" s="149">
        <v>185667.0</v>
      </c>
      <c r="D3" s="150">
        <v>40000.0</v>
      </c>
      <c r="E3" s="150">
        <v>5000.0</v>
      </c>
      <c r="F3" s="150">
        <v>5000.0</v>
      </c>
      <c r="G3" s="150">
        <v>2000.0</v>
      </c>
      <c r="H3" s="151">
        <v>10000.0</v>
      </c>
      <c r="I3" s="151">
        <v>42900.0</v>
      </c>
      <c r="J3" s="152">
        <v>-66847.0</v>
      </c>
      <c r="K3" s="151">
        <v>3630.0</v>
      </c>
      <c r="L3" s="151">
        <v>2190.0</v>
      </c>
      <c r="M3" s="151"/>
      <c r="N3" s="151"/>
      <c r="O3" s="151"/>
      <c r="P3" s="151"/>
      <c r="Q3" s="151">
        <v>8832.0</v>
      </c>
      <c r="R3" s="151"/>
      <c r="S3" s="151"/>
      <c r="T3" s="151"/>
      <c r="U3" s="153"/>
      <c r="V3" s="153"/>
      <c r="W3" s="154">
        <f t="shared" ref="W3:W109" si="1">SUM(D3:V3)</f>
        <v>52705</v>
      </c>
      <c r="X3" s="155">
        <v>27295.0</v>
      </c>
      <c r="Y3" s="156"/>
      <c r="Z3" s="157">
        <f t="shared" ref="Z3:Z110" si="2">SUM(W3:Y3)</f>
        <v>80000</v>
      </c>
      <c r="AA3" s="139">
        <v>80000.0</v>
      </c>
      <c r="AB3" s="64" t="s">
        <v>138</v>
      </c>
      <c r="AC3" s="149">
        <f t="shared" ref="AC3:AC109" si="3">C3-M3</f>
        <v>185667</v>
      </c>
    </row>
    <row r="4" ht="22.5" customHeight="1">
      <c r="A4" s="6">
        <v>206.0</v>
      </c>
      <c r="B4" s="9" t="s">
        <v>7</v>
      </c>
      <c r="C4" s="158"/>
      <c r="D4" s="150">
        <v>40000.0</v>
      </c>
      <c r="E4" s="150">
        <v>5000.0</v>
      </c>
      <c r="F4" s="150">
        <v>5000.0</v>
      </c>
      <c r="G4" s="150">
        <v>2000.0</v>
      </c>
      <c r="H4" s="151">
        <v>10000.0</v>
      </c>
      <c r="I4" s="151">
        <v>42900.0</v>
      </c>
      <c r="J4" s="152">
        <v>-28337.0</v>
      </c>
      <c r="K4" s="151">
        <v>0.0</v>
      </c>
      <c r="L4" s="151">
        <v>0.0</v>
      </c>
      <c r="M4" s="151"/>
      <c r="N4" s="151"/>
      <c r="O4" s="151"/>
      <c r="P4" s="151"/>
      <c r="Q4" s="151"/>
      <c r="R4" s="151"/>
      <c r="S4" s="151"/>
      <c r="T4" s="151"/>
      <c r="U4" s="156"/>
      <c r="V4" s="156"/>
      <c r="W4" s="154">
        <f t="shared" si="1"/>
        <v>76563</v>
      </c>
      <c r="X4" s="155">
        <v>20937.0</v>
      </c>
      <c r="Y4" s="156">
        <v>2500.0</v>
      </c>
      <c r="Z4" s="157">
        <f t="shared" si="2"/>
        <v>100000</v>
      </c>
      <c r="AA4" s="139">
        <v>100000.0</v>
      </c>
      <c r="AB4" s="64" t="s">
        <v>138</v>
      </c>
      <c r="AC4" s="158">
        <f t="shared" si="3"/>
        <v>0</v>
      </c>
    </row>
    <row r="5" ht="22.5" customHeight="1">
      <c r="A5" s="6">
        <v>210.0</v>
      </c>
      <c r="B5" s="9"/>
      <c r="C5" s="158"/>
      <c r="D5" s="149"/>
      <c r="E5" s="149"/>
      <c r="F5" s="149"/>
      <c r="G5" s="149"/>
      <c r="H5" s="151"/>
      <c r="I5" s="151"/>
      <c r="J5" s="152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6"/>
      <c r="V5" s="156"/>
      <c r="W5" s="154">
        <f t="shared" si="1"/>
        <v>0</v>
      </c>
      <c r="X5" s="155"/>
      <c r="Y5" s="156"/>
      <c r="Z5" s="157">
        <f t="shared" si="2"/>
        <v>0</v>
      </c>
      <c r="AA5" s="139"/>
      <c r="AB5" s="64" t="s">
        <v>131</v>
      </c>
      <c r="AC5" s="158">
        <f t="shared" si="3"/>
        <v>0</v>
      </c>
    </row>
    <row r="6" ht="22.5" customHeight="1">
      <c r="A6" s="6">
        <v>211.0</v>
      </c>
      <c r="B6" s="9"/>
      <c r="C6" s="158"/>
      <c r="D6" s="149"/>
      <c r="E6" s="149"/>
      <c r="F6" s="149"/>
      <c r="G6" s="149"/>
      <c r="H6" s="151"/>
      <c r="I6" s="151"/>
      <c r="J6" s="152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6"/>
      <c r="V6" s="156"/>
      <c r="W6" s="154">
        <f t="shared" si="1"/>
        <v>0</v>
      </c>
      <c r="X6" s="155"/>
      <c r="Y6" s="156"/>
      <c r="Z6" s="157">
        <f t="shared" si="2"/>
        <v>0</v>
      </c>
      <c r="AA6" s="139"/>
      <c r="AB6" s="64" t="s">
        <v>131</v>
      </c>
      <c r="AC6" s="158">
        <f t="shared" si="3"/>
        <v>0</v>
      </c>
    </row>
    <row r="7" ht="22.5" customHeight="1">
      <c r="A7" s="6">
        <v>212.0</v>
      </c>
      <c r="B7" s="9" t="s">
        <v>14</v>
      </c>
      <c r="C7" s="158"/>
      <c r="D7" s="150">
        <v>40000.0</v>
      </c>
      <c r="E7" s="150">
        <v>5000.0</v>
      </c>
      <c r="F7" s="150">
        <v>5000.0</v>
      </c>
      <c r="G7" s="150">
        <v>2000.0</v>
      </c>
      <c r="H7" s="151">
        <v>10000.0</v>
      </c>
      <c r="I7" s="151">
        <v>40700.0</v>
      </c>
      <c r="J7" s="152"/>
      <c r="K7" s="151">
        <v>10890.0</v>
      </c>
      <c r="L7" s="151">
        <v>2190.0</v>
      </c>
      <c r="M7" s="151"/>
      <c r="N7" s="151"/>
      <c r="O7" s="151"/>
      <c r="P7" s="151"/>
      <c r="Q7" s="151">
        <v>10842.0</v>
      </c>
      <c r="R7" s="151"/>
      <c r="S7" s="151"/>
      <c r="T7" s="151"/>
      <c r="U7" s="156"/>
      <c r="V7" s="156"/>
      <c r="W7" s="154">
        <f t="shared" si="1"/>
        <v>126622</v>
      </c>
      <c r="X7" s="149">
        <v>33906.0</v>
      </c>
      <c r="Y7" s="149"/>
      <c r="Z7" s="157">
        <f t="shared" si="2"/>
        <v>160528</v>
      </c>
      <c r="AA7" s="139" t="s">
        <v>132</v>
      </c>
      <c r="AB7" s="64" t="s">
        <v>138</v>
      </c>
      <c r="AC7" s="158">
        <f t="shared" si="3"/>
        <v>0</v>
      </c>
    </row>
    <row r="8" ht="22.5" customHeight="1">
      <c r="A8" s="6">
        <v>303.0</v>
      </c>
      <c r="B8" s="9" t="s">
        <v>136</v>
      </c>
      <c r="C8" s="158"/>
      <c r="D8" s="150">
        <v>40000.0</v>
      </c>
      <c r="E8" s="150">
        <v>5000.0</v>
      </c>
      <c r="F8" s="150">
        <v>5000.0</v>
      </c>
      <c r="G8" s="150">
        <v>2000.0</v>
      </c>
      <c r="H8" s="151">
        <v>10000.0</v>
      </c>
      <c r="I8" s="151">
        <v>27610.0</v>
      </c>
      <c r="J8" s="152"/>
      <c r="K8" s="151">
        <v>4356.0</v>
      </c>
      <c r="L8" s="151">
        <v>1314.0</v>
      </c>
      <c r="M8" s="151"/>
      <c r="N8" s="151"/>
      <c r="O8" s="151"/>
      <c r="P8" s="151"/>
      <c r="Q8" s="151"/>
      <c r="R8" s="151"/>
      <c r="S8" s="151"/>
      <c r="T8" s="151"/>
      <c r="U8" s="156"/>
      <c r="V8" s="156"/>
      <c r="W8" s="154">
        <f t="shared" si="1"/>
        <v>95280</v>
      </c>
      <c r="X8" s="149">
        <v>30064.0</v>
      </c>
      <c r="Y8" s="150">
        <v>7650.0</v>
      </c>
      <c r="Z8" s="157">
        <f t="shared" si="2"/>
        <v>132994</v>
      </c>
      <c r="AA8" s="139" t="s">
        <v>137</v>
      </c>
      <c r="AB8" s="64" t="s">
        <v>138</v>
      </c>
      <c r="AC8" s="158">
        <f t="shared" si="3"/>
        <v>0</v>
      </c>
    </row>
    <row r="9" ht="22.5" customHeight="1">
      <c r="A9" s="6">
        <v>401.0</v>
      </c>
      <c r="B9" s="9"/>
      <c r="C9" s="158"/>
      <c r="D9" s="149"/>
      <c r="E9" s="149"/>
      <c r="F9" s="149"/>
      <c r="G9" s="149"/>
      <c r="H9" s="151"/>
      <c r="I9" s="151"/>
      <c r="J9" s="152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6"/>
      <c r="V9" s="156"/>
      <c r="W9" s="154">
        <f t="shared" si="1"/>
        <v>0</v>
      </c>
      <c r="X9" s="160"/>
      <c r="Y9" s="156"/>
      <c r="Z9" s="157">
        <f t="shared" si="2"/>
        <v>0</v>
      </c>
      <c r="AA9" s="139"/>
      <c r="AB9" s="64" t="s">
        <v>131</v>
      </c>
      <c r="AC9" s="158">
        <f t="shared" si="3"/>
        <v>0</v>
      </c>
    </row>
    <row r="10" ht="22.5" customHeight="1">
      <c r="A10" s="6">
        <v>402.0</v>
      </c>
      <c r="B10" s="9" t="s">
        <v>12</v>
      </c>
      <c r="C10" s="161"/>
      <c r="D10" s="150">
        <v>40000.0</v>
      </c>
      <c r="E10" s="150">
        <v>5000.0</v>
      </c>
      <c r="F10" s="150">
        <v>5000.0</v>
      </c>
      <c r="G10" s="150">
        <v>2000.0</v>
      </c>
      <c r="H10" s="151">
        <v>10000.0</v>
      </c>
      <c r="I10" s="151">
        <v>42900.0</v>
      </c>
      <c r="J10" s="152">
        <v>-41283.0</v>
      </c>
      <c r="K10" s="151">
        <v>16350.0</v>
      </c>
      <c r="L10" s="151">
        <v>2190.0</v>
      </c>
      <c r="M10" s="151"/>
      <c r="N10" s="151"/>
      <c r="O10" s="151"/>
      <c r="P10" s="151"/>
      <c r="Q10" s="151">
        <v>3712.0</v>
      </c>
      <c r="R10" s="151"/>
      <c r="S10" s="151"/>
      <c r="T10" s="151"/>
      <c r="U10" s="156"/>
      <c r="V10" s="156"/>
      <c r="W10" s="154">
        <f t="shared" si="1"/>
        <v>85869</v>
      </c>
      <c r="X10" s="156">
        <v>19131.0</v>
      </c>
      <c r="Y10" s="156"/>
      <c r="Z10" s="157">
        <f t="shared" si="2"/>
        <v>105000</v>
      </c>
      <c r="AA10" s="139">
        <v>105000.0</v>
      </c>
      <c r="AB10" s="64" t="s">
        <v>138</v>
      </c>
      <c r="AC10" s="158">
        <f t="shared" si="3"/>
        <v>0</v>
      </c>
    </row>
    <row r="11" ht="22.5" customHeight="1">
      <c r="A11" s="6">
        <v>403.0</v>
      </c>
      <c r="B11" s="9" t="s">
        <v>23</v>
      </c>
      <c r="C11" s="161">
        <v>140000.0</v>
      </c>
      <c r="D11" s="150">
        <v>40000.0</v>
      </c>
      <c r="E11" s="150">
        <v>5000.0</v>
      </c>
      <c r="F11" s="150">
        <v>5000.0</v>
      </c>
      <c r="G11" s="150">
        <v>2000.0</v>
      </c>
      <c r="H11" s="151">
        <v>10000.0</v>
      </c>
      <c r="I11" s="151">
        <v>13530.0</v>
      </c>
      <c r="J11" s="152">
        <v>-49230.0</v>
      </c>
      <c r="K11" s="151">
        <v>7260.0</v>
      </c>
      <c r="L11" s="151">
        <v>1460.0</v>
      </c>
      <c r="M11" s="151">
        <v>10000.0</v>
      </c>
      <c r="N11" s="151"/>
      <c r="O11" s="151"/>
      <c r="P11" s="151"/>
      <c r="Q11" s="156">
        <v>11568.0</v>
      </c>
      <c r="R11" s="151"/>
      <c r="S11" s="151"/>
      <c r="T11" s="151"/>
      <c r="U11" s="156"/>
      <c r="V11" s="156"/>
      <c r="W11" s="154">
        <f t="shared" si="1"/>
        <v>56588</v>
      </c>
      <c r="X11" s="160">
        <v>41282.0</v>
      </c>
      <c r="Y11" s="156">
        <v>12130.0</v>
      </c>
      <c r="Z11" s="157">
        <f t="shared" si="2"/>
        <v>110000</v>
      </c>
      <c r="AA11" s="139" t="s">
        <v>134</v>
      </c>
      <c r="AB11" s="64" t="s">
        <v>138</v>
      </c>
      <c r="AC11" s="158">
        <f t="shared" si="3"/>
        <v>130000</v>
      </c>
    </row>
    <row r="12" ht="22.5" customHeight="1">
      <c r="A12" s="6">
        <v>405.0</v>
      </c>
      <c r="B12" s="9"/>
      <c r="C12" s="161"/>
      <c r="D12" s="150"/>
      <c r="E12" s="150"/>
      <c r="F12" s="150"/>
      <c r="G12" s="150"/>
      <c r="H12" s="151"/>
      <c r="I12" s="151"/>
      <c r="J12" s="152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6"/>
      <c r="V12" s="156"/>
      <c r="W12" s="154">
        <f t="shared" si="1"/>
        <v>0</v>
      </c>
      <c r="X12" s="156"/>
      <c r="Y12" s="156"/>
      <c r="Z12" s="157">
        <f t="shared" si="2"/>
        <v>0</v>
      </c>
      <c r="AA12" s="139"/>
      <c r="AB12" s="64" t="s">
        <v>131</v>
      </c>
      <c r="AC12" s="158">
        <f t="shared" si="3"/>
        <v>0</v>
      </c>
    </row>
    <row r="13" ht="22.5" customHeight="1">
      <c r="A13" s="6">
        <v>406.0</v>
      </c>
      <c r="B13" s="9"/>
      <c r="C13" s="161"/>
      <c r="D13" s="149"/>
      <c r="E13" s="149"/>
      <c r="F13" s="149"/>
      <c r="G13" s="149"/>
      <c r="H13" s="151"/>
      <c r="I13" s="151"/>
      <c r="J13" s="152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6"/>
      <c r="V13" s="156"/>
      <c r="W13" s="154">
        <f t="shared" si="1"/>
        <v>0</v>
      </c>
      <c r="X13" s="156"/>
      <c r="Y13" s="156"/>
      <c r="Z13" s="157">
        <f t="shared" si="2"/>
        <v>0</v>
      </c>
      <c r="AA13" s="139"/>
      <c r="AB13" s="64" t="s">
        <v>131</v>
      </c>
      <c r="AC13" s="158">
        <f t="shared" si="3"/>
        <v>0</v>
      </c>
    </row>
    <row r="14" ht="22.5" customHeight="1">
      <c r="A14" s="6">
        <v>407.0</v>
      </c>
      <c r="B14" s="9" t="s">
        <v>28</v>
      </c>
      <c r="C14" s="161"/>
      <c r="D14" s="150">
        <v>40000.0</v>
      </c>
      <c r="E14" s="150">
        <v>5000.0</v>
      </c>
      <c r="F14" s="150">
        <v>5000.0</v>
      </c>
      <c r="G14" s="150">
        <v>2000.0</v>
      </c>
      <c r="H14" s="151">
        <v>10000.0</v>
      </c>
      <c r="I14" s="151">
        <v>38500.0</v>
      </c>
      <c r="J14" s="152">
        <v>-39217.0</v>
      </c>
      <c r="K14" s="151">
        <v>7260.0</v>
      </c>
      <c r="L14" s="151">
        <v>2190.0</v>
      </c>
      <c r="M14" s="151"/>
      <c r="N14" s="151"/>
      <c r="O14" s="151"/>
      <c r="P14" s="151"/>
      <c r="Q14" s="151"/>
      <c r="R14" s="151"/>
      <c r="S14" s="151"/>
      <c r="T14" s="151"/>
      <c r="U14" s="156"/>
      <c r="V14" s="156"/>
      <c r="W14" s="154">
        <f t="shared" si="1"/>
        <v>70733</v>
      </c>
      <c r="X14" s="156">
        <v>29267.0</v>
      </c>
      <c r="Y14" s="156"/>
      <c r="Z14" s="157">
        <f t="shared" si="2"/>
        <v>100000</v>
      </c>
      <c r="AA14" s="139">
        <v>100000.0</v>
      </c>
      <c r="AB14" s="64" t="s">
        <v>138</v>
      </c>
      <c r="AC14" s="158">
        <f t="shared" si="3"/>
        <v>0</v>
      </c>
      <c r="AD14" s="135"/>
      <c r="AE14" s="135"/>
      <c r="AF14" s="135"/>
      <c r="AG14" s="135"/>
      <c r="AH14" s="135"/>
      <c r="AI14" s="135"/>
      <c r="AJ14" s="135"/>
    </row>
    <row r="15" ht="22.5" customHeight="1">
      <c r="A15" s="6">
        <v>408.0</v>
      </c>
      <c r="B15" s="9"/>
      <c r="C15" s="161"/>
      <c r="D15" s="156"/>
      <c r="E15" s="156"/>
      <c r="F15" s="156"/>
      <c r="G15" s="156"/>
      <c r="H15" s="151"/>
      <c r="I15" s="151"/>
      <c r="J15" s="152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6"/>
      <c r="V15" s="156"/>
      <c r="W15" s="154">
        <f t="shared" si="1"/>
        <v>0</v>
      </c>
      <c r="X15" s="156"/>
      <c r="Y15" s="156"/>
      <c r="Z15" s="157">
        <f t="shared" si="2"/>
        <v>0</v>
      </c>
      <c r="AA15" s="162"/>
      <c r="AB15" s="64" t="s">
        <v>131</v>
      </c>
      <c r="AC15" s="158">
        <f t="shared" si="3"/>
        <v>0</v>
      </c>
      <c r="AD15" s="135"/>
      <c r="AE15" s="135"/>
      <c r="AF15" s="135"/>
      <c r="AG15" s="135"/>
      <c r="AH15" s="135"/>
      <c r="AI15" s="135"/>
      <c r="AJ15" s="135"/>
    </row>
    <row r="16" ht="22.5" customHeight="1">
      <c r="A16" s="6"/>
      <c r="B16" s="9"/>
      <c r="C16" s="161"/>
      <c r="D16" s="156"/>
      <c r="E16" s="156"/>
      <c r="F16" s="156"/>
      <c r="G16" s="156"/>
      <c r="H16" s="151"/>
      <c r="I16" s="151"/>
      <c r="J16" s="152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6"/>
      <c r="V16" s="156"/>
      <c r="W16" s="154">
        <f t="shared" si="1"/>
        <v>0</v>
      </c>
      <c r="X16" s="156"/>
      <c r="Y16" s="156"/>
      <c r="Z16" s="157">
        <f t="shared" si="2"/>
        <v>0</v>
      </c>
      <c r="AA16" s="162"/>
      <c r="AB16" s="64" t="s">
        <v>131</v>
      </c>
      <c r="AC16" s="158">
        <f t="shared" si="3"/>
        <v>0</v>
      </c>
      <c r="AD16" s="135"/>
      <c r="AE16" s="135"/>
      <c r="AF16" s="135"/>
      <c r="AG16" s="135"/>
      <c r="AH16" s="135"/>
      <c r="AI16" s="135"/>
      <c r="AJ16" s="135"/>
    </row>
    <row r="17" ht="22.5" customHeight="1">
      <c r="A17" s="6">
        <v>601.0</v>
      </c>
      <c r="B17" s="9" t="s">
        <v>34</v>
      </c>
      <c r="C17" s="161">
        <v>134000.0</v>
      </c>
      <c r="D17" s="150">
        <v>40000.0</v>
      </c>
      <c r="E17" s="150">
        <v>5000.0</v>
      </c>
      <c r="F17" s="150">
        <v>5000.0</v>
      </c>
      <c r="G17" s="150">
        <v>2000.0</v>
      </c>
      <c r="H17" s="151">
        <v>10000.0</v>
      </c>
      <c r="I17" s="151">
        <v>40150.0</v>
      </c>
      <c r="J17" s="152">
        <v>-54465.0</v>
      </c>
      <c r="K17" s="151">
        <v>7260.0</v>
      </c>
      <c r="L17" s="151">
        <v>4350.0</v>
      </c>
      <c r="M17" s="151"/>
      <c r="N17" s="151"/>
      <c r="O17" s="151"/>
      <c r="P17" s="151"/>
      <c r="Q17" s="151">
        <v>4132.0</v>
      </c>
      <c r="R17" s="151"/>
      <c r="S17" s="151"/>
      <c r="T17" s="151"/>
      <c r="U17" s="156"/>
      <c r="V17" s="156"/>
      <c r="W17" s="154">
        <f t="shared" si="1"/>
        <v>63427</v>
      </c>
      <c r="X17" s="156">
        <v>36573.0</v>
      </c>
      <c r="Y17" s="156"/>
      <c r="Z17" s="157">
        <f t="shared" si="2"/>
        <v>100000</v>
      </c>
      <c r="AA17" s="139">
        <v>100000.0</v>
      </c>
      <c r="AB17" s="64" t="s">
        <v>138</v>
      </c>
      <c r="AC17" s="158">
        <f t="shared" si="3"/>
        <v>134000</v>
      </c>
      <c r="AD17" s="135"/>
      <c r="AE17" s="135"/>
      <c r="AF17" s="135"/>
      <c r="AG17" s="135"/>
      <c r="AH17" s="135"/>
      <c r="AI17" s="135"/>
      <c r="AJ17" s="135"/>
    </row>
    <row r="18" ht="22.5" customHeight="1">
      <c r="A18" s="6"/>
      <c r="B18" s="9"/>
      <c r="C18" s="161"/>
      <c r="D18" s="156"/>
      <c r="E18" s="156"/>
      <c r="F18" s="156"/>
      <c r="G18" s="156"/>
      <c r="H18" s="151"/>
      <c r="I18" s="151"/>
      <c r="J18" s="152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6"/>
      <c r="V18" s="156"/>
      <c r="W18" s="154">
        <f t="shared" si="1"/>
        <v>0</v>
      </c>
      <c r="X18" s="156"/>
      <c r="Y18" s="156"/>
      <c r="Z18" s="157">
        <f t="shared" si="2"/>
        <v>0</v>
      </c>
      <c r="AA18" s="162"/>
      <c r="AB18" s="64" t="s">
        <v>131</v>
      </c>
      <c r="AC18" s="158">
        <f t="shared" si="3"/>
        <v>0</v>
      </c>
      <c r="AD18" s="135"/>
      <c r="AE18" s="135"/>
      <c r="AF18" s="135"/>
      <c r="AG18" s="135"/>
      <c r="AH18" s="135"/>
      <c r="AI18" s="135"/>
      <c r="AJ18" s="135"/>
    </row>
    <row r="19" ht="22.5" customHeight="1">
      <c r="A19" s="6">
        <v>703.0</v>
      </c>
      <c r="B19" s="9" t="s">
        <v>38</v>
      </c>
      <c r="C19" s="161"/>
      <c r="D19" s="150">
        <v>40000.0</v>
      </c>
      <c r="E19" s="150">
        <v>5000.0</v>
      </c>
      <c r="F19" s="150">
        <v>5000.0</v>
      </c>
      <c r="G19" s="150">
        <v>2000.0</v>
      </c>
      <c r="H19" s="151">
        <v>10000.0</v>
      </c>
      <c r="I19" s="151">
        <v>42900.0</v>
      </c>
      <c r="J19" s="152">
        <v>-66385.0</v>
      </c>
      <c r="K19" s="151">
        <v>27240.0</v>
      </c>
      <c r="L19" s="151">
        <v>4350.0</v>
      </c>
      <c r="M19" s="151"/>
      <c r="N19" s="151"/>
      <c r="O19" s="151"/>
      <c r="P19" s="151"/>
      <c r="Q19" s="151"/>
      <c r="R19" s="151"/>
      <c r="S19" s="151"/>
      <c r="T19" s="151"/>
      <c r="U19" s="156"/>
      <c r="V19" s="156"/>
      <c r="W19" s="154">
        <f t="shared" si="1"/>
        <v>70105</v>
      </c>
      <c r="X19" s="156">
        <v>24895.0</v>
      </c>
      <c r="Y19" s="156">
        <v>5000.0</v>
      </c>
      <c r="Z19" s="157">
        <f t="shared" si="2"/>
        <v>100000</v>
      </c>
      <c r="AA19" s="139">
        <v>100000.0</v>
      </c>
      <c r="AB19" s="64" t="s">
        <v>138</v>
      </c>
      <c r="AC19" s="158">
        <f t="shared" si="3"/>
        <v>0</v>
      </c>
      <c r="AD19" s="135"/>
      <c r="AE19" s="135"/>
      <c r="AF19" s="135"/>
      <c r="AG19" s="135"/>
      <c r="AH19" s="135"/>
      <c r="AI19" s="135"/>
      <c r="AJ19" s="135"/>
    </row>
    <row r="20" ht="22.5" customHeight="1">
      <c r="A20" s="6">
        <v>715.0</v>
      </c>
      <c r="B20" s="9" t="s">
        <v>39</v>
      </c>
      <c r="C20" s="161"/>
      <c r="D20" s="150">
        <v>40000.0</v>
      </c>
      <c r="E20" s="150">
        <v>5000.0</v>
      </c>
      <c r="F20" s="150">
        <v>5000.0</v>
      </c>
      <c r="G20" s="150">
        <v>2000.0</v>
      </c>
      <c r="H20" s="151">
        <v>10000.0</v>
      </c>
      <c r="I20" s="151">
        <v>42900.0</v>
      </c>
      <c r="J20" s="152"/>
      <c r="K20" s="151">
        <v>0.0</v>
      </c>
      <c r="L20" s="151">
        <v>2190.0</v>
      </c>
      <c r="M20" s="151"/>
      <c r="N20" s="151"/>
      <c r="O20" s="151"/>
      <c r="P20" s="151"/>
      <c r="Q20" s="151"/>
      <c r="R20" s="151"/>
      <c r="S20" s="151"/>
      <c r="T20" s="151"/>
      <c r="U20" s="156"/>
      <c r="V20" s="156"/>
      <c r="W20" s="154">
        <f t="shared" si="1"/>
        <v>107090</v>
      </c>
      <c r="X20" s="156"/>
      <c r="Y20" s="156"/>
      <c r="Z20" s="157">
        <f t="shared" si="2"/>
        <v>107090</v>
      </c>
      <c r="AA20" s="139">
        <v>116000.0</v>
      </c>
      <c r="AB20" s="64" t="s">
        <v>138</v>
      </c>
      <c r="AC20" s="158">
        <f t="shared" si="3"/>
        <v>0</v>
      </c>
      <c r="AD20" s="135"/>
      <c r="AE20" s="135"/>
      <c r="AF20" s="135"/>
      <c r="AG20" s="135"/>
      <c r="AH20" s="135"/>
      <c r="AI20" s="135"/>
      <c r="AJ20" s="135"/>
    </row>
    <row r="21" ht="22.5" customHeight="1">
      <c r="A21" s="6">
        <v>716.0</v>
      </c>
      <c r="B21" s="9" t="s">
        <v>40</v>
      </c>
      <c r="C21" s="161"/>
      <c r="D21" s="150">
        <v>40000.0</v>
      </c>
      <c r="E21" s="150">
        <v>5000.0</v>
      </c>
      <c r="F21" s="150">
        <v>5000.0</v>
      </c>
      <c r="G21" s="150">
        <v>2000.0</v>
      </c>
      <c r="H21" s="159">
        <v>11778.0</v>
      </c>
      <c r="I21" s="151">
        <v>18700.0</v>
      </c>
      <c r="J21" s="152"/>
      <c r="K21" s="151">
        <v>0.0</v>
      </c>
      <c r="L21" s="151">
        <v>0.0</v>
      </c>
      <c r="M21" s="151"/>
      <c r="N21" s="151"/>
      <c r="O21" s="151"/>
      <c r="P21" s="151"/>
      <c r="Q21" s="151"/>
      <c r="R21" s="151"/>
      <c r="S21" s="151"/>
      <c r="T21" s="151">
        <v>500.0</v>
      </c>
      <c r="U21" s="156"/>
      <c r="V21" s="156"/>
      <c r="W21" s="154">
        <f t="shared" si="1"/>
        <v>82978</v>
      </c>
      <c r="X21" s="156"/>
      <c r="Y21" s="156"/>
      <c r="Z21" s="157">
        <f t="shared" si="2"/>
        <v>82978</v>
      </c>
      <c r="AA21" s="139" t="s">
        <v>132</v>
      </c>
      <c r="AB21" s="64" t="s">
        <v>138</v>
      </c>
      <c r="AC21" s="158">
        <f t="shared" si="3"/>
        <v>0</v>
      </c>
      <c r="AD21" s="135"/>
      <c r="AE21" s="135"/>
      <c r="AF21" s="135"/>
      <c r="AG21" s="135"/>
      <c r="AH21" s="135"/>
      <c r="AI21" s="135"/>
      <c r="AJ21" s="135"/>
    </row>
    <row r="22" ht="22.5" hidden="1" customHeight="1">
      <c r="A22" s="6" t="str">
        <f>'利用者'!A30</f>
        <v/>
      </c>
      <c r="B22" s="9" t="str">
        <f>'利用者'!B30</f>
        <v/>
      </c>
      <c r="C22" s="161"/>
      <c r="D22" s="156"/>
      <c r="E22" s="156"/>
      <c r="F22" s="156"/>
      <c r="G22" s="156"/>
      <c r="H22" s="151"/>
      <c r="I22" s="151"/>
      <c r="J22" s="152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6"/>
      <c r="V22" s="156"/>
      <c r="W22" s="154">
        <f t="shared" si="1"/>
        <v>0</v>
      </c>
      <c r="X22" s="156"/>
      <c r="Y22" s="156"/>
      <c r="Z22" s="157">
        <f t="shared" si="2"/>
        <v>0</v>
      </c>
      <c r="AA22" s="162"/>
      <c r="AB22" s="64" t="s">
        <v>131</v>
      </c>
      <c r="AC22" s="158">
        <f t="shared" si="3"/>
        <v>0</v>
      </c>
      <c r="AD22" s="135"/>
      <c r="AE22" s="135"/>
      <c r="AF22" s="135"/>
      <c r="AG22" s="135"/>
      <c r="AH22" s="135"/>
      <c r="AI22" s="135"/>
      <c r="AJ22" s="135"/>
    </row>
    <row r="23" ht="22.5" hidden="1" customHeight="1">
      <c r="A23" s="6" t="str">
        <f>'利用者'!A31</f>
        <v/>
      </c>
      <c r="B23" s="9" t="str">
        <f>'利用者'!B31</f>
        <v/>
      </c>
      <c r="C23" s="161"/>
      <c r="D23" s="156"/>
      <c r="E23" s="156"/>
      <c r="F23" s="156"/>
      <c r="G23" s="156"/>
      <c r="H23" s="151"/>
      <c r="I23" s="151"/>
      <c r="J23" s="152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6"/>
      <c r="V23" s="156"/>
      <c r="W23" s="154">
        <f t="shared" si="1"/>
        <v>0</v>
      </c>
      <c r="X23" s="156"/>
      <c r="Y23" s="156"/>
      <c r="Z23" s="157">
        <f t="shared" si="2"/>
        <v>0</v>
      </c>
      <c r="AA23" s="162"/>
      <c r="AB23" s="64" t="s">
        <v>131</v>
      </c>
      <c r="AC23" s="158">
        <f t="shared" si="3"/>
        <v>0</v>
      </c>
      <c r="AD23" s="135"/>
      <c r="AE23" s="135"/>
      <c r="AF23" s="135"/>
      <c r="AG23" s="135"/>
      <c r="AH23" s="135"/>
      <c r="AI23" s="135"/>
      <c r="AJ23" s="135"/>
    </row>
    <row r="24" ht="22.5" hidden="1" customHeight="1">
      <c r="A24" s="6" t="str">
        <f>'利用者'!A32</f>
        <v/>
      </c>
      <c r="B24" s="9" t="str">
        <f>'利用者'!B32</f>
        <v/>
      </c>
      <c r="C24" s="161"/>
      <c r="D24" s="156"/>
      <c r="E24" s="156"/>
      <c r="F24" s="156"/>
      <c r="G24" s="156"/>
      <c r="H24" s="151"/>
      <c r="I24" s="151"/>
      <c r="J24" s="152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6"/>
      <c r="V24" s="156"/>
      <c r="W24" s="154">
        <f t="shared" si="1"/>
        <v>0</v>
      </c>
      <c r="X24" s="156"/>
      <c r="Y24" s="156"/>
      <c r="Z24" s="157">
        <f t="shared" si="2"/>
        <v>0</v>
      </c>
      <c r="AA24" s="162"/>
      <c r="AB24" s="64" t="s">
        <v>131</v>
      </c>
      <c r="AC24" s="158">
        <f t="shared" si="3"/>
        <v>0</v>
      </c>
      <c r="AD24" s="135"/>
      <c r="AE24" s="135"/>
      <c r="AF24" s="135"/>
      <c r="AG24" s="135"/>
      <c r="AH24" s="135"/>
      <c r="AI24" s="135"/>
      <c r="AJ24" s="135"/>
    </row>
    <row r="25" ht="22.5" hidden="1" customHeight="1">
      <c r="A25" s="6" t="str">
        <f>'利用者'!A33</f>
        <v/>
      </c>
      <c r="B25" s="9" t="str">
        <f>'利用者'!B33</f>
        <v/>
      </c>
      <c r="C25" s="161"/>
      <c r="D25" s="156"/>
      <c r="E25" s="156"/>
      <c r="F25" s="156"/>
      <c r="G25" s="156"/>
      <c r="H25" s="151"/>
      <c r="I25" s="151"/>
      <c r="J25" s="152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6"/>
      <c r="V25" s="156"/>
      <c r="W25" s="154">
        <f t="shared" si="1"/>
        <v>0</v>
      </c>
      <c r="X25" s="156"/>
      <c r="Y25" s="156"/>
      <c r="Z25" s="157">
        <f t="shared" si="2"/>
        <v>0</v>
      </c>
      <c r="AA25" s="162"/>
      <c r="AB25" s="64" t="s">
        <v>131</v>
      </c>
      <c r="AC25" s="158">
        <f t="shared" si="3"/>
        <v>0</v>
      </c>
      <c r="AD25" s="135"/>
      <c r="AE25" s="135"/>
      <c r="AF25" s="135"/>
      <c r="AG25" s="135"/>
      <c r="AH25" s="135"/>
      <c r="AI25" s="135"/>
      <c r="AJ25" s="135"/>
    </row>
    <row r="26" ht="22.5" hidden="1" customHeight="1">
      <c r="A26" s="6" t="str">
        <f>'利用者'!A34</f>
        <v/>
      </c>
      <c r="B26" s="9" t="str">
        <f>'利用者'!B34</f>
        <v/>
      </c>
      <c r="C26" s="161"/>
      <c r="D26" s="156"/>
      <c r="E26" s="156"/>
      <c r="F26" s="156"/>
      <c r="G26" s="156"/>
      <c r="H26" s="151"/>
      <c r="I26" s="151"/>
      <c r="J26" s="152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6"/>
      <c r="V26" s="156"/>
      <c r="W26" s="154">
        <f t="shared" si="1"/>
        <v>0</v>
      </c>
      <c r="X26" s="156"/>
      <c r="Y26" s="156"/>
      <c r="Z26" s="157">
        <f t="shared" si="2"/>
        <v>0</v>
      </c>
      <c r="AA26" s="162"/>
      <c r="AB26" s="64" t="s">
        <v>131</v>
      </c>
      <c r="AC26" s="158">
        <f t="shared" si="3"/>
        <v>0</v>
      </c>
      <c r="AD26" s="135"/>
      <c r="AE26" s="135"/>
      <c r="AF26" s="135"/>
      <c r="AG26" s="135"/>
      <c r="AH26" s="135"/>
      <c r="AI26" s="135"/>
      <c r="AJ26" s="135"/>
    </row>
    <row r="27" ht="22.5" hidden="1" customHeight="1">
      <c r="A27" s="6" t="str">
        <f>'利用者'!A35</f>
        <v/>
      </c>
      <c r="B27" s="9" t="str">
        <f>'利用者'!B35</f>
        <v/>
      </c>
      <c r="C27" s="161"/>
      <c r="D27" s="156"/>
      <c r="E27" s="156"/>
      <c r="F27" s="156"/>
      <c r="G27" s="156"/>
      <c r="H27" s="151"/>
      <c r="I27" s="151"/>
      <c r="J27" s="152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6"/>
      <c r="V27" s="156"/>
      <c r="W27" s="154">
        <f t="shared" si="1"/>
        <v>0</v>
      </c>
      <c r="X27" s="156"/>
      <c r="Y27" s="156"/>
      <c r="Z27" s="157">
        <f t="shared" si="2"/>
        <v>0</v>
      </c>
      <c r="AA27" s="162"/>
      <c r="AB27" s="64" t="s">
        <v>131</v>
      </c>
      <c r="AC27" s="158">
        <f t="shared" si="3"/>
        <v>0</v>
      </c>
      <c r="AD27" s="135"/>
      <c r="AE27" s="135"/>
      <c r="AF27" s="135"/>
      <c r="AG27" s="135"/>
      <c r="AH27" s="135"/>
      <c r="AI27" s="135"/>
      <c r="AJ27" s="135"/>
    </row>
    <row r="28" ht="22.5" hidden="1" customHeight="1">
      <c r="A28" s="6" t="str">
        <f>'利用者'!A36</f>
        <v/>
      </c>
      <c r="B28" s="9" t="str">
        <f>'利用者'!B36</f>
        <v/>
      </c>
      <c r="C28" s="161"/>
      <c r="D28" s="156"/>
      <c r="E28" s="156"/>
      <c r="F28" s="156"/>
      <c r="G28" s="156"/>
      <c r="H28" s="151"/>
      <c r="I28" s="151"/>
      <c r="J28" s="152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6"/>
      <c r="V28" s="156"/>
      <c r="W28" s="154">
        <f t="shared" si="1"/>
        <v>0</v>
      </c>
      <c r="X28" s="156"/>
      <c r="Y28" s="156"/>
      <c r="Z28" s="157">
        <f t="shared" si="2"/>
        <v>0</v>
      </c>
      <c r="AA28" s="162"/>
      <c r="AB28" s="64" t="s">
        <v>131</v>
      </c>
      <c r="AC28" s="158">
        <f t="shared" si="3"/>
        <v>0</v>
      </c>
      <c r="AD28" s="135"/>
      <c r="AE28" s="135"/>
      <c r="AF28" s="135"/>
      <c r="AG28" s="135"/>
      <c r="AH28" s="135"/>
      <c r="AI28" s="135"/>
      <c r="AJ28" s="135"/>
    </row>
    <row r="29" ht="22.5" hidden="1" customHeight="1">
      <c r="A29" s="6" t="str">
        <f>'利用者'!A37</f>
        <v/>
      </c>
      <c r="B29" s="9" t="str">
        <f>'利用者'!B37</f>
        <v/>
      </c>
      <c r="C29" s="161"/>
      <c r="D29" s="156"/>
      <c r="E29" s="156"/>
      <c r="F29" s="156"/>
      <c r="G29" s="156"/>
      <c r="H29" s="151"/>
      <c r="I29" s="151"/>
      <c r="J29" s="152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6"/>
      <c r="V29" s="156"/>
      <c r="W29" s="154">
        <f t="shared" si="1"/>
        <v>0</v>
      </c>
      <c r="X29" s="156"/>
      <c r="Y29" s="156"/>
      <c r="Z29" s="157">
        <f t="shared" si="2"/>
        <v>0</v>
      </c>
      <c r="AA29" s="162"/>
      <c r="AB29" s="64" t="s">
        <v>131</v>
      </c>
      <c r="AC29" s="158">
        <f t="shared" si="3"/>
        <v>0</v>
      </c>
      <c r="AD29" s="135"/>
      <c r="AE29" s="135"/>
      <c r="AF29" s="135"/>
      <c r="AG29" s="135"/>
      <c r="AH29" s="135"/>
      <c r="AI29" s="135"/>
      <c r="AJ29" s="135"/>
    </row>
    <row r="30" ht="22.5" hidden="1" customHeight="1">
      <c r="A30" s="6" t="str">
        <f>'利用者'!A38</f>
        <v/>
      </c>
      <c r="B30" s="9" t="str">
        <f>'利用者'!B38</f>
        <v/>
      </c>
      <c r="C30" s="161"/>
      <c r="D30" s="156"/>
      <c r="E30" s="156"/>
      <c r="F30" s="156"/>
      <c r="G30" s="156"/>
      <c r="H30" s="151"/>
      <c r="I30" s="151"/>
      <c r="J30" s="152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6"/>
      <c r="V30" s="156"/>
      <c r="W30" s="154">
        <f t="shared" si="1"/>
        <v>0</v>
      </c>
      <c r="X30" s="156"/>
      <c r="Y30" s="156"/>
      <c r="Z30" s="157">
        <f t="shared" si="2"/>
        <v>0</v>
      </c>
      <c r="AA30" s="162"/>
      <c r="AB30" s="64" t="s">
        <v>131</v>
      </c>
      <c r="AC30" s="158">
        <f t="shared" si="3"/>
        <v>0</v>
      </c>
      <c r="AD30" s="135"/>
      <c r="AE30" s="135"/>
      <c r="AF30" s="135"/>
      <c r="AG30" s="135"/>
      <c r="AH30" s="135"/>
      <c r="AI30" s="135"/>
      <c r="AJ30" s="135"/>
    </row>
    <row r="31" ht="22.5" hidden="1" customHeight="1">
      <c r="A31" s="6" t="str">
        <f>'利用者'!A39</f>
        <v/>
      </c>
      <c r="B31" s="9" t="str">
        <f>'利用者'!B39</f>
        <v/>
      </c>
      <c r="C31" s="161"/>
      <c r="D31" s="156"/>
      <c r="E31" s="156"/>
      <c r="F31" s="156"/>
      <c r="G31" s="156"/>
      <c r="H31" s="151"/>
      <c r="I31" s="151"/>
      <c r="J31" s="152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6"/>
      <c r="V31" s="156"/>
      <c r="W31" s="154">
        <f t="shared" si="1"/>
        <v>0</v>
      </c>
      <c r="X31" s="156"/>
      <c r="Y31" s="156"/>
      <c r="Z31" s="157">
        <f t="shared" si="2"/>
        <v>0</v>
      </c>
      <c r="AA31" s="162"/>
      <c r="AB31" s="64" t="s">
        <v>131</v>
      </c>
      <c r="AC31" s="158">
        <f t="shared" si="3"/>
        <v>0</v>
      </c>
      <c r="AD31" s="135"/>
      <c r="AE31" s="135"/>
      <c r="AF31" s="135"/>
      <c r="AG31" s="135"/>
      <c r="AH31" s="135"/>
      <c r="AI31" s="135"/>
      <c r="AJ31" s="135"/>
    </row>
    <row r="32" ht="22.5" hidden="1" customHeight="1">
      <c r="A32" s="6" t="str">
        <f>'利用者'!A40</f>
        <v/>
      </c>
      <c r="B32" s="9" t="str">
        <f>'利用者'!B40</f>
        <v/>
      </c>
      <c r="C32" s="161"/>
      <c r="D32" s="156"/>
      <c r="E32" s="156"/>
      <c r="F32" s="156"/>
      <c r="G32" s="156"/>
      <c r="H32" s="151"/>
      <c r="I32" s="151"/>
      <c r="J32" s="152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6"/>
      <c r="V32" s="156"/>
      <c r="W32" s="154">
        <f t="shared" si="1"/>
        <v>0</v>
      </c>
      <c r="X32" s="156"/>
      <c r="Y32" s="156"/>
      <c r="Z32" s="157">
        <f t="shared" si="2"/>
        <v>0</v>
      </c>
      <c r="AA32" s="162"/>
      <c r="AB32" s="64" t="s">
        <v>131</v>
      </c>
      <c r="AC32" s="158">
        <f t="shared" si="3"/>
        <v>0</v>
      </c>
      <c r="AD32" s="135"/>
      <c r="AE32" s="135"/>
      <c r="AF32" s="135"/>
      <c r="AG32" s="135"/>
      <c r="AH32" s="135"/>
      <c r="AI32" s="135"/>
      <c r="AJ32" s="135"/>
    </row>
    <row r="33" ht="22.5" hidden="1" customHeight="1">
      <c r="A33" s="6" t="str">
        <f>'利用者'!A41</f>
        <v/>
      </c>
      <c r="B33" s="9" t="str">
        <f>'利用者'!B41</f>
        <v/>
      </c>
      <c r="C33" s="161"/>
      <c r="D33" s="156"/>
      <c r="E33" s="156"/>
      <c r="F33" s="156"/>
      <c r="G33" s="156"/>
      <c r="H33" s="151"/>
      <c r="I33" s="151"/>
      <c r="J33" s="152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6"/>
      <c r="V33" s="156"/>
      <c r="W33" s="154">
        <f t="shared" si="1"/>
        <v>0</v>
      </c>
      <c r="X33" s="156"/>
      <c r="Y33" s="156"/>
      <c r="Z33" s="157">
        <f t="shared" si="2"/>
        <v>0</v>
      </c>
      <c r="AA33" s="162"/>
      <c r="AB33" s="64" t="s">
        <v>131</v>
      </c>
      <c r="AC33" s="158">
        <f t="shared" si="3"/>
        <v>0</v>
      </c>
      <c r="AD33" s="135"/>
      <c r="AE33" s="135"/>
      <c r="AF33" s="135"/>
      <c r="AG33" s="135"/>
      <c r="AH33" s="135"/>
      <c r="AI33" s="135"/>
      <c r="AJ33" s="135"/>
    </row>
    <row r="34" ht="22.5" hidden="1" customHeight="1">
      <c r="A34" s="6" t="str">
        <f>'利用者'!A42</f>
        <v/>
      </c>
      <c r="B34" s="9" t="str">
        <f>'利用者'!B42</f>
        <v/>
      </c>
      <c r="C34" s="161"/>
      <c r="D34" s="156"/>
      <c r="E34" s="156"/>
      <c r="F34" s="156"/>
      <c r="G34" s="156"/>
      <c r="H34" s="151"/>
      <c r="I34" s="151"/>
      <c r="J34" s="152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6"/>
      <c r="V34" s="156"/>
      <c r="W34" s="154">
        <f t="shared" si="1"/>
        <v>0</v>
      </c>
      <c r="X34" s="156"/>
      <c r="Y34" s="156"/>
      <c r="Z34" s="157">
        <f t="shared" si="2"/>
        <v>0</v>
      </c>
      <c r="AA34" s="162"/>
      <c r="AB34" s="64" t="s">
        <v>131</v>
      </c>
      <c r="AC34" s="158">
        <f t="shared" si="3"/>
        <v>0</v>
      </c>
      <c r="AD34" s="135"/>
      <c r="AE34" s="135"/>
      <c r="AF34" s="135"/>
      <c r="AG34" s="135"/>
      <c r="AH34" s="135"/>
      <c r="AI34" s="135"/>
      <c r="AJ34" s="135"/>
    </row>
    <row r="35" ht="22.5" hidden="1" customHeight="1">
      <c r="A35" s="6" t="str">
        <f>'利用者'!A43</f>
        <v/>
      </c>
      <c r="B35" s="9" t="str">
        <f>'利用者'!B43</f>
        <v/>
      </c>
      <c r="C35" s="161"/>
      <c r="D35" s="156"/>
      <c r="E35" s="156"/>
      <c r="F35" s="156"/>
      <c r="G35" s="156"/>
      <c r="H35" s="151"/>
      <c r="I35" s="151"/>
      <c r="J35" s="152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6"/>
      <c r="V35" s="156"/>
      <c r="W35" s="154">
        <f t="shared" si="1"/>
        <v>0</v>
      </c>
      <c r="X35" s="156"/>
      <c r="Y35" s="156"/>
      <c r="Z35" s="157">
        <f t="shared" si="2"/>
        <v>0</v>
      </c>
      <c r="AA35" s="162"/>
      <c r="AB35" s="64" t="s">
        <v>131</v>
      </c>
      <c r="AC35" s="158">
        <f t="shared" si="3"/>
        <v>0</v>
      </c>
      <c r="AD35" s="135"/>
      <c r="AE35" s="135"/>
      <c r="AF35" s="135"/>
      <c r="AG35" s="135"/>
      <c r="AH35" s="135"/>
      <c r="AI35" s="135"/>
      <c r="AJ35" s="135"/>
    </row>
    <row r="36" ht="22.5" hidden="1" customHeight="1">
      <c r="A36" s="6" t="str">
        <f>'利用者'!A44</f>
        <v/>
      </c>
      <c r="B36" s="9" t="str">
        <f>'利用者'!B44</f>
        <v/>
      </c>
      <c r="C36" s="161"/>
      <c r="D36" s="156"/>
      <c r="E36" s="156"/>
      <c r="F36" s="156"/>
      <c r="G36" s="156"/>
      <c r="H36" s="151"/>
      <c r="I36" s="151"/>
      <c r="J36" s="152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6"/>
      <c r="V36" s="156"/>
      <c r="W36" s="154">
        <f t="shared" si="1"/>
        <v>0</v>
      </c>
      <c r="X36" s="156"/>
      <c r="Y36" s="156"/>
      <c r="Z36" s="157">
        <f t="shared" si="2"/>
        <v>0</v>
      </c>
      <c r="AA36" s="162"/>
      <c r="AB36" s="64" t="s">
        <v>131</v>
      </c>
      <c r="AC36" s="158">
        <f t="shared" si="3"/>
        <v>0</v>
      </c>
      <c r="AD36" s="135"/>
      <c r="AE36" s="135"/>
      <c r="AF36" s="135"/>
      <c r="AG36" s="135"/>
      <c r="AH36" s="135"/>
      <c r="AI36" s="135"/>
      <c r="AJ36" s="135"/>
    </row>
    <row r="37" ht="22.5" hidden="1" customHeight="1">
      <c r="A37" s="6" t="str">
        <f>'利用者'!A45</f>
        <v/>
      </c>
      <c r="B37" s="9" t="str">
        <f>'利用者'!B45</f>
        <v/>
      </c>
      <c r="C37" s="161"/>
      <c r="D37" s="156"/>
      <c r="E37" s="156"/>
      <c r="F37" s="156"/>
      <c r="G37" s="156"/>
      <c r="H37" s="151"/>
      <c r="I37" s="151"/>
      <c r="J37" s="152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6"/>
      <c r="V37" s="156"/>
      <c r="W37" s="154">
        <f t="shared" si="1"/>
        <v>0</v>
      </c>
      <c r="X37" s="156"/>
      <c r="Y37" s="156"/>
      <c r="Z37" s="157">
        <f t="shared" si="2"/>
        <v>0</v>
      </c>
      <c r="AA37" s="162"/>
      <c r="AB37" s="64" t="s">
        <v>131</v>
      </c>
      <c r="AC37" s="158">
        <f t="shared" si="3"/>
        <v>0</v>
      </c>
      <c r="AD37" s="135"/>
      <c r="AE37" s="135"/>
      <c r="AF37" s="135"/>
      <c r="AG37" s="135"/>
      <c r="AH37" s="135"/>
      <c r="AI37" s="135"/>
      <c r="AJ37" s="135"/>
    </row>
    <row r="38" ht="22.5" hidden="1" customHeight="1">
      <c r="A38" s="6" t="str">
        <f>'利用者'!A46</f>
        <v/>
      </c>
      <c r="B38" s="9" t="str">
        <f>'利用者'!B46</f>
        <v/>
      </c>
      <c r="C38" s="161"/>
      <c r="D38" s="156"/>
      <c r="E38" s="156"/>
      <c r="F38" s="156"/>
      <c r="G38" s="156"/>
      <c r="H38" s="151"/>
      <c r="I38" s="151"/>
      <c r="J38" s="152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6"/>
      <c r="V38" s="156"/>
      <c r="W38" s="154">
        <f t="shared" si="1"/>
        <v>0</v>
      </c>
      <c r="X38" s="156"/>
      <c r="Y38" s="156"/>
      <c r="Z38" s="157">
        <f t="shared" si="2"/>
        <v>0</v>
      </c>
      <c r="AA38" s="162"/>
      <c r="AB38" s="64" t="s">
        <v>131</v>
      </c>
      <c r="AC38" s="158">
        <f t="shared" si="3"/>
        <v>0</v>
      </c>
      <c r="AD38" s="135"/>
      <c r="AE38" s="135"/>
      <c r="AF38" s="135"/>
      <c r="AG38" s="135"/>
      <c r="AH38" s="135"/>
      <c r="AI38" s="135"/>
      <c r="AJ38" s="135"/>
    </row>
    <row r="39" ht="22.5" hidden="1" customHeight="1">
      <c r="A39" s="6" t="str">
        <f>'利用者'!A47</f>
        <v/>
      </c>
      <c r="B39" s="9" t="str">
        <f>'利用者'!B47</f>
        <v/>
      </c>
      <c r="C39" s="161"/>
      <c r="D39" s="156"/>
      <c r="E39" s="156"/>
      <c r="F39" s="156"/>
      <c r="G39" s="156"/>
      <c r="H39" s="151"/>
      <c r="I39" s="151"/>
      <c r="J39" s="152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6"/>
      <c r="V39" s="156"/>
      <c r="W39" s="154">
        <f t="shared" si="1"/>
        <v>0</v>
      </c>
      <c r="X39" s="156"/>
      <c r="Y39" s="156"/>
      <c r="Z39" s="157">
        <f t="shared" si="2"/>
        <v>0</v>
      </c>
      <c r="AA39" s="162"/>
      <c r="AB39" s="64" t="s">
        <v>131</v>
      </c>
      <c r="AC39" s="158">
        <f t="shared" si="3"/>
        <v>0</v>
      </c>
      <c r="AD39" s="135"/>
      <c r="AE39" s="135"/>
      <c r="AF39" s="135"/>
      <c r="AG39" s="135"/>
      <c r="AH39" s="135"/>
      <c r="AI39" s="135"/>
      <c r="AJ39" s="135"/>
    </row>
    <row r="40" ht="22.5" hidden="1" customHeight="1">
      <c r="A40" s="6" t="str">
        <f>'利用者'!A48</f>
        <v/>
      </c>
      <c r="B40" s="9" t="str">
        <f>'利用者'!B48</f>
        <v/>
      </c>
      <c r="C40" s="161"/>
      <c r="D40" s="156"/>
      <c r="E40" s="156"/>
      <c r="F40" s="156"/>
      <c r="G40" s="156"/>
      <c r="H40" s="151"/>
      <c r="I40" s="151"/>
      <c r="J40" s="152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6"/>
      <c r="V40" s="156"/>
      <c r="W40" s="154">
        <f t="shared" si="1"/>
        <v>0</v>
      </c>
      <c r="X40" s="156"/>
      <c r="Y40" s="156"/>
      <c r="Z40" s="157">
        <f t="shared" si="2"/>
        <v>0</v>
      </c>
      <c r="AA40" s="162"/>
      <c r="AB40" s="64" t="s">
        <v>131</v>
      </c>
      <c r="AC40" s="158">
        <f t="shared" si="3"/>
        <v>0</v>
      </c>
      <c r="AD40" s="135"/>
      <c r="AE40" s="135"/>
      <c r="AF40" s="135"/>
      <c r="AG40" s="135"/>
      <c r="AH40" s="135"/>
      <c r="AI40" s="135"/>
      <c r="AJ40" s="135"/>
    </row>
    <row r="41" ht="22.5" hidden="1" customHeight="1">
      <c r="A41" s="6" t="str">
        <f>'利用者'!A49</f>
        <v/>
      </c>
      <c r="B41" s="9" t="str">
        <f>'利用者'!B49</f>
        <v/>
      </c>
      <c r="C41" s="161"/>
      <c r="D41" s="156"/>
      <c r="E41" s="156"/>
      <c r="F41" s="156"/>
      <c r="G41" s="156"/>
      <c r="H41" s="151"/>
      <c r="I41" s="151"/>
      <c r="J41" s="152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6"/>
      <c r="V41" s="156"/>
      <c r="W41" s="154">
        <f t="shared" si="1"/>
        <v>0</v>
      </c>
      <c r="X41" s="156"/>
      <c r="Y41" s="156"/>
      <c r="Z41" s="157">
        <f t="shared" si="2"/>
        <v>0</v>
      </c>
      <c r="AA41" s="162"/>
      <c r="AB41" s="64" t="s">
        <v>131</v>
      </c>
      <c r="AC41" s="158">
        <f t="shared" si="3"/>
        <v>0</v>
      </c>
      <c r="AD41" s="135"/>
      <c r="AE41" s="135"/>
      <c r="AF41" s="135"/>
      <c r="AG41" s="135"/>
      <c r="AH41" s="135"/>
      <c r="AI41" s="135"/>
      <c r="AJ41" s="135"/>
    </row>
    <row r="42" ht="22.5" hidden="1" customHeight="1">
      <c r="A42" s="6" t="str">
        <f>'利用者'!A50</f>
        <v/>
      </c>
      <c r="B42" s="9" t="str">
        <f>'利用者'!B50</f>
        <v/>
      </c>
      <c r="C42" s="161"/>
      <c r="D42" s="156"/>
      <c r="E42" s="156"/>
      <c r="F42" s="156"/>
      <c r="G42" s="156"/>
      <c r="H42" s="151"/>
      <c r="I42" s="151"/>
      <c r="J42" s="152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6"/>
      <c r="V42" s="156"/>
      <c r="W42" s="154">
        <f t="shared" si="1"/>
        <v>0</v>
      </c>
      <c r="X42" s="156"/>
      <c r="Y42" s="156"/>
      <c r="Z42" s="157">
        <f t="shared" si="2"/>
        <v>0</v>
      </c>
      <c r="AA42" s="162"/>
      <c r="AB42" s="64" t="s">
        <v>131</v>
      </c>
      <c r="AC42" s="158">
        <f t="shared" si="3"/>
        <v>0</v>
      </c>
      <c r="AD42" s="135"/>
      <c r="AE42" s="135"/>
      <c r="AF42" s="135"/>
      <c r="AG42" s="135"/>
      <c r="AH42" s="135"/>
      <c r="AI42" s="135"/>
      <c r="AJ42" s="135"/>
    </row>
    <row r="43" ht="22.5" hidden="1" customHeight="1">
      <c r="A43" s="6" t="str">
        <f>'利用者'!A51</f>
        <v/>
      </c>
      <c r="B43" s="9" t="str">
        <f>'利用者'!B51</f>
        <v/>
      </c>
      <c r="C43" s="161"/>
      <c r="D43" s="156"/>
      <c r="E43" s="156"/>
      <c r="F43" s="156"/>
      <c r="G43" s="156"/>
      <c r="H43" s="151"/>
      <c r="I43" s="151"/>
      <c r="J43" s="152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6"/>
      <c r="V43" s="156"/>
      <c r="W43" s="154">
        <f t="shared" si="1"/>
        <v>0</v>
      </c>
      <c r="X43" s="156"/>
      <c r="Y43" s="156"/>
      <c r="Z43" s="157">
        <f t="shared" si="2"/>
        <v>0</v>
      </c>
      <c r="AA43" s="162"/>
      <c r="AB43" s="64" t="s">
        <v>131</v>
      </c>
      <c r="AC43" s="158">
        <f t="shared" si="3"/>
        <v>0</v>
      </c>
      <c r="AD43" s="135"/>
      <c r="AE43" s="135"/>
      <c r="AF43" s="135"/>
      <c r="AG43" s="135"/>
      <c r="AH43" s="135"/>
      <c r="AI43" s="135"/>
      <c r="AJ43" s="135"/>
    </row>
    <row r="44" ht="22.5" hidden="1" customHeight="1">
      <c r="A44" s="6" t="str">
        <f>'利用者'!A52</f>
        <v/>
      </c>
      <c r="B44" s="9" t="str">
        <f>'利用者'!B52</f>
        <v/>
      </c>
      <c r="C44" s="161"/>
      <c r="D44" s="156"/>
      <c r="E44" s="156"/>
      <c r="F44" s="156"/>
      <c r="G44" s="156"/>
      <c r="H44" s="151"/>
      <c r="I44" s="151"/>
      <c r="J44" s="152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6"/>
      <c r="V44" s="156"/>
      <c r="W44" s="154">
        <f t="shared" si="1"/>
        <v>0</v>
      </c>
      <c r="X44" s="156"/>
      <c r="Y44" s="156"/>
      <c r="Z44" s="157">
        <f t="shared" si="2"/>
        <v>0</v>
      </c>
      <c r="AA44" s="162"/>
      <c r="AB44" s="64" t="s">
        <v>131</v>
      </c>
      <c r="AC44" s="158">
        <f t="shared" si="3"/>
        <v>0</v>
      </c>
      <c r="AD44" s="135"/>
      <c r="AE44" s="135"/>
      <c r="AF44" s="135"/>
      <c r="AG44" s="135"/>
      <c r="AH44" s="135"/>
      <c r="AI44" s="135"/>
      <c r="AJ44" s="135"/>
    </row>
    <row r="45" ht="22.5" hidden="1" customHeight="1">
      <c r="A45" s="6" t="str">
        <f>'利用者'!A53</f>
        <v/>
      </c>
      <c r="B45" s="9" t="str">
        <f>'利用者'!B53</f>
        <v/>
      </c>
      <c r="C45" s="161"/>
      <c r="D45" s="156"/>
      <c r="E45" s="156"/>
      <c r="F45" s="156"/>
      <c r="G45" s="156"/>
      <c r="H45" s="151"/>
      <c r="I45" s="151"/>
      <c r="J45" s="152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6"/>
      <c r="V45" s="156"/>
      <c r="W45" s="154">
        <f t="shared" si="1"/>
        <v>0</v>
      </c>
      <c r="X45" s="156"/>
      <c r="Y45" s="156"/>
      <c r="Z45" s="157">
        <f t="shared" si="2"/>
        <v>0</v>
      </c>
      <c r="AA45" s="162"/>
      <c r="AB45" s="64" t="s">
        <v>131</v>
      </c>
      <c r="AC45" s="158">
        <f t="shared" si="3"/>
        <v>0</v>
      </c>
      <c r="AD45" s="135"/>
      <c r="AE45" s="135"/>
      <c r="AF45" s="135"/>
      <c r="AG45" s="135"/>
      <c r="AH45" s="135"/>
      <c r="AI45" s="135"/>
      <c r="AJ45" s="135"/>
    </row>
    <row r="46" ht="22.5" hidden="1" customHeight="1">
      <c r="A46" s="6" t="str">
        <f>'利用者'!A54</f>
        <v/>
      </c>
      <c r="B46" s="9" t="str">
        <f>'利用者'!B54</f>
        <v/>
      </c>
      <c r="C46" s="161"/>
      <c r="D46" s="156"/>
      <c r="E46" s="156"/>
      <c r="F46" s="156"/>
      <c r="G46" s="156"/>
      <c r="H46" s="151"/>
      <c r="I46" s="151"/>
      <c r="J46" s="152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6"/>
      <c r="V46" s="156"/>
      <c r="W46" s="154">
        <f t="shared" si="1"/>
        <v>0</v>
      </c>
      <c r="X46" s="156"/>
      <c r="Y46" s="156"/>
      <c r="Z46" s="157">
        <f t="shared" si="2"/>
        <v>0</v>
      </c>
      <c r="AA46" s="162"/>
      <c r="AB46" s="64" t="s">
        <v>131</v>
      </c>
      <c r="AC46" s="158">
        <f t="shared" si="3"/>
        <v>0</v>
      </c>
      <c r="AD46" s="135"/>
      <c r="AE46" s="135"/>
      <c r="AF46" s="135"/>
      <c r="AG46" s="135"/>
      <c r="AH46" s="135"/>
      <c r="AI46" s="135"/>
      <c r="AJ46" s="135"/>
    </row>
    <row r="47" ht="22.5" hidden="1" customHeight="1">
      <c r="A47" s="6" t="str">
        <f>'利用者'!A55</f>
        <v/>
      </c>
      <c r="B47" s="9" t="str">
        <f>'利用者'!B55</f>
        <v/>
      </c>
      <c r="C47" s="161"/>
      <c r="D47" s="156"/>
      <c r="E47" s="156"/>
      <c r="F47" s="156"/>
      <c r="G47" s="156"/>
      <c r="H47" s="151"/>
      <c r="I47" s="151"/>
      <c r="J47" s="152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6"/>
      <c r="V47" s="156"/>
      <c r="W47" s="154">
        <f t="shared" si="1"/>
        <v>0</v>
      </c>
      <c r="X47" s="156"/>
      <c r="Y47" s="156"/>
      <c r="Z47" s="157">
        <f t="shared" si="2"/>
        <v>0</v>
      </c>
      <c r="AA47" s="162"/>
      <c r="AB47" s="64" t="s">
        <v>131</v>
      </c>
      <c r="AC47" s="158">
        <f t="shared" si="3"/>
        <v>0</v>
      </c>
      <c r="AD47" s="135"/>
      <c r="AE47" s="135"/>
      <c r="AF47" s="135"/>
      <c r="AG47" s="135"/>
      <c r="AH47" s="135"/>
      <c r="AI47" s="135"/>
      <c r="AJ47" s="135"/>
    </row>
    <row r="48" ht="22.5" hidden="1" customHeight="1">
      <c r="A48" s="6" t="str">
        <f>'利用者'!A56</f>
        <v/>
      </c>
      <c r="B48" s="9" t="str">
        <f>'利用者'!B56</f>
        <v/>
      </c>
      <c r="C48" s="161"/>
      <c r="D48" s="156"/>
      <c r="E48" s="156"/>
      <c r="F48" s="156"/>
      <c r="G48" s="156"/>
      <c r="H48" s="151"/>
      <c r="I48" s="151"/>
      <c r="J48" s="152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6"/>
      <c r="V48" s="156"/>
      <c r="W48" s="154">
        <f t="shared" si="1"/>
        <v>0</v>
      </c>
      <c r="X48" s="156"/>
      <c r="Y48" s="156"/>
      <c r="Z48" s="157">
        <f t="shared" si="2"/>
        <v>0</v>
      </c>
      <c r="AA48" s="162"/>
      <c r="AB48" s="64" t="s">
        <v>131</v>
      </c>
      <c r="AC48" s="158">
        <f t="shared" si="3"/>
        <v>0</v>
      </c>
      <c r="AD48" s="135"/>
      <c r="AE48" s="135"/>
      <c r="AF48" s="135"/>
      <c r="AG48" s="135"/>
      <c r="AH48" s="135"/>
      <c r="AI48" s="135"/>
      <c r="AJ48" s="135"/>
    </row>
    <row r="49" ht="22.5" hidden="1" customHeight="1">
      <c r="A49" s="6" t="str">
        <f>'利用者'!A57</f>
        <v/>
      </c>
      <c r="B49" s="9" t="str">
        <f>'利用者'!B57</f>
        <v/>
      </c>
      <c r="C49" s="161"/>
      <c r="D49" s="156"/>
      <c r="E49" s="156"/>
      <c r="F49" s="156"/>
      <c r="G49" s="156"/>
      <c r="H49" s="151"/>
      <c r="I49" s="151"/>
      <c r="J49" s="152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6"/>
      <c r="V49" s="156"/>
      <c r="W49" s="154">
        <f t="shared" si="1"/>
        <v>0</v>
      </c>
      <c r="X49" s="156"/>
      <c r="Y49" s="156"/>
      <c r="Z49" s="157">
        <f t="shared" si="2"/>
        <v>0</v>
      </c>
      <c r="AA49" s="162"/>
      <c r="AB49" s="64" t="s">
        <v>131</v>
      </c>
      <c r="AC49" s="158">
        <f t="shared" si="3"/>
        <v>0</v>
      </c>
      <c r="AD49" s="135"/>
      <c r="AE49" s="135"/>
      <c r="AF49" s="135"/>
      <c r="AG49" s="135"/>
      <c r="AH49" s="135"/>
      <c r="AI49" s="135"/>
      <c r="AJ49" s="135"/>
    </row>
    <row r="50" ht="22.5" hidden="1" customHeight="1">
      <c r="A50" s="6" t="str">
        <f>'利用者'!A58</f>
        <v/>
      </c>
      <c r="B50" s="9" t="str">
        <f>'利用者'!B58</f>
        <v/>
      </c>
      <c r="C50" s="161"/>
      <c r="D50" s="156"/>
      <c r="E50" s="156"/>
      <c r="F50" s="156"/>
      <c r="G50" s="156"/>
      <c r="H50" s="151"/>
      <c r="I50" s="151"/>
      <c r="J50" s="152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6"/>
      <c r="V50" s="156"/>
      <c r="W50" s="154">
        <f t="shared" si="1"/>
        <v>0</v>
      </c>
      <c r="X50" s="156"/>
      <c r="Y50" s="156"/>
      <c r="Z50" s="157">
        <f t="shared" si="2"/>
        <v>0</v>
      </c>
      <c r="AA50" s="162"/>
      <c r="AB50" s="64" t="s">
        <v>131</v>
      </c>
      <c r="AC50" s="158">
        <f t="shared" si="3"/>
        <v>0</v>
      </c>
      <c r="AD50" s="135"/>
      <c r="AE50" s="135"/>
      <c r="AF50" s="135"/>
      <c r="AG50" s="135"/>
      <c r="AH50" s="135"/>
      <c r="AI50" s="135"/>
      <c r="AJ50" s="135"/>
    </row>
    <row r="51" ht="22.5" hidden="1" customHeight="1">
      <c r="A51" s="6" t="str">
        <f>'利用者'!A59</f>
        <v/>
      </c>
      <c r="B51" s="9" t="str">
        <f>'利用者'!B59</f>
        <v/>
      </c>
      <c r="C51" s="161"/>
      <c r="D51" s="156"/>
      <c r="E51" s="156"/>
      <c r="F51" s="156"/>
      <c r="G51" s="156"/>
      <c r="H51" s="151"/>
      <c r="I51" s="151"/>
      <c r="J51" s="152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6"/>
      <c r="V51" s="156"/>
      <c r="W51" s="154">
        <f t="shared" si="1"/>
        <v>0</v>
      </c>
      <c r="X51" s="156"/>
      <c r="Y51" s="156"/>
      <c r="Z51" s="157">
        <f t="shared" si="2"/>
        <v>0</v>
      </c>
      <c r="AA51" s="162"/>
      <c r="AB51" s="64" t="s">
        <v>131</v>
      </c>
      <c r="AC51" s="158">
        <f t="shared" si="3"/>
        <v>0</v>
      </c>
      <c r="AD51" s="135"/>
      <c r="AE51" s="135"/>
      <c r="AF51" s="135"/>
      <c r="AG51" s="135"/>
      <c r="AH51" s="135"/>
      <c r="AI51" s="135"/>
      <c r="AJ51" s="135"/>
    </row>
    <row r="52" ht="22.5" hidden="1" customHeight="1">
      <c r="A52" s="6" t="str">
        <f>'利用者'!A60</f>
        <v/>
      </c>
      <c r="B52" s="9" t="str">
        <f>'利用者'!B60</f>
        <v/>
      </c>
      <c r="C52" s="161"/>
      <c r="D52" s="156"/>
      <c r="E52" s="156"/>
      <c r="F52" s="156"/>
      <c r="G52" s="156"/>
      <c r="H52" s="151"/>
      <c r="I52" s="151"/>
      <c r="J52" s="152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6"/>
      <c r="V52" s="156"/>
      <c r="W52" s="154">
        <f t="shared" si="1"/>
        <v>0</v>
      </c>
      <c r="X52" s="156"/>
      <c r="Y52" s="156"/>
      <c r="Z52" s="157">
        <f t="shared" si="2"/>
        <v>0</v>
      </c>
      <c r="AA52" s="162"/>
      <c r="AB52" s="64" t="s">
        <v>131</v>
      </c>
      <c r="AC52" s="158">
        <f t="shared" si="3"/>
        <v>0</v>
      </c>
      <c r="AD52" s="135"/>
      <c r="AE52" s="135"/>
      <c r="AF52" s="135"/>
      <c r="AG52" s="135"/>
      <c r="AH52" s="135"/>
      <c r="AI52" s="135"/>
      <c r="AJ52" s="135"/>
    </row>
    <row r="53" ht="22.5" hidden="1" customHeight="1">
      <c r="A53" s="6" t="str">
        <f>'利用者'!A61</f>
        <v/>
      </c>
      <c r="B53" s="9" t="str">
        <f>'利用者'!B61</f>
        <v/>
      </c>
      <c r="C53" s="161"/>
      <c r="D53" s="156"/>
      <c r="E53" s="156"/>
      <c r="F53" s="156"/>
      <c r="G53" s="156"/>
      <c r="H53" s="151"/>
      <c r="I53" s="151"/>
      <c r="J53" s="152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6"/>
      <c r="V53" s="156"/>
      <c r="W53" s="154">
        <f t="shared" si="1"/>
        <v>0</v>
      </c>
      <c r="X53" s="156"/>
      <c r="Y53" s="156"/>
      <c r="Z53" s="157">
        <f t="shared" si="2"/>
        <v>0</v>
      </c>
      <c r="AA53" s="162"/>
      <c r="AB53" s="64" t="s">
        <v>131</v>
      </c>
      <c r="AC53" s="158">
        <f t="shared" si="3"/>
        <v>0</v>
      </c>
      <c r="AD53" s="135"/>
      <c r="AE53" s="135"/>
      <c r="AF53" s="135"/>
      <c r="AG53" s="135"/>
      <c r="AH53" s="135"/>
      <c r="AI53" s="135"/>
      <c r="AJ53" s="135"/>
    </row>
    <row r="54" ht="22.5" hidden="1" customHeight="1">
      <c r="A54" s="6" t="str">
        <f>'利用者'!A62</f>
        <v/>
      </c>
      <c r="B54" s="9" t="str">
        <f>'利用者'!B62</f>
        <v/>
      </c>
      <c r="C54" s="161"/>
      <c r="D54" s="156"/>
      <c r="E54" s="156"/>
      <c r="F54" s="156"/>
      <c r="G54" s="156"/>
      <c r="H54" s="151"/>
      <c r="I54" s="151"/>
      <c r="J54" s="152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6"/>
      <c r="V54" s="156"/>
      <c r="W54" s="154">
        <f t="shared" si="1"/>
        <v>0</v>
      </c>
      <c r="X54" s="156"/>
      <c r="Y54" s="156"/>
      <c r="Z54" s="157">
        <f t="shared" si="2"/>
        <v>0</v>
      </c>
      <c r="AA54" s="162"/>
      <c r="AB54" s="64" t="s">
        <v>131</v>
      </c>
      <c r="AC54" s="158">
        <f t="shared" si="3"/>
        <v>0</v>
      </c>
      <c r="AD54" s="135"/>
      <c r="AE54" s="135"/>
      <c r="AF54" s="135"/>
      <c r="AG54" s="135"/>
      <c r="AH54" s="135"/>
      <c r="AI54" s="135"/>
      <c r="AJ54" s="135"/>
    </row>
    <row r="55" ht="22.5" hidden="1" customHeight="1">
      <c r="A55" s="6" t="str">
        <f>'利用者'!A63</f>
        <v/>
      </c>
      <c r="B55" s="9" t="str">
        <f>'利用者'!B63</f>
        <v/>
      </c>
      <c r="C55" s="161"/>
      <c r="D55" s="156"/>
      <c r="E55" s="156"/>
      <c r="F55" s="156"/>
      <c r="G55" s="156"/>
      <c r="H55" s="151"/>
      <c r="I55" s="151"/>
      <c r="J55" s="152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6"/>
      <c r="V55" s="156"/>
      <c r="W55" s="154">
        <f t="shared" si="1"/>
        <v>0</v>
      </c>
      <c r="X55" s="156"/>
      <c r="Y55" s="156"/>
      <c r="Z55" s="157">
        <f t="shared" si="2"/>
        <v>0</v>
      </c>
      <c r="AA55" s="162"/>
      <c r="AB55" s="64" t="s">
        <v>131</v>
      </c>
      <c r="AC55" s="158">
        <f t="shared" si="3"/>
        <v>0</v>
      </c>
      <c r="AD55" s="135"/>
      <c r="AE55" s="135"/>
      <c r="AF55" s="135"/>
      <c r="AG55" s="135"/>
      <c r="AH55" s="135"/>
      <c r="AI55" s="135"/>
      <c r="AJ55" s="135"/>
    </row>
    <row r="56" ht="22.5" hidden="1" customHeight="1">
      <c r="A56" s="6" t="str">
        <f>'利用者'!A64</f>
        <v/>
      </c>
      <c r="B56" s="9" t="str">
        <f>'利用者'!B64</f>
        <v/>
      </c>
      <c r="C56" s="161"/>
      <c r="D56" s="156"/>
      <c r="E56" s="156"/>
      <c r="F56" s="156"/>
      <c r="G56" s="156"/>
      <c r="H56" s="151"/>
      <c r="I56" s="151"/>
      <c r="J56" s="152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6"/>
      <c r="V56" s="156"/>
      <c r="W56" s="154">
        <f t="shared" si="1"/>
        <v>0</v>
      </c>
      <c r="X56" s="156"/>
      <c r="Y56" s="156"/>
      <c r="Z56" s="157">
        <f t="shared" si="2"/>
        <v>0</v>
      </c>
      <c r="AA56" s="162"/>
      <c r="AB56" s="64" t="s">
        <v>131</v>
      </c>
      <c r="AC56" s="158">
        <f t="shared" si="3"/>
        <v>0</v>
      </c>
      <c r="AD56" s="135"/>
      <c r="AE56" s="135"/>
      <c r="AF56" s="135"/>
      <c r="AG56" s="135"/>
      <c r="AH56" s="135"/>
      <c r="AI56" s="135"/>
      <c r="AJ56" s="135"/>
    </row>
    <row r="57" ht="22.5" hidden="1" customHeight="1">
      <c r="A57" s="6" t="str">
        <f>'利用者'!A65</f>
        <v/>
      </c>
      <c r="B57" s="9" t="str">
        <f>'利用者'!B65</f>
        <v/>
      </c>
      <c r="C57" s="161"/>
      <c r="D57" s="156"/>
      <c r="E57" s="156"/>
      <c r="F57" s="156"/>
      <c r="G57" s="156"/>
      <c r="H57" s="151"/>
      <c r="I57" s="151"/>
      <c r="J57" s="152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6"/>
      <c r="V57" s="156"/>
      <c r="W57" s="154">
        <f t="shared" si="1"/>
        <v>0</v>
      </c>
      <c r="X57" s="156"/>
      <c r="Y57" s="156"/>
      <c r="Z57" s="157">
        <f t="shared" si="2"/>
        <v>0</v>
      </c>
      <c r="AA57" s="162"/>
      <c r="AB57" s="64" t="s">
        <v>131</v>
      </c>
      <c r="AC57" s="158">
        <f t="shared" si="3"/>
        <v>0</v>
      </c>
      <c r="AD57" s="135"/>
      <c r="AE57" s="135"/>
      <c r="AF57" s="135"/>
      <c r="AG57" s="135"/>
      <c r="AH57" s="135"/>
      <c r="AI57" s="135"/>
      <c r="AJ57" s="135"/>
    </row>
    <row r="58" ht="22.5" hidden="1" customHeight="1">
      <c r="A58" s="6" t="str">
        <f>'利用者'!A66</f>
        <v/>
      </c>
      <c r="B58" s="9" t="str">
        <f>'利用者'!B66</f>
        <v/>
      </c>
      <c r="C58" s="161"/>
      <c r="D58" s="156"/>
      <c r="E58" s="156"/>
      <c r="F58" s="156"/>
      <c r="G58" s="156"/>
      <c r="H58" s="151"/>
      <c r="I58" s="151"/>
      <c r="J58" s="152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6"/>
      <c r="V58" s="156"/>
      <c r="W58" s="154">
        <f t="shared" si="1"/>
        <v>0</v>
      </c>
      <c r="X58" s="156"/>
      <c r="Y58" s="156"/>
      <c r="Z58" s="157">
        <f t="shared" si="2"/>
        <v>0</v>
      </c>
      <c r="AA58" s="162"/>
      <c r="AB58" s="64" t="s">
        <v>131</v>
      </c>
      <c r="AC58" s="158">
        <f t="shared" si="3"/>
        <v>0</v>
      </c>
      <c r="AD58" s="135"/>
      <c r="AE58" s="135"/>
      <c r="AF58" s="135"/>
      <c r="AG58" s="135"/>
      <c r="AH58" s="135"/>
      <c r="AI58" s="135"/>
      <c r="AJ58" s="135"/>
    </row>
    <row r="59" ht="22.5" hidden="1" customHeight="1">
      <c r="A59" s="6" t="str">
        <f>'利用者'!A67</f>
        <v/>
      </c>
      <c r="B59" s="9" t="str">
        <f>'利用者'!B67</f>
        <v/>
      </c>
      <c r="C59" s="161"/>
      <c r="D59" s="156"/>
      <c r="E59" s="156"/>
      <c r="F59" s="156"/>
      <c r="G59" s="156"/>
      <c r="H59" s="151"/>
      <c r="I59" s="151"/>
      <c r="J59" s="152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6"/>
      <c r="V59" s="156"/>
      <c r="W59" s="154">
        <f t="shared" si="1"/>
        <v>0</v>
      </c>
      <c r="X59" s="156"/>
      <c r="Y59" s="156"/>
      <c r="Z59" s="157">
        <f t="shared" si="2"/>
        <v>0</v>
      </c>
      <c r="AA59" s="162"/>
      <c r="AB59" s="64" t="s">
        <v>131</v>
      </c>
      <c r="AC59" s="158">
        <f t="shared" si="3"/>
        <v>0</v>
      </c>
      <c r="AD59" s="135"/>
      <c r="AE59" s="135"/>
      <c r="AF59" s="135"/>
      <c r="AG59" s="135"/>
      <c r="AH59" s="135"/>
      <c r="AI59" s="135"/>
      <c r="AJ59" s="135"/>
    </row>
    <row r="60" ht="22.5" hidden="1" customHeight="1">
      <c r="A60" s="6" t="str">
        <f>'利用者'!A68</f>
        <v/>
      </c>
      <c r="B60" s="9" t="str">
        <f>'利用者'!B68</f>
        <v/>
      </c>
      <c r="C60" s="161"/>
      <c r="D60" s="156"/>
      <c r="E60" s="156"/>
      <c r="F60" s="156"/>
      <c r="G60" s="156"/>
      <c r="H60" s="151"/>
      <c r="I60" s="151"/>
      <c r="J60" s="152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6"/>
      <c r="V60" s="156"/>
      <c r="W60" s="154">
        <f t="shared" si="1"/>
        <v>0</v>
      </c>
      <c r="X60" s="156"/>
      <c r="Y60" s="156"/>
      <c r="Z60" s="157">
        <f t="shared" si="2"/>
        <v>0</v>
      </c>
      <c r="AA60" s="162"/>
      <c r="AB60" s="64" t="s">
        <v>131</v>
      </c>
      <c r="AC60" s="158">
        <f t="shared" si="3"/>
        <v>0</v>
      </c>
      <c r="AD60" s="135"/>
      <c r="AE60" s="135"/>
      <c r="AF60" s="135"/>
      <c r="AG60" s="135"/>
      <c r="AH60" s="135"/>
      <c r="AI60" s="135"/>
      <c r="AJ60" s="135"/>
    </row>
    <row r="61" ht="22.5" hidden="1" customHeight="1">
      <c r="A61" s="6" t="str">
        <f>'利用者'!A69</f>
        <v/>
      </c>
      <c r="B61" s="9" t="str">
        <f>'利用者'!B69</f>
        <v/>
      </c>
      <c r="C61" s="161"/>
      <c r="D61" s="156"/>
      <c r="E61" s="156"/>
      <c r="F61" s="156"/>
      <c r="G61" s="156"/>
      <c r="H61" s="151"/>
      <c r="I61" s="151"/>
      <c r="J61" s="152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6"/>
      <c r="V61" s="156"/>
      <c r="W61" s="154">
        <f t="shared" si="1"/>
        <v>0</v>
      </c>
      <c r="X61" s="156"/>
      <c r="Y61" s="156"/>
      <c r="Z61" s="157">
        <f t="shared" si="2"/>
        <v>0</v>
      </c>
      <c r="AA61" s="162"/>
      <c r="AB61" s="64" t="s">
        <v>131</v>
      </c>
      <c r="AC61" s="158">
        <f t="shared" si="3"/>
        <v>0</v>
      </c>
      <c r="AD61" s="135"/>
      <c r="AE61" s="135"/>
      <c r="AF61" s="135"/>
      <c r="AG61" s="135"/>
      <c r="AH61" s="135"/>
      <c r="AI61" s="135"/>
      <c r="AJ61" s="135"/>
    </row>
    <row r="62" ht="22.5" hidden="1" customHeight="1">
      <c r="A62" s="6" t="str">
        <f>'利用者'!A70</f>
        <v/>
      </c>
      <c r="B62" s="9" t="str">
        <f>'利用者'!B70</f>
        <v/>
      </c>
      <c r="C62" s="161"/>
      <c r="D62" s="156"/>
      <c r="E62" s="156"/>
      <c r="F62" s="156"/>
      <c r="G62" s="156"/>
      <c r="H62" s="151"/>
      <c r="I62" s="151"/>
      <c r="J62" s="152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6"/>
      <c r="V62" s="156"/>
      <c r="W62" s="154">
        <f t="shared" si="1"/>
        <v>0</v>
      </c>
      <c r="X62" s="156"/>
      <c r="Y62" s="156"/>
      <c r="Z62" s="157">
        <f t="shared" si="2"/>
        <v>0</v>
      </c>
      <c r="AA62" s="162"/>
      <c r="AB62" s="64" t="s">
        <v>131</v>
      </c>
      <c r="AC62" s="158">
        <f t="shared" si="3"/>
        <v>0</v>
      </c>
      <c r="AD62" s="135"/>
      <c r="AE62" s="135"/>
      <c r="AF62" s="135"/>
      <c r="AG62" s="135"/>
      <c r="AH62" s="135"/>
      <c r="AI62" s="135"/>
      <c r="AJ62" s="135"/>
    </row>
    <row r="63" ht="22.5" hidden="1" customHeight="1">
      <c r="A63" s="6" t="str">
        <f>'利用者'!A71</f>
        <v/>
      </c>
      <c r="B63" s="9" t="str">
        <f>'利用者'!B71</f>
        <v/>
      </c>
      <c r="C63" s="161"/>
      <c r="D63" s="156"/>
      <c r="E63" s="156"/>
      <c r="F63" s="156"/>
      <c r="G63" s="156"/>
      <c r="H63" s="151"/>
      <c r="I63" s="151"/>
      <c r="J63" s="152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6"/>
      <c r="V63" s="156"/>
      <c r="W63" s="154">
        <f t="shared" si="1"/>
        <v>0</v>
      </c>
      <c r="X63" s="156"/>
      <c r="Y63" s="156"/>
      <c r="Z63" s="157">
        <f t="shared" si="2"/>
        <v>0</v>
      </c>
      <c r="AA63" s="162"/>
      <c r="AB63" s="64" t="s">
        <v>131</v>
      </c>
      <c r="AC63" s="158">
        <f t="shared" si="3"/>
        <v>0</v>
      </c>
      <c r="AD63" s="135"/>
      <c r="AE63" s="135"/>
      <c r="AF63" s="135"/>
      <c r="AG63" s="135"/>
      <c r="AH63" s="135"/>
      <c r="AI63" s="135"/>
      <c r="AJ63" s="135"/>
    </row>
    <row r="64" ht="22.5" hidden="1" customHeight="1">
      <c r="A64" s="6" t="str">
        <f>'利用者'!A72</f>
        <v/>
      </c>
      <c r="B64" s="9" t="str">
        <f>'利用者'!B72</f>
        <v/>
      </c>
      <c r="C64" s="161"/>
      <c r="D64" s="156"/>
      <c r="E64" s="156"/>
      <c r="F64" s="156"/>
      <c r="G64" s="156"/>
      <c r="H64" s="151"/>
      <c r="I64" s="151"/>
      <c r="J64" s="152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6"/>
      <c r="V64" s="156"/>
      <c r="W64" s="154">
        <f t="shared" si="1"/>
        <v>0</v>
      </c>
      <c r="X64" s="156"/>
      <c r="Y64" s="156"/>
      <c r="Z64" s="157">
        <f t="shared" si="2"/>
        <v>0</v>
      </c>
      <c r="AA64" s="162"/>
      <c r="AB64" s="64" t="s">
        <v>131</v>
      </c>
      <c r="AC64" s="158">
        <f t="shared" si="3"/>
        <v>0</v>
      </c>
      <c r="AD64" s="135"/>
      <c r="AE64" s="135"/>
      <c r="AF64" s="135"/>
      <c r="AG64" s="135"/>
      <c r="AH64" s="135"/>
      <c r="AI64" s="135"/>
      <c r="AJ64" s="135"/>
    </row>
    <row r="65" ht="22.5" hidden="1" customHeight="1">
      <c r="A65" s="6" t="str">
        <f>'利用者'!A73</f>
        <v/>
      </c>
      <c r="B65" s="9" t="str">
        <f>'利用者'!B73</f>
        <v/>
      </c>
      <c r="C65" s="161"/>
      <c r="D65" s="156"/>
      <c r="E65" s="156"/>
      <c r="F65" s="156"/>
      <c r="G65" s="156"/>
      <c r="H65" s="151"/>
      <c r="I65" s="151"/>
      <c r="J65" s="152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6"/>
      <c r="V65" s="156"/>
      <c r="W65" s="154">
        <f t="shared" si="1"/>
        <v>0</v>
      </c>
      <c r="X65" s="156"/>
      <c r="Y65" s="156"/>
      <c r="Z65" s="157">
        <f t="shared" si="2"/>
        <v>0</v>
      </c>
      <c r="AA65" s="162"/>
      <c r="AB65" s="64" t="s">
        <v>131</v>
      </c>
      <c r="AC65" s="158">
        <f t="shared" si="3"/>
        <v>0</v>
      </c>
      <c r="AD65" s="135"/>
      <c r="AE65" s="135"/>
      <c r="AF65" s="135"/>
      <c r="AG65" s="135"/>
      <c r="AH65" s="135"/>
      <c r="AI65" s="135"/>
      <c r="AJ65" s="135"/>
    </row>
    <row r="66" ht="22.5" hidden="1" customHeight="1">
      <c r="A66" s="6" t="str">
        <f>'利用者'!A74</f>
        <v/>
      </c>
      <c r="B66" s="9" t="str">
        <f>'利用者'!B74</f>
        <v/>
      </c>
      <c r="C66" s="161"/>
      <c r="D66" s="156"/>
      <c r="E66" s="156"/>
      <c r="F66" s="156"/>
      <c r="G66" s="156"/>
      <c r="H66" s="151"/>
      <c r="I66" s="151"/>
      <c r="J66" s="152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6"/>
      <c r="V66" s="156"/>
      <c r="W66" s="154">
        <f t="shared" si="1"/>
        <v>0</v>
      </c>
      <c r="X66" s="156"/>
      <c r="Y66" s="156"/>
      <c r="Z66" s="157">
        <f t="shared" si="2"/>
        <v>0</v>
      </c>
      <c r="AA66" s="162"/>
      <c r="AB66" s="64" t="s">
        <v>131</v>
      </c>
      <c r="AC66" s="158">
        <f t="shared" si="3"/>
        <v>0</v>
      </c>
      <c r="AD66" s="135"/>
      <c r="AE66" s="135"/>
      <c r="AF66" s="135"/>
      <c r="AG66" s="135"/>
      <c r="AH66" s="135"/>
      <c r="AI66" s="135"/>
      <c r="AJ66" s="135"/>
    </row>
    <row r="67" ht="22.5" hidden="1" customHeight="1">
      <c r="A67" s="6" t="str">
        <f>'利用者'!A75</f>
        <v/>
      </c>
      <c r="B67" s="9" t="str">
        <f>'利用者'!B75</f>
        <v/>
      </c>
      <c r="C67" s="161"/>
      <c r="D67" s="156"/>
      <c r="E67" s="156"/>
      <c r="F67" s="156"/>
      <c r="G67" s="156"/>
      <c r="H67" s="151"/>
      <c r="I67" s="151"/>
      <c r="J67" s="152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6"/>
      <c r="V67" s="156"/>
      <c r="W67" s="154">
        <f t="shared" si="1"/>
        <v>0</v>
      </c>
      <c r="X67" s="156"/>
      <c r="Y67" s="156"/>
      <c r="Z67" s="157">
        <f t="shared" si="2"/>
        <v>0</v>
      </c>
      <c r="AA67" s="162"/>
      <c r="AB67" s="64" t="s">
        <v>131</v>
      </c>
      <c r="AC67" s="158">
        <f t="shared" si="3"/>
        <v>0</v>
      </c>
      <c r="AD67" s="135"/>
      <c r="AE67" s="135"/>
      <c r="AF67" s="135"/>
      <c r="AG67" s="135"/>
      <c r="AH67" s="135"/>
      <c r="AI67" s="135"/>
      <c r="AJ67" s="135"/>
    </row>
    <row r="68" ht="22.5" hidden="1" customHeight="1">
      <c r="A68" s="6" t="str">
        <f>'利用者'!A76</f>
        <v/>
      </c>
      <c r="B68" s="9" t="str">
        <f>'利用者'!B76</f>
        <v/>
      </c>
      <c r="C68" s="161"/>
      <c r="D68" s="156"/>
      <c r="E68" s="156"/>
      <c r="F68" s="156"/>
      <c r="G68" s="156"/>
      <c r="H68" s="151"/>
      <c r="I68" s="151"/>
      <c r="J68" s="152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6"/>
      <c r="V68" s="156"/>
      <c r="W68" s="154">
        <f t="shared" si="1"/>
        <v>0</v>
      </c>
      <c r="X68" s="156"/>
      <c r="Y68" s="156"/>
      <c r="Z68" s="157">
        <f t="shared" si="2"/>
        <v>0</v>
      </c>
      <c r="AA68" s="162"/>
      <c r="AB68" s="64" t="s">
        <v>131</v>
      </c>
      <c r="AC68" s="158">
        <f t="shared" si="3"/>
        <v>0</v>
      </c>
      <c r="AD68" s="135"/>
      <c r="AE68" s="135"/>
      <c r="AF68" s="135"/>
      <c r="AG68" s="135"/>
      <c r="AH68" s="135"/>
      <c r="AI68" s="135"/>
      <c r="AJ68" s="135"/>
    </row>
    <row r="69" ht="22.5" hidden="1" customHeight="1">
      <c r="A69" s="6" t="str">
        <f>'利用者'!A77</f>
        <v/>
      </c>
      <c r="B69" s="9" t="str">
        <f>'利用者'!B77</f>
        <v/>
      </c>
      <c r="C69" s="161"/>
      <c r="D69" s="156"/>
      <c r="E69" s="156"/>
      <c r="F69" s="156"/>
      <c r="G69" s="156"/>
      <c r="H69" s="151"/>
      <c r="I69" s="151"/>
      <c r="J69" s="152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6"/>
      <c r="V69" s="156"/>
      <c r="W69" s="154">
        <f t="shared" si="1"/>
        <v>0</v>
      </c>
      <c r="X69" s="156"/>
      <c r="Y69" s="156"/>
      <c r="Z69" s="157">
        <f t="shared" si="2"/>
        <v>0</v>
      </c>
      <c r="AA69" s="162"/>
      <c r="AB69" s="64" t="s">
        <v>131</v>
      </c>
      <c r="AC69" s="158">
        <f t="shared" si="3"/>
        <v>0</v>
      </c>
      <c r="AD69" s="135"/>
      <c r="AE69" s="135"/>
      <c r="AF69" s="135"/>
      <c r="AG69" s="135"/>
      <c r="AH69" s="135"/>
      <c r="AI69" s="135"/>
      <c r="AJ69" s="135"/>
    </row>
    <row r="70" ht="22.5" hidden="1" customHeight="1">
      <c r="A70" s="6" t="str">
        <f>'利用者'!A78</f>
        <v/>
      </c>
      <c r="B70" s="9" t="str">
        <f>'利用者'!B78</f>
        <v/>
      </c>
      <c r="C70" s="161"/>
      <c r="D70" s="156"/>
      <c r="E70" s="156"/>
      <c r="F70" s="156"/>
      <c r="G70" s="156"/>
      <c r="H70" s="151"/>
      <c r="I70" s="151"/>
      <c r="J70" s="152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6"/>
      <c r="V70" s="156"/>
      <c r="W70" s="154">
        <f t="shared" si="1"/>
        <v>0</v>
      </c>
      <c r="X70" s="156"/>
      <c r="Y70" s="156"/>
      <c r="Z70" s="157">
        <f t="shared" si="2"/>
        <v>0</v>
      </c>
      <c r="AA70" s="162"/>
      <c r="AB70" s="64" t="s">
        <v>131</v>
      </c>
      <c r="AC70" s="158">
        <f t="shared" si="3"/>
        <v>0</v>
      </c>
      <c r="AD70" s="135"/>
      <c r="AE70" s="135"/>
      <c r="AF70" s="135"/>
      <c r="AG70" s="135"/>
      <c r="AH70" s="135"/>
      <c r="AI70" s="135"/>
      <c r="AJ70" s="135"/>
    </row>
    <row r="71" ht="22.5" hidden="1" customHeight="1">
      <c r="A71" s="6" t="str">
        <f>'利用者'!A79</f>
        <v/>
      </c>
      <c r="B71" s="9" t="str">
        <f>'利用者'!B79</f>
        <v/>
      </c>
      <c r="C71" s="161"/>
      <c r="D71" s="156"/>
      <c r="E71" s="156"/>
      <c r="F71" s="156"/>
      <c r="G71" s="156"/>
      <c r="H71" s="151"/>
      <c r="I71" s="151"/>
      <c r="J71" s="152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6"/>
      <c r="V71" s="156"/>
      <c r="W71" s="154">
        <f t="shared" si="1"/>
        <v>0</v>
      </c>
      <c r="X71" s="156"/>
      <c r="Y71" s="156"/>
      <c r="Z71" s="157">
        <f t="shared" si="2"/>
        <v>0</v>
      </c>
      <c r="AA71" s="162"/>
      <c r="AB71" s="64" t="s">
        <v>131</v>
      </c>
      <c r="AC71" s="158">
        <f t="shared" si="3"/>
        <v>0</v>
      </c>
      <c r="AD71" s="135"/>
      <c r="AE71" s="135"/>
      <c r="AF71" s="135"/>
      <c r="AG71" s="135"/>
      <c r="AH71" s="135"/>
      <c r="AI71" s="135"/>
      <c r="AJ71" s="135"/>
    </row>
    <row r="72" ht="22.5" hidden="1" customHeight="1">
      <c r="A72" s="6" t="str">
        <f>'利用者'!A80</f>
        <v/>
      </c>
      <c r="B72" s="9" t="str">
        <f>'利用者'!B80</f>
        <v/>
      </c>
      <c r="C72" s="161"/>
      <c r="D72" s="156"/>
      <c r="E72" s="156"/>
      <c r="F72" s="156"/>
      <c r="G72" s="156"/>
      <c r="H72" s="151"/>
      <c r="I72" s="151"/>
      <c r="J72" s="152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6"/>
      <c r="V72" s="156"/>
      <c r="W72" s="154">
        <f t="shared" si="1"/>
        <v>0</v>
      </c>
      <c r="X72" s="156"/>
      <c r="Y72" s="156"/>
      <c r="Z72" s="157">
        <f t="shared" si="2"/>
        <v>0</v>
      </c>
      <c r="AA72" s="162"/>
      <c r="AB72" s="64" t="s">
        <v>131</v>
      </c>
      <c r="AC72" s="158">
        <f t="shared" si="3"/>
        <v>0</v>
      </c>
      <c r="AD72" s="135"/>
      <c r="AE72" s="135"/>
      <c r="AF72" s="135"/>
      <c r="AG72" s="135"/>
      <c r="AH72" s="135"/>
      <c r="AI72" s="135"/>
      <c r="AJ72" s="135"/>
    </row>
    <row r="73" ht="22.5" hidden="1" customHeight="1">
      <c r="A73" s="6" t="str">
        <f>'利用者'!A81</f>
        <v/>
      </c>
      <c r="B73" s="9" t="str">
        <f>'利用者'!B81</f>
        <v/>
      </c>
      <c r="C73" s="161"/>
      <c r="D73" s="156"/>
      <c r="E73" s="156"/>
      <c r="F73" s="156"/>
      <c r="G73" s="156"/>
      <c r="H73" s="151"/>
      <c r="I73" s="151"/>
      <c r="J73" s="152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6"/>
      <c r="V73" s="156"/>
      <c r="W73" s="154">
        <f t="shared" si="1"/>
        <v>0</v>
      </c>
      <c r="X73" s="156"/>
      <c r="Y73" s="156"/>
      <c r="Z73" s="157">
        <f t="shared" si="2"/>
        <v>0</v>
      </c>
      <c r="AA73" s="162"/>
      <c r="AB73" s="64" t="s">
        <v>131</v>
      </c>
      <c r="AC73" s="158">
        <f t="shared" si="3"/>
        <v>0</v>
      </c>
      <c r="AD73" s="135"/>
      <c r="AE73" s="135"/>
      <c r="AF73" s="135"/>
      <c r="AG73" s="135"/>
      <c r="AH73" s="135"/>
      <c r="AI73" s="135"/>
      <c r="AJ73" s="135"/>
    </row>
    <row r="74" ht="22.5" hidden="1" customHeight="1">
      <c r="A74" s="6" t="str">
        <f>'利用者'!A82</f>
        <v/>
      </c>
      <c r="B74" s="9" t="str">
        <f>'利用者'!B82</f>
        <v/>
      </c>
      <c r="C74" s="161"/>
      <c r="D74" s="156"/>
      <c r="E74" s="156"/>
      <c r="F74" s="156"/>
      <c r="G74" s="156"/>
      <c r="H74" s="151"/>
      <c r="I74" s="151"/>
      <c r="J74" s="152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6"/>
      <c r="V74" s="156"/>
      <c r="W74" s="154">
        <f t="shared" si="1"/>
        <v>0</v>
      </c>
      <c r="X74" s="156"/>
      <c r="Y74" s="156"/>
      <c r="Z74" s="157">
        <f t="shared" si="2"/>
        <v>0</v>
      </c>
      <c r="AA74" s="162"/>
      <c r="AB74" s="64" t="s">
        <v>131</v>
      </c>
      <c r="AC74" s="158">
        <f t="shared" si="3"/>
        <v>0</v>
      </c>
      <c r="AD74" s="135"/>
      <c r="AE74" s="135"/>
      <c r="AF74" s="135"/>
      <c r="AG74" s="135"/>
      <c r="AH74" s="135"/>
      <c r="AI74" s="135"/>
      <c r="AJ74" s="135"/>
    </row>
    <row r="75" ht="22.5" hidden="1" customHeight="1">
      <c r="A75" s="6" t="str">
        <f>'利用者'!A83</f>
        <v/>
      </c>
      <c r="B75" s="9" t="str">
        <f>'利用者'!B83</f>
        <v/>
      </c>
      <c r="C75" s="161"/>
      <c r="D75" s="156"/>
      <c r="E75" s="156"/>
      <c r="F75" s="156"/>
      <c r="G75" s="156"/>
      <c r="H75" s="151"/>
      <c r="I75" s="151"/>
      <c r="J75" s="152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6"/>
      <c r="V75" s="156"/>
      <c r="W75" s="154">
        <f t="shared" si="1"/>
        <v>0</v>
      </c>
      <c r="X75" s="156"/>
      <c r="Y75" s="156"/>
      <c r="Z75" s="157">
        <f t="shared" si="2"/>
        <v>0</v>
      </c>
      <c r="AA75" s="162"/>
      <c r="AB75" s="64" t="s">
        <v>131</v>
      </c>
      <c r="AC75" s="158">
        <f t="shared" si="3"/>
        <v>0</v>
      </c>
      <c r="AD75" s="135"/>
      <c r="AE75" s="135"/>
      <c r="AF75" s="135"/>
      <c r="AG75" s="135"/>
      <c r="AH75" s="135"/>
      <c r="AI75" s="135"/>
      <c r="AJ75" s="135"/>
    </row>
    <row r="76" ht="22.5" hidden="1" customHeight="1">
      <c r="A76" s="6" t="str">
        <f>'利用者'!A84</f>
        <v/>
      </c>
      <c r="B76" s="9" t="str">
        <f>'利用者'!B84</f>
        <v/>
      </c>
      <c r="C76" s="161"/>
      <c r="D76" s="156"/>
      <c r="E76" s="156"/>
      <c r="F76" s="156"/>
      <c r="G76" s="156"/>
      <c r="H76" s="151"/>
      <c r="I76" s="151"/>
      <c r="J76" s="152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6"/>
      <c r="V76" s="156"/>
      <c r="W76" s="154">
        <f t="shared" si="1"/>
        <v>0</v>
      </c>
      <c r="X76" s="156"/>
      <c r="Y76" s="156"/>
      <c r="Z76" s="157">
        <f t="shared" si="2"/>
        <v>0</v>
      </c>
      <c r="AA76" s="162"/>
      <c r="AB76" s="64" t="s">
        <v>131</v>
      </c>
      <c r="AC76" s="158">
        <f t="shared" si="3"/>
        <v>0</v>
      </c>
      <c r="AD76" s="135"/>
      <c r="AE76" s="135"/>
      <c r="AF76" s="135"/>
      <c r="AG76" s="135"/>
      <c r="AH76" s="135"/>
      <c r="AI76" s="135"/>
      <c r="AJ76" s="135"/>
    </row>
    <row r="77" ht="22.5" hidden="1" customHeight="1">
      <c r="A77" s="6" t="str">
        <f>'利用者'!A85</f>
        <v/>
      </c>
      <c r="B77" s="9" t="str">
        <f>'利用者'!B85</f>
        <v/>
      </c>
      <c r="C77" s="161"/>
      <c r="D77" s="156"/>
      <c r="E77" s="156"/>
      <c r="F77" s="156"/>
      <c r="G77" s="156"/>
      <c r="H77" s="151"/>
      <c r="I77" s="151"/>
      <c r="J77" s="152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6"/>
      <c r="V77" s="156"/>
      <c r="W77" s="154">
        <f t="shared" si="1"/>
        <v>0</v>
      </c>
      <c r="X77" s="156"/>
      <c r="Y77" s="156"/>
      <c r="Z77" s="157">
        <f t="shared" si="2"/>
        <v>0</v>
      </c>
      <c r="AA77" s="162"/>
      <c r="AB77" s="64" t="s">
        <v>131</v>
      </c>
      <c r="AC77" s="158">
        <f t="shared" si="3"/>
        <v>0</v>
      </c>
      <c r="AD77" s="135"/>
      <c r="AE77" s="135"/>
      <c r="AF77" s="135"/>
      <c r="AG77" s="135"/>
      <c r="AH77" s="135"/>
      <c r="AI77" s="135"/>
      <c r="AJ77" s="135"/>
    </row>
    <row r="78" ht="22.5" hidden="1" customHeight="1">
      <c r="A78" s="6" t="str">
        <f>'利用者'!A86</f>
        <v/>
      </c>
      <c r="B78" s="9" t="str">
        <f>'利用者'!B86</f>
        <v/>
      </c>
      <c r="C78" s="161"/>
      <c r="D78" s="156"/>
      <c r="E78" s="156"/>
      <c r="F78" s="156"/>
      <c r="G78" s="156"/>
      <c r="H78" s="151"/>
      <c r="I78" s="151"/>
      <c r="J78" s="152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6"/>
      <c r="V78" s="156"/>
      <c r="W78" s="154">
        <f t="shared" si="1"/>
        <v>0</v>
      </c>
      <c r="X78" s="156"/>
      <c r="Y78" s="156"/>
      <c r="Z78" s="157">
        <f t="shared" si="2"/>
        <v>0</v>
      </c>
      <c r="AA78" s="162"/>
      <c r="AB78" s="64" t="s">
        <v>131</v>
      </c>
      <c r="AC78" s="158">
        <f t="shared" si="3"/>
        <v>0</v>
      </c>
      <c r="AD78" s="135"/>
      <c r="AE78" s="135"/>
      <c r="AF78" s="135"/>
      <c r="AG78" s="135"/>
      <c r="AH78" s="135"/>
      <c r="AI78" s="135"/>
      <c r="AJ78" s="135"/>
    </row>
    <row r="79" ht="22.5" hidden="1" customHeight="1">
      <c r="A79" s="6" t="str">
        <f>'利用者'!A87</f>
        <v/>
      </c>
      <c r="B79" s="9" t="str">
        <f>'利用者'!B87</f>
        <v/>
      </c>
      <c r="C79" s="161"/>
      <c r="D79" s="156"/>
      <c r="E79" s="156"/>
      <c r="F79" s="156"/>
      <c r="G79" s="156"/>
      <c r="H79" s="151"/>
      <c r="I79" s="151"/>
      <c r="J79" s="152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6"/>
      <c r="V79" s="156"/>
      <c r="W79" s="154">
        <f t="shared" si="1"/>
        <v>0</v>
      </c>
      <c r="X79" s="156"/>
      <c r="Y79" s="156"/>
      <c r="Z79" s="157">
        <f t="shared" si="2"/>
        <v>0</v>
      </c>
      <c r="AA79" s="162"/>
      <c r="AB79" s="64" t="s">
        <v>131</v>
      </c>
      <c r="AC79" s="158">
        <f t="shared" si="3"/>
        <v>0</v>
      </c>
      <c r="AD79" s="135"/>
      <c r="AE79" s="135"/>
      <c r="AF79" s="135"/>
      <c r="AG79" s="135"/>
      <c r="AH79" s="135"/>
      <c r="AI79" s="135"/>
      <c r="AJ79" s="135"/>
    </row>
    <row r="80" ht="22.5" hidden="1" customHeight="1">
      <c r="A80" s="6" t="str">
        <f>'利用者'!A88</f>
        <v/>
      </c>
      <c r="B80" s="9" t="str">
        <f>'利用者'!B88</f>
        <v/>
      </c>
      <c r="C80" s="161"/>
      <c r="D80" s="156"/>
      <c r="E80" s="156"/>
      <c r="F80" s="156"/>
      <c r="G80" s="156"/>
      <c r="H80" s="151"/>
      <c r="I80" s="151"/>
      <c r="J80" s="152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6"/>
      <c r="V80" s="156"/>
      <c r="W80" s="154">
        <f t="shared" si="1"/>
        <v>0</v>
      </c>
      <c r="X80" s="156"/>
      <c r="Y80" s="156"/>
      <c r="Z80" s="157">
        <f t="shared" si="2"/>
        <v>0</v>
      </c>
      <c r="AA80" s="162"/>
      <c r="AB80" s="64" t="s">
        <v>131</v>
      </c>
      <c r="AC80" s="158">
        <f t="shared" si="3"/>
        <v>0</v>
      </c>
      <c r="AD80" s="135"/>
      <c r="AE80" s="135"/>
      <c r="AF80" s="135"/>
      <c r="AG80" s="135"/>
      <c r="AH80" s="135"/>
      <c r="AI80" s="135"/>
      <c r="AJ80" s="135"/>
    </row>
    <row r="81" ht="22.5" hidden="1" customHeight="1">
      <c r="A81" s="6" t="str">
        <f>'利用者'!A89</f>
        <v/>
      </c>
      <c r="B81" s="9" t="str">
        <f>'利用者'!B89</f>
        <v/>
      </c>
      <c r="C81" s="161"/>
      <c r="D81" s="156"/>
      <c r="E81" s="156"/>
      <c r="F81" s="156"/>
      <c r="G81" s="156"/>
      <c r="H81" s="151"/>
      <c r="I81" s="151"/>
      <c r="J81" s="152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6"/>
      <c r="V81" s="156"/>
      <c r="W81" s="154">
        <f t="shared" si="1"/>
        <v>0</v>
      </c>
      <c r="X81" s="156"/>
      <c r="Y81" s="156"/>
      <c r="Z81" s="157">
        <f t="shared" si="2"/>
        <v>0</v>
      </c>
      <c r="AA81" s="162"/>
      <c r="AB81" s="64" t="s">
        <v>131</v>
      </c>
      <c r="AC81" s="158">
        <f t="shared" si="3"/>
        <v>0</v>
      </c>
      <c r="AD81" s="135"/>
      <c r="AE81" s="135"/>
      <c r="AF81" s="135"/>
      <c r="AG81" s="135"/>
      <c r="AH81" s="135"/>
      <c r="AI81" s="135"/>
      <c r="AJ81" s="135"/>
    </row>
    <row r="82" ht="22.5" hidden="1" customHeight="1">
      <c r="A82" s="6" t="str">
        <f>'利用者'!A90</f>
        <v/>
      </c>
      <c r="B82" s="9" t="str">
        <f>'利用者'!B90</f>
        <v/>
      </c>
      <c r="C82" s="161"/>
      <c r="D82" s="156"/>
      <c r="E82" s="156"/>
      <c r="F82" s="156"/>
      <c r="G82" s="156"/>
      <c r="H82" s="151"/>
      <c r="I82" s="151"/>
      <c r="J82" s="152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6"/>
      <c r="V82" s="156"/>
      <c r="W82" s="154">
        <f t="shared" si="1"/>
        <v>0</v>
      </c>
      <c r="X82" s="156"/>
      <c r="Y82" s="156"/>
      <c r="Z82" s="157">
        <f t="shared" si="2"/>
        <v>0</v>
      </c>
      <c r="AA82" s="162"/>
      <c r="AB82" s="64" t="s">
        <v>131</v>
      </c>
      <c r="AC82" s="158">
        <f t="shared" si="3"/>
        <v>0</v>
      </c>
      <c r="AD82" s="135"/>
      <c r="AE82" s="135"/>
      <c r="AF82" s="135"/>
      <c r="AG82" s="135"/>
      <c r="AH82" s="135"/>
      <c r="AI82" s="135"/>
      <c r="AJ82" s="135"/>
    </row>
    <row r="83" ht="22.5" hidden="1" customHeight="1">
      <c r="A83" s="6" t="str">
        <f>'利用者'!A91</f>
        <v/>
      </c>
      <c r="B83" s="9" t="str">
        <f>'利用者'!B91</f>
        <v/>
      </c>
      <c r="C83" s="161"/>
      <c r="D83" s="156"/>
      <c r="E83" s="156"/>
      <c r="F83" s="156"/>
      <c r="G83" s="156"/>
      <c r="H83" s="151"/>
      <c r="I83" s="151"/>
      <c r="J83" s="152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6"/>
      <c r="V83" s="156"/>
      <c r="W83" s="154">
        <f t="shared" si="1"/>
        <v>0</v>
      </c>
      <c r="X83" s="156"/>
      <c r="Y83" s="156"/>
      <c r="Z83" s="157">
        <f t="shared" si="2"/>
        <v>0</v>
      </c>
      <c r="AA83" s="162"/>
      <c r="AB83" s="64" t="s">
        <v>131</v>
      </c>
      <c r="AC83" s="158">
        <f t="shared" si="3"/>
        <v>0</v>
      </c>
      <c r="AD83" s="135"/>
      <c r="AE83" s="135"/>
      <c r="AF83" s="135"/>
      <c r="AG83" s="135"/>
      <c r="AH83" s="135"/>
      <c r="AI83" s="135"/>
      <c r="AJ83" s="135"/>
    </row>
    <row r="84" ht="22.5" hidden="1" customHeight="1">
      <c r="A84" s="6" t="str">
        <f>'利用者'!A92</f>
        <v/>
      </c>
      <c r="B84" s="9" t="str">
        <f>'利用者'!B92</f>
        <v/>
      </c>
      <c r="C84" s="161"/>
      <c r="D84" s="156"/>
      <c r="E84" s="156"/>
      <c r="F84" s="156"/>
      <c r="G84" s="156"/>
      <c r="H84" s="151"/>
      <c r="I84" s="151"/>
      <c r="J84" s="152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6"/>
      <c r="V84" s="156"/>
      <c r="W84" s="154">
        <f t="shared" si="1"/>
        <v>0</v>
      </c>
      <c r="X84" s="156"/>
      <c r="Y84" s="156"/>
      <c r="Z84" s="157">
        <f t="shared" si="2"/>
        <v>0</v>
      </c>
      <c r="AA84" s="162"/>
      <c r="AB84" s="64" t="s">
        <v>131</v>
      </c>
      <c r="AC84" s="158">
        <f t="shared" si="3"/>
        <v>0</v>
      </c>
      <c r="AD84" s="135"/>
      <c r="AE84" s="135"/>
      <c r="AF84" s="135"/>
      <c r="AG84" s="135"/>
      <c r="AH84" s="135"/>
      <c r="AI84" s="135"/>
      <c r="AJ84" s="135"/>
    </row>
    <row r="85" ht="22.5" hidden="1" customHeight="1">
      <c r="A85" s="6" t="str">
        <f>'利用者'!A93</f>
        <v/>
      </c>
      <c r="B85" s="9" t="str">
        <f>'利用者'!B93</f>
        <v/>
      </c>
      <c r="C85" s="161"/>
      <c r="D85" s="156"/>
      <c r="E85" s="156"/>
      <c r="F85" s="156"/>
      <c r="G85" s="156"/>
      <c r="H85" s="151"/>
      <c r="I85" s="151"/>
      <c r="J85" s="152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6"/>
      <c r="V85" s="156"/>
      <c r="W85" s="154">
        <f t="shared" si="1"/>
        <v>0</v>
      </c>
      <c r="X85" s="156"/>
      <c r="Y85" s="156"/>
      <c r="Z85" s="157">
        <f t="shared" si="2"/>
        <v>0</v>
      </c>
      <c r="AA85" s="162"/>
      <c r="AB85" s="64" t="s">
        <v>131</v>
      </c>
      <c r="AC85" s="158">
        <f t="shared" si="3"/>
        <v>0</v>
      </c>
      <c r="AD85" s="135"/>
      <c r="AE85" s="135"/>
      <c r="AF85" s="135"/>
      <c r="AG85" s="135"/>
      <c r="AH85" s="135"/>
      <c r="AI85" s="135"/>
      <c r="AJ85" s="135"/>
    </row>
    <row r="86" ht="22.5" hidden="1" customHeight="1">
      <c r="A86" s="6" t="str">
        <f>'利用者'!A94</f>
        <v/>
      </c>
      <c r="B86" s="9" t="str">
        <f>'利用者'!B94</f>
        <v/>
      </c>
      <c r="C86" s="161"/>
      <c r="D86" s="156"/>
      <c r="E86" s="156"/>
      <c r="F86" s="156"/>
      <c r="G86" s="156"/>
      <c r="H86" s="151"/>
      <c r="I86" s="151"/>
      <c r="J86" s="152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6"/>
      <c r="V86" s="156"/>
      <c r="W86" s="154">
        <f t="shared" si="1"/>
        <v>0</v>
      </c>
      <c r="X86" s="156"/>
      <c r="Y86" s="156"/>
      <c r="Z86" s="157">
        <f t="shared" si="2"/>
        <v>0</v>
      </c>
      <c r="AA86" s="162"/>
      <c r="AB86" s="64" t="s">
        <v>131</v>
      </c>
      <c r="AC86" s="158">
        <f t="shared" si="3"/>
        <v>0</v>
      </c>
      <c r="AD86" s="135"/>
      <c r="AE86" s="135"/>
      <c r="AF86" s="135"/>
      <c r="AG86" s="135"/>
      <c r="AH86" s="135"/>
      <c r="AI86" s="135"/>
      <c r="AJ86" s="135"/>
    </row>
    <row r="87" ht="22.5" hidden="1" customHeight="1">
      <c r="A87" s="6" t="str">
        <f>'利用者'!A95</f>
        <v/>
      </c>
      <c r="B87" s="9" t="str">
        <f>'利用者'!B95</f>
        <v/>
      </c>
      <c r="C87" s="161"/>
      <c r="D87" s="156"/>
      <c r="E87" s="156"/>
      <c r="F87" s="156"/>
      <c r="G87" s="156"/>
      <c r="H87" s="151"/>
      <c r="I87" s="151"/>
      <c r="J87" s="152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6"/>
      <c r="V87" s="156"/>
      <c r="W87" s="154">
        <f t="shared" si="1"/>
        <v>0</v>
      </c>
      <c r="X87" s="156"/>
      <c r="Y87" s="156"/>
      <c r="Z87" s="157">
        <f t="shared" si="2"/>
        <v>0</v>
      </c>
      <c r="AA87" s="162"/>
      <c r="AB87" s="64" t="s">
        <v>131</v>
      </c>
      <c r="AC87" s="158">
        <f t="shared" si="3"/>
        <v>0</v>
      </c>
      <c r="AD87" s="135"/>
      <c r="AE87" s="135"/>
      <c r="AF87" s="135"/>
      <c r="AG87" s="135"/>
      <c r="AH87" s="135"/>
      <c r="AI87" s="135"/>
      <c r="AJ87" s="135"/>
    </row>
    <row r="88" ht="22.5" hidden="1" customHeight="1">
      <c r="A88" s="6" t="str">
        <f>'利用者'!A96</f>
        <v/>
      </c>
      <c r="B88" s="9" t="str">
        <f>'利用者'!B96</f>
        <v/>
      </c>
      <c r="C88" s="161"/>
      <c r="D88" s="156"/>
      <c r="E88" s="156"/>
      <c r="F88" s="156"/>
      <c r="G88" s="156"/>
      <c r="H88" s="151"/>
      <c r="I88" s="151"/>
      <c r="J88" s="152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6"/>
      <c r="V88" s="156"/>
      <c r="W88" s="154">
        <f t="shared" si="1"/>
        <v>0</v>
      </c>
      <c r="X88" s="156"/>
      <c r="Y88" s="156"/>
      <c r="Z88" s="157">
        <f t="shared" si="2"/>
        <v>0</v>
      </c>
      <c r="AA88" s="162"/>
      <c r="AB88" s="64" t="s">
        <v>131</v>
      </c>
      <c r="AC88" s="158">
        <f t="shared" si="3"/>
        <v>0</v>
      </c>
      <c r="AD88" s="135"/>
      <c r="AE88" s="135"/>
      <c r="AF88" s="135"/>
      <c r="AG88" s="135"/>
      <c r="AH88" s="135"/>
      <c r="AI88" s="135"/>
      <c r="AJ88" s="135"/>
    </row>
    <row r="89" ht="22.5" hidden="1" customHeight="1">
      <c r="A89" s="6" t="str">
        <f>'利用者'!A97</f>
        <v/>
      </c>
      <c r="B89" s="9" t="str">
        <f>'利用者'!B97</f>
        <v/>
      </c>
      <c r="C89" s="161"/>
      <c r="D89" s="156"/>
      <c r="E89" s="156"/>
      <c r="F89" s="156"/>
      <c r="G89" s="156"/>
      <c r="H89" s="151"/>
      <c r="I89" s="151"/>
      <c r="J89" s="152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6"/>
      <c r="V89" s="156"/>
      <c r="W89" s="154">
        <f t="shared" si="1"/>
        <v>0</v>
      </c>
      <c r="X89" s="156"/>
      <c r="Y89" s="156"/>
      <c r="Z89" s="157">
        <f t="shared" si="2"/>
        <v>0</v>
      </c>
      <c r="AA89" s="162"/>
      <c r="AB89" s="64" t="s">
        <v>131</v>
      </c>
      <c r="AC89" s="158">
        <f t="shared" si="3"/>
        <v>0</v>
      </c>
      <c r="AD89" s="135"/>
      <c r="AE89" s="135"/>
      <c r="AF89" s="135"/>
      <c r="AG89" s="135"/>
      <c r="AH89" s="135"/>
      <c r="AI89" s="135"/>
      <c r="AJ89" s="135"/>
    </row>
    <row r="90" ht="22.5" hidden="1" customHeight="1">
      <c r="A90" s="6" t="str">
        <f>'利用者'!A98</f>
        <v/>
      </c>
      <c r="B90" s="9" t="str">
        <f>'利用者'!B98</f>
        <v/>
      </c>
      <c r="C90" s="161"/>
      <c r="D90" s="156"/>
      <c r="E90" s="156"/>
      <c r="F90" s="156"/>
      <c r="G90" s="156"/>
      <c r="H90" s="151"/>
      <c r="I90" s="151"/>
      <c r="J90" s="152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6"/>
      <c r="V90" s="156"/>
      <c r="W90" s="154">
        <f t="shared" si="1"/>
        <v>0</v>
      </c>
      <c r="X90" s="156"/>
      <c r="Y90" s="156"/>
      <c r="Z90" s="157">
        <f t="shared" si="2"/>
        <v>0</v>
      </c>
      <c r="AA90" s="162"/>
      <c r="AB90" s="64" t="s">
        <v>131</v>
      </c>
      <c r="AC90" s="158">
        <f t="shared" si="3"/>
        <v>0</v>
      </c>
      <c r="AD90" s="135"/>
      <c r="AE90" s="135"/>
      <c r="AF90" s="135"/>
      <c r="AG90" s="135"/>
      <c r="AH90" s="135"/>
      <c r="AI90" s="135"/>
      <c r="AJ90" s="135"/>
    </row>
    <row r="91" ht="22.5" hidden="1" customHeight="1">
      <c r="A91" s="6" t="str">
        <f>'利用者'!A99</f>
        <v/>
      </c>
      <c r="B91" s="9" t="str">
        <f>'利用者'!B99</f>
        <v/>
      </c>
      <c r="C91" s="161"/>
      <c r="D91" s="156"/>
      <c r="E91" s="156"/>
      <c r="F91" s="156"/>
      <c r="G91" s="156"/>
      <c r="H91" s="151"/>
      <c r="I91" s="151"/>
      <c r="J91" s="152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6"/>
      <c r="V91" s="156"/>
      <c r="W91" s="154">
        <f t="shared" si="1"/>
        <v>0</v>
      </c>
      <c r="X91" s="156"/>
      <c r="Y91" s="156"/>
      <c r="Z91" s="157">
        <f t="shared" si="2"/>
        <v>0</v>
      </c>
      <c r="AA91" s="162"/>
      <c r="AB91" s="64" t="s">
        <v>131</v>
      </c>
      <c r="AC91" s="158">
        <f t="shared" si="3"/>
        <v>0</v>
      </c>
      <c r="AD91" s="135"/>
      <c r="AE91" s="135"/>
      <c r="AF91" s="135"/>
      <c r="AG91" s="135"/>
      <c r="AH91" s="135"/>
      <c r="AI91" s="135"/>
      <c r="AJ91" s="135"/>
    </row>
    <row r="92" ht="22.5" hidden="1" customHeight="1">
      <c r="A92" s="6" t="str">
        <f>'利用者'!A100</f>
        <v/>
      </c>
      <c r="B92" s="9" t="str">
        <f>'利用者'!B100</f>
        <v/>
      </c>
      <c r="C92" s="161"/>
      <c r="D92" s="156"/>
      <c r="E92" s="156"/>
      <c r="F92" s="156"/>
      <c r="G92" s="156"/>
      <c r="H92" s="151"/>
      <c r="I92" s="151"/>
      <c r="J92" s="152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6"/>
      <c r="V92" s="156"/>
      <c r="W92" s="154">
        <f t="shared" si="1"/>
        <v>0</v>
      </c>
      <c r="X92" s="156"/>
      <c r="Y92" s="156"/>
      <c r="Z92" s="157">
        <f t="shared" si="2"/>
        <v>0</v>
      </c>
      <c r="AA92" s="162"/>
      <c r="AB92" s="64" t="s">
        <v>131</v>
      </c>
      <c r="AC92" s="158">
        <f t="shared" si="3"/>
        <v>0</v>
      </c>
      <c r="AD92" s="135"/>
      <c r="AE92" s="135"/>
      <c r="AF92" s="135"/>
      <c r="AG92" s="135"/>
      <c r="AH92" s="135"/>
      <c r="AI92" s="135"/>
      <c r="AJ92" s="135"/>
    </row>
    <row r="93" ht="22.5" hidden="1" customHeight="1">
      <c r="A93" s="6" t="str">
        <f>'利用者'!A101</f>
        <v/>
      </c>
      <c r="B93" s="9" t="str">
        <f>'利用者'!B101</f>
        <v/>
      </c>
      <c r="C93" s="161"/>
      <c r="D93" s="156"/>
      <c r="E93" s="156"/>
      <c r="F93" s="156"/>
      <c r="G93" s="156"/>
      <c r="H93" s="151"/>
      <c r="I93" s="151"/>
      <c r="J93" s="152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6"/>
      <c r="V93" s="156"/>
      <c r="W93" s="154">
        <f t="shared" si="1"/>
        <v>0</v>
      </c>
      <c r="X93" s="156"/>
      <c r="Y93" s="156"/>
      <c r="Z93" s="157">
        <f t="shared" si="2"/>
        <v>0</v>
      </c>
      <c r="AA93" s="162"/>
      <c r="AB93" s="64" t="s">
        <v>131</v>
      </c>
      <c r="AC93" s="158">
        <f t="shared" si="3"/>
        <v>0</v>
      </c>
      <c r="AD93" s="135"/>
      <c r="AE93" s="135"/>
      <c r="AF93" s="135"/>
      <c r="AG93" s="135"/>
      <c r="AH93" s="135"/>
      <c r="AI93" s="135"/>
      <c r="AJ93" s="135"/>
    </row>
    <row r="94" ht="22.5" hidden="1" customHeight="1">
      <c r="A94" s="6" t="str">
        <f>'利用者'!A102</f>
        <v/>
      </c>
      <c r="B94" s="9" t="str">
        <f>'利用者'!B102</f>
        <v/>
      </c>
      <c r="C94" s="161"/>
      <c r="D94" s="156"/>
      <c r="E94" s="156"/>
      <c r="F94" s="156"/>
      <c r="G94" s="156"/>
      <c r="H94" s="151"/>
      <c r="I94" s="151"/>
      <c r="J94" s="152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6"/>
      <c r="V94" s="156"/>
      <c r="W94" s="154">
        <f t="shared" si="1"/>
        <v>0</v>
      </c>
      <c r="X94" s="156"/>
      <c r="Y94" s="156"/>
      <c r="Z94" s="157">
        <f t="shared" si="2"/>
        <v>0</v>
      </c>
      <c r="AA94" s="162"/>
      <c r="AB94" s="64" t="s">
        <v>131</v>
      </c>
      <c r="AC94" s="158">
        <f t="shared" si="3"/>
        <v>0</v>
      </c>
      <c r="AD94" s="135"/>
      <c r="AE94" s="135"/>
      <c r="AF94" s="135"/>
      <c r="AG94" s="135"/>
      <c r="AH94" s="135"/>
      <c r="AI94" s="135"/>
      <c r="AJ94" s="135"/>
    </row>
    <row r="95" ht="22.5" hidden="1" customHeight="1">
      <c r="A95" s="6" t="str">
        <f>'利用者'!A103</f>
        <v/>
      </c>
      <c r="B95" s="9" t="str">
        <f>'利用者'!B103</f>
        <v/>
      </c>
      <c r="C95" s="161"/>
      <c r="D95" s="156"/>
      <c r="E95" s="156"/>
      <c r="F95" s="156"/>
      <c r="G95" s="156"/>
      <c r="H95" s="151"/>
      <c r="I95" s="151"/>
      <c r="J95" s="152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6"/>
      <c r="V95" s="156"/>
      <c r="W95" s="154">
        <f t="shared" si="1"/>
        <v>0</v>
      </c>
      <c r="X95" s="156"/>
      <c r="Y95" s="156"/>
      <c r="Z95" s="157">
        <f t="shared" si="2"/>
        <v>0</v>
      </c>
      <c r="AA95" s="162"/>
      <c r="AB95" s="64" t="s">
        <v>131</v>
      </c>
      <c r="AC95" s="158">
        <f t="shared" si="3"/>
        <v>0</v>
      </c>
      <c r="AD95" s="135"/>
      <c r="AE95" s="135"/>
      <c r="AF95" s="135"/>
      <c r="AG95" s="135"/>
      <c r="AH95" s="135"/>
      <c r="AI95" s="135"/>
      <c r="AJ95" s="135"/>
    </row>
    <row r="96" ht="22.5" hidden="1" customHeight="1">
      <c r="A96" s="6" t="str">
        <f>'利用者'!A104</f>
        <v/>
      </c>
      <c r="B96" s="9" t="str">
        <f>'利用者'!B104</f>
        <v/>
      </c>
      <c r="C96" s="161"/>
      <c r="D96" s="156"/>
      <c r="E96" s="156"/>
      <c r="F96" s="156"/>
      <c r="G96" s="156"/>
      <c r="H96" s="151"/>
      <c r="I96" s="151"/>
      <c r="J96" s="152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6"/>
      <c r="V96" s="156"/>
      <c r="W96" s="154">
        <f t="shared" si="1"/>
        <v>0</v>
      </c>
      <c r="X96" s="156"/>
      <c r="Y96" s="156"/>
      <c r="Z96" s="157">
        <f t="shared" si="2"/>
        <v>0</v>
      </c>
      <c r="AA96" s="162"/>
      <c r="AB96" s="64" t="s">
        <v>131</v>
      </c>
      <c r="AC96" s="158">
        <f t="shared" si="3"/>
        <v>0</v>
      </c>
      <c r="AD96" s="135"/>
      <c r="AE96" s="135"/>
      <c r="AF96" s="135"/>
      <c r="AG96" s="135"/>
      <c r="AH96" s="135"/>
      <c r="AI96" s="135"/>
      <c r="AJ96" s="135"/>
    </row>
    <row r="97" ht="22.5" hidden="1" customHeight="1">
      <c r="A97" s="6" t="str">
        <f>'利用者'!A105</f>
        <v/>
      </c>
      <c r="B97" s="9" t="str">
        <f>'利用者'!B105</f>
        <v/>
      </c>
      <c r="C97" s="161"/>
      <c r="D97" s="156"/>
      <c r="E97" s="156"/>
      <c r="F97" s="156"/>
      <c r="G97" s="156"/>
      <c r="H97" s="151"/>
      <c r="I97" s="151"/>
      <c r="J97" s="152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6"/>
      <c r="V97" s="156"/>
      <c r="W97" s="154">
        <f t="shared" si="1"/>
        <v>0</v>
      </c>
      <c r="X97" s="156"/>
      <c r="Y97" s="156"/>
      <c r="Z97" s="157">
        <f t="shared" si="2"/>
        <v>0</v>
      </c>
      <c r="AA97" s="162"/>
      <c r="AB97" s="64" t="s">
        <v>131</v>
      </c>
      <c r="AC97" s="158">
        <f t="shared" si="3"/>
        <v>0</v>
      </c>
      <c r="AD97" s="135"/>
      <c r="AE97" s="135"/>
      <c r="AF97" s="135"/>
      <c r="AG97" s="135"/>
      <c r="AH97" s="135"/>
      <c r="AI97" s="135"/>
      <c r="AJ97" s="135"/>
    </row>
    <row r="98" ht="22.5" hidden="1" customHeight="1">
      <c r="A98" s="6" t="str">
        <f>'利用者'!A106</f>
        <v/>
      </c>
      <c r="B98" s="9" t="str">
        <f>'利用者'!B106</f>
        <v/>
      </c>
      <c r="C98" s="161"/>
      <c r="D98" s="156"/>
      <c r="E98" s="156"/>
      <c r="F98" s="156"/>
      <c r="G98" s="156"/>
      <c r="H98" s="151"/>
      <c r="I98" s="151"/>
      <c r="J98" s="152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6"/>
      <c r="V98" s="156"/>
      <c r="W98" s="154">
        <f t="shared" si="1"/>
        <v>0</v>
      </c>
      <c r="X98" s="156"/>
      <c r="Y98" s="156"/>
      <c r="Z98" s="157">
        <f t="shared" si="2"/>
        <v>0</v>
      </c>
      <c r="AA98" s="162"/>
      <c r="AB98" s="64" t="s">
        <v>131</v>
      </c>
      <c r="AC98" s="158">
        <f t="shared" si="3"/>
        <v>0</v>
      </c>
      <c r="AD98" s="135"/>
      <c r="AE98" s="135"/>
      <c r="AF98" s="135"/>
      <c r="AG98" s="135"/>
      <c r="AH98" s="135"/>
      <c r="AI98" s="135"/>
      <c r="AJ98" s="135"/>
    </row>
    <row r="99" ht="22.5" hidden="1" customHeight="1">
      <c r="A99" s="6" t="str">
        <f>'利用者'!A107</f>
        <v/>
      </c>
      <c r="B99" s="9" t="str">
        <f>'利用者'!B107</f>
        <v/>
      </c>
      <c r="C99" s="161"/>
      <c r="D99" s="156"/>
      <c r="E99" s="156"/>
      <c r="F99" s="156"/>
      <c r="G99" s="156"/>
      <c r="H99" s="151"/>
      <c r="I99" s="151"/>
      <c r="J99" s="152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6"/>
      <c r="V99" s="156"/>
      <c r="W99" s="154">
        <f t="shared" si="1"/>
        <v>0</v>
      </c>
      <c r="X99" s="156"/>
      <c r="Y99" s="156"/>
      <c r="Z99" s="157">
        <f t="shared" si="2"/>
        <v>0</v>
      </c>
      <c r="AA99" s="162"/>
      <c r="AB99" s="64" t="s">
        <v>131</v>
      </c>
      <c r="AC99" s="158">
        <f t="shared" si="3"/>
        <v>0</v>
      </c>
      <c r="AD99" s="135"/>
      <c r="AE99" s="135"/>
      <c r="AF99" s="135"/>
      <c r="AG99" s="135"/>
      <c r="AH99" s="135"/>
      <c r="AI99" s="135"/>
      <c r="AJ99" s="135"/>
    </row>
    <row r="100" ht="22.5" hidden="1" customHeight="1">
      <c r="A100" s="6" t="str">
        <f>'利用者'!A108</f>
        <v>210✕</v>
      </c>
      <c r="B100" s="9" t="str">
        <f>'利用者'!B108</f>
        <v>北村繁弘</v>
      </c>
      <c r="C100" s="161"/>
      <c r="D100" s="156"/>
      <c r="E100" s="156"/>
      <c r="F100" s="156"/>
      <c r="G100" s="156"/>
      <c r="H100" s="151"/>
      <c r="I100" s="151"/>
      <c r="J100" s="152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6"/>
      <c r="V100" s="156"/>
      <c r="W100" s="154">
        <f t="shared" si="1"/>
        <v>0</v>
      </c>
      <c r="X100" s="156"/>
      <c r="Y100" s="156"/>
      <c r="Z100" s="157">
        <f t="shared" si="2"/>
        <v>0</v>
      </c>
      <c r="AA100" s="162"/>
      <c r="AB100" s="64" t="s">
        <v>131</v>
      </c>
      <c r="AC100" s="158">
        <f t="shared" si="3"/>
        <v>0</v>
      </c>
      <c r="AD100" s="135"/>
      <c r="AE100" s="135"/>
      <c r="AF100" s="135"/>
      <c r="AG100" s="135"/>
      <c r="AH100" s="135"/>
      <c r="AI100" s="135"/>
      <c r="AJ100" s="135"/>
    </row>
    <row r="101" ht="22.5" hidden="1" customHeight="1">
      <c r="A101" s="6" t="str">
        <f>'利用者'!A109</f>
        <v>211✕</v>
      </c>
      <c r="B101" s="9" t="str">
        <f>'利用者'!B109</f>
        <v>鈴木信子</v>
      </c>
      <c r="C101" s="161"/>
      <c r="D101" s="156"/>
      <c r="E101" s="156"/>
      <c r="F101" s="156"/>
      <c r="G101" s="156"/>
      <c r="H101" s="151"/>
      <c r="I101" s="151"/>
      <c r="J101" s="152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6"/>
      <c r="V101" s="156"/>
      <c r="W101" s="154">
        <f t="shared" si="1"/>
        <v>0</v>
      </c>
      <c r="X101" s="156"/>
      <c r="Y101" s="156"/>
      <c r="Z101" s="157">
        <f t="shared" si="2"/>
        <v>0</v>
      </c>
      <c r="AA101" s="162"/>
      <c r="AB101" s="64" t="s">
        <v>131</v>
      </c>
      <c r="AC101" s="158">
        <f t="shared" si="3"/>
        <v>0</v>
      </c>
      <c r="AD101" s="135"/>
      <c r="AE101" s="135"/>
      <c r="AF101" s="135"/>
      <c r="AG101" s="135"/>
      <c r="AH101" s="135"/>
      <c r="AI101" s="135"/>
      <c r="AJ101" s="135"/>
    </row>
    <row r="102" ht="22.5" hidden="1" customHeight="1">
      <c r="A102" s="6" t="str">
        <f>'利用者'!A110</f>
        <v/>
      </c>
      <c r="B102" s="9" t="str">
        <f>'利用者'!B110</f>
        <v/>
      </c>
      <c r="C102" s="161"/>
      <c r="D102" s="156"/>
      <c r="E102" s="156"/>
      <c r="F102" s="156"/>
      <c r="G102" s="156"/>
      <c r="H102" s="151"/>
      <c r="I102" s="151"/>
      <c r="J102" s="152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6"/>
      <c r="V102" s="156"/>
      <c r="W102" s="154">
        <f t="shared" si="1"/>
        <v>0</v>
      </c>
      <c r="X102" s="156"/>
      <c r="Y102" s="156"/>
      <c r="Z102" s="157">
        <f t="shared" si="2"/>
        <v>0</v>
      </c>
      <c r="AA102" s="162"/>
      <c r="AB102" s="64" t="s">
        <v>131</v>
      </c>
      <c r="AC102" s="158">
        <f t="shared" si="3"/>
        <v>0</v>
      </c>
      <c r="AD102" s="135"/>
      <c r="AE102" s="135"/>
      <c r="AF102" s="135"/>
      <c r="AG102" s="135"/>
      <c r="AH102" s="135"/>
      <c r="AI102" s="135"/>
      <c r="AJ102" s="135"/>
    </row>
    <row r="103" ht="22.5" hidden="1" customHeight="1">
      <c r="A103" s="6" t="str">
        <f>'利用者'!A111</f>
        <v/>
      </c>
      <c r="B103" s="9" t="str">
        <f>'利用者'!B111</f>
        <v/>
      </c>
      <c r="C103" s="161"/>
      <c r="D103" s="156"/>
      <c r="E103" s="156"/>
      <c r="F103" s="156"/>
      <c r="G103" s="156"/>
      <c r="H103" s="151"/>
      <c r="I103" s="151"/>
      <c r="J103" s="152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6"/>
      <c r="V103" s="156"/>
      <c r="W103" s="154">
        <f t="shared" si="1"/>
        <v>0</v>
      </c>
      <c r="X103" s="156"/>
      <c r="Y103" s="156"/>
      <c r="Z103" s="157">
        <f t="shared" si="2"/>
        <v>0</v>
      </c>
      <c r="AA103" s="162"/>
      <c r="AB103" s="64" t="s">
        <v>131</v>
      </c>
      <c r="AC103" s="158">
        <f t="shared" si="3"/>
        <v>0</v>
      </c>
      <c r="AD103" s="135"/>
      <c r="AE103" s="135"/>
      <c r="AF103" s="135"/>
      <c r="AG103" s="135"/>
      <c r="AH103" s="135"/>
      <c r="AI103" s="135"/>
      <c r="AJ103" s="135"/>
    </row>
    <row r="104" ht="22.5" hidden="1" customHeight="1">
      <c r="A104" s="6" t="str">
        <f>'利用者'!A112</f>
        <v/>
      </c>
      <c r="B104" s="9" t="str">
        <f>'利用者'!B112</f>
        <v/>
      </c>
      <c r="C104" s="161"/>
      <c r="D104" s="156"/>
      <c r="E104" s="156"/>
      <c r="F104" s="156"/>
      <c r="G104" s="156"/>
      <c r="H104" s="151"/>
      <c r="I104" s="151"/>
      <c r="J104" s="152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6"/>
      <c r="V104" s="156"/>
      <c r="W104" s="154">
        <f t="shared" si="1"/>
        <v>0</v>
      </c>
      <c r="X104" s="156"/>
      <c r="Y104" s="156"/>
      <c r="Z104" s="157">
        <f t="shared" si="2"/>
        <v>0</v>
      </c>
      <c r="AA104" s="162"/>
      <c r="AB104" s="64" t="s">
        <v>131</v>
      </c>
      <c r="AC104" s="158">
        <f t="shared" si="3"/>
        <v>0</v>
      </c>
      <c r="AD104" s="135"/>
      <c r="AE104" s="135"/>
      <c r="AF104" s="135"/>
      <c r="AG104" s="135"/>
      <c r="AH104" s="135"/>
      <c r="AI104" s="135"/>
      <c r="AJ104" s="135"/>
    </row>
    <row r="105" ht="22.5" hidden="1" customHeight="1">
      <c r="A105" s="6" t="str">
        <f>'利用者'!A113</f>
        <v/>
      </c>
      <c r="B105" s="9" t="str">
        <f>'利用者'!B113</f>
        <v/>
      </c>
      <c r="C105" s="161"/>
      <c r="D105" s="156"/>
      <c r="E105" s="156"/>
      <c r="F105" s="156"/>
      <c r="G105" s="156"/>
      <c r="H105" s="151"/>
      <c r="I105" s="151"/>
      <c r="J105" s="152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6"/>
      <c r="V105" s="156"/>
      <c r="W105" s="154">
        <f t="shared" si="1"/>
        <v>0</v>
      </c>
      <c r="X105" s="156"/>
      <c r="Y105" s="156"/>
      <c r="Z105" s="157">
        <f t="shared" si="2"/>
        <v>0</v>
      </c>
      <c r="AA105" s="162"/>
      <c r="AB105" s="64" t="s">
        <v>131</v>
      </c>
      <c r="AC105" s="158">
        <f t="shared" si="3"/>
        <v>0</v>
      </c>
      <c r="AD105" s="135"/>
      <c r="AE105" s="135"/>
      <c r="AF105" s="135"/>
      <c r="AG105" s="135"/>
      <c r="AH105" s="135"/>
      <c r="AI105" s="135"/>
      <c r="AJ105" s="135"/>
    </row>
    <row r="106" ht="22.5" hidden="1" customHeight="1">
      <c r="A106" s="6" t="str">
        <f>'利用者'!A114</f>
        <v/>
      </c>
      <c r="B106" s="9" t="str">
        <f>'利用者'!B114</f>
        <v/>
      </c>
      <c r="C106" s="161"/>
      <c r="D106" s="156"/>
      <c r="E106" s="156"/>
      <c r="F106" s="156"/>
      <c r="G106" s="156"/>
      <c r="H106" s="151"/>
      <c r="I106" s="151"/>
      <c r="J106" s="152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6"/>
      <c r="V106" s="156"/>
      <c r="W106" s="154">
        <f t="shared" si="1"/>
        <v>0</v>
      </c>
      <c r="X106" s="156"/>
      <c r="Y106" s="156"/>
      <c r="Z106" s="157">
        <f t="shared" si="2"/>
        <v>0</v>
      </c>
      <c r="AA106" s="162"/>
      <c r="AB106" s="64" t="s">
        <v>131</v>
      </c>
      <c r="AC106" s="158">
        <f t="shared" si="3"/>
        <v>0</v>
      </c>
      <c r="AD106" s="135"/>
      <c r="AE106" s="135"/>
      <c r="AF106" s="135"/>
      <c r="AG106" s="135"/>
      <c r="AH106" s="135"/>
      <c r="AI106" s="135"/>
      <c r="AJ106" s="135"/>
    </row>
    <row r="107" ht="22.5" hidden="1" customHeight="1">
      <c r="A107" s="6" t="str">
        <f>'利用者'!A115</f>
        <v/>
      </c>
      <c r="B107" s="9" t="str">
        <f>'利用者'!B115</f>
        <v/>
      </c>
      <c r="C107" s="161"/>
      <c r="D107" s="156"/>
      <c r="E107" s="156"/>
      <c r="F107" s="156"/>
      <c r="G107" s="156"/>
      <c r="H107" s="151"/>
      <c r="I107" s="151"/>
      <c r="J107" s="152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6"/>
      <c r="V107" s="156"/>
      <c r="W107" s="154">
        <f t="shared" si="1"/>
        <v>0</v>
      </c>
      <c r="X107" s="156"/>
      <c r="Y107" s="156"/>
      <c r="Z107" s="157">
        <f t="shared" si="2"/>
        <v>0</v>
      </c>
      <c r="AA107" s="162"/>
      <c r="AB107" s="64" t="s">
        <v>131</v>
      </c>
      <c r="AC107" s="158">
        <f t="shared" si="3"/>
        <v>0</v>
      </c>
      <c r="AD107" s="135"/>
      <c r="AE107" s="135"/>
      <c r="AF107" s="135"/>
      <c r="AG107" s="135"/>
      <c r="AH107" s="135"/>
      <c r="AI107" s="135"/>
      <c r="AJ107" s="135"/>
    </row>
    <row r="108" ht="22.5" hidden="1" customHeight="1">
      <c r="A108" s="6" t="str">
        <f>'利用者'!A116</f>
        <v/>
      </c>
      <c r="B108" s="9" t="str">
        <f>'利用者'!B116</f>
        <v/>
      </c>
      <c r="C108" s="161"/>
      <c r="D108" s="156"/>
      <c r="E108" s="156"/>
      <c r="F108" s="156"/>
      <c r="G108" s="156"/>
      <c r="H108" s="151"/>
      <c r="I108" s="151"/>
      <c r="J108" s="152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6"/>
      <c r="V108" s="156"/>
      <c r="W108" s="154">
        <f t="shared" si="1"/>
        <v>0</v>
      </c>
      <c r="X108" s="156"/>
      <c r="Y108" s="156"/>
      <c r="Z108" s="157">
        <f t="shared" si="2"/>
        <v>0</v>
      </c>
      <c r="AA108" s="162"/>
      <c r="AB108" s="64" t="s">
        <v>131</v>
      </c>
      <c r="AC108" s="158">
        <f t="shared" si="3"/>
        <v>0</v>
      </c>
      <c r="AD108" s="135"/>
      <c r="AE108" s="135"/>
      <c r="AF108" s="135"/>
      <c r="AG108" s="135"/>
      <c r="AH108" s="135"/>
      <c r="AI108" s="135"/>
      <c r="AJ108" s="135"/>
    </row>
    <row r="109" ht="22.5" customHeight="1">
      <c r="A109" s="6"/>
      <c r="B109" s="9"/>
      <c r="C109" s="161"/>
      <c r="D109" s="156"/>
      <c r="E109" s="156"/>
      <c r="F109" s="156"/>
      <c r="G109" s="156"/>
      <c r="H109" s="151"/>
      <c r="I109" s="151"/>
      <c r="J109" s="152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6"/>
      <c r="V109" s="156"/>
      <c r="W109" s="154">
        <f t="shared" si="1"/>
        <v>0</v>
      </c>
      <c r="X109" s="156"/>
      <c r="Y109" s="156"/>
      <c r="Z109" s="157">
        <f t="shared" si="2"/>
        <v>0</v>
      </c>
      <c r="AA109" s="162"/>
      <c r="AB109" s="64" t="s">
        <v>131</v>
      </c>
      <c r="AC109" s="158">
        <f t="shared" si="3"/>
        <v>0</v>
      </c>
      <c r="AD109" s="135"/>
      <c r="AE109" s="135"/>
      <c r="AF109" s="135"/>
      <c r="AG109" s="135"/>
      <c r="AH109" s="135"/>
      <c r="AI109" s="135"/>
      <c r="AJ109" s="135"/>
    </row>
    <row r="110" ht="22.5" customHeight="1">
      <c r="A110" s="148" t="s">
        <v>128</v>
      </c>
      <c r="B110" s="148"/>
      <c r="C110" s="157"/>
      <c r="D110" s="157">
        <f t="shared" ref="D110:Y110" si="4">SUM(D3:D109)</f>
        <v>440000</v>
      </c>
      <c r="E110" s="157">
        <f t="shared" si="4"/>
        <v>55000</v>
      </c>
      <c r="F110" s="157">
        <f t="shared" si="4"/>
        <v>55000</v>
      </c>
      <c r="G110" s="157">
        <f t="shared" si="4"/>
        <v>22000</v>
      </c>
      <c r="H110" s="157">
        <f t="shared" si="4"/>
        <v>111778</v>
      </c>
      <c r="I110" s="157">
        <f t="shared" si="4"/>
        <v>393690</v>
      </c>
      <c r="J110" s="163">
        <f t="shared" si="4"/>
        <v>-345764</v>
      </c>
      <c r="K110" s="157">
        <f t="shared" si="4"/>
        <v>84246</v>
      </c>
      <c r="L110" s="157">
        <f t="shared" si="4"/>
        <v>22424</v>
      </c>
      <c r="M110" s="157">
        <f t="shared" si="4"/>
        <v>10000</v>
      </c>
      <c r="N110" s="157">
        <f t="shared" si="4"/>
        <v>0</v>
      </c>
      <c r="O110" s="157">
        <f t="shared" si="4"/>
        <v>0</v>
      </c>
      <c r="P110" s="157">
        <f t="shared" si="4"/>
        <v>0</v>
      </c>
      <c r="Q110" s="157">
        <f t="shared" si="4"/>
        <v>39086</v>
      </c>
      <c r="R110" s="157">
        <f t="shared" si="4"/>
        <v>0</v>
      </c>
      <c r="S110" s="157">
        <f t="shared" si="4"/>
        <v>0</v>
      </c>
      <c r="T110" s="157">
        <f t="shared" si="4"/>
        <v>500</v>
      </c>
      <c r="U110" s="157">
        <f t="shared" si="4"/>
        <v>0</v>
      </c>
      <c r="V110" s="157">
        <f t="shared" si="4"/>
        <v>0</v>
      </c>
      <c r="W110" s="164">
        <f t="shared" si="4"/>
        <v>887960</v>
      </c>
      <c r="X110" s="157">
        <f t="shared" si="4"/>
        <v>263350</v>
      </c>
      <c r="Y110" s="157">
        <f t="shared" si="4"/>
        <v>27280</v>
      </c>
      <c r="Z110" s="157">
        <f t="shared" si="2"/>
        <v>1178590</v>
      </c>
      <c r="AA110" s="139"/>
      <c r="AC110" s="165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B3:AB109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0" width="10.75"/>
    <col customWidth="1" hidden="1" min="21" max="22" width="10.75"/>
    <col customWidth="1" min="23" max="26" width="10.75"/>
    <col customWidth="1" min="27" max="27" width="8.0"/>
    <col customWidth="1" min="28" max="28" width="10.88"/>
  </cols>
  <sheetData>
    <row r="1" ht="15.75" customHeight="1">
      <c r="A1" s="142">
        <v>45900.0</v>
      </c>
      <c r="C1" s="14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  <c r="AB1" s="13" t="s">
        <v>123</v>
      </c>
    </row>
    <row r="2" ht="22.5" customHeight="1">
      <c r="A2" s="6" t="s">
        <v>0</v>
      </c>
      <c r="B2" s="6" t="s">
        <v>1</v>
      </c>
      <c r="C2" s="9" t="s">
        <v>124</v>
      </c>
      <c r="D2" s="144" t="s">
        <v>5</v>
      </c>
      <c r="E2" s="144" t="s">
        <v>8</v>
      </c>
      <c r="F2" s="144" t="s">
        <v>10</v>
      </c>
      <c r="G2" s="144" t="s">
        <v>13</v>
      </c>
      <c r="H2" s="145" t="s">
        <v>15</v>
      </c>
      <c r="I2" s="145" t="s">
        <v>17</v>
      </c>
      <c r="J2" s="146" t="s">
        <v>20</v>
      </c>
      <c r="K2" s="145" t="s">
        <v>21</v>
      </c>
      <c r="L2" s="145" t="s">
        <v>22</v>
      </c>
      <c r="M2" s="145" t="s">
        <v>24</v>
      </c>
      <c r="N2" s="145" t="s">
        <v>26</v>
      </c>
      <c r="O2" s="145" t="s">
        <v>30</v>
      </c>
      <c r="P2" s="144" t="s">
        <v>32</v>
      </c>
      <c r="Q2" s="144" t="s">
        <v>35</v>
      </c>
      <c r="R2" s="144" t="s">
        <v>37</v>
      </c>
      <c r="S2" s="144" t="s">
        <v>27</v>
      </c>
      <c r="T2" s="144" t="s">
        <v>29</v>
      </c>
      <c r="U2" s="144"/>
      <c r="V2" s="144"/>
      <c r="W2" s="147" t="s">
        <v>125</v>
      </c>
      <c r="X2" s="9" t="s">
        <v>126</v>
      </c>
      <c r="Y2" s="9" t="s">
        <v>127</v>
      </c>
      <c r="Z2" s="148" t="s">
        <v>128</v>
      </c>
      <c r="AA2" s="10" t="s">
        <v>59</v>
      </c>
      <c r="AB2" s="10" t="s">
        <v>129</v>
      </c>
      <c r="AC2" s="6" t="s">
        <v>130</v>
      </c>
      <c r="AD2" s="10"/>
      <c r="AE2" s="10"/>
      <c r="AF2" s="10"/>
      <c r="AG2" s="10"/>
      <c r="AH2" s="10"/>
      <c r="AI2" s="10"/>
      <c r="AJ2" s="10"/>
    </row>
    <row r="3" ht="22.5" customHeight="1">
      <c r="A3" s="6">
        <v>108.0</v>
      </c>
      <c r="B3" s="9" t="s">
        <v>4</v>
      </c>
      <c r="C3" s="149">
        <v>185667.0</v>
      </c>
      <c r="D3" s="150">
        <v>40000.0</v>
      </c>
      <c r="E3" s="149">
        <v>5000.0</v>
      </c>
      <c r="F3" s="149">
        <v>5000.0</v>
      </c>
      <c r="G3" s="149">
        <v>2000.0</v>
      </c>
      <c r="H3" s="156">
        <v>10000.0</v>
      </c>
      <c r="I3" s="156">
        <v>38610.0</v>
      </c>
      <c r="J3" s="166">
        <v>-68434.0</v>
      </c>
      <c r="K3" s="156">
        <f>121*28</f>
        <v>3388</v>
      </c>
      <c r="L3" s="156">
        <f>73*28</f>
        <v>2044</v>
      </c>
      <c r="M3" s="156">
        <v>0.0</v>
      </c>
      <c r="N3" s="156">
        <v>0.0</v>
      </c>
      <c r="O3" s="156">
        <v>16454.0</v>
      </c>
      <c r="P3" s="156">
        <v>0.0</v>
      </c>
      <c r="Q3" s="156">
        <v>10202.0</v>
      </c>
      <c r="R3" s="156">
        <v>0.0</v>
      </c>
      <c r="S3" s="156">
        <v>0.0</v>
      </c>
      <c r="T3" s="156">
        <v>0.0</v>
      </c>
      <c r="U3" s="153"/>
      <c r="V3" s="153"/>
      <c r="W3" s="154">
        <f t="shared" ref="W3:W109" si="1">SUM(D3:V3)</f>
        <v>64264</v>
      </c>
      <c r="X3" s="155">
        <v>15736.0</v>
      </c>
      <c r="Y3" s="156">
        <v>0.0</v>
      </c>
      <c r="Z3" s="157">
        <f t="shared" ref="Z3:Z110" si="2">SUM(W3:Y3)</f>
        <v>80000</v>
      </c>
      <c r="AA3" s="139">
        <v>80000.0</v>
      </c>
      <c r="AB3" s="64" t="s">
        <v>131</v>
      </c>
      <c r="AC3" s="149">
        <f t="shared" ref="AC3:AC109" si="3">C3-M3</f>
        <v>185667</v>
      </c>
    </row>
    <row r="4" ht="22.5" customHeight="1">
      <c r="A4" s="6">
        <v>206.0</v>
      </c>
      <c r="B4" s="9" t="s">
        <v>7</v>
      </c>
      <c r="C4" s="158">
        <v>0.0</v>
      </c>
      <c r="D4" s="149">
        <v>40000.0</v>
      </c>
      <c r="E4" s="149">
        <v>5000.0</v>
      </c>
      <c r="F4" s="149">
        <v>5000.0</v>
      </c>
      <c r="G4" s="149">
        <v>2000.0</v>
      </c>
      <c r="H4" s="156">
        <v>10000.0</v>
      </c>
      <c r="I4" s="156">
        <v>44330.0</v>
      </c>
      <c r="J4" s="166">
        <v>-33748.0</v>
      </c>
      <c r="K4" s="156">
        <v>0.0</v>
      </c>
      <c r="L4" s="156">
        <v>0.0</v>
      </c>
      <c r="M4" s="156">
        <v>0.0</v>
      </c>
      <c r="N4" s="156">
        <v>0.0</v>
      </c>
      <c r="O4" s="156">
        <v>4200.0</v>
      </c>
      <c r="P4" s="156">
        <v>0.0</v>
      </c>
      <c r="Q4" s="156">
        <v>3452.0</v>
      </c>
      <c r="R4" s="156">
        <v>0.0</v>
      </c>
      <c r="S4" s="156">
        <v>0.0</v>
      </c>
      <c r="T4" s="156">
        <v>0.0</v>
      </c>
      <c r="U4" s="156"/>
      <c r="V4" s="156"/>
      <c r="W4" s="154">
        <f t="shared" si="1"/>
        <v>80234</v>
      </c>
      <c r="X4" s="155">
        <v>17266.0</v>
      </c>
      <c r="Y4" s="156">
        <v>2500.0</v>
      </c>
      <c r="Z4" s="157">
        <f t="shared" si="2"/>
        <v>100000</v>
      </c>
      <c r="AA4" s="139">
        <v>100000.0</v>
      </c>
      <c r="AB4" s="64" t="s">
        <v>131</v>
      </c>
      <c r="AC4" s="158">
        <f t="shared" si="3"/>
        <v>0</v>
      </c>
    </row>
    <row r="5" ht="22.5" customHeight="1">
      <c r="A5" s="6">
        <v>210.0</v>
      </c>
      <c r="B5" s="9" t="s">
        <v>28</v>
      </c>
      <c r="C5" s="158">
        <v>0.0</v>
      </c>
      <c r="D5" s="149">
        <v>40000.0</v>
      </c>
      <c r="E5" s="149">
        <v>5000.0</v>
      </c>
      <c r="F5" s="149">
        <v>5000.0</v>
      </c>
      <c r="G5" s="149">
        <v>2000.0</v>
      </c>
      <c r="H5" s="156">
        <v>10000.0</v>
      </c>
      <c r="I5" s="156">
        <v>40480.0</v>
      </c>
      <c r="J5" s="166">
        <v>-48084.0</v>
      </c>
      <c r="K5" s="156">
        <f>242*31</f>
        <v>7502</v>
      </c>
      <c r="L5" s="156">
        <f t="shared" ref="L5:L8" si="4">73*31</f>
        <v>2263</v>
      </c>
      <c r="M5" s="156">
        <v>0.0</v>
      </c>
      <c r="N5" s="156">
        <v>0.0</v>
      </c>
      <c r="O5" s="156">
        <v>0.0</v>
      </c>
      <c r="P5" s="156">
        <v>0.0</v>
      </c>
      <c r="Q5" s="156">
        <v>5702.0</v>
      </c>
      <c r="R5" s="156">
        <v>0.0</v>
      </c>
      <c r="S5" s="156">
        <v>0.0</v>
      </c>
      <c r="T5" s="156">
        <v>0.0</v>
      </c>
      <c r="U5" s="156"/>
      <c r="V5" s="156"/>
      <c r="W5" s="154">
        <f t="shared" si="1"/>
        <v>69863</v>
      </c>
      <c r="X5" s="155">
        <v>30137.0</v>
      </c>
      <c r="Y5" s="156">
        <v>0.0</v>
      </c>
      <c r="Z5" s="157">
        <f t="shared" si="2"/>
        <v>100000</v>
      </c>
      <c r="AA5" s="139">
        <v>100000.0</v>
      </c>
      <c r="AB5" s="64" t="s">
        <v>131</v>
      </c>
      <c r="AC5" s="158">
        <f t="shared" si="3"/>
        <v>0</v>
      </c>
    </row>
    <row r="6" ht="22.5" customHeight="1">
      <c r="A6" s="6">
        <v>211.0</v>
      </c>
      <c r="B6" s="9" t="s">
        <v>12</v>
      </c>
      <c r="C6" s="158">
        <v>0.0</v>
      </c>
      <c r="D6" s="149">
        <v>40000.0</v>
      </c>
      <c r="E6" s="149">
        <v>5000.0</v>
      </c>
      <c r="F6" s="149">
        <v>5000.0</v>
      </c>
      <c r="G6" s="149">
        <v>2000.0</v>
      </c>
      <c r="H6" s="156">
        <v>10000.0</v>
      </c>
      <c r="I6" s="156">
        <v>44330.0</v>
      </c>
      <c r="J6" s="166">
        <v>-53881.0</v>
      </c>
      <c r="K6" s="156">
        <f>545*31</f>
        <v>16895</v>
      </c>
      <c r="L6" s="156">
        <f t="shared" si="4"/>
        <v>2263</v>
      </c>
      <c r="M6" s="156">
        <v>0.0</v>
      </c>
      <c r="N6" s="156">
        <v>0.0</v>
      </c>
      <c r="O6" s="156">
        <v>8346.0</v>
      </c>
      <c r="P6" s="156">
        <v>0.0</v>
      </c>
      <c r="Q6" s="156">
        <v>4052.0</v>
      </c>
      <c r="R6" s="156">
        <v>0.0</v>
      </c>
      <c r="S6" s="156">
        <v>0.0</v>
      </c>
      <c r="T6" s="156">
        <v>0.0</v>
      </c>
      <c r="U6" s="156"/>
      <c r="V6" s="156"/>
      <c r="W6" s="154">
        <f t="shared" si="1"/>
        <v>84005</v>
      </c>
      <c r="X6" s="155">
        <v>20995.0</v>
      </c>
      <c r="Y6" s="156">
        <v>0.0</v>
      </c>
      <c r="Z6" s="157">
        <f t="shared" si="2"/>
        <v>105000</v>
      </c>
      <c r="AA6" s="139">
        <v>105000.0</v>
      </c>
      <c r="AB6" s="64" t="s">
        <v>131</v>
      </c>
      <c r="AC6" s="158">
        <f t="shared" si="3"/>
        <v>0</v>
      </c>
    </row>
    <row r="7" ht="22.5" customHeight="1">
      <c r="A7" s="6">
        <v>212.0</v>
      </c>
      <c r="B7" s="9" t="s">
        <v>14</v>
      </c>
      <c r="C7" s="158">
        <v>0.0</v>
      </c>
      <c r="D7" s="149">
        <v>40000.0</v>
      </c>
      <c r="E7" s="149">
        <v>5000.0</v>
      </c>
      <c r="F7" s="149">
        <v>5000.0</v>
      </c>
      <c r="G7" s="149">
        <v>2000.0</v>
      </c>
      <c r="H7" s="156">
        <v>10000.0</v>
      </c>
      <c r="I7" s="156">
        <v>42130.0</v>
      </c>
      <c r="J7" s="166"/>
      <c r="K7" s="156">
        <f>363*31</f>
        <v>11253</v>
      </c>
      <c r="L7" s="156">
        <f t="shared" si="4"/>
        <v>2263</v>
      </c>
      <c r="M7" s="156">
        <v>0.0</v>
      </c>
      <c r="N7" s="156">
        <v>1500.0</v>
      </c>
      <c r="O7" s="156">
        <v>6274.0</v>
      </c>
      <c r="P7" s="156">
        <v>0.0</v>
      </c>
      <c r="Q7" s="156">
        <v>10912.0</v>
      </c>
      <c r="R7" s="156">
        <v>0.0</v>
      </c>
      <c r="S7" s="156">
        <v>0.0</v>
      </c>
      <c r="T7" s="156">
        <v>0.0</v>
      </c>
      <c r="U7" s="156"/>
      <c r="V7" s="156"/>
      <c r="W7" s="154">
        <f t="shared" si="1"/>
        <v>136332</v>
      </c>
      <c r="X7" s="149">
        <v>34042.0</v>
      </c>
      <c r="Y7" s="149">
        <f>31530+32150+26600</f>
        <v>90280</v>
      </c>
      <c r="Z7" s="157">
        <f t="shared" si="2"/>
        <v>260654</v>
      </c>
      <c r="AA7" s="139" t="s">
        <v>132</v>
      </c>
      <c r="AB7" s="64" t="s">
        <v>131</v>
      </c>
      <c r="AC7" s="158">
        <f t="shared" si="3"/>
        <v>0</v>
      </c>
    </row>
    <row r="8" ht="22.5" customHeight="1">
      <c r="A8" s="6">
        <v>303.0</v>
      </c>
      <c r="B8" s="9" t="s">
        <v>136</v>
      </c>
      <c r="C8" s="158">
        <v>0.0</v>
      </c>
      <c r="D8" s="149">
        <v>40000.0</v>
      </c>
      <c r="E8" s="149">
        <v>5000.0</v>
      </c>
      <c r="F8" s="149">
        <v>5000.0</v>
      </c>
      <c r="G8" s="149">
        <v>2000.0</v>
      </c>
      <c r="H8" s="156">
        <v>10000.0</v>
      </c>
      <c r="I8" s="156">
        <v>44330.0</v>
      </c>
      <c r="J8" s="166">
        <v>-33179.0</v>
      </c>
      <c r="K8" s="156">
        <f t="shared" ref="K8:K9" si="5">242*31</f>
        <v>7502</v>
      </c>
      <c r="L8" s="156">
        <f t="shared" si="4"/>
        <v>2263</v>
      </c>
      <c r="M8" s="156">
        <v>0.0</v>
      </c>
      <c r="N8" s="156">
        <v>1500.0</v>
      </c>
      <c r="O8" s="156">
        <v>0.0</v>
      </c>
      <c r="P8" s="156">
        <v>0.0</v>
      </c>
      <c r="Q8" s="156"/>
      <c r="R8" s="156">
        <v>0.0</v>
      </c>
      <c r="S8" s="156">
        <v>0.0</v>
      </c>
      <c r="T8" s="156">
        <v>0.0</v>
      </c>
      <c r="U8" s="156"/>
      <c r="V8" s="156"/>
      <c r="W8" s="154">
        <f t="shared" si="1"/>
        <v>84416</v>
      </c>
      <c r="X8" s="149">
        <v>29744.0</v>
      </c>
      <c r="Y8" s="150">
        <v>5840.0</v>
      </c>
      <c r="Z8" s="157">
        <f t="shared" si="2"/>
        <v>120000</v>
      </c>
      <c r="AA8" s="139" t="s">
        <v>137</v>
      </c>
      <c r="AB8" s="64" t="s">
        <v>131</v>
      </c>
      <c r="AC8" s="158">
        <f t="shared" si="3"/>
        <v>0</v>
      </c>
    </row>
    <row r="9" ht="22.5" customHeight="1">
      <c r="A9" s="6">
        <v>601.0</v>
      </c>
      <c r="B9" s="9" t="s">
        <v>34</v>
      </c>
      <c r="C9" s="158">
        <v>144000.0</v>
      </c>
      <c r="D9" s="149">
        <v>40000.0</v>
      </c>
      <c r="E9" s="149">
        <v>5000.0</v>
      </c>
      <c r="F9" s="149">
        <v>5000.0</v>
      </c>
      <c r="G9" s="149">
        <v>2000.0</v>
      </c>
      <c r="H9" s="156">
        <v>10000.0</v>
      </c>
      <c r="I9" s="156">
        <v>42130.0</v>
      </c>
      <c r="J9" s="166">
        <v>-73372.0</v>
      </c>
      <c r="K9" s="156">
        <f t="shared" si="5"/>
        <v>7502</v>
      </c>
      <c r="L9" s="156">
        <f>145*31</f>
        <v>4495</v>
      </c>
      <c r="M9" s="156">
        <v>10000.0</v>
      </c>
      <c r="N9" s="156">
        <v>0.0</v>
      </c>
      <c r="O9" s="156">
        <v>8013.0</v>
      </c>
      <c r="P9" s="156">
        <v>0.0</v>
      </c>
      <c r="Q9" s="156">
        <v>4232.0</v>
      </c>
      <c r="R9" s="156">
        <v>0.0</v>
      </c>
      <c r="S9" s="156">
        <v>0.0</v>
      </c>
      <c r="T9" s="156">
        <v>0.0</v>
      </c>
      <c r="U9" s="156"/>
      <c r="V9" s="156"/>
      <c r="W9" s="154">
        <f t="shared" si="1"/>
        <v>65000</v>
      </c>
      <c r="X9" s="160">
        <v>35000.0</v>
      </c>
      <c r="Y9" s="156">
        <v>0.0</v>
      </c>
      <c r="Z9" s="157">
        <f t="shared" si="2"/>
        <v>100000</v>
      </c>
      <c r="AA9" s="139">
        <v>100000.0</v>
      </c>
      <c r="AB9" s="64" t="s">
        <v>131</v>
      </c>
      <c r="AC9" s="158">
        <f t="shared" si="3"/>
        <v>134000</v>
      </c>
    </row>
    <row r="10" ht="22.5" customHeight="1">
      <c r="A10" s="6"/>
      <c r="B10" s="9"/>
      <c r="C10" s="161"/>
      <c r="D10" s="167">
        <v>0.0</v>
      </c>
      <c r="E10" s="167">
        <v>0.0</v>
      </c>
      <c r="F10" s="167">
        <v>0.0</v>
      </c>
      <c r="G10" s="167">
        <v>0.0</v>
      </c>
      <c r="H10" s="156">
        <v>0.0</v>
      </c>
      <c r="I10" s="156"/>
      <c r="J10" s="166"/>
      <c r="K10" s="156"/>
      <c r="L10" s="156"/>
      <c r="M10" s="156"/>
      <c r="N10" s="156">
        <v>0.0</v>
      </c>
      <c r="O10" s="156">
        <v>0.0</v>
      </c>
      <c r="P10" s="156">
        <v>0.0</v>
      </c>
      <c r="Q10" s="156"/>
      <c r="R10" s="156">
        <v>0.0</v>
      </c>
      <c r="S10" s="156">
        <v>0.0</v>
      </c>
      <c r="T10" s="156">
        <v>0.0</v>
      </c>
      <c r="U10" s="156"/>
      <c r="V10" s="156"/>
      <c r="W10" s="154">
        <f t="shared" si="1"/>
        <v>0</v>
      </c>
      <c r="X10" s="156">
        <v>0.0</v>
      </c>
      <c r="Y10" s="156">
        <v>0.0</v>
      </c>
      <c r="Z10" s="157">
        <f t="shared" si="2"/>
        <v>0</v>
      </c>
      <c r="AA10" s="139"/>
      <c r="AB10" s="64" t="s">
        <v>131</v>
      </c>
      <c r="AC10" s="158">
        <f t="shared" si="3"/>
        <v>0</v>
      </c>
    </row>
    <row r="11" ht="22.5" customHeight="1">
      <c r="A11" s="6">
        <v>703.0</v>
      </c>
      <c r="B11" s="9" t="s">
        <v>38</v>
      </c>
      <c r="C11" s="161">
        <v>0.0</v>
      </c>
      <c r="D11" s="149">
        <v>40000.0</v>
      </c>
      <c r="E11" s="149">
        <v>5000.0</v>
      </c>
      <c r="F11" s="149">
        <v>5000.0</v>
      </c>
      <c r="G11" s="149">
        <v>2000.0</v>
      </c>
      <c r="H11" s="156">
        <v>10000.0</v>
      </c>
      <c r="I11" s="156">
        <v>44330.0</v>
      </c>
      <c r="J11" s="166">
        <v>-85367.0</v>
      </c>
      <c r="K11" s="156">
        <f>908*31</f>
        <v>28148</v>
      </c>
      <c r="L11" s="156">
        <f>145*31</f>
        <v>4495</v>
      </c>
      <c r="M11" s="156">
        <v>0.0</v>
      </c>
      <c r="N11" s="156">
        <v>0.0</v>
      </c>
      <c r="O11" s="156">
        <v>14165.0</v>
      </c>
      <c r="P11" s="156">
        <v>0.0</v>
      </c>
      <c r="Q11" s="156">
        <v>8232.0</v>
      </c>
      <c r="R11" s="156">
        <v>0.0</v>
      </c>
      <c r="S11" s="156">
        <v>0.0</v>
      </c>
      <c r="T11" s="156">
        <v>0.0</v>
      </c>
      <c r="U11" s="156"/>
      <c r="V11" s="156"/>
      <c r="W11" s="154">
        <f t="shared" si="1"/>
        <v>76003</v>
      </c>
      <c r="X11" s="160">
        <v>23997.0</v>
      </c>
      <c r="Y11" s="156">
        <v>0.0</v>
      </c>
      <c r="Z11" s="157">
        <f t="shared" si="2"/>
        <v>100000</v>
      </c>
      <c r="AA11" s="139">
        <v>100000.0</v>
      </c>
      <c r="AB11" s="64" t="s">
        <v>131</v>
      </c>
      <c r="AC11" s="158">
        <f t="shared" si="3"/>
        <v>0</v>
      </c>
    </row>
    <row r="12" ht="22.5" customHeight="1">
      <c r="A12" s="6">
        <v>715.0</v>
      </c>
      <c r="B12" s="9" t="s">
        <v>39</v>
      </c>
      <c r="C12" s="161">
        <v>0.0</v>
      </c>
      <c r="D12" s="149">
        <v>40000.0</v>
      </c>
      <c r="E12" s="149">
        <v>5000.0</v>
      </c>
      <c r="F12" s="149">
        <v>5000.0</v>
      </c>
      <c r="G12" s="149">
        <v>2000.0</v>
      </c>
      <c r="H12" s="156">
        <v>10000.0</v>
      </c>
      <c r="I12" s="156">
        <v>44330.0</v>
      </c>
      <c r="J12" s="166"/>
      <c r="K12" s="156">
        <v>0.0</v>
      </c>
      <c r="L12" s="156">
        <f>73*31</f>
        <v>2263</v>
      </c>
      <c r="M12" s="156">
        <v>0.0</v>
      </c>
      <c r="N12" s="156">
        <v>0.0</v>
      </c>
      <c r="O12" s="156">
        <v>0.0</v>
      </c>
      <c r="P12" s="156">
        <v>0.0</v>
      </c>
      <c r="Q12" s="156">
        <v>50.0</v>
      </c>
      <c r="R12" s="156">
        <v>0.0</v>
      </c>
      <c r="S12" s="156">
        <v>0.0</v>
      </c>
      <c r="T12" s="156">
        <v>0.0</v>
      </c>
      <c r="U12" s="156"/>
      <c r="V12" s="156"/>
      <c r="W12" s="154">
        <f t="shared" si="1"/>
        <v>108643</v>
      </c>
      <c r="X12" s="156">
        <v>0.0</v>
      </c>
      <c r="Y12" s="156">
        <v>0.0</v>
      </c>
      <c r="Z12" s="157">
        <f t="shared" si="2"/>
        <v>108643</v>
      </c>
      <c r="AA12" s="139">
        <v>116000.0</v>
      </c>
      <c r="AB12" s="64" t="s">
        <v>131</v>
      </c>
      <c r="AC12" s="158">
        <f t="shared" si="3"/>
        <v>0</v>
      </c>
    </row>
    <row r="13" ht="22.5" customHeight="1">
      <c r="A13" s="6">
        <v>716.0</v>
      </c>
      <c r="B13" s="9" t="s">
        <v>40</v>
      </c>
      <c r="C13" s="161">
        <v>0.0</v>
      </c>
      <c r="D13" s="149">
        <v>40000.0</v>
      </c>
      <c r="E13" s="149">
        <v>5000.0</v>
      </c>
      <c r="F13" s="149">
        <v>5000.0</v>
      </c>
      <c r="G13" s="149">
        <v>2000.0</v>
      </c>
      <c r="H13" s="156">
        <v>11778.0</v>
      </c>
      <c r="I13" s="156">
        <v>15400.0</v>
      </c>
      <c r="J13" s="166"/>
      <c r="K13" s="156">
        <v>0.0</v>
      </c>
      <c r="L13" s="156">
        <v>0.0</v>
      </c>
      <c r="M13" s="156">
        <v>0.0</v>
      </c>
      <c r="N13" s="156">
        <v>0.0</v>
      </c>
      <c r="O13" s="156">
        <v>0.0</v>
      </c>
      <c r="P13" s="156">
        <v>0.0</v>
      </c>
      <c r="Q13" s="156">
        <v>0.0</v>
      </c>
      <c r="R13" s="156">
        <v>0.0</v>
      </c>
      <c r="S13" s="156">
        <v>0.0</v>
      </c>
      <c r="T13" s="156">
        <v>500.0</v>
      </c>
      <c r="U13" s="156"/>
      <c r="V13" s="156"/>
      <c r="W13" s="154">
        <f t="shared" si="1"/>
        <v>79678</v>
      </c>
      <c r="X13" s="156">
        <v>0.0</v>
      </c>
      <c r="Y13" s="156">
        <v>0.0</v>
      </c>
      <c r="Z13" s="157">
        <f t="shared" si="2"/>
        <v>79678</v>
      </c>
      <c r="AA13" s="139" t="s">
        <v>132</v>
      </c>
      <c r="AB13" s="64" t="s">
        <v>131</v>
      </c>
      <c r="AC13" s="158">
        <f t="shared" si="3"/>
        <v>0</v>
      </c>
    </row>
    <row r="14" ht="22.5" customHeight="1">
      <c r="A14" s="6"/>
      <c r="B14" s="9"/>
      <c r="C14" s="161"/>
      <c r="D14" s="156"/>
      <c r="E14" s="156"/>
      <c r="F14" s="156"/>
      <c r="G14" s="156"/>
      <c r="H14" s="156"/>
      <c r="I14" s="156"/>
      <c r="J14" s="16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4">
        <f t="shared" si="1"/>
        <v>0</v>
      </c>
      <c r="X14" s="156"/>
      <c r="Y14" s="156"/>
      <c r="Z14" s="157">
        <f t="shared" si="2"/>
        <v>0</v>
      </c>
      <c r="AA14" s="162"/>
      <c r="AB14" s="135"/>
      <c r="AC14" s="158">
        <f t="shared" si="3"/>
        <v>0</v>
      </c>
      <c r="AD14" s="135"/>
      <c r="AE14" s="135"/>
      <c r="AF14" s="135"/>
      <c r="AG14" s="135"/>
      <c r="AH14" s="135"/>
      <c r="AI14" s="135"/>
      <c r="AJ14" s="135"/>
    </row>
    <row r="15" ht="22.5" customHeight="1">
      <c r="A15" s="6"/>
      <c r="B15" s="9"/>
      <c r="C15" s="161"/>
      <c r="D15" s="156"/>
      <c r="E15" s="156"/>
      <c r="F15" s="156"/>
      <c r="G15" s="156"/>
      <c r="H15" s="156"/>
      <c r="I15" s="156"/>
      <c r="J15" s="16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4">
        <f t="shared" si="1"/>
        <v>0</v>
      </c>
      <c r="X15" s="156"/>
      <c r="Y15" s="156"/>
      <c r="Z15" s="157">
        <f t="shared" si="2"/>
        <v>0</v>
      </c>
      <c r="AA15" s="162"/>
      <c r="AB15" s="135"/>
      <c r="AC15" s="158">
        <f t="shared" si="3"/>
        <v>0</v>
      </c>
      <c r="AD15" s="135"/>
      <c r="AE15" s="135"/>
      <c r="AF15" s="135"/>
      <c r="AG15" s="135"/>
      <c r="AH15" s="135"/>
      <c r="AI15" s="135"/>
      <c r="AJ15" s="135"/>
    </row>
    <row r="16" ht="22.5" customHeight="1">
      <c r="A16" s="6"/>
      <c r="B16" s="9"/>
      <c r="C16" s="161"/>
      <c r="D16" s="156"/>
      <c r="E16" s="156"/>
      <c r="F16" s="156"/>
      <c r="G16" s="156"/>
      <c r="H16" s="156"/>
      <c r="I16" s="156"/>
      <c r="J16" s="16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4">
        <f t="shared" si="1"/>
        <v>0</v>
      </c>
      <c r="X16" s="156"/>
      <c r="Y16" s="156"/>
      <c r="Z16" s="157">
        <f t="shared" si="2"/>
        <v>0</v>
      </c>
      <c r="AA16" s="162"/>
      <c r="AB16" s="135"/>
      <c r="AC16" s="158">
        <f t="shared" si="3"/>
        <v>0</v>
      </c>
      <c r="AD16" s="135"/>
      <c r="AE16" s="135"/>
      <c r="AF16" s="135"/>
      <c r="AG16" s="135"/>
      <c r="AH16" s="135"/>
      <c r="AI16" s="135"/>
      <c r="AJ16" s="135"/>
    </row>
    <row r="17" ht="22.5" customHeight="1">
      <c r="A17" s="6"/>
      <c r="B17" s="9"/>
      <c r="C17" s="161"/>
      <c r="D17" s="156"/>
      <c r="E17" s="156"/>
      <c r="F17" s="156"/>
      <c r="G17" s="156"/>
      <c r="H17" s="156"/>
      <c r="I17" s="156"/>
      <c r="J17" s="16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4">
        <f t="shared" si="1"/>
        <v>0</v>
      </c>
      <c r="X17" s="156"/>
      <c r="Y17" s="156"/>
      <c r="Z17" s="157">
        <f t="shared" si="2"/>
        <v>0</v>
      </c>
      <c r="AA17" s="162"/>
      <c r="AB17" s="135"/>
      <c r="AC17" s="158">
        <f t="shared" si="3"/>
        <v>0</v>
      </c>
      <c r="AD17" s="135"/>
      <c r="AE17" s="135"/>
      <c r="AF17" s="135"/>
      <c r="AG17" s="135"/>
      <c r="AH17" s="135"/>
      <c r="AI17" s="135"/>
      <c r="AJ17" s="135"/>
    </row>
    <row r="18" ht="22.5" customHeight="1">
      <c r="A18" s="6"/>
      <c r="B18" s="9"/>
      <c r="C18" s="161"/>
      <c r="D18" s="156"/>
      <c r="E18" s="156"/>
      <c r="F18" s="156"/>
      <c r="G18" s="156"/>
      <c r="H18" s="156"/>
      <c r="I18" s="156"/>
      <c r="J18" s="16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4">
        <f t="shared" si="1"/>
        <v>0</v>
      </c>
      <c r="X18" s="156"/>
      <c r="Y18" s="156"/>
      <c r="Z18" s="157">
        <f t="shared" si="2"/>
        <v>0</v>
      </c>
      <c r="AA18" s="162"/>
      <c r="AB18" s="135"/>
      <c r="AC18" s="158">
        <f t="shared" si="3"/>
        <v>0</v>
      </c>
      <c r="AD18" s="135"/>
      <c r="AE18" s="135"/>
      <c r="AF18" s="135"/>
      <c r="AG18" s="135"/>
      <c r="AH18" s="135"/>
      <c r="AI18" s="135"/>
      <c r="AJ18" s="135"/>
    </row>
    <row r="19" ht="22.5" customHeight="1">
      <c r="A19" s="6"/>
      <c r="B19" s="9"/>
      <c r="C19" s="161"/>
      <c r="D19" s="156"/>
      <c r="E19" s="156"/>
      <c r="F19" s="156"/>
      <c r="G19" s="156"/>
      <c r="H19" s="156"/>
      <c r="I19" s="156"/>
      <c r="J19" s="16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4">
        <f t="shared" si="1"/>
        <v>0</v>
      </c>
      <c r="X19" s="156"/>
      <c r="Y19" s="156"/>
      <c r="Z19" s="157">
        <f t="shared" si="2"/>
        <v>0</v>
      </c>
      <c r="AA19" s="162"/>
      <c r="AB19" s="135"/>
      <c r="AC19" s="158">
        <f t="shared" si="3"/>
        <v>0</v>
      </c>
      <c r="AD19" s="135"/>
      <c r="AE19" s="135"/>
      <c r="AF19" s="135"/>
      <c r="AG19" s="135"/>
      <c r="AH19" s="135"/>
      <c r="AI19" s="135"/>
      <c r="AJ19" s="135"/>
    </row>
    <row r="20" ht="22.5" customHeight="1">
      <c r="A20" s="6"/>
      <c r="B20" s="9"/>
      <c r="C20" s="161"/>
      <c r="D20" s="156"/>
      <c r="E20" s="156"/>
      <c r="F20" s="156"/>
      <c r="G20" s="156"/>
      <c r="H20" s="156"/>
      <c r="I20" s="156"/>
      <c r="J20" s="16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4">
        <f t="shared" si="1"/>
        <v>0</v>
      </c>
      <c r="X20" s="156"/>
      <c r="Y20" s="156"/>
      <c r="Z20" s="157">
        <f t="shared" si="2"/>
        <v>0</v>
      </c>
      <c r="AA20" s="162"/>
      <c r="AB20" s="135"/>
      <c r="AC20" s="158">
        <f t="shared" si="3"/>
        <v>0</v>
      </c>
      <c r="AD20" s="135"/>
      <c r="AE20" s="135"/>
      <c r="AF20" s="135"/>
      <c r="AG20" s="135"/>
      <c r="AH20" s="135"/>
      <c r="AI20" s="135"/>
      <c r="AJ20" s="135"/>
    </row>
    <row r="21" ht="22.5" customHeight="1">
      <c r="A21" s="6"/>
      <c r="B21" s="9"/>
      <c r="C21" s="161"/>
      <c r="D21" s="156"/>
      <c r="E21" s="156"/>
      <c r="F21" s="156"/>
      <c r="G21" s="156"/>
      <c r="H21" s="156"/>
      <c r="I21" s="156"/>
      <c r="J21" s="16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4">
        <f t="shared" si="1"/>
        <v>0</v>
      </c>
      <c r="X21" s="156"/>
      <c r="Y21" s="156"/>
      <c r="Z21" s="157">
        <f t="shared" si="2"/>
        <v>0</v>
      </c>
      <c r="AA21" s="162"/>
      <c r="AB21" s="135"/>
      <c r="AC21" s="158">
        <f t="shared" si="3"/>
        <v>0</v>
      </c>
      <c r="AD21" s="135"/>
      <c r="AE21" s="135"/>
      <c r="AF21" s="135"/>
      <c r="AG21" s="135"/>
      <c r="AH21" s="135"/>
      <c r="AI21" s="135"/>
      <c r="AJ21" s="135"/>
    </row>
    <row r="22" ht="22.5" hidden="1" customHeight="1">
      <c r="A22" s="6"/>
      <c r="B22" s="9"/>
      <c r="C22" s="161"/>
      <c r="D22" s="156"/>
      <c r="E22" s="156"/>
      <c r="F22" s="156"/>
      <c r="G22" s="156"/>
      <c r="H22" s="156"/>
      <c r="I22" s="156"/>
      <c r="J22" s="16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4">
        <f t="shared" si="1"/>
        <v>0</v>
      </c>
      <c r="X22" s="156"/>
      <c r="Y22" s="156"/>
      <c r="Z22" s="157">
        <f t="shared" si="2"/>
        <v>0</v>
      </c>
      <c r="AA22" s="162"/>
      <c r="AB22" s="135"/>
      <c r="AC22" s="158">
        <f t="shared" si="3"/>
        <v>0</v>
      </c>
      <c r="AD22" s="135"/>
      <c r="AE22" s="135"/>
      <c r="AF22" s="135"/>
      <c r="AG22" s="135"/>
      <c r="AH22" s="135"/>
      <c r="AI22" s="135"/>
      <c r="AJ22" s="135"/>
    </row>
    <row r="23" ht="22.5" hidden="1" customHeight="1">
      <c r="A23" s="6"/>
      <c r="B23" s="9"/>
      <c r="C23" s="161"/>
      <c r="D23" s="156"/>
      <c r="E23" s="156"/>
      <c r="F23" s="156"/>
      <c r="G23" s="156"/>
      <c r="H23" s="156"/>
      <c r="I23" s="156"/>
      <c r="J23" s="16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4">
        <f t="shared" si="1"/>
        <v>0</v>
      </c>
      <c r="X23" s="156"/>
      <c r="Y23" s="156"/>
      <c r="Z23" s="157">
        <f t="shared" si="2"/>
        <v>0</v>
      </c>
      <c r="AA23" s="162"/>
      <c r="AB23" s="135"/>
      <c r="AC23" s="158">
        <f t="shared" si="3"/>
        <v>0</v>
      </c>
      <c r="AD23" s="135"/>
      <c r="AE23" s="135"/>
      <c r="AF23" s="135"/>
      <c r="AG23" s="135"/>
      <c r="AH23" s="135"/>
      <c r="AI23" s="135"/>
      <c r="AJ23" s="135"/>
    </row>
    <row r="24" ht="22.5" hidden="1" customHeight="1">
      <c r="A24" s="6"/>
      <c r="B24" s="9"/>
      <c r="C24" s="161"/>
      <c r="D24" s="156"/>
      <c r="E24" s="156"/>
      <c r="F24" s="156"/>
      <c r="G24" s="156"/>
      <c r="H24" s="156"/>
      <c r="I24" s="156"/>
      <c r="J24" s="16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4">
        <f t="shared" si="1"/>
        <v>0</v>
      </c>
      <c r="X24" s="156"/>
      <c r="Y24" s="156"/>
      <c r="Z24" s="157">
        <f t="shared" si="2"/>
        <v>0</v>
      </c>
      <c r="AA24" s="162"/>
      <c r="AB24" s="135"/>
      <c r="AC24" s="158">
        <f t="shared" si="3"/>
        <v>0</v>
      </c>
      <c r="AD24" s="135"/>
      <c r="AE24" s="135"/>
      <c r="AF24" s="135"/>
      <c r="AG24" s="135"/>
      <c r="AH24" s="135"/>
      <c r="AI24" s="135"/>
      <c r="AJ24" s="135"/>
    </row>
    <row r="25" ht="22.5" hidden="1" customHeight="1">
      <c r="A25" s="6"/>
      <c r="B25" s="9"/>
      <c r="C25" s="161"/>
      <c r="D25" s="156"/>
      <c r="E25" s="156"/>
      <c r="F25" s="156"/>
      <c r="G25" s="156"/>
      <c r="H25" s="156"/>
      <c r="I25" s="156"/>
      <c r="J25" s="16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4">
        <f t="shared" si="1"/>
        <v>0</v>
      </c>
      <c r="X25" s="156"/>
      <c r="Y25" s="156"/>
      <c r="Z25" s="157">
        <f t="shared" si="2"/>
        <v>0</v>
      </c>
      <c r="AA25" s="162"/>
      <c r="AB25" s="135"/>
      <c r="AC25" s="158">
        <f t="shared" si="3"/>
        <v>0</v>
      </c>
      <c r="AD25" s="135"/>
      <c r="AE25" s="135"/>
      <c r="AF25" s="135"/>
      <c r="AG25" s="135"/>
      <c r="AH25" s="135"/>
      <c r="AI25" s="135"/>
      <c r="AJ25" s="135"/>
    </row>
    <row r="26" ht="22.5" hidden="1" customHeight="1">
      <c r="A26" s="6"/>
      <c r="B26" s="9"/>
      <c r="C26" s="161"/>
      <c r="D26" s="156"/>
      <c r="E26" s="156"/>
      <c r="F26" s="156"/>
      <c r="G26" s="156"/>
      <c r="H26" s="156"/>
      <c r="I26" s="156"/>
      <c r="J26" s="16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4">
        <f t="shared" si="1"/>
        <v>0</v>
      </c>
      <c r="X26" s="156"/>
      <c r="Y26" s="156"/>
      <c r="Z26" s="157">
        <f t="shared" si="2"/>
        <v>0</v>
      </c>
      <c r="AA26" s="162"/>
      <c r="AB26" s="135"/>
      <c r="AC26" s="158">
        <f t="shared" si="3"/>
        <v>0</v>
      </c>
      <c r="AD26" s="135"/>
      <c r="AE26" s="135"/>
      <c r="AF26" s="135"/>
      <c r="AG26" s="135"/>
      <c r="AH26" s="135"/>
      <c r="AI26" s="135"/>
      <c r="AJ26" s="135"/>
    </row>
    <row r="27" ht="22.5" hidden="1" customHeight="1">
      <c r="A27" s="6"/>
      <c r="B27" s="9"/>
      <c r="C27" s="161"/>
      <c r="D27" s="156"/>
      <c r="E27" s="156"/>
      <c r="F27" s="156"/>
      <c r="G27" s="156"/>
      <c r="H27" s="156"/>
      <c r="I27" s="156"/>
      <c r="J27" s="16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4">
        <f t="shared" si="1"/>
        <v>0</v>
      </c>
      <c r="X27" s="156"/>
      <c r="Y27" s="156"/>
      <c r="Z27" s="157">
        <f t="shared" si="2"/>
        <v>0</v>
      </c>
      <c r="AA27" s="162"/>
      <c r="AB27" s="135"/>
      <c r="AC27" s="158">
        <f t="shared" si="3"/>
        <v>0</v>
      </c>
      <c r="AD27" s="135"/>
      <c r="AE27" s="135"/>
      <c r="AF27" s="135"/>
      <c r="AG27" s="135"/>
      <c r="AH27" s="135"/>
      <c r="AI27" s="135"/>
      <c r="AJ27" s="135"/>
    </row>
    <row r="28" ht="22.5" hidden="1" customHeight="1">
      <c r="A28" s="6"/>
      <c r="B28" s="9"/>
      <c r="C28" s="161"/>
      <c r="D28" s="156"/>
      <c r="E28" s="156"/>
      <c r="F28" s="156"/>
      <c r="G28" s="156"/>
      <c r="H28" s="156"/>
      <c r="I28" s="156"/>
      <c r="J28" s="16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4">
        <f t="shared" si="1"/>
        <v>0</v>
      </c>
      <c r="X28" s="156"/>
      <c r="Y28" s="156"/>
      <c r="Z28" s="157">
        <f t="shared" si="2"/>
        <v>0</v>
      </c>
      <c r="AA28" s="162"/>
      <c r="AB28" s="135"/>
      <c r="AC28" s="158">
        <f t="shared" si="3"/>
        <v>0</v>
      </c>
      <c r="AD28" s="135"/>
      <c r="AE28" s="135"/>
      <c r="AF28" s="135"/>
      <c r="AG28" s="135"/>
      <c r="AH28" s="135"/>
      <c r="AI28" s="135"/>
      <c r="AJ28" s="135"/>
    </row>
    <row r="29" ht="22.5" hidden="1" customHeight="1">
      <c r="A29" s="6"/>
      <c r="B29" s="9"/>
      <c r="C29" s="161"/>
      <c r="D29" s="156"/>
      <c r="E29" s="156"/>
      <c r="F29" s="156"/>
      <c r="G29" s="156"/>
      <c r="H29" s="156"/>
      <c r="I29" s="156"/>
      <c r="J29" s="16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4">
        <f t="shared" si="1"/>
        <v>0</v>
      </c>
      <c r="X29" s="156"/>
      <c r="Y29" s="156"/>
      <c r="Z29" s="157">
        <f t="shared" si="2"/>
        <v>0</v>
      </c>
      <c r="AA29" s="162"/>
      <c r="AB29" s="135"/>
      <c r="AC29" s="158">
        <f t="shared" si="3"/>
        <v>0</v>
      </c>
      <c r="AD29" s="135"/>
      <c r="AE29" s="135"/>
      <c r="AF29" s="135"/>
      <c r="AG29" s="135"/>
      <c r="AH29" s="135"/>
      <c r="AI29" s="135"/>
      <c r="AJ29" s="135"/>
    </row>
    <row r="30" ht="22.5" hidden="1" customHeight="1">
      <c r="A30" s="6"/>
      <c r="B30" s="9"/>
      <c r="C30" s="161"/>
      <c r="D30" s="156"/>
      <c r="E30" s="156"/>
      <c r="F30" s="156"/>
      <c r="G30" s="156"/>
      <c r="H30" s="156"/>
      <c r="I30" s="156"/>
      <c r="J30" s="16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4">
        <f t="shared" si="1"/>
        <v>0</v>
      </c>
      <c r="X30" s="156"/>
      <c r="Y30" s="156"/>
      <c r="Z30" s="157">
        <f t="shared" si="2"/>
        <v>0</v>
      </c>
      <c r="AA30" s="162"/>
      <c r="AB30" s="135"/>
      <c r="AC30" s="158">
        <f t="shared" si="3"/>
        <v>0</v>
      </c>
      <c r="AD30" s="135"/>
      <c r="AE30" s="135"/>
      <c r="AF30" s="135"/>
      <c r="AG30" s="135"/>
      <c r="AH30" s="135"/>
      <c r="AI30" s="135"/>
      <c r="AJ30" s="135"/>
    </row>
    <row r="31" ht="22.5" hidden="1" customHeight="1">
      <c r="A31" s="6"/>
      <c r="B31" s="9"/>
      <c r="C31" s="161"/>
      <c r="D31" s="156"/>
      <c r="E31" s="156"/>
      <c r="F31" s="156"/>
      <c r="G31" s="156"/>
      <c r="H31" s="156"/>
      <c r="I31" s="156"/>
      <c r="J31" s="16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4">
        <f t="shared" si="1"/>
        <v>0</v>
      </c>
      <c r="X31" s="156"/>
      <c r="Y31" s="156"/>
      <c r="Z31" s="157">
        <f t="shared" si="2"/>
        <v>0</v>
      </c>
      <c r="AA31" s="162"/>
      <c r="AB31" s="135"/>
      <c r="AC31" s="158">
        <f t="shared" si="3"/>
        <v>0</v>
      </c>
      <c r="AD31" s="135"/>
      <c r="AE31" s="135"/>
      <c r="AF31" s="135"/>
      <c r="AG31" s="135"/>
      <c r="AH31" s="135"/>
      <c r="AI31" s="135"/>
      <c r="AJ31" s="135"/>
    </row>
    <row r="32" ht="22.5" hidden="1" customHeight="1">
      <c r="A32" s="6"/>
      <c r="B32" s="9"/>
      <c r="C32" s="161"/>
      <c r="D32" s="156"/>
      <c r="E32" s="156"/>
      <c r="F32" s="156"/>
      <c r="G32" s="156"/>
      <c r="H32" s="156"/>
      <c r="I32" s="156"/>
      <c r="J32" s="16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4">
        <f t="shared" si="1"/>
        <v>0</v>
      </c>
      <c r="X32" s="156"/>
      <c r="Y32" s="156"/>
      <c r="Z32" s="157">
        <f t="shared" si="2"/>
        <v>0</v>
      </c>
      <c r="AA32" s="162"/>
      <c r="AB32" s="135"/>
      <c r="AC32" s="158">
        <f t="shared" si="3"/>
        <v>0</v>
      </c>
      <c r="AD32" s="135"/>
      <c r="AE32" s="135"/>
      <c r="AF32" s="135"/>
      <c r="AG32" s="135"/>
      <c r="AH32" s="135"/>
      <c r="AI32" s="135"/>
      <c r="AJ32" s="135"/>
    </row>
    <row r="33" ht="22.5" hidden="1" customHeight="1">
      <c r="A33" s="6"/>
      <c r="B33" s="9"/>
      <c r="C33" s="161"/>
      <c r="D33" s="156"/>
      <c r="E33" s="156"/>
      <c r="F33" s="156"/>
      <c r="G33" s="156"/>
      <c r="H33" s="156"/>
      <c r="I33" s="156"/>
      <c r="J33" s="16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4">
        <f t="shared" si="1"/>
        <v>0</v>
      </c>
      <c r="X33" s="156"/>
      <c r="Y33" s="156"/>
      <c r="Z33" s="157">
        <f t="shared" si="2"/>
        <v>0</v>
      </c>
      <c r="AA33" s="162"/>
      <c r="AB33" s="135"/>
      <c r="AC33" s="158">
        <f t="shared" si="3"/>
        <v>0</v>
      </c>
      <c r="AD33" s="135"/>
      <c r="AE33" s="135"/>
      <c r="AF33" s="135"/>
      <c r="AG33" s="135"/>
      <c r="AH33" s="135"/>
      <c r="AI33" s="135"/>
      <c r="AJ33" s="135"/>
    </row>
    <row r="34" ht="22.5" hidden="1" customHeight="1">
      <c r="A34" s="6"/>
      <c r="B34" s="9"/>
      <c r="C34" s="161"/>
      <c r="D34" s="156"/>
      <c r="E34" s="156"/>
      <c r="F34" s="156"/>
      <c r="G34" s="156"/>
      <c r="H34" s="156"/>
      <c r="I34" s="156"/>
      <c r="J34" s="16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4">
        <f t="shared" si="1"/>
        <v>0</v>
      </c>
      <c r="X34" s="156"/>
      <c r="Y34" s="156"/>
      <c r="Z34" s="157">
        <f t="shared" si="2"/>
        <v>0</v>
      </c>
      <c r="AA34" s="162"/>
      <c r="AB34" s="135"/>
      <c r="AC34" s="158">
        <f t="shared" si="3"/>
        <v>0</v>
      </c>
      <c r="AD34" s="135"/>
      <c r="AE34" s="135"/>
      <c r="AF34" s="135"/>
      <c r="AG34" s="135"/>
      <c r="AH34" s="135"/>
      <c r="AI34" s="135"/>
      <c r="AJ34" s="135"/>
    </row>
    <row r="35" ht="22.5" hidden="1" customHeight="1">
      <c r="A35" s="6"/>
      <c r="B35" s="9"/>
      <c r="C35" s="161"/>
      <c r="D35" s="156"/>
      <c r="E35" s="156"/>
      <c r="F35" s="156"/>
      <c r="G35" s="156"/>
      <c r="H35" s="156"/>
      <c r="I35" s="156"/>
      <c r="J35" s="16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4">
        <f t="shared" si="1"/>
        <v>0</v>
      </c>
      <c r="X35" s="156"/>
      <c r="Y35" s="156"/>
      <c r="Z35" s="157">
        <f t="shared" si="2"/>
        <v>0</v>
      </c>
      <c r="AA35" s="162"/>
      <c r="AB35" s="135"/>
      <c r="AC35" s="158">
        <f t="shared" si="3"/>
        <v>0</v>
      </c>
      <c r="AD35" s="135"/>
      <c r="AE35" s="135"/>
      <c r="AF35" s="135"/>
      <c r="AG35" s="135"/>
      <c r="AH35" s="135"/>
      <c r="AI35" s="135"/>
      <c r="AJ35" s="135"/>
    </row>
    <row r="36" ht="22.5" hidden="1" customHeight="1">
      <c r="A36" s="6"/>
      <c r="B36" s="9"/>
      <c r="C36" s="161"/>
      <c r="D36" s="156"/>
      <c r="E36" s="156"/>
      <c r="F36" s="156"/>
      <c r="G36" s="156"/>
      <c r="H36" s="156"/>
      <c r="I36" s="156"/>
      <c r="J36" s="16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4">
        <f t="shared" si="1"/>
        <v>0</v>
      </c>
      <c r="X36" s="156"/>
      <c r="Y36" s="156"/>
      <c r="Z36" s="157">
        <f t="shared" si="2"/>
        <v>0</v>
      </c>
      <c r="AA36" s="162"/>
      <c r="AB36" s="135"/>
      <c r="AC36" s="158">
        <f t="shared" si="3"/>
        <v>0</v>
      </c>
      <c r="AD36" s="135"/>
      <c r="AE36" s="135"/>
      <c r="AF36" s="135"/>
      <c r="AG36" s="135"/>
      <c r="AH36" s="135"/>
      <c r="AI36" s="135"/>
      <c r="AJ36" s="135"/>
    </row>
    <row r="37" ht="22.5" hidden="1" customHeight="1">
      <c r="A37" s="6"/>
      <c r="B37" s="9"/>
      <c r="C37" s="161"/>
      <c r="D37" s="156"/>
      <c r="E37" s="156"/>
      <c r="F37" s="156"/>
      <c r="G37" s="156"/>
      <c r="H37" s="156"/>
      <c r="I37" s="156"/>
      <c r="J37" s="16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4">
        <f t="shared" si="1"/>
        <v>0</v>
      </c>
      <c r="X37" s="156"/>
      <c r="Y37" s="156"/>
      <c r="Z37" s="157">
        <f t="shared" si="2"/>
        <v>0</v>
      </c>
      <c r="AA37" s="162"/>
      <c r="AB37" s="135"/>
      <c r="AC37" s="158">
        <f t="shared" si="3"/>
        <v>0</v>
      </c>
      <c r="AD37" s="135"/>
      <c r="AE37" s="135"/>
      <c r="AF37" s="135"/>
      <c r="AG37" s="135"/>
      <c r="AH37" s="135"/>
      <c r="AI37" s="135"/>
      <c r="AJ37" s="135"/>
    </row>
    <row r="38" ht="22.5" hidden="1" customHeight="1">
      <c r="A38" s="6"/>
      <c r="B38" s="9"/>
      <c r="C38" s="161"/>
      <c r="D38" s="156"/>
      <c r="E38" s="156"/>
      <c r="F38" s="156"/>
      <c r="G38" s="156"/>
      <c r="H38" s="156"/>
      <c r="I38" s="156"/>
      <c r="J38" s="16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4">
        <f t="shared" si="1"/>
        <v>0</v>
      </c>
      <c r="X38" s="156"/>
      <c r="Y38" s="156"/>
      <c r="Z38" s="157">
        <f t="shared" si="2"/>
        <v>0</v>
      </c>
      <c r="AA38" s="162"/>
      <c r="AB38" s="135"/>
      <c r="AC38" s="158">
        <f t="shared" si="3"/>
        <v>0</v>
      </c>
      <c r="AD38" s="135"/>
      <c r="AE38" s="135"/>
      <c r="AF38" s="135"/>
      <c r="AG38" s="135"/>
      <c r="AH38" s="135"/>
      <c r="AI38" s="135"/>
      <c r="AJ38" s="135"/>
    </row>
    <row r="39" ht="22.5" hidden="1" customHeight="1">
      <c r="A39" s="6"/>
      <c r="B39" s="9"/>
      <c r="C39" s="161"/>
      <c r="D39" s="156"/>
      <c r="E39" s="156"/>
      <c r="F39" s="156"/>
      <c r="G39" s="156"/>
      <c r="H39" s="156"/>
      <c r="I39" s="156"/>
      <c r="J39" s="16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4">
        <f t="shared" si="1"/>
        <v>0</v>
      </c>
      <c r="X39" s="156"/>
      <c r="Y39" s="156"/>
      <c r="Z39" s="157">
        <f t="shared" si="2"/>
        <v>0</v>
      </c>
      <c r="AA39" s="162"/>
      <c r="AB39" s="135"/>
      <c r="AC39" s="158">
        <f t="shared" si="3"/>
        <v>0</v>
      </c>
      <c r="AD39" s="135"/>
      <c r="AE39" s="135"/>
      <c r="AF39" s="135"/>
      <c r="AG39" s="135"/>
      <c r="AH39" s="135"/>
      <c r="AI39" s="135"/>
      <c r="AJ39" s="135"/>
    </row>
    <row r="40" ht="22.5" hidden="1" customHeight="1">
      <c r="A40" s="6"/>
      <c r="B40" s="9"/>
      <c r="C40" s="161"/>
      <c r="D40" s="156"/>
      <c r="E40" s="156"/>
      <c r="F40" s="156"/>
      <c r="G40" s="156"/>
      <c r="H40" s="156"/>
      <c r="I40" s="156"/>
      <c r="J40" s="16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4">
        <f t="shared" si="1"/>
        <v>0</v>
      </c>
      <c r="X40" s="156"/>
      <c r="Y40" s="156"/>
      <c r="Z40" s="157">
        <f t="shared" si="2"/>
        <v>0</v>
      </c>
      <c r="AA40" s="162"/>
      <c r="AB40" s="135"/>
      <c r="AC40" s="158">
        <f t="shared" si="3"/>
        <v>0</v>
      </c>
      <c r="AD40" s="135"/>
      <c r="AE40" s="135"/>
      <c r="AF40" s="135"/>
      <c r="AG40" s="135"/>
      <c r="AH40" s="135"/>
      <c r="AI40" s="135"/>
      <c r="AJ40" s="135"/>
    </row>
    <row r="41" ht="22.5" hidden="1" customHeight="1">
      <c r="A41" s="6"/>
      <c r="B41" s="9"/>
      <c r="C41" s="161"/>
      <c r="D41" s="156"/>
      <c r="E41" s="156"/>
      <c r="F41" s="156"/>
      <c r="G41" s="156"/>
      <c r="H41" s="156"/>
      <c r="I41" s="156"/>
      <c r="J41" s="16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4">
        <f t="shared" si="1"/>
        <v>0</v>
      </c>
      <c r="X41" s="156"/>
      <c r="Y41" s="156"/>
      <c r="Z41" s="157">
        <f t="shared" si="2"/>
        <v>0</v>
      </c>
      <c r="AA41" s="162"/>
      <c r="AB41" s="135"/>
      <c r="AC41" s="158">
        <f t="shared" si="3"/>
        <v>0</v>
      </c>
      <c r="AD41" s="135"/>
      <c r="AE41" s="135"/>
      <c r="AF41" s="135"/>
      <c r="AG41" s="135"/>
      <c r="AH41" s="135"/>
      <c r="AI41" s="135"/>
      <c r="AJ41" s="135"/>
    </row>
    <row r="42" ht="22.5" hidden="1" customHeight="1">
      <c r="A42" s="6"/>
      <c r="B42" s="9"/>
      <c r="C42" s="161"/>
      <c r="D42" s="156"/>
      <c r="E42" s="156"/>
      <c r="F42" s="156"/>
      <c r="G42" s="156"/>
      <c r="H42" s="156"/>
      <c r="I42" s="156"/>
      <c r="J42" s="16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4">
        <f t="shared" si="1"/>
        <v>0</v>
      </c>
      <c r="X42" s="156"/>
      <c r="Y42" s="156"/>
      <c r="Z42" s="157">
        <f t="shared" si="2"/>
        <v>0</v>
      </c>
      <c r="AA42" s="162"/>
      <c r="AB42" s="135"/>
      <c r="AC42" s="158">
        <f t="shared" si="3"/>
        <v>0</v>
      </c>
      <c r="AD42" s="135"/>
      <c r="AE42" s="135"/>
      <c r="AF42" s="135"/>
      <c r="AG42" s="135"/>
      <c r="AH42" s="135"/>
      <c r="AI42" s="135"/>
      <c r="AJ42" s="135"/>
    </row>
    <row r="43" ht="22.5" hidden="1" customHeight="1">
      <c r="A43" s="6"/>
      <c r="B43" s="9"/>
      <c r="C43" s="161"/>
      <c r="D43" s="156"/>
      <c r="E43" s="156"/>
      <c r="F43" s="156"/>
      <c r="G43" s="156"/>
      <c r="H43" s="156"/>
      <c r="I43" s="156"/>
      <c r="J43" s="16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4">
        <f t="shared" si="1"/>
        <v>0</v>
      </c>
      <c r="X43" s="156"/>
      <c r="Y43" s="156"/>
      <c r="Z43" s="157">
        <f t="shared" si="2"/>
        <v>0</v>
      </c>
      <c r="AA43" s="162"/>
      <c r="AB43" s="135"/>
      <c r="AC43" s="158">
        <f t="shared" si="3"/>
        <v>0</v>
      </c>
      <c r="AD43" s="135"/>
      <c r="AE43" s="135"/>
      <c r="AF43" s="135"/>
      <c r="AG43" s="135"/>
      <c r="AH43" s="135"/>
      <c r="AI43" s="135"/>
      <c r="AJ43" s="135"/>
    </row>
    <row r="44" ht="22.5" hidden="1" customHeight="1">
      <c r="A44" s="6"/>
      <c r="B44" s="9"/>
      <c r="C44" s="161"/>
      <c r="D44" s="156"/>
      <c r="E44" s="156"/>
      <c r="F44" s="156"/>
      <c r="G44" s="156"/>
      <c r="H44" s="156"/>
      <c r="I44" s="156"/>
      <c r="J44" s="16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4">
        <f t="shared" si="1"/>
        <v>0</v>
      </c>
      <c r="X44" s="156"/>
      <c r="Y44" s="156"/>
      <c r="Z44" s="157">
        <f t="shared" si="2"/>
        <v>0</v>
      </c>
      <c r="AA44" s="162"/>
      <c r="AB44" s="135"/>
      <c r="AC44" s="158">
        <f t="shared" si="3"/>
        <v>0</v>
      </c>
      <c r="AD44" s="135"/>
      <c r="AE44" s="135"/>
      <c r="AF44" s="135"/>
      <c r="AG44" s="135"/>
      <c r="AH44" s="135"/>
      <c r="AI44" s="135"/>
      <c r="AJ44" s="135"/>
    </row>
    <row r="45" ht="22.5" hidden="1" customHeight="1">
      <c r="A45" s="6"/>
      <c r="B45" s="9"/>
      <c r="C45" s="161"/>
      <c r="D45" s="156"/>
      <c r="E45" s="156"/>
      <c r="F45" s="156"/>
      <c r="G45" s="156"/>
      <c r="H45" s="156"/>
      <c r="I45" s="156"/>
      <c r="J45" s="16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4">
        <f t="shared" si="1"/>
        <v>0</v>
      </c>
      <c r="X45" s="156"/>
      <c r="Y45" s="156"/>
      <c r="Z45" s="157">
        <f t="shared" si="2"/>
        <v>0</v>
      </c>
      <c r="AA45" s="162"/>
      <c r="AB45" s="135"/>
      <c r="AC45" s="158">
        <f t="shared" si="3"/>
        <v>0</v>
      </c>
      <c r="AD45" s="135"/>
      <c r="AE45" s="135"/>
      <c r="AF45" s="135"/>
      <c r="AG45" s="135"/>
      <c r="AH45" s="135"/>
      <c r="AI45" s="135"/>
      <c r="AJ45" s="135"/>
    </row>
    <row r="46" ht="22.5" hidden="1" customHeight="1">
      <c r="A46" s="6"/>
      <c r="B46" s="9"/>
      <c r="C46" s="161"/>
      <c r="D46" s="156"/>
      <c r="E46" s="156"/>
      <c r="F46" s="156"/>
      <c r="G46" s="156"/>
      <c r="H46" s="156"/>
      <c r="I46" s="156"/>
      <c r="J46" s="16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4">
        <f t="shared" si="1"/>
        <v>0</v>
      </c>
      <c r="X46" s="156"/>
      <c r="Y46" s="156"/>
      <c r="Z46" s="157">
        <f t="shared" si="2"/>
        <v>0</v>
      </c>
      <c r="AA46" s="162"/>
      <c r="AB46" s="135"/>
      <c r="AC46" s="158">
        <f t="shared" si="3"/>
        <v>0</v>
      </c>
      <c r="AD46" s="135"/>
      <c r="AE46" s="135"/>
      <c r="AF46" s="135"/>
      <c r="AG46" s="135"/>
      <c r="AH46" s="135"/>
      <c r="AI46" s="135"/>
      <c r="AJ46" s="135"/>
    </row>
    <row r="47" ht="22.5" hidden="1" customHeight="1">
      <c r="A47" s="6"/>
      <c r="B47" s="9"/>
      <c r="C47" s="161"/>
      <c r="D47" s="156"/>
      <c r="E47" s="156"/>
      <c r="F47" s="156"/>
      <c r="G47" s="156"/>
      <c r="H47" s="156"/>
      <c r="I47" s="156"/>
      <c r="J47" s="16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4">
        <f t="shared" si="1"/>
        <v>0</v>
      </c>
      <c r="X47" s="156"/>
      <c r="Y47" s="156"/>
      <c r="Z47" s="157">
        <f t="shared" si="2"/>
        <v>0</v>
      </c>
      <c r="AA47" s="162"/>
      <c r="AB47" s="135"/>
      <c r="AC47" s="158">
        <f t="shared" si="3"/>
        <v>0</v>
      </c>
      <c r="AD47" s="135"/>
      <c r="AE47" s="135"/>
      <c r="AF47" s="135"/>
      <c r="AG47" s="135"/>
      <c r="AH47" s="135"/>
      <c r="AI47" s="135"/>
      <c r="AJ47" s="135"/>
    </row>
    <row r="48" ht="22.5" hidden="1" customHeight="1">
      <c r="A48" s="6"/>
      <c r="B48" s="9"/>
      <c r="C48" s="161"/>
      <c r="D48" s="156"/>
      <c r="E48" s="156"/>
      <c r="F48" s="156"/>
      <c r="G48" s="156"/>
      <c r="H48" s="156"/>
      <c r="I48" s="156"/>
      <c r="J48" s="16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4">
        <f t="shared" si="1"/>
        <v>0</v>
      </c>
      <c r="X48" s="156"/>
      <c r="Y48" s="156"/>
      <c r="Z48" s="157">
        <f t="shared" si="2"/>
        <v>0</v>
      </c>
      <c r="AA48" s="162"/>
      <c r="AB48" s="135"/>
      <c r="AC48" s="158">
        <f t="shared" si="3"/>
        <v>0</v>
      </c>
      <c r="AD48" s="135"/>
      <c r="AE48" s="135"/>
      <c r="AF48" s="135"/>
      <c r="AG48" s="135"/>
      <c r="AH48" s="135"/>
      <c r="AI48" s="135"/>
      <c r="AJ48" s="135"/>
    </row>
    <row r="49" ht="22.5" hidden="1" customHeight="1">
      <c r="A49" s="6"/>
      <c r="B49" s="9"/>
      <c r="C49" s="161"/>
      <c r="D49" s="156"/>
      <c r="E49" s="156"/>
      <c r="F49" s="156"/>
      <c r="G49" s="156"/>
      <c r="H49" s="156"/>
      <c r="I49" s="156"/>
      <c r="J49" s="16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4">
        <f t="shared" si="1"/>
        <v>0</v>
      </c>
      <c r="X49" s="156"/>
      <c r="Y49" s="156"/>
      <c r="Z49" s="157">
        <f t="shared" si="2"/>
        <v>0</v>
      </c>
      <c r="AA49" s="162"/>
      <c r="AB49" s="135"/>
      <c r="AC49" s="158">
        <f t="shared" si="3"/>
        <v>0</v>
      </c>
      <c r="AD49" s="135"/>
      <c r="AE49" s="135"/>
      <c r="AF49" s="135"/>
      <c r="AG49" s="135"/>
      <c r="AH49" s="135"/>
      <c r="AI49" s="135"/>
      <c r="AJ49" s="135"/>
    </row>
    <row r="50" ht="22.5" hidden="1" customHeight="1">
      <c r="A50" s="6"/>
      <c r="B50" s="9"/>
      <c r="C50" s="161"/>
      <c r="D50" s="156"/>
      <c r="E50" s="156"/>
      <c r="F50" s="156"/>
      <c r="G50" s="156"/>
      <c r="H50" s="156"/>
      <c r="I50" s="156"/>
      <c r="J50" s="16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4">
        <f t="shared" si="1"/>
        <v>0</v>
      </c>
      <c r="X50" s="156"/>
      <c r="Y50" s="156"/>
      <c r="Z50" s="157">
        <f t="shared" si="2"/>
        <v>0</v>
      </c>
      <c r="AA50" s="162"/>
      <c r="AB50" s="135"/>
      <c r="AC50" s="158">
        <f t="shared" si="3"/>
        <v>0</v>
      </c>
      <c r="AD50" s="135"/>
      <c r="AE50" s="135"/>
      <c r="AF50" s="135"/>
      <c r="AG50" s="135"/>
      <c r="AH50" s="135"/>
      <c r="AI50" s="135"/>
      <c r="AJ50" s="135"/>
    </row>
    <row r="51" ht="22.5" hidden="1" customHeight="1">
      <c r="A51" s="6"/>
      <c r="B51" s="9"/>
      <c r="C51" s="161"/>
      <c r="D51" s="156"/>
      <c r="E51" s="156"/>
      <c r="F51" s="156"/>
      <c r="G51" s="156"/>
      <c r="H51" s="156"/>
      <c r="I51" s="156"/>
      <c r="J51" s="16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4">
        <f t="shared" si="1"/>
        <v>0</v>
      </c>
      <c r="X51" s="156"/>
      <c r="Y51" s="156"/>
      <c r="Z51" s="157">
        <f t="shared" si="2"/>
        <v>0</v>
      </c>
      <c r="AA51" s="162"/>
      <c r="AB51" s="135"/>
      <c r="AC51" s="158">
        <f t="shared" si="3"/>
        <v>0</v>
      </c>
      <c r="AD51" s="135"/>
      <c r="AE51" s="135"/>
      <c r="AF51" s="135"/>
      <c r="AG51" s="135"/>
      <c r="AH51" s="135"/>
      <c r="AI51" s="135"/>
      <c r="AJ51" s="135"/>
    </row>
    <row r="52" ht="22.5" hidden="1" customHeight="1">
      <c r="A52" s="6"/>
      <c r="B52" s="9"/>
      <c r="C52" s="161"/>
      <c r="D52" s="156"/>
      <c r="E52" s="156"/>
      <c r="F52" s="156"/>
      <c r="G52" s="156"/>
      <c r="H52" s="156"/>
      <c r="I52" s="156"/>
      <c r="J52" s="16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4">
        <f t="shared" si="1"/>
        <v>0</v>
      </c>
      <c r="X52" s="156"/>
      <c r="Y52" s="156"/>
      <c r="Z52" s="157">
        <f t="shared" si="2"/>
        <v>0</v>
      </c>
      <c r="AA52" s="162"/>
      <c r="AB52" s="135"/>
      <c r="AC52" s="158">
        <f t="shared" si="3"/>
        <v>0</v>
      </c>
      <c r="AD52" s="135"/>
      <c r="AE52" s="135"/>
      <c r="AF52" s="135"/>
      <c r="AG52" s="135"/>
      <c r="AH52" s="135"/>
      <c r="AI52" s="135"/>
      <c r="AJ52" s="135"/>
    </row>
    <row r="53" ht="22.5" hidden="1" customHeight="1">
      <c r="A53" s="6"/>
      <c r="B53" s="9"/>
      <c r="C53" s="161"/>
      <c r="D53" s="156"/>
      <c r="E53" s="156"/>
      <c r="F53" s="156"/>
      <c r="G53" s="156"/>
      <c r="H53" s="156"/>
      <c r="I53" s="156"/>
      <c r="J53" s="16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4">
        <f t="shared" si="1"/>
        <v>0</v>
      </c>
      <c r="X53" s="156"/>
      <c r="Y53" s="156"/>
      <c r="Z53" s="157">
        <f t="shared" si="2"/>
        <v>0</v>
      </c>
      <c r="AA53" s="162"/>
      <c r="AB53" s="135"/>
      <c r="AC53" s="158">
        <f t="shared" si="3"/>
        <v>0</v>
      </c>
      <c r="AD53" s="135"/>
      <c r="AE53" s="135"/>
      <c r="AF53" s="135"/>
      <c r="AG53" s="135"/>
      <c r="AH53" s="135"/>
      <c r="AI53" s="135"/>
      <c r="AJ53" s="135"/>
    </row>
    <row r="54" ht="22.5" hidden="1" customHeight="1">
      <c r="A54" s="6"/>
      <c r="B54" s="9"/>
      <c r="C54" s="161"/>
      <c r="D54" s="156"/>
      <c r="E54" s="156"/>
      <c r="F54" s="156"/>
      <c r="G54" s="156"/>
      <c r="H54" s="156"/>
      <c r="I54" s="156"/>
      <c r="J54" s="16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4">
        <f t="shared" si="1"/>
        <v>0</v>
      </c>
      <c r="X54" s="156"/>
      <c r="Y54" s="156"/>
      <c r="Z54" s="157">
        <f t="shared" si="2"/>
        <v>0</v>
      </c>
      <c r="AA54" s="162"/>
      <c r="AB54" s="135"/>
      <c r="AC54" s="158">
        <f t="shared" si="3"/>
        <v>0</v>
      </c>
      <c r="AD54" s="135"/>
      <c r="AE54" s="135"/>
      <c r="AF54" s="135"/>
      <c r="AG54" s="135"/>
      <c r="AH54" s="135"/>
      <c r="AI54" s="135"/>
      <c r="AJ54" s="135"/>
    </row>
    <row r="55" ht="22.5" hidden="1" customHeight="1">
      <c r="A55" s="6"/>
      <c r="B55" s="9"/>
      <c r="C55" s="161"/>
      <c r="D55" s="156"/>
      <c r="E55" s="156"/>
      <c r="F55" s="156"/>
      <c r="G55" s="156"/>
      <c r="H55" s="156"/>
      <c r="I55" s="156"/>
      <c r="J55" s="16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4">
        <f t="shared" si="1"/>
        <v>0</v>
      </c>
      <c r="X55" s="156"/>
      <c r="Y55" s="156"/>
      <c r="Z55" s="157">
        <f t="shared" si="2"/>
        <v>0</v>
      </c>
      <c r="AA55" s="162"/>
      <c r="AB55" s="135"/>
      <c r="AC55" s="158">
        <f t="shared" si="3"/>
        <v>0</v>
      </c>
      <c r="AD55" s="135"/>
      <c r="AE55" s="135"/>
      <c r="AF55" s="135"/>
      <c r="AG55" s="135"/>
      <c r="AH55" s="135"/>
      <c r="AI55" s="135"/>
      <c r="AJ55" s="135"/>
    </row>
    <row r="56" ht="22.5" hidden="1" customHeight="1">
      <c r="A56" s="6"/>
      <c r="B56" s="9"/>
      <c r="C56" s="161"/>
      <c r="D56" s="156"/>
      <c r="E56" s="156"/>
      <c r="F56" s="156"/>
      <c r="G56" s="156"/>
      <c r="H56" s="156"/>
      <c r="I56" s="156"/>
      <c r="J56" s="16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4">
        <f t="shared" si="1"/>
        <v>0</v>
      </c>
      <c r="X56" s="156"/>
      <c r="Y56" s="156"/>
      <c r="Z56" s="157">
        <f t="shared" si="2"/>
        <v>0</v>
      </c>
      <c r="AA56" s="162"/>
      <c r="AB56" s="135"/>
      <c r="AC56" s="158">
        <f t="shared" si="3"/>
        <v>0</v>
      </c>
      <c r="AD56" s="135"/>
      <c r="AE56" s="135"/>
      <c r="AF56" s="135"/>
      <c r="AG56" s="135"/>
      <c r="AH56" s="135"/>
      <c r="AI56" s="135"/>
      <c r="AJ56" s="135"/>
    </row>
    <row r="57" ht="22.5" hidden="1" customHeight="1">
      <c r="A57" s="6"/>
      <c r="B57" s="9"/>
      <c r="C57" s="161"/>
      <c r="D57" s="156"/>
      <c r="E57" s="156"/>
      <c r="F57" s="156"/>
      <c r="G57" s="156"/>
      <c r="H57" s="156"/>
      <c r="I57" s="156"/>
      <c r="J57" s="16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4">
        <f t="shared" si="1"/>
        <v>0</v>
      </c>
      <c r="X57" s="156"/>
      <c r="Y57" s="156"/>
      <c r="Z57" s="157">
        <f t="shared" si="2"/>
        <v>0</v>
      </c>
      <c r="AA57" s="162"/>
      <c r="AB57" s="135"/>
      <c r="AC57" s="158">
        <f t="shared" si="3"/>
        <v>0</v>
      </c>
      <c r="AD57" s="135"/>
      <c r="AE57" s="135"/>
      <c r="AF57" s="135"/>
      <c r="AG57" s="135"/>
      <c r="AH57" s="135"/>
      <c r="AI57" s="135"/>
      <c r="AJ57" s="135"/>
    </row>
    <row r="58" ht="22.5" hidden="1" customHeight="1">
      <c r="A58" s="6"/>
      <c r="B58" s="9"/>
      <c r="C58" s="161"/>
      <c r="D58" s="156"/>
      <c r="E58" s="156"/>
      <c r="F58" s="156"/>
      <c r="G58" s="156"/>
      <c r="H58" s="156"/>
      <c r="I58" s="156"/>
      <c r="J58" s="16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4">
        <f t="shared" si="1"/>
        <v>0</v>
      </c>
      <c r="X58" s="156"/>
      <c r="Y58" s="156"/>
      <c r="Z58" s="157">
        <f t="shared" si="2"/>
        <v>0</v>
      </c>
      <c r="AA58" s="162"/>
      <c r="AB58" s="135"/>
      <c r="AC58" s="158">
        <f t="shared" si="3"/>
        <v>0</v>
      </c>
      <c r="AD58" s="135"/>
      <c r="AE58" s="135"/>
      <c r="AF58" s="135"/>
      <c r="AG58" s="135"/>
      <c r="AH58" s="135"/>
      <c r="AI58" s="135"/>
      <c r="AJ58" s="135"/>
    </row>
    <row r="59" ht="22.5" hidden="1" customHeight="1">
      <c r="A59" s="6"/>
      <c r="B59" s="9"/>
      <c r="C59" s="161"/>
      <c r="D59" s="156"/>
      <c r="E59" s="156"/>
      <c r="F59" s="156"/>
      <c r="G59" s="156"/>
      <c r="H59" s="156"/>
      <c r="I59" s="156"/>
      <c r="J59" s="16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4">
        <f t="shared" si="1"/>
        <v>0</v>
      </c>
      <c r="X59" s="156"/>
      <c r="Y59" s="156"/>
      <c r="Z59" s="157">
        <f t="shared" si="2"/>
        <v>0</v>
      </c>
      <c r="AA59" s="162"/>
      <c r="AB59" s="135"/>
      <c r="AC59" s="158">
        <f t="shared" si="3"/>
        <v>0</v>
      </c>
      <c r="AD59" s="135"/>
      <c r="AE59" s="135"/>
      <c r="AF59" s="135"/>
      <c r="AG59" s="135"/>
      <c r="AH59" s="135"/>
      <c r="AI59" s="135"/>
      <c r="AJ59" s="135"/>
    </row>
    <row r="60" ht="22.5" hidden="1" customHeight="1">
      <c r="A60" s="6"/>
      <c r="B60" s="9"/>
      <c r="C60" s="161"/>
      <c r="D60" s="156"/>
      <c r="E60" s="156"/>
      <c r="F60" s="156"/>
      <c r="G60" s="156"/>
      <c r="H60" s="156"/>
      <c r="I60" s="156"/>
      <c r="J60" s="16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4">
        <f t="shared" si="1"/>
        <v>0</v>
      </c>
      <c r="X60" s="156"/>
      <c r="Y60" s="156"/>
      <c r="Z60" s="157">
        <f t="shared" si="2"/>
        <v>0</v>
      </c>
      <c r="AA60" s="162"/>
      <c r="AB60" s="135"/>
      <c r="AC60" s="158">
        <f t="shared" si="3"/>
        <v>0</v>
      </c>
      <c r="AD60" s="135"/>
      <c r="AE60" s="135"/>
      <c r="AF60" s="135"/>
      <c r="AG60" s="135"/>
      <c r="AH60" s="135"/>
      <c r="AI60" s="135"/>
      <c r="AJ60" s="135"/>
    </row>
    <row r="61" ht="22.5" hidden="1" customHeight="1">
      <c r="A61" s="6"/>
      <c r="B61" s="9"/>
      <c r="C61" s="161"/>
      <c r="D61" s="156"/>
      <c r="E61" s="156"/>
      <c r="F61" s="156"/>
      <c r="G61" s="156"/>
      <c r="H61" s="156"/>
      <c r="I61" s="156"/>
      <c r="J61" s="16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4">
        <f t="shared" si="1"/>
        <v>0</v>
      </c>
      <c r="X61" s="156"/>
      <c r="Y61" s="156"/>
      <c r="Z61" s="157">
        <f t="shared" si="2"/>
        <v>0</v>
      </c>
      <c r="AA61" s="162"/>
      <c r="AB61" s="135"/>
      <c r="AC61" s="158">
        <f t="shared" si="3"/>
        <v>0</v>
      </c>
      <c r="AD61" s="135"/>
      <c r="AE61" s="135"/>
      <c r="AF61" s="135"/>
      <c r="AG61" s="135"/>
      <c r="AH61" s="135"/>
      <c r="AI61" s="135"/>
      <c r="AJ61" s="135"/>
    </row>
    <row r="62" ht="22.5" hidden="1" customHeight="1">
      <c r="A62" s="6"/>
      <c r="B62" s="9"/>
      <c r="C62" s="161"/>
      <c r="D62" s="156"/>
      <c r="E62" s="156"/>
      <c r="F62" s="156"/>
      <c r="G62" s="156"/>
      <c r="H62" s="156"/>
      <c r="I62" s="156"/>
      <c r="J62" s="16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4">
        <f t="shared" si="1"/>
        <v>0</v>
      </c>
      <c r="X62" s="156"/>
      <c r="Y62" s="156"/>
      <c r="Z62" s="157">
        <f t="shared" si="2"/>
        <v>0</v>
      </c>
      <c r="AA62" s="162"/>
      <c r="AB62" s="135"/>
      <c r="AC62" s="158">
        <f t="shared" si="3"/>
        <v>0</v>
      </c>
      <c r="AD62" s="135"/>
      <c r="AE62" s="135"/>
      <c r="AF62" s="135"/>
      <c r="AG62" s="135"/>
      <c r="AH62" s="135"/>
      <c r="AI62" s="135"/>
      <c r="AJ62" s="135"/>
    </row>
    <row r="63" ht="22.5" hidden="1" customHeight="1">
      <c r="A63" s="6"/>
      <c r="B63" s="9"/>
      <c r="C63" s="161"/>
      <c r="D63" s="156"/>
      <c r="E63" s="156"/>
      <c r="F63" s="156"/>
      <c r="G63" s="156"/>
      <c r="H63" s="156"/>
      <c r="I63" s="156"/>
      <c r="J63" s="16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4">
        <f t="shared" si="1"/>
        <v>0</v>
      </c>
      <c r="X63" s="156"/>
      <c r="Y63" s="156"/>
      <c r="Z63" s="157">
        <f t="shared" si="2"/>
        <v>0</v>
      </c>
      <c r="AA63" s="162"/>
      <c r="AB63" s="135"/>
      <c r="AC63" s="158">
        <f t="shared" si="3"/>
        <v>0</v>
      </c>
      <c r="AD63" s="135"/>
      <c r="AE63" s="135"/>
      <c r="AF63" s="135"/>
      <c r="AG63" s="135"/>
      <c r="AH63" s="135"/>
      <c r="AI63" s="135"/>
      <c r="AJ63" s="135"/>
    </row>
    <row r="64" ht="22.5" hidden="1" customHeight="1">
      <c r="A64" s="6"/>
      <c r="B64" s="9"/>
      <c r="C64" s="161"/>
      <c r="D64" s="156"/>
      <c r="E64" s="156"/>
      <c r="F64" s="156"/>
      <c r="G64" s="156"/>
      <c r="H64" s="156"/>
      <c r="I64" s="156"/>
      <c r="J64" s="16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4">
        <f t="shared" si="1"/>
        <v>0</v>
      </c>
      <c r="X64" s="156"/>
      <c r="Y64" s="156"/>
      <c r="Z64" s="157">
        <f t="shared" si="2"/>
        <v>0</v>
      </c>
      <c r="AA64" s="162"/>
      <c r="AB64" s="135"/>
      <c r="AC64" s="158">
        <f t="shared" si="3"/>
        <v>0</v>
      </c>
      <c r="AD64" s="135"/>
      <c r="AE64" s="135"/>
      <c r="AF64" s="135"/>
      <c r="AG64" s="135"/>
      <c r="AH64" s="135"/>
      <c r="AI64" s="135"/>
      <c r="AJ64" s="135"/>
    </row>
    <row r="65" ht="22.5" hidden="1" customHeight="1">
      <c r="A65" s="6"/>
      <c r="B65" s="9"/>
      <c r="C65" s="161"/>
      <c r="D65" s="156"/>
      <c r="E65" s="156"/>
      <c r="F65" s="156"/>
      <c r="G65" s="156"/>
      <c r="H65" s="156"/>
      <c r="I65" s="156"/>
      <c r="J65" s="16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4">
        <f t="shared" si="1"/>
        <v>0</v>
      </c>
      <c r="X65" s="156"/>
      <c r="Y65" s="156"/>
      <c r="Z65" s="157">
        <f t="shared" si="2"/>
        <v>0</v>
      </c>
      <c r="AA65" s="162"/>
      <c r="AB65" s="135"/>
      <c r="AC65" s="158">
        <f t="shared" si="3"/>
        <v>0</v>
      </c>
      <c r="AD65" s="135"/>
      <c r="AE65" s="135"/>
      <c r="AF65" s="135"/>
      <c r="AG65" s="135"/>
      <c r="AH65" s="135"/>
      <c r="AI65" s="135"/>
      <c r="AJ65" s="135"/>
    </row>
    <row r="66" ht="22.5" hidden="1" customHeight="1">
      <c r="A66" s="6"/>
      <c r="B66" s="9"/>
      <c r="C66" s="161"/>
      <c r="D66" s="156"/>
      <c r="E66" s="156"/>
      <c r="F66" s="156"/>
      <c r="G66" s="156"/>
      <c r="H66" s="156"/>
      <c r="I66" s="156"/>
      <c r="J66" s="16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4">
        <f t="shared" si="1"/>
        <v>0</v>
      </c>
      <c r="X66" s="156"/>
      <c r="Y66" s="156"/>
      <c r="Z66" s="157">
        <f t="shared" si="2"/>
        <v>0</v>
      </c>
      <c r="AA66" s="162"/>
      <c r="AB66" s="135"/>
      <c r="AC66" s="158">
        <f t="shared" si="3"/>
        <v>0</v>
      </c>
      <c r="AD66" s="135"/>
      <c r="AE66" s="135"/>
      <c r="AF66" s="135"/>
      <c r="AG66" s="135"/>
      <c r="AH66" s="135"/>
      <c r="AI66" s="135"/>
      <c r="AJ66" s="135"/>
    </row>
    <row r="67" ht="22.5" hidden="1" customHeight="1">
      <c r="A67" s="6"/>
      <c r="B67" s="9"/>
      <c r="C67" s="161"/>
      <c r="D67" s="156"/>
      <c r="E67" s="156"/>
      <c r="F67" s="156"/>
      <c r="G67" s="156"/>
      <c r="H67" s="156"/>
      <c r="I67" s="156"/>
      <c r="J67" s="16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4">
        <f t="shared" si="1"/>
        <v>0</v>
      </c>
      <c r="X67" s="156"/>
      <c r="Y67" s="156"/>
      <c r="Z67" s="157">
        <f t="shared" si="2"/>
        <v>0</v>
      </c>
      <c r="AA67" s="162"/>
      <c r="AB67" s="135"/>
      <c r="AC67" s="158">
        <f t="shared" si="3"/>
        <v>0</v>
      </c>
      <c r="AD67" s="135"/>
      <c r="AE67" s="135"/>
      <c r="AF67" s="135"/>
      <c r="AG67" s="135"/>
      <c r="AH67" s="135"/>
      <c r="AI67" s="135"/>
      <c r="AJ67" s="135"/>
    </row>
    <row r="68" ht="22.5" hidden="1" customHeight="1">
      <c r="A68" s="6"/>
      <c r="B68" s="9"/>
      <c r="C68" s="161"/>
      <c r="D68" s="156"/>
      <c r="E68" s="156"/>
      <c r="F68" s="156"/>
      <c r="G68" s="156"/>
      <c r="H68" s="156"/>
      <c r="I68" s="156"/>
      <c r="J68" s="16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4">
        <f t="shared" si="1"/>
        <v>0</v>
      </c>
      <c r="X68" s="156"/>
      <c r="Y68" s="156"/>
      <c r="Z68" s="157">
        <f t="shared" si="2"/>
        <v>0</v>
      </c>
      <c r="AA68" s="162"/>
      <c r="AB68" s="135"/>
      <c r="AC68" s="158">
        <f t="shared" si="3"/>
        <v>0</v>
      </c>
      <c r="AD68" s="135"/>
      <c r="AE68" s="135"/>
      <c r="AF68" s="135"/>
      <c r="AG68" s="135"/>
      <c r="AH68" s="135"/>
      <c r="AI68" s="135"/>
      <c r="AJ68" s="135"/>
    </row>
    <row r="69" ht="22.5" hidden="1" customHeight="1">
      <c r="A69" s="6"/>
      <c r="B69" s="9"/>
      <c r="C69" s="161"/>
      <c r="D69" s="156"/>
      <c r="E69" s="156"/>
      <c r="F69" s="156"/>
      <c r="G69" s="156"/>
      <c r="H69" s="156"/>
      <c r="I69" s="156"/>
      <c r="J69" s="16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4">
        <f t="shared" si="1"/>
        <v>0</v>
      </c>
      <c r="X69" s="156"/>
      <c r="Y69" s="156"/>
      <c r="Z69" s="157">
        <f t="shared" si="2"/>
        <v>0</v>
      </c>
      <c r="AA69" s="162"/>
      <c r="AB69" s="135"/>
      <c r="AC69" s="158">
        <f t="shared" si="3"/>
        <v>0</v>
      </c>
      <c r="AD69" s="135"/>
      <c r="AE69" s="135"/>
      <c r="AF69" s="135"/>
      <c r="AG69" s="135"/>
      <c r="AH69" s="135"/>
      <c r="AI69" s="135"/>
      <c r="AJ69" s="135"/>
    </row>
    <row r="70" ht="22.5" hidden="1" customHeight="1">
      <c r="A70" s="6"/>
      <c r="B70" s="9"/>
      <c r="C70" s="161"/>
      <c r="D70" s="156"/>
      <c r="E70" s="156"/>
      <c r="F70" s="156"/>
      <c r="G70" s="156"/>
      <c r="H70" s="156"/>
      <c r="I70" s="156"/>
      <c r="J70" s="16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4">
        <f t="shared" si="1"/>
        <v>0</v>
      </c>
      <c r="X70" s="156"/>
      <c r="Y70" s="156"/>
      <c r="Z70" s="157">
        <f t="shared" si="2"/>
        <v>0</v>
      </c>
      <c r="AA70" s="162"/>
      <c r="AB70" s="135"/>
      <c r="AC70" s="158">
        <f t="shared" si="3"/>
        <v>0</v>
      </c>
      <c r="AD70" s="135"/>
      <c r="AE70" s="135"/>
      <c r="AF70" s="135"/>
      <c r="AG70" s="135"/>
      <c r="AH70" s="135"/>
      <c r="AI70" s="135"/>
      <c r="AJ70" s="135"/>
    </row>
    <row r="71" ht="22.5" hidden="1" customHeight="1">
      <c r="A71" s="6"/>
      <c r="B71" s="9"/>
      <c r="C71" s="161"/>
      <c r="D71" s="156"/>
      <c r="E71" s="156"/>
      <c r="F71" s="156"/>
      <c r="G71" s="156"/>
      <c r="H71" s="156"/>
      <c r="I71" s="156"/>
      <c r="J71" s="16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4">
        <f t="shared" si="1"/>
        <v>0</v>
      </c>
      <c r="X71" s="156"/>
      <c r="Y71" s="156"/>
      <c r="Z71" s="157">
        <f t="shared" si="2"/>
        <v>0</v>
      </c>
      <c r="AA71" s="162"/>
      <c r="AB71" s="135"/>
      <c r="AC71" s="158">
        <f t="shared" si="3"/>
        <v>0</v>
      </c>
      <c r="AD71" s="135"/>
      <c r="AE71" s="135"/>
      <c r="AF71" s="135"/>
      <c r="AG71" s="135"/>
      <c r="AH71" s="135"/>
      <c r="AI71" s="135"/>
      <c r="AJ71" s="135"/>
    </row>
    <row r="72" ht="22.5" hidden="1" customHeight="1">
      <c r="A72" s="6"/>
      <c r="B72" s="9"/>
      <c r="C72" s="161"/>
      <c r="D72" s="156"/>
      <c r="E72" s="156"/>
      <c r="F72" s="156"/>
      <c r="G72" s="156"/>
      <c r="H72" s="156"/>
      <c r="I72" s="156"/>
      <c r="J72" s="16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4">
        <f t="shared" si="1"/>
        <v>0</v>
      </c>
      <c r="X72" s="156"/>
      <c r="Y72" s="156"/>
      <c r="Z72" s="157">
        <f t="shared" si="2"/>
        <v>0</v>
      </c>
      <c r="AA72" s="162"/>
      <c r="AB72" s="135"/>
      <c r="AC72" s="158">
        <f t="shared" si="3"/>
        <v>0</v>
      </c>
      <c r="AD72" s="135"/>
      <c r="AE72" s="135"/>
      <c r="AF72" s="135"/>
      <c r="AG72" s="135"/>
      <c r="AH72" s="135"/>
      <c r="AI72" s="135"/>
      <c r="AJ72" s="135"/>
    </row>
    <row r="73" ht="22.5" hidden="1" customHeight="1">
      <c r="A73" s="6"/>
      <c r="B73" s="9"/>
      <c r="C73" s="161"/>
      <c r="D73" s="156"/>
      <c r="E73" s="156"/>
      <c r="F73" s="156"/>
      <c r="G73" s="156"/>
      <c r="H73" s="156"/>
      <c r="I73" s="156"/>
      <c r="J73" s="16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4">
        <f t="shared" si="1"/>
        <v>0</v>
      </c>
      <c r="X73" s="156"/>
      <c r="Y73" s="156"/>
      <c r="Z73" s="157">
        <f t="shared" si="2"/>
        <v>0</v>
      </c>
      <c r="AA73" s="162"/>
      <c r="AB73" s="135"/>
      <c r="AC73" s="158">
        <f t="shared" si="3"/>
        <v>0</v>
      </c>
      <c r="AD73" s="135"/>
      <c r="AE73" s="135"/>
      <c r="AF73" s="135"/>
      <c r="AG73" s="135"/>
      <c r="AH73" s="135"/>
      <c r="AI73" s="135"/>
      <c r="AJ73" s="135"/>
    </row>
    <row r="74" ht="22.5" hidden="1" customHeight="1">
      <c r="A74" s="6"/>
      <c r="B74" s="9"/>
      <c r="C74" s="161"/>
      <c r="D74" s="156"/>
      <c r="E74" s="156"/>
      <c r="F74" s="156"/>
      <c r="G74" s="156"/>
      <c r="H74" s="156"/>
      <c r="I74" s="156"/>
      <c r="J74" s="16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4">
        <f t="shared" si="1"/>
        <v>0</v>
      </c>
      <c r="X74" s="156"/>
      <c r="Y74" s="156"/>
      <c r="Z74" s="157">
        <f t="shared" si="2"/>
        <v>0</v>
      </c>
      <c r="AA74" s="162"/>
      <c r="AB74" s="135"/>
      <c r="AC74" s="158">
        <f t="shared" si="3"/>
        <v>0</v>
      </c>
      <c r="AD74" s="135"/>
      <c r="AE74" s="135"/>
      <c r="AF74" s="135"/>
      <c r="AG74" s="135"/>
      <c r="AH74" s="135"/>
      <c r="AI74" s="135"/>
      <c r="AJ74" s="135"/>
    </row>
    <row r="75" ht="22.5" hidden="1" customHeight="1">
      <c r="A75" s="6"/>
      <c r="B75" s="9"/>
      <c r="C75" s="161"/>
      <c r="D75" s="156"/>
      <c r="E75" s="156"/>
      <c r="F75" s="156"/>
      <c r="G75" s="156"/>
      <c r="H75" s="156"/>
      <c r="I75" s="156"/>
      <c r="J75" s="16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4">
        <f t="shared" si="1"/>
        <v>0</v>
      </c>
      <c r="X75" s="156"/>
      <c r="Y75" s="156"/>
      <c r="Z75" s="157">
        <f t="shared" si="2"/>
        <v>0</v>
      </c>
      <c r="AA75" s="162"/>
      <c r="AB75" s="135"/>
      <c r="AC75" s="158">
        <f t="shared" si="3"/>
        <v>0</v>
      </c>
      <c r="AD75" s="135"/>
      <c r="AE75" s="135"/>
      <c r="AF75" s="135"/>
      <c r="AG75" s="135"/>
      <c r="AH75" s="135"/>
      <c r="AI75" s="135"/>
      <c r="AJ75" s="135"/>
    </row>
    <row r="76" ht="22.5" hidden="1" customHeight="1">
      <c r="A76" s="6"/>
      <c r="B76" s="9"/>
      <c r="C76" s="161"/>
      <c r="D76" s="156"/>
      <c r="E76" s="156"/>
      <c r="F76" s="156"/>
      <c r="G76" s="156"/>
      <c r="H76" s="156"/>
      <c r="I76" s="156"/>
      <c r="J76" s="16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4">
        <f t="shared" si="1"/>
        <v>0</v>
      </c>
      <c r="X76" s="156"/>
      <c r="Y76" s="156"/>
      <c r="Z76" s="157">
        <f t="shared" si="2"/>
        <v>0</v>
      </c>
      <c r="AA76" s="162"/>
      <c r="AB76" s="135"/>
      <c r="AC76" s="158">
        <f t="shared" si="3"/>
        <v>0</v>
      </c>
      <c r="AD76" s="135"/>
      <c r="AE76" s="135"/>
      <c r="AF76" s="135"/>
      <c r="AG76" s="135"/>
      <c r="AH76" s="135"/>
      <c r="AI76" s="135"/>
      <c r="AJ76" s="135"/>
    </row>
    <row r="77" ht="22.5" hidden="1" customHeight="1">
      <c r="A77" s="6"/>
      <c r="B77" s="9"/>
      <c r="C77" s="161"/>
      <c r="D77" s="156"/>
      <c r="E77" s="156"/>
      <c r="F77" s="156"/>
      <c r="G77" s="156"/>
      <c r="H77" s="156"/>
      <c r="I77" s="156"/>
      <c r="J77" s="16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4">
        <f t="shared" si="1"/>
        <v>0</v>
      </c>
      <c r="X77" s="156"/>
      <c r="Y77" s="156"/>
      <c r="Z77" s="157">
        <f t="shared" si="2"/>
        <v>0</v>
      </c>
      <c r="AA77" s="162"/>
      <c r="AB77" s="135"/>
      <c r="AC77" s="158">
        <f t="shared" si="3"/>
        <v>0</v>
      </c>
      <c r="AD77" s="135"/>
      <c r="AE77" s="135"/>
      <c r="AF77" s="135"/>
      <c r="AG77" s="135"/>
      <c r="AH77" s="135"/>
      <c r="AI77" s="135"/>
      <c r="AJ77" s="135"/>
    </row>
    <row r="78" ht="22.5" hidden="1" customHeight="1">
      <c r="A78" s="6"/>
      <c r="B78" s="9"/>
      <c r="C78" s="161"/>
      <c r="D78" s="156"/>
      <c r="E78" s="156"/>
      <c r="F78" s="156"/>
      <c r="G78" s="156"/>
      <c r="H78" s="156"/>
      <c r="I78" s="156"/>
      <c r="J78" s="16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4">
        <f t="shared" si="1"/>
        <v>0</v>
      </c>
      <c r="X78" s="156"/>
      <c r="Y78" s="156"/>
      <c r="Z78" s="157">
        <f t="shared" si="2"/>
        <v>0</v>
      </c>
      <c r="AA78" s="162"/>
      <c r="AB78" s="135"/>
      <c r="AC78" s="158">
        <f t="shared" si="3"/>
        <v>0</v>
      </c>
      <c r="AD78" s="135"/>
      <c r="AE78" s="135"/>
      <c r="AF78" s="135"/>
      <c r="AG78" s="135"/>
      <c r="AH78" s="135"/>
      <c r="AI78" s="135"/>
      <c r="AJ78" s="135"/>
    </row>
    <row r="79" ht="22.5" hidden="1" customHeight="1">
      <c r="A79" s="6"/>
      <c r="B79" s="9"/>
      <c r="C79" s="161"/>
      <c r="D79" s="156"/>
      <c r="E79" s="156"/>
      <c r="F79" s="156"/>
      <c r="G79" s="156"/>
      <c r="H79" s="156"/>
      <c r="I79" s="156"/>
      <c r="J79" s="16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4">
        <f t="shared" si="1"/>
        <v>0</v>
      </c>
      <c r="X79" s="156"/>
      <c r="Y79" s="156"/>
      <c r="Z79" s="157">
        <f t="shared" si="2"/>
        <v>0</v>
      </c>
      <c r="AA79" s="162"/>
      <c r="AB79" s="135"/>
      <c r="AC79" s="158">
        <f t="shared" si="3"/>
        <v>0</v>
      </c>
      <c r="AD79" s="135"/>
      <c r="AE79" s="135"/>
      <c r="AF79" s="135"/>
      <c r="AG79" s="135"/>
      <c r="AH79" s="135"/>
      <c r="AI79" s="135"/>
      <c r="AJ79" s="135"/>
    </row>
    <row r="80" ht="22.5" hidden="1" customHeight="1">
      <c r="A80" s="6"/>
      <c r="B80" s="9"/>
      <c r="C80" s="161"/>
      <c r="D80" s="156"/>
      <c r="E80" s="156"/>
      <c r="F80" s="156"/>
      <c r="G80" s="156"/>
      <c r="H80" s="156"/>
      <c r="I80" s="156"/>
      <c r="J80" s="16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4">
        <f t="shared" si="1"/>
        <v>0</v>
      </c>
      <c r="X80" s="156"/>
      <c r="Y80" s="156"/>
      <c r="Z80" s="157">
        <f t="shared" si="2"/>
        <v>0</v>
      </c>
      <c r="AA80" s="162"/>
      <c r="AB80" s="135"/>
      <c r="AC80" s="158">
        <f t="shared" si="3"/>
        <v>0</v>
      </c>
      <c r="AD80" s="135"/>
      <c r="AE80" s="135"/>
      <c r="AF80" s="135"/>
      <c r="AG80" s="135"/>
      <c r="AH80" s="135"/>
      <c r="AI80" s="135"/>
      <c r="AJ80" s="135"/>
    </row>
    <row r="81" ht="22.5" hidden="1" customHeight="1">
      <c r="A81" s="6"/>
      <c r="B81" s="9"/>
      <c r="C81" s="161"/>
      <c r="D81" s="156"/>
      <c r="E81" s="156"/>
      <c r="F81" s="156"/>
      <c r="G81" s="156"/>
      <c r="H81" s="156"/>
      <c r="I81" s="156"/>
      <c r="J81" s="16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4">
        <f t="shared" si="1"/>
        <v>0</v>
      </c>
      <c r="X81" s="156"/>
      <c r="Y81" s="156"/>
      <c r="Z81" s="157">
        <f t="shared" si="2"/>
        <v>0</v>
      </c>
      <c r="AA81" s="162"/>
      <c r="AB81" s="135"/>
      <c r="AC81" s="158">
        <f t="shared" si="3"/>
        <v>0</v>
      </c>
      <c r="AD81" s="135"/>
      <c r="AE81" s="135"/>
      <c r="AF81" s="135"/>
      <c r="AG81" s="135"/>
      <c r="AH81" s="135"/>
      <c r="AI81" s="135"/>
      <c r="AJ81" s="135"/>
    </row>
    <row r="82" ht="22.5" hidden="1" customHeight="1">
      <c r="A82" s="6"/>
      <c r="B82" s="9"/>
      <c r="C82" s="161"/>
      <c r="D82" s="156"/>
      <c r="E82" s="156"/>
      <c r="F82" s="156"/>
      <c r="G82" s="156"/>
      <c r="H82" s="156"/>
      <c r="I82" s="156"/>
      <c r="J82" s="16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4">
        <f t="shared" si="1"/>
        <v>0</v>
      </c>
      <c r="X82" s="156"/>
      <c r="Y82" s="156"/>
      <c r="Z82" s="157">
        <f t="shared" si="2"/>
        <v>0</v>
      </c>
      <c r="AA82" s="162"/>
      <c r="AB82" s="135"/>
      <c r="AC82" s="158">
        <f t="shared" si="3"/>
        <v>0</v>
      </c>
      <c r="AD82" s="135"/>
      <c r="AE82" s="135"/>
      <c r="AF82" s="135"/>
      <c r="AG82" s="135"/>
      <c r="AH82" s="135"/>
      <c r="AI82" s="135"/>
      <c r="AJ82" s="135"/>
    </row>
    <row r="83" ht="22.5" hidden="1" customHeight="1">
      <c r="A83" s="6"/>
      <c r="B83" s="9"/>
      <c r="C83" s="161"/>
      <c r="D83" s="156"/>
      <c r="E83" s="156"/>
      <c r="F83" s="156"/>
      <c r="G83" s="156"/>
      <c r="H83" s="156"/>
      <c r="I83" s="156"/>
      <c r="J83" s="16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4">
        <f t="shared" si="1"/>
        <v>0</v>
      </c>
      <c r="X83" s="156"/>
      <c r="Y83" s="156"/>
      <c r="Z83" s="157">
        <f t="shared" si="2"/>
        <v>0</v>
      </c>
      <c r="AA83" s="162"/>
      <c r="AB83" s="135"/>
      <c r="AC83" s="158">
        <f t="shared" si="3"/>
        <v>0</v>
      </c>
      <c r="AD83" s="135"/>
      <c r="AE83" s="135"/>
      <c r="AF83" s="135"/>
      <c r="AG83" s="135"/>
      <c r="AH83" s="135"/>
      <c r="AI83" s="135"/>
      <c r="AJ83" s="135"/>
    </row>
    <row r="84" ht="22.5" hidden="1" customHeight="1">
      <c r="A84" s="6"/>
      <c r="B84" s="9"/>
      <c r="C84" s="161"/>
      <c r="D84" s="156"/>
      <c r="E84" s="156"/>
      <c r="F84" s="156"/>
      <c r="G84" s="156"/>
      <c r="H84" s="156"/>
      <c r="I84" s="156"/>
      <c r="J84" s="16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4">
        <f t="shared" si="1"/>
        <v>0</v>
      </c>
      <c r="X84" s="156"/>
      <c r="Y84" s="156"/>
      <c r="Z84" s="157">
        <f t="shared" si="2"/>
        <v>0</v>
      </c>
      <c r="AA84" s="162"/>
      <c r="AB84" s="135"/>
      <c r="AC84" s="158">
        <f t="shared" si="3"/>
        <v>0</v>
      </c>
      <c r="AD84" s="135"/>
      <c r="AE84" s="135"/>
      <c r="AF84" s="135"/>
      <c r="AG84" s="135"/>
      <c r="AH84" s="135"/>
      <c r="AI84" s="135"/>
      <c r="AJ84" s="135"/>
    </row>
    <row r="85" ht="22.5" hidden="1" customHeight="1">
      <c r="A85" s="6"/>
      <c r="B85" s="9"/>
      <c r="C85" s="161"/>
      <c r="D85" s="156"/>
      <c r="E85" s="156"/>
      <c r="F85" s="156"/>
      <c r="G85" s="156"/>
      <c r="H85" s="156"/>
      <c r="I85" s="156"/>
      <c r="J85" s="16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4">
        <f t="shared" si="1"/>
        <v>0</v>
      </c>
      <c r="X85" s="156"/>
      <c r="Y85" s="156"/>
      <c r="Z85" s="157">
        <f t="shared" si="2"/>
        <v>0</v>
      </c>
      <c r="AA85" s="162"/>
      <c r="AB85" s="135"/>
      <c r="AC85" s="158">
        <f t="shared" si="3"/>
        <v>0</v>
      </c>
      <c r="AD85" s="135"/>
      <c r="AE85" s="135"/>
      <c r="AF85" s="135"/>
      <c r="AG85" s="135"/>
      <c r="AH85" s="135"/>
      <c r="AI85" s="135"/>
      <c r="AJ85" s="135"/>
    </row>
    <row r="86" ht="22.5" hidden="1" customHeight="1">
      <c r="A86" s="6"/>
      <c r="B86" s="9"/>
      <c r="C86" s="161"/>
      <c r="D86" s="156"/>
      <c r="E86" s="156"/>
      <c r="F86" s="156"/>
      <c r="G86" s="156"/>
      <c r="H86" s="156"/>
      <c r="I86" s="156"/>
      <c r="J86" s="16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4">
        <f t="shared" si="1"/>
        <v>0</v>
      </c>
      <c r="X86" s="156"/>
      <c r="Y86" s="156"/>
      <c r="Z86" s="157">
        <f t="shared" si="2"/>
        <v>0</v>
      </c>
      <c r="AA86" s="162"/>
      <c r="AB86" s="135"/>
      <c r="AC86" s="158">
        <f t="shared" si="3"/>
        <v>0</v>
      </c>
      <c r="AD86" s="135"/>
      <c r="AE86" s="135"/>
      <c r="AF86" s="135"/>
      <c r="AG86" s="135"/>
      <c r="AH86" s="135"/>
      <c r="AI86" s="135"/>
      <c r="AJ86" s="135"/>
    </row>
    <row r="87" ht="22.5" hidden="1" customHeight="1">
      <c r="A87" s="6"/>
      <c r="B87" s="9"/>
      <c r="C87" s="161"/>
      <c r="D87" s="156"/>
      <c r="E87" s="156"/>
      <c r="F87" s="156"/>
      <c r="G87" s="156"/>
      <c r="H87" s="156"/>
      <c r="I87" s="156"/>
      <c r="J87" s="16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4">
        <f t="shared" si="1"/>
        <v>0</v>
      </c>
      <c r="X87" s="156"/>
      <c r="Y87" s="156"/>
      <c r="Z87" s="157">
        <f t="shared" si="2"/>
        <v>0</v>
      </c>
      <c r="AA87" s="162"/>
      <c r="AB87" s="135"/>
      <c r="AC87" s="158">
        <f t="shared" si="3"/>
        <v>0</v>
      </c>
      <c r="AD87" s="135"/>
      <c r="AE87" s="135"/>
      <c r="AF87" s="135"/>
      <c r="AG87" s="135"/>
      <c r="AH87" s="135"/>
      <c r="AI87" s="135"/>
      <c r="AJ87" s="135"/>
    </row>
    <row r="88" ht="22.5" hidden="1" customHeight="1">
      <c r="A88" s="6"/>
      <c r="B88" s="9"/>
      <c r="C88" s="161"/>
      <c r="D88" s="156"/>
      <c r="E88" s="156"/>
      <c r="F88" s="156"/>
      <c r="G88" s="156"/>
      <c r="H88" s="156"/>
      <c r="I88" s="156"/>
      <c r="J88" s="16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4">
        <f t="shared" si="1"/>
        <v>0</v>
      </c>
      <c r="X88" s="156"/>
      <c r="Y88" s="156"/>
      <c r="Z88" s="157">
        <f t="shared" si="2"/>
        <v>0</v>
      </c>
      <c r="AA88" s="162"/>
      <c r="AB88" s="135"/>
      <c r="AC88" s="158">
        <f t="shared" si="3"/>
        <v>0</v>
      </c>
      <c r="AD88" s="135"/>
      <c r="AE88" s="135"/>
      <c r="AF88" s="135"/>
      <c r="AG88" s="135"/>
      <c r="AH88" s="135"/>
      <c r="AI88" s="135"/>
      <c r="AJ88" s="135"/>
    </row>
    <row r="89" ht="22.5" hidden="1" customHeight="1">
      <c r="A89" s="6"/>
      <c r="B89" s="9"/>
      <c r="C89" s="161"/>
      <c r="D89" s="156"/>
      <c r="E89" s="156"/>
      <c r="F89" s="156"/>
      <c r="G89" s="156"/>
      <c r="H89" s="156"/>
      <c r="I89" s="156"/>
      <c r="J89" s="16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4">
        <f t="shared" si="1"/>
        <v>0</v>
      </c>
      <c r="X89" s="156"/>
      <c r="Y89" s="156"/>
      <c r="Z89" s="157">
        <f t="shared" si="2"/>
        <v>0</v>
      </c>
      <c r="AA89" s="162"/>
      <c r="AB89" s="135"/>
      <c r="AC89" s="158">
        <f t="shared" si="3"/>
        <v>0</v>
      </c>
      <c r="AD89" s="135"/>
      <c r="AE89" s="135"/>
      <c r="AF89" s="135"/>
      <c r="AG89" s="135"/>
      <c r="AH89" s="135"/>
      <c r="AI89" s="135"/>
      <c r="AJ89" s="135"/>
    </row>
    <row r="90" ht="22.5" hidden="1" customHeight="1">
      <c r="A90" s="6"/>
      <c r="B90" s="9"/>
      <c r="C90" s="161"/>
      <c r="D90" s="156"/>
      <c r="E90" s="156"/>
      <c r="F90" s="156"/>
      <c r="G90" s="156"/>
      <c r="H90" s="156"/>
      <c r="I90" s="156"/>
      <c r="J90" s="16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4">
        <f t="shared" si="1"/>
        <v>0</v>
      </c>
      <c r="X90" s="156"/>
      <c r="Y90" s="156"/>
      <c r="Z90" s="157">
        <f t="shared" si="2"/>
        <v>0</v>
      </c>
      <c r="AA90" s="162"/>
      <c r="AB90" s="135"/>
      <c r="AC90" s="158">
        <f t="shared" si="3"/>
        <v>0</v>
      </c>
      <c r="AD90" s="135"/>
      <c r="AE90" s="135"/>
      <c r="AF90" s="135"/>
      <c r="AG90" s="135"/>
      <c r="AH90" s="135"/>
      <c r="AI90" s="135"/>
      <c r="AJ90" s="135"/>
    </row>
    <row r="91" ht="22.5" hidden="1" customHeight="1">
      <c r="A91" s="6"/>
      <c r="B91" s="9"/>
      <c r="C91" s="161"/>
      <c r="D91" s="156"/>
      <c r="E91" s="156"/>
      <c r="F91" s="156"/>
      <c r="G91" s="156"/>
      <c r="H91" s="156"/>
      <c r="I91" s="156"/>
      <c r="J91" s="16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4">
        <f t="shared" si="1"/>
        <v>0</v>
      </c>
      <c r="X91" s="156"/>
      <c r="Y91" s="156"/>
      <c r="Z91" s="157">
        <f t="shared" si="2"/>
        <v>0</v>
      </c>
      <c r="AA91" s="162"/>
      <c r="AB91" s="135"/>
      <c r="AC91" s="158">
        <f t="shared" si="3"/>
        <v>0</v>
      </c>
      <c r="AD91" s="135"/>
      <c r="AE91" s="135"/>
      <c r="AF91" s="135"/>
      <c r="AG91" s="135"/>
      <c r="AH91" s="135"/>
      <c r="AI91" s="135"/>
      <c r="AJ91" s="135"/>
    </row>
    <row r="92" ht="22.5" hidden="1" customHeight="1">
      <c r="A92" s="6"/>
      <c r="B92" s="9"/>
      <c r="C92" s="161"/>
      <c r="D92" s="156"/>
      <c r="E92" s="156"/>
      <c r="F92" s="156"/>
      <c r="G92" s="156"/>
      <c r="H92" s="156"/>
      <c r="I92" s="156"/>
      <c r="J92" s="16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4">
        <f t="shared" si="1"/>
        <v>0</v>
      </c>
      <c r="X92" s="156"/>
      <c r="Y92" s="156"/>
      <c r="Z92" s="157">
        <f t="shared" si="2"/>
        <v>0</v>
      </c>
      <c r="AA92" s="162"/>
      <c r="AB92" s="135"/>
      <c r="AC92" s="158">
        <f t="shared" si="3"/>
        <v>0</v>
      </c>
      <c r="AD92" s="135"/>
      <c r="AE92" s="135"/>
      <c r="AF92" s="135"/>
      <c r="AG92" s="135"/>
      <c r="AH92" s="135"/>
      <c r="AI92" s="135"/>
      <c r="AJ92" s="135"/>
    </row>
    <row r="93" ht="22.5" hidden="1" customHeight="1">
      <c r="A93" s="6"/>
      <c r="B93" s="9"/>
      <c r="C93" s="161"/>
      <c r="D93" s="156"/>
      <c r="E93" s="156"/>
      <c r="F93" s="156"/>
      <c r="G93" s="156"/>
      <c r="H93" s="156"/>
      <c r="I93" s="156"/>
      <c r="J93" s="16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4">
        <f t="shared" si="1"/>
        <v>0</v>
      </c>
      <c r="X93" s="156"/>
      <c r="Y93" s="156"/>
      <c r="Z93" s="157">
        <f t="shared" si="2"/>
        <v>0</v>
      </c>
      <c r="AA93" s="162"/>
      <c r="AB93" s="135"/>
      <c r="AC93" s="158">
        <f t="shared" si="3"/>
        <v>0</v>
      </c>
      <c r="AD93" s="135"/>
      <c r="AE93" s="135"/>
      <c r="AF93" s="135"/>
      <c r="AG93" s="135"/>
      <c r="AH93" s="135"/>
      <c r="AI93" s="135"/>
      <c r="AJ93" s="135"/>
    </row>
    <row r="94" ht="22.5" hidden="1" customHeight="1">
      <c r="A94" s="6"/>
      <c r="B94" s="9"/>
      <c r="C94" s="161"/>
      <c r="D94" s="156"/>
      <c r="E94" s="156"/>
      <c r="F94" s="156"/>
      <c r="G94" s="156"/>
      <c r="H94" s="156"/>
      <c r="I94" s="156"/>
      <c r="J94" s="16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4">
        <f t="shared" si="1"/>
        <v>0</v>
      </c>
      <c r="X94" s="156"/>
      <c r="Y94" s="156"/>
      <c r="Z94" s="157">
        <f t="shared" si="2"/>
        <v>0</v>
      </c>
      <c r="AA94" s="162"/>
      <c r="AB94" s="135"/>
      <c r="AC94" s="158">
        <f t="shared" si="3"/>
        <v>0</v>
      </c>
      <c r="AD94" s="135"/>
      <c r="AE94" s="135"/>
      <c r="AF94" s="135"/>
      <c r="AG94" s="135"/>
      <c r="AH94" s="135"/>
      <c r="AI94" s="135"/>
      <c r="AJ94" s="135"/>
    </row>
    <row r="95" ht="22.5" hidden="1" customHeight="1">
      <c r="A95" s="6"/>
      <c r="B95" s="9"/>
      <c r="C95" s="161"/>
      <c r="D95" s="156"/>
      <c r="E95" s="156"/>
      <c r="F95" s="156"/>
      <c r="G95" s="156"/>
      <c r="H95" s="156"/>
      <c r="I95" s="156"/>
      <c r="J95" s="16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4">
        <f t="shared" si="1"/>
        <v>0</v>
      </c>
      <c r="X95" s="156"/>
      <c r="Y95" s="156"/>
      <c r="Z95" s="157">
        <f t="shared" si="2"/>
        <v>0</v>
      </c>
      <c r="AA95" s="162"/>
      <c r="AB95" s="135"/>
      <c r="AC95" s="158">
        <f t="shared" si="3"/>
        <v>0</v>
      </c>
      <c r="AD95" s="135"/>
      <c r="AE95" s="135"/>
      <c r="AF95" s="135"/>
      <c r="AG95" s="135"/>
      <c r="AH95" s="135"/>
      <c r="AI95" s="135"/>
      <c r="AJ95" s="135"/>
    </row>
    <row r="96" ht="22.5" hidden="1" customHeight="1">
      <c r="A96" s="6"/>
      <c r="B96" s="9"/>
      <c r="C96" s="161"/>
      <c r="D96" s="156"/>
      <c r="E96" s="156"/>
      <c r="F96" s="156"/>
      <c r="G96" s="156"/>
      <c r="H96" s="156"/>
      <c r="I96" s="156"/>
      <c r="J96" s="16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4">
        <f t="shared" si="1"/>
        <v>0</v>
      </c>
      <c r="X96" s="156"/>
      <c r="Y96" s="156"/>
      <c r="Z96" s="157">
        <f t="shared" si="2"/>
        <v>0</v>
      </c>
      <c r="AA96" s="162"/>
      <c r="AB96" s="135"/>
      <c r="AC96" s="158">
        <f t="shared" si="3"/>
        <v>0</v>
      </c>
      <c r="AD96" s="135"/>
      <c r="AE96" s="135"/>
      <c r="AF96" s="135"/>
      <c r="AG96" s="135"/>
      <c r="AH96" s="135"/>
      <c r="AI96" s="135"/>
      <c r="AJ96" s="135"/>
    </row>
    <row r="97" ht="22.5" hidden="1" customHeight="1">
      <c r="A97" s="6"/>
      <c r="B97" s="9"/>
      <c r="C97" s="161"/>
      <c r="D97" s="156"/>
      <c r="E97" s="156"/>
      <c r="F97" s="156"/>
      <c r="G97" s="156"/>
      <c r="H97" s="156"/>
      <c r="I97" s="156"/>
      <c r="J97" s="16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4">
        <f t="shared" si="1"/>
        <v>0</v>
      </c>
      <c r="X97" s="156"/>
      <c r="Y97" s="156"/>
      <c r="Z97" s="157">
        <f t="shared" si="2"/>
        <v>0</v>
      </c>
      <c r="AA97" s="162"/>
      <c r="AB97" s="135"/>
      <c r="AC97" s="158">
        <f t="shared" si="3"/>
        <v>0</v>
      </c>
      <c r="AD97" s="135"/>
      <c r="AE97" s="135"/>
      <c r="AF97" s="135"/>
      <c r="AG97" s="135"/>
      <c r="AH97" s="135"/>
      <c r="AI97" s="135"/>
      <c r="AJ97" s="135"/>
    </row>
    <row r="98" ht="22.5" hidden="1" customHeight="1">
      <c r="A98" s="6"/>
      <c r="B98" s="9"/>
      <c r="C98" s="161"/>
      <c r="D98" s="156"/>
      <c r="E98" s="156"/>
      <c r="F98" s="156"/>
      <c r="G98" s="156"/>
      <c r="H98" s="156"/>
      <c r="I98" s="156"/>
      <c r="J98" s="16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4">
        <f t="shared" si="1"/>
        <v>0</v>
      </c>
      <c r="X98" s="156"/>
      <c r="Y98" s="156"/>
      <c r="Z98" s="157">
        <f t="shared" si="2"/>
        <v>0</v>
      </c>
      <c r="AA98" s="162"/>
      <c r="AB98" s="135"/>
      <c r="AC98" s="158">
        <f t="shared" si="3"/>
        <v>0</v>
      </c>
      <c r="AD98" s="135"/>
      <c r="AE98" s="135"/>
      <c r="AF98" s="135"/>
      <c r="AG98" s="135"/>
      <c r="AH98" s="135"/>
      <c r="AI98" s="135"/>
      <c r="AJ98" s="135"/>
    </row>
    <row r="99" ht="22.5" hidden="1" customHeight="1">
      <c r="A99" s="6"/>
      <c r="B99" s="9"/>
      <c r="C99" s="161"/>
      <c r="D99" s="156"/>
      <c r="E99" s="156"/>
      <c r="F99" s="156"/>
      <c r="G99" s="156"/>
      <c r="H99" s="156"/>
      <c r="I99" s="156"/>
      <c r="J99" s="16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4">
        <f t="shared" si="1"/>
        <v>0</v>
      </c>
      <c r="X99" s="156"/>
      <c r="Y99" s="156"/>
      <c r="Z99" s="157">
        <f t="shared" si="2"/>
        <v>0</v>
      </c>
      <c r="AA99" s="162"/>
      <c r="AB99" s="135"/>
      <c r="AC99" s="158">
        <f t="shared" si="3"/>
        <v>0</v>
      </c>
      <c r="AD99" s="135"/>
      <c r="AE99" s="135"/>
      <c r="AF99" s="135"/>
      <c r="AG99" s="135"/>
      <c r="AH99" s="135"/>
      <c r="AI99" s="135"/>
      <c r="AJ99" s="135"/>
    </row>
    <row r="100" ht="22.5" hidden="1" customHeight="1">
      <c r="A100" s="6"/>
      <c r="B100" s="9"/>
      <c r="C100" s="161"/>
      <c r="D100" s="156"/>
      <c r="E100" s="156"/>
      <c r="F100" s="156"/>
      <c r="G100" s="156"/>
      <c r="H100" s="156"/>
      <c r="I100" s="156"/>
      <c r="J100" s="16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4">
        <f t="shared" si="1"/>
        <v>0</v>
      </c>
      <c r="X100" s="156"/>
      <c r="Y100" s="156"/>
      <c r="Z100" s="157">
        <f t="shared" si="2"/>
        <v>0</v>
      </c>
      <c r="AA100" s="162"/>
      <c r="AB100" s="135"/>
      <c r="AC100" s="158">
        <f t="shared" si="3"/>
        <v>0</v>
      </c>
      <c r="AD100" s="135"/>
      <c r="AE100" s="135"/>
      <c r="AF100" s="135"/>
      <c r="AG100" s="135"/>
      <c r="AH100" s="135"/>
      <c r="AI100" s="135"/>
      <c r="AJ100" s="135"/>
    </row>
    <row r="101" ht="22.5" hidden="1" customHeight="1">
      <c r="A101" s="6"/>
      <c r="B101" s="9"/>
      <c r="C101" s="161"/>
      <c r="D101" s="156"/>
      <c r="E101" s="156"/>
      <c r="F101" s="156"/>
      <c r="G101" s="156"/>
      <c r="H101" s="156"/>
      <c r="I101" s="156"/>
      <c r="J101" s="16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4">
        <f t="shared" si="1"/>
        <v>0</v>
      </c>
      <c r="X101" s="156"/>
      <c r="Y101" s="156"/>
      <c r="Z101" s="157">
        <f t="shared" si="2"/>
        <v>0</v>
      </c>
      <c r="AA101" s="162"/>
      <c r="AB101" s="135"/>
      <c r="AC101" s="158">
        <f t="shared" si="3"/>
        <v>0</v>
      </c>
      <c r="AD101" s="135"/>
      <c r="AE101" s="135"/>
      <c r="AF101" s="135"/>
      <c r="AG101" s="135"/>
      <c r="AH101" s="135"/>
      <c r="AI101" s="135"/>
      <c r="AJ101" s="135"/>
    </row>
    <row r="102" ht="22.5" hidden="1" customHeight="1">
      <c r="A102" s="6"/>
      <c r="B102" s="9"/>
      <c r="C102" s="161"/>
      <c r="D102" s="156"/>
      <c r="E102" s="156"/>
      <c r="F102" s="156"/>
      <c r="G102" s="156"/>
      <c r="H102" s="156"/>
      <c r="I102" s="156"/>
      <c r="J102" s="16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4">
        <f t="shared" si="1"/>
        <v>0</v>
      </c>
      <c r="X102" s="156"/>
      <c r="Y102" s="156"/>
      <c r="Z102" s="157">
        <f t="shared" si="2"/>
        <v>0</v>
      </c>
      <c r="AA102" s="162"/>
      <c r="AB102" s="135"/>
      <c r="AC102" s="158">
        <f t="shared" si="3"/>
        <v>0</v>
      </c>
      <c r="AD102" s="135"/>
      <c r="AE102" s="135"/>
      <c r="AF102" s="135"/>
      <c r="AG102" s="135"/>
      <c r="AH102" s="135"/>
      <c r="AI102" s="135"/>
      <c r="AJ102" s="135"/>
    </row>
    <row r="103" ht="22.5" hidden="1" customHeight="1">
      <c r="A103" s="6"/>
      <c r="B103" s="9"/>
      <c r="C103" s="161"/>
      <c r="D103" s="156"/>
      <c r="E103" s="156"/>
      <c r="F103" s="156"/>
      <c r="G103" s="156"/>
      <c r="H103" s="156"/>
      <c r="I103" s="156"/>
      <c r="J103" s="16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4">
        <f t="shared" si="1"/>
        <v>0</v>
      </c>
      <c r="X103" s="156"/>
      <c r="Y103" s="156"/>
      <c r="Z103" s="157">
        <f t="shared" si="2"/>
        <v>0</v>
      </c>
      <c r="AA103" s="162"/>
      <c r="AB103" s="135"/>
      <c r="AC103" s="158">
        <f t="shared" si="3"/>
        <v>0</v>
      </c>
      <c r="AD103" s="135"/>
      <c r="AE103" s="135"/>
      <c r="AF103" s="135"/>
      <c r="AG103" s="135"/>
      <c r="AH103" s="135"/>
      <c r="AI103" s="135"/>
      <c r="AJ103" s="135"/>
    </row>
    <row r="104" ht="22.5" hidden="1" customHeight="1">
      <c r="A104" s="6"/>
      <c r="B104" s="9"/>
      <c r="C104" s="161"/>
      <c r="D104" s="156"/>
      <c r="E104" s="156"/>
      <c r="F104" s="156"/>
      <c r="G104" s="156"/>
      <c r="H104" s="156"/>
      <c r="I104" s="156"/>
      <c r="J104" s="16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4">
        <f t="shared" si="1"/>
        <v>0</v>
      </c>
      <c r="X104" s="156"/>
      <c r="Y104" s="156"/>
      <c r="Z104" s="157">
        <f t="shared" si="2"/>
        <v>0</v>
      </c>
      <c r="AA104" s="162"/>
      <c r="AB104" s="135"/>
      <c r="AC104" s="158">
        <f t="shared" si="3"/>
        <v>0</v>
      </c>
      <c r="AD104" s="135"/>
      <c r="AE104" s="135"/>
      <c r="AF104" s="135"/>
      <c r="AG104" s="135"/>
      <c r="AH104" s="135"/>
      <c r="AI104" s="135"/>
      <c r="AJ104" s="135"/>
    </row>
    <row r="105" ht="22.5" hidden="1" customHeight="1">
      <c r="A105" s="6"/>
      <c r="B105" s="9"/>
      <c r="C105" s="161"/>
      <c r="D105" s="156"/>
      <c r="E105" s="156"/>
      <c r="F105" s="156"/>
      <c r="G105" s="156"/>
      <c r="H105" s="156"/>
      <c r="I105" s="156"/>
      <c r="J105" s="16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4">
        <f t="shared" si="1"/>
        <v>0</v>
      </c>
      <c r="X105" s="156"/>
      <c r="Y105" s="156"/>
      <c r="Z105" s="157">
        <f t="shared" si="2"/>
        <v>0</v>
      </c>
      <c r="AA105" s="162"/>
      <c r="AB105" s="135"/>
      <c r="AC105" s="158">
        <f t="shared" si="3"/>
        <v>0</v>
      </c>
      <c r="AD105" s="135"/>
      <c r="AE105" s="135"/>
      <c r="AF105" s="135"/>
      <c r="AG105" s="135"/>
      <c r="AH105" s="135"/>
      <c r="AI105" s="135"/>
      <c r="AJ105" s="135"/>
    </row>
    <row r="106" ht="22.5" hidden="1" customHeight="1">
      <c r="A106" s="6"/>
      <c r="B106" s="9"/>
      <c r="C106" s="161"/>
      <c r="D106" s="156"/>
      <c r="E106" s="156"/>
      <c r="F106" s="156"/>
      <c r="G106" s="156"/>
      <c r="H106" s="156"/>
      <c r="I106" s="156"/>
      <c r="J106" s="16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4">
        <f t="shared" si="1"/>
        <v>0</v>
      </c>
      <c r="X106" s="156"/>
      <c r="Y106" s="156"/>
      <c r="Z106" s="157">
        <f t="shared" si="2"/>
        <v>0</v>
      </c>
      <c r="AA106" s="162"/>
      <c r="AB106" s="135"/>
      <c r="AC106" s="158">
        <f t="shared" si="3"/>
        <v>0</v>
      </c>
      <c r="AD106" s="135"/>
      <c r="AE106" s="135"/>
      <c r="AF106" s="135"/>
      <c r="AG106" s="135"/>
      <c r="AH106" s="135"/>
      <c r="AI106" s="135"/>
      <c r="AJ106" s="135"/>
    </row>
    <row r="107" ht="22.5" hidden="1" customHeight="1">
      <c r="A107" s="6"/>
      <c r="B107" s="9"/>
      <c r="C107" s="161"/>
      <c r="D107" s="156"/>
      <c r="E107" s="156"/>
      <c r="F107" s="156"/>
      <c r="G107" s="156"/>
      <c r="H107" s="156"/>
      <c r="I107" s="156"/>
      <c r="J107" s="16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4">
        <f t="shared" si="1"/>
        <v>0</v>
      </c>
      <c r="X107" s="156"/>
      <c r="Y107" s="156"/>
      <c r="Z107" s="157">
        <f t="shared" si="2"/>
        <v>0</v>
      </c>
      <c r="AA107" s="162"/>
      <c r="AB107" s="135"/>
      <c r="AC107" s="158">
        <f t="shared" si="3"/>
        <v>0</v>
      </c>
      <c r="AD107" s="135"/>
      <c r="AE107" s="135"/>
      <c r="AF107" s="135"/>
      <c r="AG107" s="135"/>
      <c r="AH107" s="135"/>
      <c r="AI107" s="135"/>
      <c r="AJ107" s="135"/>
    </row>
    <row r="108" ht="22.5" hidden="1" customHeight="1">
      <c r="A108" s="6"/>
      <c r="B108" s="9"/>
      <c r="C108" s="161"/>
      <c r="D108" s="156"/>
      <c r="E108" s="156"/>
      <c r="F108" s="156"/>
      <c r="G108" s="156"/>
      <c r="H108" s="156"/>
      <c r="I108" s="156"/>
      <c r="J108" s="16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4">
        <f t="shared" si="1"/>
        <v>0</v>
      </c>
      <c r="X108" s="156"/>
      <c r="Y108" s="156"/>
      <c r="Z108" s="157">
        <f t="shared" si="2"/>
        <v>0</v>
      </c>
      <c r="AA108" s="162"/>
      <c r="AB108" s="135"/>
      <c r="AC108" s="158">
        <f t="shared" si="3"/>
        <v>0</v>
      </c>
      <c r="AD108" s="135"/>
      <c r="AE108" s="135"/>
      <c r="AF108" s="135"/>
      <c r="AG108" s="135"/>
      <c r="AH108" s="135"/>
      <c r="AI108" s="135"/>
      <c r="AJ108" s="135"/>
    </row>
    <row r="109" ht="22.5" customHeight="1">
      <c r="A109" s="6"/>
      <c r="B109" s="9"/>
      <c r="C109" s="161"/>
      <c r="D109" s="156"/>
      <c r="E109" s="156"/>
      <c r="F109" s="156"/>
      <c r="G109" s="156"/>
      <c r="H109" s="156"/>
      <c r="I109" s="156"/>
      <c r="J109" s="16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4">
        <f t="shared" si="1"/>
        <v>0</v>
      </c>
      <c r="X109" s="156"/>
      <c r="Y109" s="156"/>
      <c r="Z109" s="157">
        <f t="shared" si="2"/>
        <v>0</v>
      </c>
      <c r="AA109" s="162"/>
      <c r="AB109" s="135"/>
      <c r="AC109" s="158">
        <f t="shared" si="3"/>
        <v>0</v>
      </c>
      <c r="AD109" s="135"/>
      <c r="AE109" s="135"/>
      <c r="AF109" s="135"/>
      <c r="AG109" s="135"/>
      <c r="AH109" s="135"/>
      <c r="AI109" s="135"/>
      <c r="AJ109" s="135"/>
    </row>
    <row r="110" ht="22.5" customHeight="1">
      <c r="A110" s="148" t="s">
        <v>128</v>
      </c>
      <c r="B110" s="148"/>
      <c r="C110" s="157"/>
      <c r="D110" s="157">
        <f t="shared" ref="D110:Y110" si="6">SUM(D3:D109)</f>
        <v>400000</v>
      </c>
      <c r="E110" s="157">
        <f t="shared" si="6"/>
        <v>50000</v>
      </c>
      <c r="F110" s="157">
        <f t="shared" si="6"/>
        <v>50000</v>
      </c>
      <c r="G110" s="157">
        <f t="shared" si="6"/>
        <v>20000</v>
      </c>
      <c r="H110" s="157">
        <f t="shared" si="6"/>
        <v>101778</v>
      </c>
      <c r="I110" s="157">
        <f t="shared" si="6"/>
        <v>400400</v>
      </c>
      <c r="J110" s="163">
        <f t="shared" si="6"/>
        <v>-396065</v>
      </c>
      <c r="K110" s="157">
        <f t="shared" si="6"/>
        <v>82190</v>
      </c>
      <c r="L110" s="157">
        <f t="shared" si="6"/>
        <v>22349</v>
      </c>
      <c r="M110" s="157">
        <f t="shared" si="6"/>
        <v>10000</v>
      </c>
      <c r="N110" s="157">
        <f t="shared" si="6"/>
        <v>3000</v>
      </c>
      <c r="O110" s="157">
        <f t="shared" si="6"/>
        <v>57452</v>
      </c>
      <c r="P110" s="157">
        <f t="shared" si="6"/>
        <v>0</v>
      </c>
      <c r="Q110" s="157">
        <f t="shared" si="6"/>
        <v>46834</v>
      </c>
      <c r="R110" s="157">
        <f t="shared" si="6"/>
        <v>0</v>
      </c>
      <c r="S110" s="157">
        <f t="shared" si="6"/>
        <v>0</v>
      </c>
      <c r="T110" s="157">
        <f t="shared" si="6"/>
        <v>500</v>
      </c>
      <c r="U110" s="157">
        <f t="shared" si="6"/>
        <v>0</v>
      </c>
      <c r="V110" s="157">
        <f t="shared" si="6"/>
        <v>0</v>
      </c>
      <c r="W110" s="164">
        <f t="shared" si="6"/>
        <v>848438</v>
      </c>
      <c r="X110" s="157">
        <f t="shared" si="6"/>
        <v>206917</v>
      </c>
      <c r="Y110" s="157">
        <f t="shared" si="6"/>
        <v>98620</v>
      </c>
      <c r="Z110" s="157">
        <f t="shared" si="2"/>
        <v>1153975</v>
      </c>
      <c r="AA110" s="139"/>
      <c r="AC110" s="165"/>
    </row>
    <row r="111" ht="15.75" customHeight="1">
      <c r="A111" s="10"/>
      <c r="B111" s="10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ht="15.75" customHeight="1">
      <c r="A112" s="10"/>
      <c r="B112" s="10"/>
      <c r="C112" s="139"/>
      <c r="D112" s="14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ht="15.75" customHeight="1">
      <c r="A113" s="10"/>
      <c r="B113" s="10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ht="15.75" customHeight="1">
      <c r="A114" s="10"/>
      <c r="B114" s="10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ht="15.75" customHeight="1">
      <c r="A115" s="10"/>
      <c r="B115" s="10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ht="15.75" customHeight="1">
      <c r="A116" s="10"/>
      <c r="B116" s="10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ht="15.75" customHeight="1">
      <c r="A117" s="10"/>
      <c r="B117" s="10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ht="15.75" customHeight="1">
      <c r="A118" s="10"/>
      <c r="B118" s="10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ht="15.75" customHeight="1">
      <c r="A119" s="10"/>
      <c r="B119" s="10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ht="15.75" customHeight="1">
      <c r="A120" s="10"/>
      <c r="B120" s="1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ht="15.75" customHeight="1">
      <c r="A121" s="10"/>
      <c r="B121" s="10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ht="15.75" customHeight="1">
      <c r="A122" s="10"/>
      <c r="B122" s="10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ht="15.75" customHeight="1">
      <c r="A123" s="10"/>
      <c r="B123" s="10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ht="15.75" customHeight="1">
      <c r="A124" s="10"/>
      <c r="B124" s="10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ht="15.75" customHeight="1">
      <c r="A125" s="10"/>
      <c r="B125" s="10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ht="15.75" customHeight="1">
      <c r="A126" s="10"/>
      <c r="B126" s="10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2" width="10.75"/>
    <col customWidth="1" min="23" max="23" width="8.0"/>
    <col customWidth="1" min="24" max="24" width="10.88"/>
  </cols>
  <sheetData>
    <row r="1" ht="15.75" customHeight="1">
      <c r="A1" s="142">
        <v>45869.0</v>
      </c>
      <c r="C1" s="143" t="s">
        <v>98</v>
      </c>
      <c r="D1" s="64"/>
    </row>
    <row r="2" ht="22.5" customHeight="1">
      <c r="A2" s="6" t="s">
        <v>0</v>
      </c>
      <c r="B2" s="6" t="s">
        <v>1</v>
      </c>
      <c r="C2" s="9" t="s">
        <v>139</v>
      </c>
      <c r="D2" s="144" t="s">
        <v>5</v>
      </c>
      <c r="E2" s="144" t="s">
        <v>8</v>
      </c>
      <c r="F2" s="144" t="s">
        <v>10</v>
      </c>
      <c r="G2" s="144" t="s">
        <v>13</v>
      </c>
      <c r="H2" s="9" t="s">
        <v>15</v>
      </c>
      <c r="I2" s="6" t="s">
        <v>17</v>
      </c>
      <c r="J2" s="6" t="s">
        <v>21</v>
      </c>
      <c r="K2" s="6" t="s">
        <v>22</v>
      </c>
      <c r="L2" s="6" t="s">
        <v>32</v>
      </c>
      <c r="M2" s="6" t="s">
        <v>140</v>
      </c>
      <c r="N2" s="6" t="s">
        <v>141</v>
      </c>
      <c r="O2" s="6" t="s">
        <v>142</v>
      </c>
      <c r="P2" s="6" t="s">
        <v>24</v>
      </c>
      <c r="Q2" s="168" t="s">
        <v>27</v>
      </c>
      <c r="R2" s="168" t="s">
        <v>26</v>
      </c>
      <c r="S2" s="168" t="s">
        <v>143</v>
      </c>
      <c r="T2" s="144" t="s">
        <v>144</v>
      </c>
      <c r="U2" s="168" t="s">
        <v>29</v>
      </c>
      <c r="V2" s="148" t="s">
        <v>128</v>
      </c>
      <c r="W2" s="10" t="s">
        <v>59</v>
      </c>
      <c r="X2" s="10" t="s">
        <v>129</v>
      </c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ht="22.5" customHeight="1">
      <c r="A3" s="6">
        <v>108.0</v>
      </c>
      <c r="B3" s="9" t="s">
        <v>4</v>
      </c>
      <c r="C3" s="149"/>
      <c r="D3" s="149">
        <v>40000.0</v>
      </c>
      <c r="E3" s="149">
        <v>5000.0</v>
      </c>
      <c r="F3" s="149">
        <v>5000.0</v>
      </c>
      <c r="G3" s="149">
        <v>2000.0</v>
      </c>
      <c r="H3" s="167">
        <v>0.0</v>
      </c>
      <c r="I3" s="149">
        <v>0.0</v>
      </c>
      <c r="J3" s="167">
        <v>0.0</v>
      </c>
      <c r="K3" s="167">
        <v>0.0</v>
      </c>
      <c r="L3" s="167">
        <v>0.0</v>
      </c>
      <c r="M3" s="167">
        <v>0.0</v>
      </c>
      <c r="N3" s="167">
        <v>0.0</v>
      </c>
      <c r="O3" s="167">
        <v>0.0</v>
      </c>
      <c r="P3" s="167">
        <v>0.0</v>
      </c>
      <c r="Q3" s="155">
        <v>0.0</v>
      </c>
      <c r="R3" s="167">
        <v>0.0</v>
      </c>
      <c r="S3" s="167">
        <v>0.0</v>
      </c>
      <c r="T3" s="155">
        <v>51387.0</v>
      </c>
      <c r="U3" s="169">
        <v>-23387.0</v>
      </c>
      <c r="V3" s="157">
        <f t="shared" ref="V3:V14" si="1">SUM(D3:U3)</f>
        <v>80000</v>
      </c>
      <c r="W3" s="139">
        <v>80000.0</v>
      </c>
      <c r="X3" s="64" t="s">
        <v>138</v>
      </c>
    </row>
    <row r="4" ht="22.5" customHeight="1">
      <c r="A4" s="6">
        <v>206.0</v>
      </c>
      <c r="B4" s="6" t="s">
        <v>7</v>
      </c>
      <c r="C4" s="149"/>
      <c r="D4" s="149">
        <v>40000.0</v>
      </c>
      <c r="E4" s="149">
        <v>5000.0</v>
      </c>
      <c r="F4" s="149">
        <v>5000.0</v>
      </c>
      <c r="G4" s="149">
        <v>2000.0</v>
      </c>
      <c r="H4" s="167">
        <v>0.0</v>
      </c>
      <c r="I4" s="149">
        <v>31035.0</v>
      </c>
      <c r="J4" s="167">
        <v>0.0</v>
      </c>
      <c r="K4" s="167">
        <v>0.0</v>
      </c>
      <c r="L4" s="167">
        <v>0.0</v>
      </c>
      <c r="M4" s="167">
        <v>0.0</v>
      </c>
      <c r="N4" s="167">
        <v>0.0</v>
      </c>
      <c r="O4" s="167">
        <v>0.0</v>
      </c>
      <c r="P4" s="167">
        <v>0.0</v>
      </c>
      <c r="Q4" s="155">
        <v>0.0</v>
      </c>
      <c r="R4" s="167">
        <v>0.0</v>
      </c>
      <c r="S4" s="167">
        <v>0.0</v>
      </c>
      <c r="T4" s="155">
        <v>16965.0</v>
      </c>
      <c r="U4" s="155">
        <v>0.0</v>
      </c>
      <c r="V4" s="157">
        <f t="shared" si="1"/>
        <v>100000</v>
      </c>
      <c r="W4" s="139">
        <v>100000.0</v>
      </c>
      <c r="X4" s="64" t="s">
        <v>138</v>
      </c>
    </row>
    <row r="5" ht="22.5" customHeight="1">
      <c r="A5" s="6">
        <v>210.0</v>
      </c>
      <c r="B5" s="9" t="s">
        <v>28</v>
      </c>
      <c r="C5" s="149"/>
      <c r="D5" s="149">
        <v>40000.0</v>
      </c>
      <c r="E5" s="149">
        <v>5000.0</v>
      </c>
      <c r="F5" s="149">
        <v>5000.0</v>
      </c>
      <c r="G5" s="149">
        <v>2000.0</v>
      </c>
      <c r="H5" s="167">
        <v>0.0</v>
      </c>
      <c r="I5" s="149">
        <v>17702.0</v>
      </c>
      <c r="J5" s="167">
        <v>0.0</v>
      </c>
      <c r="K5" s="167">
        <v>0.0</v>
      </c>
      <c r="L5" s="167">
        <v>0.0</v>
      </c>
      <c r="M5" s="167">
        <v>0.0</v>
      </c>
      <c r="N5" s="167">
        <v>0.0</v>
      </c>
      <c r="O5" s="167">
        <v>0.0</v>
      </c>
      <c r="P5" s="167">
        <v>0.0</v>
      </c>
      <c r="Q5" s="149">
        <v>0.0</v>
      </c>
      <c r="R5" s="167">
        <v>0.0</v>
      </c>
      <c r="S5" s="167">
        <v>0.0</v>
      </c>
      <c r="T5" s="155">
        <v>30298.0</v>
      </c>
      <c r="U5" s="155">
        <v>0.0</v>
      </c>
      <c r="V5" s="157">
        <f t="shared" si="1"/>
        <v>100000</v>
      </c>
      <c r="W5" s="139">
        <v>100000.0</v>
      </c>
      <c r="X5" s="64" t="s">
        <v>138</v>
      </c>
    </row>
    <row r="6" ht="22.5" customHeight="1">
      <c r="A6" s="6">
        <v>211.0</v>
      </c>
      <c r="B6" s="6" t="s">
        <v>12</v>
      </c>
      <c r="C6" s="149"/>
      <c r="D6" s="149">
        <v>40000.0</v>
      </c>
      <c r="E6" s="149">
        <v>5000.0</v>
      </c>
      <c r="F6" s="149">
        <v>5000.0</v>
      </c>
      <c r="G6" s="149">
        <v>2000.0</v>
      </c>
      <c r="H6" s="167">
        <v>0.0</v>
      </c>
      <c r="I6" s="149">
        <v>35776.0</v>
      </c>
      <c r="J6" s="167">
        <v>0.0</v>
      </c>
      <c r="K6" s="167">
        <v>0.0</v>
      </c>
      <c r="L6" s="167">
        <v>0.0</v>
      </c>
      <c r="M6" s="167">
        <v>0.0</v>
      </c>
      <c r="N6" s="167">
        <v>0.0</v>
      </c>
      <c r="O6" s="167">
        <v>0.0</v>
      </c>
      <c r="P6" s="167">
        <v>0.0</v>
      </c>
      <c r="Q6" s="149">
        <v>0.0</v>
      </c>
      <c r="R6" s="167">
        <v>0.0</v>
      </c>
      <c r="S6" s="167">
        <v>0.0</v>
      </c>
      <c r="T6" s="155">
        <v>17224.0</v>
      </c>
      <c r="U6" s="155">
        <v>0.0</v>
      </c>
      <c r="V6" s="157">
        <f t="shared" si="1"/>
        <v>105000</v>
      </c>
      <c r="W6" s="139">
        <v>105000.0</v>
      </c>
      <c r="X6" s="64" t="s">
        <v>138</v>
      </c>
    </row>
    <row r="7" ht="22.5" customHeight="1">
      <c r="A7" s="6">
        <v>212.0</v>
      </c>
      <c r="B7" s="9" t="s">
        <v>14</v>
      </c>
      <c r="C7" s="149"/>
      <c r="D7" s="149">
        <v>40000.0</v>
      </c>
      <c r="E7" s="149">
        <v>5000.0</v>
      </c>
      <c r="F7" s="149">
        <v>5000.0</v>
      </c>
      <c r="G7" s="149">
        <v>2000.0</v>
      </c>
      <c r="H7" s="149">
        <v>10000.0</v>
      </c>
      <c r="I7" s="149">
        <v>41580.0</v>
      </c>
      <c r="J7" s="149">
        <f>363*31</f>
        <v>11253</v>
      </c>
      <c r="K7" s="149">
        <f>73*31</f>
        <v>2263</v>
      </c>
      <c r="L7" s="167">
        <v>0.0</v>
      </c>
      <c r="M7" s="167">
        <v>0.0</v>
      </c>
      <c r="N7" s="167">
        <v>0.0</v>
      </c>
      <c r="O7" s="167">
        <v>0.0</v>
      </c>
      <c r="P7" s="167">
        <v>0.0</v>
      </c>
      <c r="Q7" s="167">
        <v>0.0</v>
      </c>
      <c r="R7" s="155">
        <v>1500.0</v>
      </c>
      <c r="S7" s="149">
        <v>18824.0</v>
      </c>
      <c r="T7" s="149">
        <v>35285.0</v>
      </c>
      <c r="U7" s="149"/>
      <c r="V7" s="157">
        <f t="shared" si="1"/>
        <v>172705</v>
      </c>
      <c r="W7" s="139" t="s">
        <v>132</v>
      </c>
      <c r="X7" s="64" t="s">
        <v>138</v>
      </c>
    </row>
    <row r="8" ht="22.5" customHeight="1">
      <c r="A8" s="6">
        <v>303.0</v>
      </c>
      <c r="B8" s="9" t="s">
        <v>136</v>
      </c>
      <c r="C8" s="149"/>
      <c r="D8" s="149">
        <v>40000.0</v>
      </c>
      <c r="E8" s="149">
        <v>5000.0</v>
      </c>
      <c r="F8" s="149">
        <v>5000.0</v>
      </c>
      <c r="G8" s="149">
        <v>2000.0</v>
      </c>
      <c r="H8" s="149">
        <v>10000.0</v>
      </c>
      <c r="I8" s="149">
        <v>43780.0</v>
      </c>
      <c r="J8" s="155">
        <v>0.0</v>
      </c>
      <c r="K8" s="149">
        <v>0.0</v>
      </c>
      <c r="L8" s="167">
        <v>0.0</v>
      </c>
      <c r="M8" s="167">
        <v>0.0</v>
      </c>
      <c r="N8" s="170" t="s">
        <v>145</v>
      </c>
      <c r="O8" s="170" t="s">
        <v>145</v>
      </c>
      <c r="P8" s="167">
        <v>0.0</v>
      </c>
      <c r="Q8" s="167">
        <v>0.0</v>
      </c>
      <c r="R8" s="155">
        <v>1500.0</v>
      </c>
      <c r="S8" s="167">
        <v>0.0</v>
      </c>
      <c r="T8" s="149">
        <v>29951.0</v>
      </c>
      <c r="U8" s="149"/>
      <c r="V8" s="157">
        <f t="shared" si="1"/>
        <v>137231</v>
      </c>
      <c r="W8" s="139" t="s">
        <v>137</v>
      </c>
      <c r="X8" s="64" t="s">
        <v>138</v>
      </c>
    </row>
    <row r="9" ht="22.5" customHeight="1">
      <c r="A9" s="6">
        <v>601.0</v>
      </c>
      <c r="B9" s="6" t="s">
        <v>34</v>
      </c>
      <c r="C9" s="149"/>
      <c r="D9" s="149">
        <v>40000.0</v>
      </c>
      <c r="E9" s="149">
        <v>5000.0</v>
      </c>
      <c r="F9" s="149">
        <v>5000.0</v>
      </c>
      <c r="G9" s="149">
        <v>2000.0</v>
      </c>
      <c r="H9" s="167">
        <v>0.0</v>
      </c>
      <c r="I9" s="149">
        <v>3001.0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49">
        <v>10000.0</v>
      </c>
      <c r="Q9" s="149">
        <v>0.0</v>
      </c>
      <c r="R9" s="167">
        <v>0.0</v>
      </c>
      <c r="S9" s="167">
        <v>0.0</v>
      </c>
      <c r="T9" s="155">
        <v>34999.0</v>
      </c>
      <c r="U9" s="155">
        <v>0.0</v>
      </c>
      <c r="V9" s="157">
        <f t="shared" si="1"/>
        <v>100000</v>
      </c>
      <c r="W9" s="139">
        <v>100000.0</v>
      </c>
      <c r="X9" s="64" t="s">
        <v>138</v>
      </c>
    </row>
    <row r="10" ht="22.5" customHeight="1">
      <c r="A10" s="6"/>
      <c r="B10" s="6"/>
      <c r="C10" s="156"/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  <c r="S10" s="167">
        <v>0.0</v>
      </c>
      <c r="T10" s="167">
        <v>0.0</v>
      </c>
      <c r="U10" s="167">
        <v>0.0</v>
      </c>
      <c r="V10" s="157">
        <f t="shared" si="1"/>
        <v>0</v>
      </c>
      <c r="W10" s="139"/>
      <c r="X10" s="64" t="s">
        <v>131</v>
      </c>
    </row>
    <row r="11" ht="22.5" customHeight="1">
      <c r="A11" s="6">
        <v>703.0</v>
      </c>
      <c r="B11" s="6" t="s">
        <v>38</v>
      </c>
      <c r="C11" s="156"/>
      <c r="D11" s="149">
        <v>40000.0</v>
      </c>
      <c r="E11" s="149">
        <v>5000.0</v>
      </c>
      <c r="F11" s="149">
        <v>5000.0</v>
      </c>
      <c r="G11" s="149">
        <v>2000.0</v>
      </c>
      <c r="H11" s="167">
        <v>0.0</v>
      </c>
      <c r="I11" s="149">
        <v>24247.0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49">
        <v>0.0</v>
      </c>
      <c r="R11" s="167">
        <v>0.0</v>
      </c>
      <c r="S11" s="167">
        <v>0.0</v>
      </c>
      <c r="T11" s="155">
        <v>23753.0</v>
      </c>
      <c r="U11" s="155">
        <v>0.0</v>
      </c>
      <c r="V11" s="157">
        <f t="shared" si="1"/>
        <v>100000</v>
      </c>
      <c r="W11" s="139">
        <v>100000.0</v>
      </c>
      <c r="X11" s="64" t="s">
        <v>138</v>
      </c>
    </row>
    <row r="12" ht="22.5" customHeight="1">
      <c r="A12" s="6">
        <v>715.0</v>
      </c>
      <c r="B12" s="6" t="s">
        <v>39</v>
      </c>
      <c r="C12" s="156"/>
      <c r="D12" s="149">
        <v>40000.0</v>
      </c>
      <c r="E12" s="149">
        <v>5000.0</v>
      </c>
      <c r="F12" s="149">
        <v>5000.0</v>
      </c>
      <c r="G12" s="149">
        <v>2000.0</v>
      </c>
      <c r="H12" s="149">
        <v>10000.0</v>
      </c>
      <c r="I12" s="149">
        <v>44330.0</v>
      </c>
      <c r="J12" s="167">
        <v>0.0</v>
      </c>
      <c r="K12" s="167">
        <v>0.0</v>
      </c>
      <c r="L12" s="167">
        <v>0.0</v>
      </c>
      <c r="M12" s="167">
        <v>0.0</v>
      </c>
      <c r="N12" s="167">
        <v>0.0</v>
      </c>
      <c r="O12" s="167">
        <v>0.0</v>
      </c>
      <c r="P12" s="167">
        <v>0.0</v>
      </c>
      <c r="Q12" s="149">
        <v>9670.0</v>
      </c>
      <c r="R12" s="167">
        <v>0.0</v>
      </c>
      <c r="S12" s="167">
        <v>0.0</v>
      </c>
      <c r="T12" s="167">
        <v>0.0</v>
      </c>
      <c r="U12" s="155">
        <v>0.0</v>
      </c>
      <c r="V12" s="157">
        <f t="shared" si="1"/>
        <v>116000</v>
      </c>
      <c r="W12" s="139">
        <v>116000.0</v>
      </c>
      <c r="X12" s="64" t="s">
        <v>138</v>
      </c>
    </row>
    <row r="13" ht="22.5" customHeight="1">
      <c r="A13" s="6">
        <v>716.0</v>
      </c>
      <c r="B13" s="6" t="s">
        <v>40</v>
      </c>
      <c r="C13" s="156"/>
      <c r="D13" s="149">
        <v>40000.0</v>
      </c>
      <c r="E13" s="149">
        <v>5000.0</v>
      </c>
      <c r="F13" s="149">
        <v>5000.0</v>
      </c>
      <c r="G13" s="149">
        <v>2000.0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49">
        <v>500.0</v>
      </c>
      <c r="V13" s="157">
        <f t="shared" si="1"/>
        <v>52500</v>
      </c>
      <c r="W13" s="139" t="s">
        <v>132</v>
      </c>
      <c r="X13" s="64" t="s">
        <v>138</v>
      </c>
    </row>
    <row r="14" ht="22.5" customHeight="1">
      <c r="A14" s="148" t="s">
        <v>128</v>
      </c>
      <c r="B14" s="148"/>
      <c r="C14" s="157"/>
      <c r="D14" s="157">
        <f t="shared" ref="D14:U14" si="2">SUM(D3:D13)</f>
        <v>400000</v>
      </c>
      <c r="E14" s="157">
        <f t="shared" si="2"/>
        <v>50000</v>
      </c>
      <c r="F14" s="157">
        <f t="shared" si="2"/>
        <v>50000</v>
      </c>
      <c r="G14" s="157">
        <f t="shared" si="2"/>
        <v>20000</v>
      </c>
      <c r="H14" s="157">
        <f t="shared" si="2"/>
        <v>30000</v>
      </c>
      <c r="I14" s="157">
        <f t="shared" si="2"/>
        <v>241451</v>
      </c>
      <c r="J14" s="157">
        <f t="shared" si="2"/>
        <v>11253</v>
      </c>
      <c r="K14" s="157">
        <f t="shared" si="2"/>
        <v>2263</v>
      </c>
      <c r="L14" s="157">
        <f t="shared" si="2"/>
        <v>0</v>
      </c>
      <c r="M14" s="157">
        <f t="shared" si="2"/>
        <v>0</v>
      </c>
      <c r="N14" s="157">
        <f t="shared" si="2"/>
        <v>0</v>
      </c>
      <c r="O14" s="157">
        <f t="shared" si="2"/>
        <v>0</v>
      </c>
      <c r="P14" s="157">
        <f t="shared" si="2"/>
        <v>10000</v>
      </c>
      <c r="Q14" s="157">
        <f t="shared" si="2"/>
        <v>9670</v>
      </c>
      <c r="R14" s="157">
        <f t="shared" si="2"/>
        <v>3000</v>
      </c>
      <c r="S14" s="157">
        <f t="shared" si="2"/>
        <v>18824</v>
      </c>
      <c r="T14" s="157">
        <f t="shared" si="2"/>
        <v>239862</v>
      </c>
      <c r="U14" s="157">
        <f t="shared" si="2"/>
        <v>-22887</v>
      </c>
      <c r="V14" s="157">
        <f t="shared" si="1"/>
        <v>1063436</v>
      </c>
      <c r="W14" s="139"/>
    </row>
    <row r="15" ht="15.75" customHeight="1">
      <c r="A15" s="10"/>
      <c r="B15" s="10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</row>
    <row r="16" ht="15.75" customHeight="1">
      <c r="A16" s="10"/>
      <c r="B16" s="10"/>
      <c r="C16" s="139"/>
      <c r="D16" s="140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</row>
    <row r="17" ht="15.75" customHeight="1">
      <c r="A17" s="10"/>
      <c r="B17" s="10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</row>
    <row r="18" ht="15.75" customHeight="1">
      <c r="A18" s="10"/>
      <c r="B18" s="10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</row>
    <row r="19" ht="15.75" customHeight="1">
      <c r="A19" s="10"/>
      <c r="B19" s="10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</row>
    <row r="20" ht="15.75" customHeight="1">
      <c r="A20" s="10"/>
      <c r="B20" s="10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</row>
    <row r="21" ht="15.75" customHeight="1">
      <c r="A21" s="10"/>
      <c r="B21" s="10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</row>
    <row r="22" ht="15.75" customHeight="1">
      <c r="A22" s="10"/>
      <c r="B22" s="10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</row>
    <row r="23" ht="15.75" customHeight="1">
      <c r="A23" s="10"/>
      <c r="B23" s="10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</row>
    <row r="24" ht="15.75" customHeight="1">
      <c r="A24" s="10"/>
      <c r="B24" s="10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</row>
    <row r="25" ht="15.75" customHeight="1">
      <c r="A25" s="10"/>
      <c r="B25" s="10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</row>
    <row r="26" ht="15.75" customHeight="1">
      <c r="A26" s="10"/>
      <c r="B26" s="10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</row>
    <row r="27" ht="15.75" customHeight="1">
      <c r="A27" s="10"/>
      <c r="B27" s="10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</row>
    <row r="28" ht="15.75" customHeight="1">
      <c r="A28" s="10"/>
      <c r="B28" s="10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</row>
    <row r="29" ht="15.75" customHeight="1">
      <c r="A29" s="10"/>
      <c r="B29" s="10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</row>
    <row r="30" ht="15.75" customHeight="1">
      <c r="A30" s="10"/>
      <c r="B30" s="10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</row>
    <row r="31" ht="15.75" customHeight="1">
      <c r="A31" s="10"/>
      <c r="B31" s="10"/>
    </row>
    <row r="32" ht="15.75" customHeight="1">
      <c r="A32" s="10"/>
      <c r="B32" s="10"/>
    </row>
    <row r="33" ht="15.75" customHeight="1">
      <c r="A33" s="10"/>
      <c r="B33" s="10"/>
    </row>
    <row r="34" ht="15.75" customHeight="1">
      <c r="A34" s="10"/>
      <c r="B34" s="10"/>
    </row>
    <row r="35" ht="15.75" customHeight="1">
      <c r="A35" s="10"/>
      <c r="B35" s="10"/>
    </row>
    <row r="36" ht="15.75" customHeight="1">
      <c r="A36" s="10"/>
      <c r="B36" s="10"/>
    </row>
    <row r="37" ht="15.75" customHeight="1">
      <c r="A37" s="10"/>
      <c r="B37" s="10"/>
    </row>
    <row r="38" ht="15.75" customHeight="1">
      <c r="A38" s="10"/>
      <c r="B38" s="10"/>
    </row>
    <row r="39" ht="15.75" customHeight="1">
      <c r="A39" s="10"/>
      <c r="B39" s="10"/>
    </row>
    <row r="40" ht="15.75" customHeight="1">
      <c r="A40" s="10"/>
      <c r="B40" s="10"/>
    </row>
    <row r="41" ht="15.75" customHeight="1">
      <c r="A41" s="10"/>
      <c r="B41" s="10"/>
    </row>
    <row r="42" ht="15.75" customHeight="1">
      <c r="A42" s="10"/>
      <c r="B42" s="10"/>
    </row>
    <row r="43" ht="15.75" customHeight="1">
      <c r="A43" s="10"/>
      <c r="B43" s="10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X3:X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 ht="15.75" customHeight="1">
      <c r="A1" s="142">
        <v>45838.0</v>
      </c>
      <c r="C1" s="143" t="s">
        <v>98</v>
      </c>
      <c r="D1" s="64"/>
    </row>
    <row r="2" ht="15.75" customHeight="1">
      <c r="A2" s="6" t="s">
        <v>0</v>
      </c>
      <c r="B2" s="6" t="s">
        <v>1</v>
      </c>
      <c r="C2" s="9" t="s">
        <v>146</v>
      </c>
      <c r="D2" s="144" t="s">
        <v>5</v>
      </c>
      <c r="E2" s="144" t="s">
        <v>8</v>
      </c>
      <c r="F2" s="144" t="s">
        <v>10</v>
      </c>
      <c r="G2" s="144" t="s">
        <v>13</v>
      </c>
      <c r="H2" s="9" t="s">
        <v>15</v>
      </c>
      <c r="I2" s="6" t="s">
        <v>17</v>
      </c>
      <c r="J2" s="6" t="s">
        <v>21</v>
      </c>
      <c r="K2" s="6" t="s">
        <v>22</v>
      </c>
      <c r="L2" s="6" t="s">
        <v>32</v>
      </c>
      <c r="M2" s="6" t="s">
        <v>140</v>
      </c>
      <c r="N2" s="6" t="s">
        <v>141</v>
      </c>
      <c r="O2" s="6" t="s">
        <v>142</v>
      </c>
      <c r="P2" s="6" t="s">
        <v>24</v>
      </c>
      <c r="Q2" s="168" t="s">
        <v>27</v>
      </c>
      <c r="R2" s="168" t="s">
        <v>26</v>
      </c>
      <c r="S2" s="168" t="s">
        <v>143</v>
      </c>
      <c r="T2" s="168" t="s">
        <v>29</v>
      </c>
      <c r="U2" s="148" t="s">
        <v>128</v>
      </c>
      <c r="V2" s="10" t="s">
        <v>59</v>
      </c>
      <c r="W2" s="10" t="s">
        <v>147</v>
      </c>
      <c r="X2" s="10" t="s">
        <v>148</v>
      </c>
      <c r="Y2" s="10" t="s">
        <v>149</v>
      </c>
      <c r="Z2" s="10"/>
      <c r="AA2" s="10"/>
      <c r="AB2" s="10"/>
      <c r="AC2" s="10"/>
      <c r="AD2" s="10"/>
      <c r="AE2" s="10"/>
      <c r="AF2" s="10"/>
      <c r="AG2" s="10"/>
    </row>
    <row r="3" ht="15.75" customHeight="1">
      <c r="A3" s="6">
        <v>108.0</v>
      </c>
      <c r="B3" s="6" t="s">
        <v>4</v>
      </c>
      <c r="C3" s="149"/>
      <c r="D3" s="149">
        <v>40000.0</v>
      </c>
      <c r="E3" s="149">
        <v>5000.0</v>
      </c>
      <c r="F3" s="149">
        <v>5000.0</v>
      </c>
      <c r="G3" s="149">
        <v>2000.0</v>
      </c>
      <c r="H3" s="167">
        <v>0.0</v>
      </c>
      <c r="I3" s="149">
        <v>28000.0</v>
      </c>
      <c r="J3" s="167">
        <v>0.0</v>
      </c>
      <c r="K3" s="167">
        <v>0.0</v>
      </c>
      <c r="L3" s="167">
        <v>0.0</v>
      </c>
      <c r="M3" s="167">
        <v>0.0</v>
      </c>
      <c r="N3" s="167">
        <v>0.0</v>
      </c>
      <c r="O3" s="167">
        <v>0.0</v>
      </c>
      <c r="P3" s="167">
        <v>0.0</v>
      </c>
      <c r="Q3" s="155">
        <v>0.0</v>
      </c>
      <c r="R3" s="167">
        <v>0.0</v>
      </c>
      <c r="S3" s="167">
        <v>0.0</v>
      </c>
      <c r="T3" s="155">
        <v>0.0</v>
      </c>
      <c r="U3" s="157">
        <f t="shared" ref="U3:U27" si="1">SUM(D3:T3)</f>
        <v>80000</v>
      </c>
      <c r="V3" s="139">
        <v>80000.0</v>
      </c>
    </row>
    <row r="4" ht="15.75" customHeight="1">
      <c r="A4" s="6">
        <v>206.0</v>
      </c>
      <c r="B4" s="6" t="s">
        <v>7</v>
      </c>
      <c r="C4" s="149"/>
      <c r="D4" s="149">
        <v>40000.0</v>
      </c>
      <c r="E4" s="149">
        <v>5000.0</v>
      </c>
      <c r="F4" s="149">
        <v>5000.0</v>
      </c>
      <c r="G4" s="149">
        <v>2000.0</v>
      </c>
      <c r="H4" s="167">
        <v>0.0</v>
      </c>
      <c r="I4" s="149">
        <v>40150.0</v>
      </c>
      <c r="J4" s="167">
        <v>0.0</v>
      </c>
      <c r="K4" s="167">
        <v>0.0</v>
      </c>
      <c r="L4" s="167">
        <v>0.0</v>
      </c>
      <c r="M4" s="167">
        <v>0.0</v>
      </c>
      <c r="N4" s="167">
        <v>0.0</v>
      </c>
      <c r="O4" s="167">
        <v>0.0</v>
      </c>
      <c r="P4" s="167">
        <v>0.0</v>
      </c>
      <c r="Q4" s="155">
        <v>7850.0</v>
      </c>
      <c r="R4" s="167">
        <v>0.0</v>
      </c>
      <c r="S4" s="167">
        <v>0.0</v>
      </c>
      <c r="T4" s="155">
        <v>0.0</v>
      </c>
      <c r="U4" s="157">
        <f t="shared" si="1"/>
        <v>100000</v>
      </c>
      <c r="V4" s="139">
        <v>100000.0</v>
      </c>
    </row>
    <row r="5" ht="15.75" customHeight="1">
      <c r="A5" s="6">
        <v>210.0</v>
      </c>
      <c r="B5" s="6" t="s">
        <v>28</v>
      </c>
      <c r="C5" s="149"/>
      <c r="D5" s="149">
        <v>40000.0</v>
      </c>
      <c r="E5" s="149">
        <v>5000.0</v>
      </c>
      <c r="F5" s="149">
        <v>5000.0</v>
      </c>
      <c r="G5" s="149">
        <v>2000.0</v>
      </c>
      <c r="H5" s="167">
        <v>0.0</v>
      </c>
      <c r="I5" s="149">
        <v>42900.0</v>
      </c>
      <c r="J5" s="167">
        <v>0.0</v>
      </c>
      <c r="K5" s="167">
        <v>0.0</v>
      </c>
      <c r="L5" s="167">
        <v>0.0</v>
      </c>
      <c r="M5" s="167">
        <v>0.0</v>
      </c>
      <c r="N5" s="167">
        <v>0.0</v>
      </c>
      <c r="O5" s="167">
        <v>0.0</v>
      </c>
      <c r="P5" s="167">
        <v>0.0</v>
      </c>
      <c r="Q5" s="149">
        <v>5100.0</v>
      </c>
      <c r="R5" s="167">
        <v>0.0</v>
      </c>
      <c r="S5" s="167">
        <v>0.0</v>
      </c>
      <c r="T5" s="155">
        <v>0.0</v>
      </c>
      <c r="U5" s="157">
        <f t="shared" si="1"/>
        <v>100000</v>
      </c>
      <c r="V5" s="139">
        <v>100000.0</v>
      </c>
    </row>
    <row r="6" ht="15.75" customHeight="1">
      <c r="A6" s="6">
        <v>211.0</v>
      </c>
      <c r="B6" s="6" t="s">
        <v>12</v>
      </c>
      <c r="C6" s="149"/>
      <c r="D6" s="149">
        <v>40000.0</v>
      </c>
      <c r="E6" s="149">
        <v>5000.0</v>
      </c>
      <c r="F6" s="149">
        <v>5000.0</v>
      </c>
      <c r="G6" s="149">
        <v>2000.0</v>
      </c>
      <c r="H6" s="167">
        <v>0.0</v>
      </c>
      <c r="I6" s="149">
        <v>42900.0</v>
      </c>
      <c r="J6" s="167">
        <v>0.0</v>
      </c>
      <c r="K6" s="167">
        <v>0.0</v>
      </c>
      <c r="L6" s="167">
        <v>0.0</v>
      </c>
      <c r="M6" s="167">
        <v>0.0</v>
      </c>
      <c r="N6" s="167">
        <v>0.0</v>
      </c>
      <c r="O6" s="167">
        <v>0.0</v>
      </c>
      <c r="P6" s="167">
        <v>0.0</v>
      </c>
      <c r="Q6" s="149">
        <f>105000-94900</f>
        <v>10100</v>
      </c>
      <c r="R6" s="167">
        <v>0.0</v>
      </c>
      <c r="S6" s="167">
        <v>0.0</v>
      </c>
      <c r="T6" s="155">
        <v>0.0</v>
      </c>
      <c r="U6" s="157">
        <f t="shared" si="1"/>
        <v>105000</v>
      </c>
      <c r="V6" s="139">
        <v>105000.0</v>
      </c>
    </row>
    <row r="7" ht="15.75" customHeight="1">
      <c r="A7" s="6">
        <v>212.0</v>
      </c>
      <c r="B7" s="6" t="s">
        <v>14</v>
      </c>
      <c r="C7" s="149"/>
      <c r="D7" s="149">
        <v>40000.0</v>
      </c>
      <c r="E7" s="149">
        <v>5000.0</v>
      </c>
      <c r="F7" s="149">
        <v>5000.0</v>
      </c>
      <c r="G7" s="149">
        <v>2000.0</v>
      </c>
      <c r="H7" s="149">
        <v>10000.0</v>
      </c>
      <c r="I7" s="149">
        <v>40700.0</v>
      </c>
      <c r="J7" s="149">
        <f>363*30</f>
        <v>10890</v>
      </c>
      <c r="K7" s="149">
        <f t="shared" ref="K7:K8" si="2">73*30</f>
        <v>2190</v>
      </c>
      <c r="L7" s="167">
        <v>0.0</v>
      </c>
      <c r="M7" s="167">
        <v>0.0</v>
      </c>
      <c r="N7" s="167">
        <v>0.0</v>
      </c>
      <c r="O7" s="167">
        <v>0.0</v>
      </c>
      <c r="P7" s="167">
        <v>0.0</v>
      </c>
      <c r="Q7" s="167">
        <v>0.0</v>
      </c>
      <c r="R7" s="155">
        <v>1500.0</v>
      </c>
      <c r="S7" s="167">
        <v>0.0</v>
      </c>
      <c r="T7" s="149"/>
      <c r="U7" s="157">
        <f t="shared" si="1"/>
        <v>117280</v>
      </c>
      <c r="V7" s="139" t="s">
        <v>132</v>
      </c>
    </row>
    <row r="8" ht="15.75" customHeight="1">
      <c r="A8" s="6">
        <v>303.0</v>
      </c>
      <c r="B8" s="6" t="s">
        <v>136</v>
      </c>
      <c r="C8" s="149"/>
      <c r="D8" s="149">
        <v>40000.0</v>
      </c>
      <c r="E8" s="149">
        <v>5000.0</v>
      </c>
      <c r="F8" s="149">
        <v>5000.0</v>
      </c>
      <c r="G8" s="149">
        <v>2000.0</v>
      </c>
      <c r="H8" s="149">
        <v>10000.0</v>
      </c>
      <c r="I8" s="149">
        <v>42900.0</v>
      </c>
      <c r="J8" s="155">
        <f>242*30</f>
        <v>7260</v>
      </c>
      <c r="K8" s="149">
        <f t="shared" si="2"/>
        <v>2190</v>
      </c>
      <c r="L8" s="167">
        <v>0.0</v>
      </c>
      <c r="M8" s="167">
        <v>0.0</v>
      </c>
      <c r="N8" s="170" t="s">
        <v>145</v>
      </c>
      <c r="O8" s="170" t="s">
        <v>145</v>
      </c>
      <c r="P8" s="167">
        <v>0.0</v>
      </c>
      <c r="Q8" s="167">
        <v>0.0</v>
      </c>
      <c r="R8" s="155">
        <v>1500.0</v>
      </c>
      <c r="S8" s="149"/>
      <c r="T8" s="149"/>
      <c r="U8" s="157">
        <f t="shared" si="1"/>
        <v>115850</v>
      </c>
      <c r="V8" s="139">
        <v>100000.0</v>
      </c>
    </row>
    <row r="9" ht="15.75" customHeight="1">
      <c r="A9" s="6">
        <v>403.0</v>
      </c>
      <c r="B9" s="6" t="s">
        <v>34</v>
      </c>
      <c r="C9" s="149"/>
      <c r="D9" s="149">
        <v>40000.0</v>
      </c>
      <c r="E9" s="149">
        <v>5000.0</v>
      </c>
      <c r="F9" s="149">
        <v>5000.0</v>
      </c>
      <c r="G9" s="149">
        <v>2000.0</v>
      </c>
      <c r="H9" s="167">
        <v>0.0</v>
      </c>
      <c r="I9" s="149">
        <v>38000.0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49">
        <v>10000.0</v>
      </c>
      <c r="Q9" s="149">
        <v>0.0</v>
      </c>
      <c r="R9" s="167">
        <v>0.0</v>
      </c>
      <c r="S9" s="167">
        <v>0.0</v>
      </c>
      <c r="T9" s="155">
        <v>0.0</v>
      </c>
      <c r="U9" s="157">
        <f t="shared" si="1"/>
        <v>100000</v>
      </c>
      <c r="V9" s="139">
        <v>100000.0</v>
      </c>
    </row>
    <row r="10" ht="15.75" customHeight="1">
      <c r="A10" s="6"/>
      <c r="B10" s="6"/>
      <c r="C10" s="156"/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  <c r="S10" s="149"/>
      <c r="T10" s="149"/>
      <c r="U10" s="157">
        <f t="shared" si="1"/>
        <v>0</v>
      </c>
      <c r="V10" s="139"/>
    </row>
    <row r="11" ht="15.75" customHeight="1">
      <c r="A11" s="6">
        <v>703.0</v>
      </c>
      <c r="B11" s="6" t="s">
        <v>38</v>
      </c>
      <c r="C11" s="156"/>
      <c r="D11" s="149">
        <v>40000.0</v>
      </c>
      <c r="E11" s="149">
        <v>5000.0</v>
      </c>
      <c r="F11" s="149">
        <v>5000.0</v>
      </c>
      <c r="G11" s="149">
        <v>2000.0</v>
      </c>
      <c r="H11" s="167">
        <v>0.0</v>
      </c>
      <c r="I11" s="149">
        <v>42900.0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49">
        <v>5100.0</v>
      </c>
      <c r="R11" s="167">
        <v>0.0</v>
      </c>
      <c r="S11" s="167">
        <v>0.0</v>
      </c>
      <c r="T11" s="155">
        <v>0.0</v>
      </c>
      <c r="U11" s="157">
        <f t="shared" si="1"/>
        <v>100000</v>
      </c>
      <c r="V11" s="139">
        <v>100000.0</v>
      </c>
    </row>
    <row r="12" ht="15.75" customHeight="1">
      <c r="A12" s="6">
        <v>715.0</v>
      </c>
      <c r="B12" s="6" t="s">
        <v>39</v>
      </c>
      <c r="C12" s="156"/>
      <c r="D12" s="149">
        <v>40000.0</v>
      </c>
      <c r="E12" s="149">
        <v>5000.0</v>
      </c>
      <c r="F12" s="149">
        <v>5000.0</v>
      </c>
      <c r="G12" s="149">
        <v>2000.0</v>
      </c>
      <c r="H12" s="149">
        <v>10000.0</v>
      </c>
      <c r="I12" s="149">
        <v>42900.0</v>
      </c>
      <c r="J12" s="167">
        <v>0.0</v>
      </c>
      <c r="K12" s="167">
        <v>0.0</v>
      </c>
      <c r="L12" s="167">
        <v>0.0</v>
      </c>
      <c r="M12" s="167">
        <v>0.0</v>
      </c>
      <c r="N12" s="167">
        <v>0.0</v>
      </c>
      <c r="O12" s="167">
        <v>0.0</v>
      </c>
      <c r="P12" s="167">
        <v>0.0</v>
      </c>
      <c r="Q12" s="149">
        <v>11100.0</v>
      </c>
      <c r="R12" s="167">
        <v>0.0</v>
      </c>
      <c r="S12" s="167">
        <v>0.0</v>
      </c>
      <c r="T12" s="155">
        <v>0.0</v>
      </c>
      <c r="U12" s="157">
        <f t="shared" si="1"/>
        <v>116000</v>
      </c>
      <c r="V12" s="139">
        <v>116000.0</v>
      </c>
    </row>
    <row r="13" ht="15.75" customHeight="1">
      <c r="A13" s="6">
        <v>716.0</v>
      </c>
      <c r="B13" s="6" t="s">
        <v>40</v>
      </c>
      <c r="C13" s="156"/>
      <c r="D13" s="149">
        <v>40000.0</v>
      </c>
      <c r="E13" s="149">
        <v>5000.0</v>
      </c>
      <c r="F13" s="149">
        <v>5000.0</v>
      </c>
      <c r="G13" s="149">
        <v>2000.0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49">
        <v>500.0</v>
      </c>
      <c r="U13" s="157">
        <f t="shared" si="1"/>
        <v>52500</v>
      </c>
      <c r="V13" s="139" t="s">
        <v>132</v>
      </c>
    </row>
    <row r="14" ht="15.75" customHeight="1">
      <c r="A14" s="6"/>
      <c r="B14" s="6"/>
      <c r="C14" s="156"/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49"/>
      <c r="U14" s="157">
        <f t="shared" si="1"/>
        <v>0</v>
      </c>
      <c r="V14" s="139"/>
    </row>
    <row r="15" ht="15.75" customHeight="1">
      <c r="A15" s="6"/>
      <c r="B15" s="6"/>
      <c r="C15" s="156"/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49"/>
      <c r="U15" s="157">
        <f t="shared" si="1"/>
        <v>0</v>
      </c>
      <c r="V15" s="139"/>
    </row>
    <row r="16" ht="15.75" customHeight="1">
      <c r="A16" s="6" t="s">
        <v>150</v>
      </c>
      <c r="B16" s="6"/>
      <c r="C16" s="156"/>
      <c r="D16" s="167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49"/>
      <c r="U16" s="157">
        <f t="shared" si="1"/>
        <v>0</v>
      </c>
      <c r="V16" s="139"/>
    </row>
    <row r="17" ht="15.75" customHeight="1">
      <c r="A17" s="6" t="s">
        <v>151</v>
      </c>
      <c r="B17" s="6" t="s">
        <v>152</v>
      </c>
      <c r="C17" s="156"/>
      <c r="D17" s="149">
        <v>40000.0</v>
      </c>
      <c r="E17" s="149">
        <v>5000.0</v>
      </c>
      <c r="F17" s="149">
        <v>5000.0</v>
      </c>
      <c r="G17" s="149">
        <v>2000.0</v>
      </c>
      <c r="H17" s="149">
        <v>10000.0</v>
      </c>
      <c r="I17" s="149">
        <v>16500.0</v>
      </c>
      <c r="J17" s="167">
        <v>0.0</v>
      </c>
      <c r="K17" s="167">
        <v>0.0</v>
      </c>
      <c r="L17" s="167">
        <v>0.0</v>
      </c>
      <c r="M17" s="167">
        <v>0.0</v>
      </c>
      <c r="N17" s="167">
        <v>0.0</v>
      </c>
      <c r="O17" s="167">
        <v>0.0</v>
      </c>
      <c r="P17" s="156">
        <v>6250.0</v>
      </c>
      <c r="Q17" s="167">
        <v>0.0</v>
      </c>
      <c r="R17" s="167">
        <v>0.0</v>
      </c>
      <c r="S17" s="149"/>
      <c r="T17" s="149"/>
      <c r="U17" s="157">
        <f t="shared" si="1"/>
        <v>84750</v>
      </c>
      <c r="V17" s="139" t="s">
        <v>132</v>
      </c>
    </row>
    <row r="18" ht="15.75" customHeight="1">
      <c r="A18" s="6" t="s">
        <v>153</v>
      </c>
      <c r="B18" s="6" t="s">
        <v>154</v>
      </c>
      <c r="C18" s="156"/>
      <c r="D18" s="149">
        <v>40000.0</v>
      </c>
      <c r="E18" s="149">
        <v>5000.0</v>
      </c>
      <c r="F18" s="149">
        <v>5000.0</v>
      </c>
      <c r="G18" s="149">
        <v>2000.0</v>
      </c>
      <c r="H18" s="167">
        <v>0.0</v>
      </c>
      <c r="I18" s="149">
        <v>33550.0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49">
        <v>10000.0</v>
      </c>
      <c r="Q18" s="149">
        <v>14450.0</v>
      </c>
      <c r="R18" s="155"/>
      <c r="S18" s="167">
        <v>0.0</v>
      </c>
      <c r="T18" s="149"/>
      <c r="U18" s="157">
        <f t="shared" si="1"/>
        <v>110000</v>
      </c>
      <c r="V18" s="139">
        <v>110000.0</v>
      </c>
    </row>
    <row r="19" ht="15.75" customHeight="1">
      <c r="A19" s="6" t="s">
        <v>155</v>
      </c>
      <c r="B19" s="6" t="s">
        <v>156</v>
      </c>
      <c r="C19" s="156"/>
      <c r="D19" s="149">
        <v>40000.0</v>
      </c>
      <c r="E19" s="149">
        <v>5000.0</v>
      </c>
      <c r="F19" s="149">
        <v>5000.0</v>
      </c>
      <c r="G19" s="149">
        <v>2000.0</v>
      </c>
      <c r="H19" s="149">
        <v>10000.0</v>
      </c>
      <c r="I19" s="167">
        <v>0.0</v>
      </c>
      <c r="J19" s="167">
        <v>0.0</v>
      </c>
      <c r="K19" s="149">
        <f>73*30</f>
        <v>2190</v>
      </c>
      <c r="L19" s="167">
        <v>0.0</v>
      </c>
      <c r="M19" s="167">
        <v>0.0</v>
      </c>
      <c r="N19" s="167">
        <v>0.0</v>
      </c>
      <c r="O19" s="167">
        <v>0.0</v>
      </c>
      <c r="P19" s="167">
        <v>0.0</v>
      </c>
      <c r="Q19" s="167">
        <v>0.0</v>
      </c>
      <c r="R19" s="155">
        <v>1500.0</v>
      </c>
      <c r="S19" s="167">
        <v>0.0</v>
      </c>
      <c r="T19" s="149"/>
      <c r="U19" s="157">
        <f t="shared" si="1"/>
        <v>65690</v>
      </c>
      <c r="V19" s="139" t="s">
        <v>132</v>
      </c>
    </row>
    <row r="20" ht="15.75" customHeight="1">
      <c r="A20" s="6" t="s">
        <v>157</v>
      </c>
      <c r="B20" s="6" t="s">
        <v>158</v>
      </c>
      <c r="C20" s="156"/>
      <c r="D20" s="149">
        <v>40000.0</v>
      </c>
      <c r="E20" s="149">
        <v>5000.0</v>
      </c>
      <c r="F20" s="149">
        <v>5000.0</v>
      </c>
      <c r="G20" s="149">
        <v>2000.0</v>
      </c>
      <c r="H20" s="167">
        <v>0.0</v>
      </c>
      <c r="I20" s="149">
        <v>40700.0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0.0</v>
      </c>
      <c r="P20" s="149">
        <v>10000.0</v>
      </c>
      <c r="Q20" s="149">
        <v>7300.0</v>
      </c>
      <c r="R20" s="167">
        <v>0.0</v>
      </c>
      <c r="S20" s="167">
        <v>0.0</v>
      </c>
      <c r="T20" s="149"/>
      <c r="U20" s="157">
        <f t="shared" si="1"/>
        <v>110000</v>
      </c>
      <c r="V20" s="139">
        <v>110000.0</v>
      </c>
    </row>
    <row r="21" ht="15.75" customHeight="1">
      <c r="A21" s="6" t="s">
        <v>159</v>
      </c>
      <c r="B21" s="6"/>
      <c r="C21" s="156"/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0.0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49"/>
      <c r="U21" s="157">
        <f t="shared" si="1"/>
        <v>0</v>
      </c>
      <c r="V21" s="139"/>
    </row>
    <row r="22" ht="15.75" customHeight="1">
      <c r="A22" s="6" t="s">
        <v>160</v>
      </c>
      <c r="B22" s="6" t="s">
        <v>161</v>
      </c>
      <c r="C22" s="156"/>
      <c r="D22" s="149">
        <v>40000.0</v>
      </c>
      <c r="E22" s="149">
        <v>5000.0</v>
      </c>
      <c r="F22" s="149">
        <v>5000.0</v>
      </c>
      <c r="G22" s="149">
        <v>2000.0</v>
      </c>
      <c r="H22" s="167">
        <v>0.0</v>
      </c>
      <c r="I22" s="149">
        <v>16500.0</v>
      </c>
      <c r="J22" s="167">
        <v>0.0</v>
      </c>
      <c r="K22" s="167">
        <v>0.0</v>
      </c>
      <c r="L22" s="167">
        <v>0.0</v>
      </c>
      <c r="M22" s="167">
        <v>0.0</v>
      </c>
      <c r="N22" s="167">
        <v>0.0</v>
      </c>
      <c r="O22" s="167">
        <v>0.0</v>
      </c>
      <c r="P22" s="167">
        <v>0.0</v>
      </c>
      <c r="Q22" s="149">
        <v>19670.0</v>
      </c>
      <c r="R22" s="167">
        <v>0.0</v>
      </c>
      <c r="S22" s="167">
        <v>0.0</v>
      </c>
      <c r="T22" s="149"/>
      <c r="U22" s="157">
        <f t="shared" si="1"/>
        <v>88170</v>
      </c>
      <c r="V22" s="139" t="s">
        <v>132</v>
      </c>
    </row>
    <row r="23" ht="15.75" customHeight="1">
      <c r="A23" s="6" t="s">
        <v>162</v>
      </c>
      <c r="B23" s="6" t="s">
        <v>163</v>
      </c>
      <c r="C23" s="156"/>
      <c r="D23" s="149">
        <v>40000.0</v>
      </c>
      <c r="E23" s="149">
        <v>5000.0</v>
      </c>
      <c r="F23" s="149">
        <v>5000.0</v>
      </c>
      <c r="G23" s="149">
        <v>2000.0</v>
      </c>
      <c r="H23" s="167">
        <v>0.0</v>
      </c>
      <c r="I23" s="149">
        <v>42900.0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49">
        <v>20000.0</v>
      </c>
      <c r="Q23" s="167">
        <v>0.0</v>
      </c>
      <c r="R23" s="167">
        <v>0.0</v>
      </c>
      <c r="S23" s="167">
        <v>0.0</v>
      </c>
      <c r="T23" s="149"/>
      <c r="U23" s="157">
        <f t="shared" si="1"/>
        <v>114900</v>
      </c>
      <c r="V23" s="139" t="s">
        <v>132</v>
      </c>
    </row>
    <row r="24" ht="15.75" customHeight="1">
      <c r="A24" s="6" t="s">
        <v>164</v>
      </c>
      <c r="B24" s="6"/>
      <c r="C24" s="156"/>
      <c r="D24" s="167">
        <v>0.0</v>
      </c>
      <c r="E24" s="167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49"/>
      <c r="U24" s="157">
        <f t="shared" si="1"/>
        <v>0</v>
      </c>
      <c r="V24" s="139"/>
    </row>
    <row r="25" ht="15.75" customHeight="1">
      <c r="A25" s="6" t="s">
        <v>165</v>
      </c>
      <c r="B25" s="6" t="s">
        <v>166</v>
      </c>
      <c r="C25" s="156"/>
      <c r="D25" s="149">
        <v>40000.0</v>
      </c>
      <c r="E25" s="149">
        <v>5000.0</v>
      </c>
      <c r="F25" s="149">
        <v>5000.0</v>
      </c>
      <c r="G25" s="149">
        <v>2000.0</v>
      </c>
      <c r="H25" s="149">
        <v>10000.0</v>
      </c>
      <c r="I25" s="167">
        <v>0.0</v>
      </c>
      <c r="J25" s="149">
        <f>242*22</f>
        <v>5324</v>
      </c>
      <c r="K25" s="167">
        <v>0.0</v>
      </c>
      <c r="L25" s="167">
        <v>0.0</v>
      </c>
      <c r="M25" s="167">
        <v>0.0</v>
      </c>
      <c r="N25" s="170" t="s">
        <v>145</v>
      </c>
      <c r="O25" s="170" t="s">
        <v>145</v>
      </c>
      <c r="P25" s="167">
        <v>0.0</v>
      </c>
      <c r="Q25" s="167">
        <v>0.0</v>
      </c>
      <c r="R25" s="155">
        <v>1500.0</v>
      </c>
      <c r="S25" s="167">
        <v>0.0</v>
      </c>
      <c r="T25" s="149">
        <v>14000.0</v>
      </c>
      <c r="U25" s="157">
        <f t="shared" si="1"/>
        <v>82824</v>
      </c>
      <c r="V25" s="139" t="s">
        <v>132</v>
      </c>
    </row>
    <row r="26" ht="15.75" customHeight="1">
      <c r="A26" s="6"/>
      <c r="B26" s="6"/>
      <c r="C26" s="156"/>
      <c r="D26" s="167">
        <v>0.0</v>
      </c>
      <c r="E26" s="167">
        <v>0.0</v>
      </c>
      <c r="F26" s="167">
        <v>0.0</v>
      </c>
      <c r="G26" s="167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167">
        <v>0.0</v>
      </c>
      <c r="T26" s="149"/>
      <c r="U26" s="157">
        <f t="shared" si="1"/>
        <v>0</v>
      </c>
      <c r="V26" s="139"/>
    </row>
    <row r="27" ht="15.75" customHeight="1">
      <c r="A27" s="148" t="s">
        <v>128</v>
      </c>
      <c r="B27" s="148"/>
      <c r="C27" s="157"/>
      <c r="D27" s="157">
        <f t="shared" ref="D27:T27" si="3">SUM(D3:D26)</f>
        <v>680000</v>
      </c>
      <c r="E27" s="157">
        <f t="shared" si="3"/>
        <v>85000</v>
      </c>
      <c r="F27" s="157">
        <f t="shared" si="3"/>
        <v>85000</v>
      </c>
      <c r="G27" s="157">
        <f t="shared" si="3"/>
        <v>34000</v>
      </c>
      <c r="H27" s="157">
        <f t="shared" si="3"/>
        <v>60000</v>
      </c>
      <c r="I27" s="157">
        <f t="shared" si="3"/>
        <v>511500</v>
      </c>
      <c r="J27" s="157">
        <f t="shared" si="3"/>
        <v>23474</v>
      </c>
      <c r="K27" s="157">
        <f t="shared" si="3"/>
        <v>6570</v>
      </c>
      <c r="L27" s="157">
        <f t="shared" si="3"/>
        <v>0</v>
      </c>
      <c r="M27" s="157">
        <f t="shared" si="3"/>
        <v>0</v>
      </c>
      <c r="N27" s="157">
        <f t="shared" si="3"/>
        <v>0</v>
      </c>
      <c r="O27" s="157">
        <f t="shared" si="3"/>
        <v>0</v>
      </c>
      <c r="P27" s="157">
        <f t="shared" si="3"/>
        <v>56250</v>
      </c>
      <c r="Q27" s="157">
        <f t="shared" si="3"/>
        <v>80670</v>
      </c>
      <c r="R27" s="157">
        <f t="shared" si="3"/>
        <v>6000</v>
      </c>
      <c r="S27" s="157">
        <f t="shared" si="3"/>
        <v>0</v>
      </c>
      <c r="T27" s="157">
        <f t="shared" si="3"/>
        <v>14500</v>
      </c>
      <c r="U27" s="157">
        <f t="shared" si="1"/>
        <v>1642964</v>
      </c>
      <c r="V27" s="139"/>
    </row>
    <row r="28" ht="15.75" customHeight="1">
      <c r="A28" s="10"/>
      <c r="B28" s="10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</row>
    <row r="29" ht="15.75" customHeight="1">
      <c r="A29" s="10"/>
      <c r="B29" s="10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</row>
    <row r="30" ht="15.75" customHeight="1">
      <c r="A30" s="10"/>
      <c r="B30" s="10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</row>
    <row r="31" ht="15.75" customHeight="1">
      <c r="A31" s="10"/>
      <c r="B31" s="10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</row>
    <row r="32" ht="15.75" customHeight="1">
      <c r="A32" s="10"/>
      <c r="B32" s="10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</row>
    <row r="33" ht="15.75" customHeight="1">
      <c r="A33" s="10"/>
      <c r="B33" s="10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</row>
    <row r="34" ht="15.75" customHeight="1">
      <c r="A34" s="10"/>
      <c r="B34" s="10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</row>
    <row r="35" ht="15.75" customHeight="1">
      <c r="A35" s="10"/>
      <c r="B35" s="10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</row>
    <row r="36" ht="15.75" customHeight="1">
      <c r="A36" s="10"/>
      <c r="B36" s="10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</row>
    <row r="37" ht="15.75" customHeight="1">
      <c r="A37" s="10"/>
      <c r="B37" s="10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</row>
    <row r="38" ht="15.75" customHeight="1">
      <c r="A38" s="10"/>
      <c r="B38" s="10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</row>
    <row r="39" ht="15.75" customHeight="1">
      <c r="A39" s="10"/>
      <c r="B39" s="10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</row>
    <row r="40" ht="15.75" customHeight="1">
      <c r="A40" s="10"/>
      <c r="B40" s="10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</row>
    <row r="41" ht="15.75" customHeight="1">
      <c r="A41" s="10"/>
      <c r="B41" s="10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ht="15.75" customHeight="1">
      <c r="A42" s="10"/>
      <c r="B42" s="10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</row>
    <row r="43" ht="15.75" customHeight="1">
      <c r="A43" s="10"/>
      <c r="B43" s="10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 ht="15.75" customHeight="1">
      <c r="A1" s="142">
        <v>45808.0</v>
      </c>
      <c r="C1" s="143" t="s">
        <v>98</v>
      </c>
      <c r="D1" s="64"/>
    </row>
    <row r="2" ht="15.75" customHeight="1">
      <c r="A2" s="6" t="s">
        <v>0</v>
      </c>
      <c r="B2" s="6" t="s">
        <v>1</v>
      </c>
      <c r="C2" s="9" t="s">
        <v>146</v>
      </c>
      <c r="D2" s="144" t="s">
        <v>5</v>
      </c>
      <c r="E2" s="144" t="s">
        <v>8</v>
      </c>
      <c r="F2" s="144" t="s">
        <v>10</v>
      </c>
      <c r="G2" s="144" t="s">
        <v>13</v>
      </c>
      <c r="H2" s="9" t="s">
        <v>15</v>
      </c>
      <c r="I2" s="6" t="s">
        <v>17</v>
      </c>
      <c r="J2" s="6" t="s">
        <v>21</v>
      </c>
      <c r="K2" s="6" t="s">
        <v>22</v>
      </c>
      <c r="L2" s="6" t="s">
        <v>32</v>
      </c>
      <c r="M2" s="6" t="s">
        <v>140</v>
      </c>
      <c r="N2" s="6" t="s">
        <v>141</v>
      </c>
      <c r="O2" s="6" t="s">
        <v>142</v>
      </c>
      <c r="P2" s="6" t="s">
        <v>24</v>
      </c>
      <c r="Q2" s="168" t="s">
        <v>27</v>
      </c>
      <c r="R2" s="168" t="s">
        <v>26</v>
      </c>
      <c r="S2" s="168" t="s">
        <v>143</v>
      </c>
      <c r="T2" s="168" t="s">
        <v>29</v>
      </c>
      <c r="U2" s="148" t="s">
        <v>128</v>
      </c>
      <c r="V2" s="10" t="s">
        <v>59</v>
      </c>
      <c r="W2" s="10" t="s">
        <v>167</v>
      </c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ht="15.75" customHeight="1">
      <c r="A3" s="6">
        <v>108.0</v>
      </c>
      <c r="B3" s="6" t="s">
        <v>4</v>
      </c>
      <c r="C3" s="149"/>
      <c r="D3" s="149">
        <v>40000.0</v>
      </c>
      <c r="E3" s="149">
        <v>5000.0</v>
      </c>
      <c r="F3" s="149">
        <v>5000.0</v>
      </c>
      <c r="G3" s="149">
        <v>2000.0</v>
      </c>
      <c r="H3" s="167">
        <v>0.0</v>
      </c>
      <c r="I3" s="149">
        <v>28000.0</v>
      </c>
      <c r="J3" s="167">
        <v>0.0</v>
      </c>
      <c r="K3" s="167">
        <v>0.0</v>
      </c>
      <c r="L3" s="167">
        <v>0.0</v>
      </c>
      <c r="M3" s="167">
        <v>0.0</v>
      </c>
      <c r="N3" s="167">
        <v>0.0</v>
      </c>
      <c r="O3" s="167">
        <v>0.0</v>
      </c>
      <c r="P3" s="167">
        <v>0.0</v>
      </c>
      <c r="Q3" s="155">
        <v>0.0</v>
      </c>
      <c r="R3" s="167">
        <v>0.0</v>
      </c>
      <c r="S3" s="167">
        <v>0.0</v>
      </c>
      <c r="T3" s="155"/>
      <c r="U3" s="157">
        <f t="shared" ref="U3:U27" si="1">SUM(D3:T3)</f>
        <v>80000</v>
      </c>
      <c r="V3" s="139">
        <v>80000.0</v>
      </c>
    </row>
    <row r="4" ht="15.75" customHeight="1">
      <c r="A4" s="6">
        <v>206.0</v>
      </c>
      <c r="B4" s="6" t="s">
        <v>7</v>
      </c>
      <c r="C4" s="149"/>
      <c r="D4" s="149">
        <v>40000.0</v>
      </c>
      <c r="E4" s="149">
        <v>5000.0</v>
      </c>
      <c r="F4" s="149">
        <v>5000.0</v>
      </c>
      <c r="G4" s="149">
        <v>2000.0</v>
      </c>
      <c r="H4" s="167">
        <v>0.0</v>
      </c>
      <c r="I4" s="149">
        <v>41580.0</v>
      </c>
      <c r="J4" s="167">
        <v>0.0</v>
      </c>
      <c r="K4" s="167">
        <v>0.0</v>
      </c>
      <c r="L4" s="167">
        <v>0.0</v>
      </c>
      <c r="M4" s="167">
        <v>0.0</v>
      </c>
      <c r="N4" s="167">
        <v>0.0</v>
      </c>
      <c r="O4" s="167">
        <v>0.0</v>
      </c>
      <c r="P4" s="167">
        <v>0.0</v>
      </c>
      <c r="Q4" s="155">
        <v>6420.0</v>
      </c>
      <c r="R4" s="167">
        <v>0.0</v>
      </c>
      <c r="S4" s="167">
        <v>0.0</v>
      </c>
      <c r="T4" s="149"/>
      <c r="U4" s="157">
        <f t="shared" si="1"/>
        <v>100000</v>
      </c>
      <c r="V4" s="139">
        <v>100000.0</v>
      </c>
    </row>
    <row r="5" ht="15.75" customHeight="1">
      <c r="A5" s="6">
        <v>210.0</v>
      </c>
      <c r="B5" s="6" t="s">
        <v>28</v>
      </c>
      <c r="C5" s="149"/>
      <c r="D5" s="149">
        <v>40000.0</v>
      </c>
      <c r="E5" s="149">
        <v>5000.0</v>
      </c>
      <c r="F5" s="149">
        <v>5000.0</v>
      </c>
      <c r="G5" s="149">
        <v>2000.0</v>
      </c>
      <c r="H5" s="167">
        <v>0.0</v>
      </c>
      <c r="I5" s="149">
        <v>44330.0</v>
      </c>
      <c r="J5" s="167">
        <v>0.0</v>
      </c>
      <c r="K5" s="167">
        <v>0.0</v>
      </c>
      <c r="L5" s="167">
        <v>0.0</v>
      </c>
      <c r="M5" s="167">
        <v>0.0</v>
      </c>
      <c r="N5" s="167">
        <v>0.0</v>
      </c>
      <c r="O5" s="167">
        <v>0.0</v>
      </c>
      <c r="P5" s="167">
        <v>0.0</v>
      </c>
      <c r="Q5" s="149">
        <v>3670.0</v>
      </c>
      <c r="R5" s="167">
        <v>0.0</v>
      </c>
      <c r="S5" s="167">
        <v>0.0</v>
      </c>
      <c r="T5" s="149"/>
      <c r="U5" s="157">
        <f t="shared" si="1"/>
        <v>100000</v>
      </c>
      <c r="V5" s="139">
        <v>100000.0</v>
      </c>
    </row>
    <row r="6" ht="15.75" customHeight="1">
      <c r="A6" s="6">
        <v>211.0</v>
      </c>
      <c r="B6" s="6" t="s">
        <v>12</v>
      </c>
      <c r="C6" s="149"/>
      <c r="D6" s="149">
        <v>40000.0</v>
      </c>
      <c r="E6" s="149">
        <v>5000.0</v>
      </c>
      <c r="F6" s="149">
        <v>5000.0</v>
      </c>
      <c r="G6" s="149">
        <v>2000.0</v>
      </c>
      <c r="H6" s="167">
        <v>0.0</v>
      </c>
      <c r="I6" s="149">
        <v>44330.0</v>
      </c>
      <c r="J6" s="167">
        <v>0.0</v>
      </c>
      <c r="K6" s="167">
        <v>0.0</v>
      </c>
      <c r="L6" s="167">
        <v>0.0</v>
      </c>
      <c r="M6" s="167">
        <v>0.0</v>
      </c>
      <c r="N6" s="167">
        <v>0.0</v>
      </c>
      <c r="O6" s="167">
        <v>0.0</v>
      </c>
      <c r="P6" s="167">
        <v>0.0</v>
      </c>
      <c r="Q6" s="149">
        <v>8670.0</v>
      </c>
      <c r="R6" s="167">
        <v>0.0</v>
      </c>
      <c r="S6" s="167">
        <v>0.0</v>
      </c>
      <c r="T6" s="149"/>
      <c r="U6" s="157">
        <f t="shared" si="1"/>
        <v>105000</v>
      </c>
      <c r="V6" s="139">
        <v>105000.0</v>
      </c>
    </row>
    <row r="7" ht="15.75" customHeight="1">
      <c r="A7" s="6">
        <v>212.0</v>
      </c>
      <c r="B7" s="6" t="s">
        <v>14</v>
      </c>
      <c r="C7" s="149"/>
      <c r="D7" s="149">
        <v>40000.0</v>
      </c>
      <c r="E7" s="149">
        <v>5000.0</v>
      </c>
      <c r="F7" s="149">
        <v>5000.0</v>
      </c>
      <c r="G7" s="149">
        <v>2000.0</v>
      </c>
      <c r="H7" s="149">
        <v>10000.0</v>
      </c>
      <c r="I7" s="149">
        <v>42130.0</v>
      </c>
      <c r="J7" s="149">
        <v>11253.0</v>
      </c>
      <c r="K7" s="149">
        <v>2263.0</v>
      </c>
      <c r="L7" s="167">
        <v>0.0</v>
      </c>
      <c r="M7" s="167">
        <v>0.0</v>
      </c>
      <c r="N7" s="167">
        <v>0.0</v>
      </c>
      <c r="O7" s="167">
        <v>0.0</v>
      </c>
      <c r="P7" s="167">
        <v>0.0</v>
      </c>
      <c r="Q7" s="167">
        <v>0.0</v>
      </c>
      <c r="R7" s="155">
        <v>1500.0</v>
      </c>
      <c r="S7" s="167">
        <v>0.0</v>
      </c>
      <c r="T7" s="149"/>
      <c r="U7" s="157">
        <f t="shared" si="1"/>
        <v>119146</v>
      </c>
      <c r="V7" s="139" t="s">
        <v>132</v>
      </c>
    </row>
    <row r="8" ht="15.75" customHeight="1">
      <c r="A8" s="6">
        <v>303.0</v>
      </c>
      <c r="B8" s="6" t="s">
        <v>136</v>
      </c>
      <c r="C8" s="149"/>
      <c r="D8" s="149">
        <v>40000.0</v>
      </c>
      <c r="E8" s="149">
        <v>5000.0</v>
      </c>
      <c r="F8" s="149">
        <v>5000.0</v>
      </c>
      <c r="G8" s="149">
        <v>2000.0</v>
      </c>
      <c r="H8" s="149">
        <v>10000.0</v>
      </c>
      <c r="I8" s="149">
        <v>43450.0</v>
      </c>
      <c r="J8" s="155">
        <v>7502.0</v>
      </c>
      <c r="K8" s="149">
        <v>2263.0</v>
      </c>
      <c r="L8" s="167">
        <v>0.0</v>
      </c>
      <c r="M8" s="167">
        <v>0.0</v>
      </c>
      <c r="N8" s="170" t="s">
        <v>145</v>
      </c>
      <c r="O8" s="170" t="s">
        <v>145</v>
      </c>
      <c r="P8" s="167">
        <v>0.0</v>
      </c>
      <c r="Q8" s="167">
        <v>0.0</v>
      </c>
      <c r="R8" s="155">
        <v>1500.0</v>
      </c>
      <c r="S8" s="149"/>
      <c r="T8" s="149"/>
      <c r="U8" s="157">
        <f t="shared" si="1"/>
        <v>116715</v>
      </c>
      <c r="V8" s="139">
        <v>100000.0</v>
      </c>
    </row>
    <row r="9" ht="15.75" customHeight="1">
      <c r="A9" s="6">
        <v>403.0</v>
      </c>
      <c r="B9" s="6" t="s">
        <v>34</v>
      </c>
      <c r="C9" s="149"/>
      <c r="D9" s="149">
        <v>40000.0</v>
      </c>
      <c r="E9" s="149">
        <v>5000.0</v>
      </c>
      <c r="F9" s="149">
        <v>5000.0</v>
      </c>
      <c r="G9" s="149">
        <v>2000.0</v>
      </c>
      <c r="H9" s="167">
        <v>0.0</v>
      </c>
      <c r="I9" s="149">
        <v>38000.0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49">
        <v>10000.0</v>
      </c>
      <c r="Q9" s="149"/>
      <c r="R9" s="167">
        <v>0.0</v>
      </c>
      <c r="S9" s="167">
        <v>0.0</v>
      </c>
      <c r="T9" s="149"/>
      <c r="U9" s="157">
        <f t="shared" si="1"/>
        <v>100000</v>
      </c>
      <c r="V9" s="139">
        <v>100000.0</v>
      </c>
    </row>
    <row r="10" ht="15.75" customHeight="1">
      <c r="A10" s="6"/>
      <c r="B10" s="6"/>
      <c r="C10" s="156"/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  <c r="S10" s="149"/>
      <c r="T10" s="149"/>
      <c r="U10" s="157">
        <f t="shared" si="1"/>
        <v>0</v>
      </c>
      <c r="V10" s="139"/>
    </row>
    <row r="11" ht="15.75" customHeight="1">
      <c r="A11" s="6">
        <v>703.0</v>
      </c>
      <c r="B11" s="6" t="s">
        <v>38</v>
      </c>
      <c r="C11" s="156"/>
      <c r="D11" s="149">
        <v>40000.0</v>
      </c>
      <c r="E11" s="149">
        <v>5000.0</v>
      </c>
      <c r="F11" s="149">
        <v>5000.0</v>
      </c>
      <c r="G11" s="149">
        <v>2000.0</v>
      </c>
      <c r="H11" s="167">
        <v>0.0</v>
      </c>
      <c r="I11" s="149">
        <v>44330.0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49">
        <v>3670.0</v>
      </c>
      <c r="R11" s="167">
        <v>0.0</v>
      </c>
      <c r="S11" s="167">
        <v>0.0</v>
      </c>
      <c r="T11" s="149"/>
      <c r="U11" s="157">
        <f t="shared" si="1"/>
        <v>100000</v>
      </c>
      <c r="V11" s="139">
        <v>100000.0</v>
      </c>
    </row>
    <row r="12" ht="15.75" customHeight="1">
      <c r="A12" s="6">
        <v>715.0</v>
      </c>
      <c r="B12" s="6" t="s">
        <v>39</v>
      </c>
      <c r="C12" s="156"/>
      <c r="D12" s="149">
        <v>40000.0</v>
      </c>
      <c r="E12" s="149">
        <v>5000.0</v>
      </c>
      <c r="F12" s="149">
        <v>5000.0</v>
      </c>
      <c r="G12" s="149">
        <v>2000.0</v>
      </c>
      <c r="H12" s="149">
        <v>10000.0</v>
      </c>
      <c r="I12" s="149">
        <v>44330.0</v>
      </c>
      <c r="J12" s="167">
        <v>0.0</v>
      </c>
      <c r="K12" s="167">
        <v>0.0</v>
      </c>
      <c r="L12" s="167">
        <v>0.0</v>
      </c>
      <c r="M12" s="167">
        <v>0.0</v>
      </c>
      <c r="N12" s="167">
        <v>0.0</v>
      </c>
      <c r="O12" s="167">
        <v>0.0</v>
      </c>
      <c r="P12" s="167">
        <v>0.0</v>
      </c>
      <c r="Q12" s="149">
        <v>9670.0</v>
      </c>
      <c r="R12" s="167">
        <v>0.0</v>
      </c>
      <c r="S12" s="167">
        <v>0.0</v>
      </c>
      <c r="T12" s="149"/>
      <c r="U12" s="157">
        <f t="shared" si="1"/>
        <v>116000</v>
      </c>
      <c r="V12" s="139">
        <v>116000.0</v>
      </c>
    </row>
    <row r="13" ht="15.75" customHeight="1">
      <c r="A13" s="6">
        <v>716.0</v>
      </c>
      <c r="B13" s="6" t="s">
        <v>40</v>
      </c>
      <c r="C13" s="156"/>
      <c r="D13" s="149">
        <v>40000.0</v>
      </c>
      <c r="E13" s="149">
        <v>5000.0</v>
      </c>
      <c r="F13" s="149">
        <v>5000.0</v>
      </c>
      <c r="G13" s="149">
        <v>2000.0</v>
      </c>
      <c r="H13" s="167">
        <v>0.0</v>
      </c>
      <c r="I13" s="149">
        <v>12100.0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49">
        <v>500.0</v>
      </c>
      <c r="U13" s="157">
        <f t="shared" si="1"/>
        <v>64600</v>
      </c>
      <c r="V13" s="139" t="s">
        <v>132</v>
      </c>
    </row>
    <row r="14" ht="15.75" customHeight="1">
      <c r="A14" s="6"/>
      <c r="B14" s="6"/>
      <c r="C14" s="156"/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49"/>
      <c r="U14" s="157">
        <f t="shared" si="1"/>
        <v>0</v>
      </c>
      <c r="V14" s="139"/>
    </row>
    <row r="15" ht="15.75" customHeight="1">
      <c r="A15" s="6"/>
      <c r="B15" s="6"/>
      <c r="C15" s="156"/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49"/>
      <c r="U15" s="157">
        <f t="shared" si="1"/>
        <v>0</v>
      </c>
      <c r="V15" s="139"/>
    </row>
    <row r="16" ht="15.75" customHeight="1">
      <c r="A16" s="6" t="s">
        <v>150</v>
      </c>
      <c r="B16" s="6"/>
      <c r="C16" s="156"/>
      <c r="D16" s="167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49"/>
      <c r="U16" s="157">
        <f t="shared" si="1"/>
        <v>0</v>
      </c>
      <c r="V16" s="139"/>
    </row>
    <row r="17" ht="15.75" customHeight="1">
      <c r="A17" s="6" t="s">
        <v>151</v>
      </c>
      <c r="B17" s="6" t="s">
        <v>152</v>
      </c>
      <c r="C17" s="156"/>
      <c r="D17" s="149">
        <v>40000.0</v>
      </c>
      <c r="E17" s="149">
        <v>5000.0</v>
      </c>
      <c r="F17" s="149">
        <v>5000.0</v>
      </c>
      <c r="G17" s="149">
        <v>2000.0</v>
      </c>
      <c r="H17" s="149">
        <v>10000.0</v>
      </c>
      <c r="I17" s="149">
        <v>17050.0</v>
      </c>
      <c r="J17" s="167">
        <v>0.0</v>
      </c>
      <c r="K17" s="167">
        <v>0.0</v>
      </c>
      <c r="L17" s="167">
        <v>0.0</v>
      </c>
      <c r="M17" s="167">
        <v>0.0</v>
      </c>
      <c r="N17" s="167">
        <v>0.0</v>
      </c>
      <c r="O17" s="167">
        <v>0.0</v>
      </c>
      <c r="P17" s="171">
        <v>0.0</v>
      </c>
      <c r="Q17" s="167">
        <v>0.0</v>
      </c>
      <c r="R17" s="167">
        <v>0.0</v>
      </c>
      <c r="S17" s="149"/>
      <c r="T17" s="149"/>
      <c r="U17" s="157">
        <f t="shared" si="1"/>
        <v>79050</v>
      </c>
      <c r="V17" s="139" t="s">
        <v>132</v>
      </c>
    </row>
    <row r="18" ht="15.75" customHeight="1">
      <c r="A18" s="6" t="s">
        <v>153</v>
      </c>
      <c r="B18" s="6" t="s">
        <v>154</v>
      </c>
      <c r="C18" s="156"/>
      <c r="D18" s="149">
        <v>40000.0</v>
      </c>
      <c r="E18" s="149">
        <v>5000.0</v>
      </c>
      <c r="F18" s="149">
        <v>5000.0</v>
      </c>
      <c r="G18" s="149">
        <v>2000.0</v>
      </c>
      <c r="H18" s="167">
        <v>0.0</v>
      </c>
      <c r="I18" s="149">
        <v>44330.0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49">
        <v>10000.0</v>
      </c>
      <c r="Q18" s="149">
        <v>3670.0</v>
      </c>
      <c r="R18" s="155"/>
      <c r="S18" s="167">
        <v>0.0</v>
      </c>
      <c r="T18" s="149"/>
      <c r="U18" s="157">
        <f t="shared" si="1"/>
        <v>110000</v>
      </c>
      <c r="V18" s="139">
        <v>110000.0</v>
      </c>
    </row>
    <row r="19" ht="15.75" customHeight="1">
      <c r="A19" s="6" t="s">
        <v>155</v>
      </c>
      <c r="B19" s="6" t="s">
        <v>156</v>
      </c>
      <c r="C19" s="156"/>
      <c r="D19" s="149">
        <v>40000.0</v>
      </c>
      <c r="E19" s="149">
        <v>5000.0</v>
      </c>
      <c r="F19" s="149">
        <v>5000.0</v>
      </c>
      <c r="G19" s="149">
        <v>2000.0</v>
      </c>
      <c r="H19" s="149">
        <v>10000.0</v>
      </c>
      <c r="I19" s="167">
        <v>0.0</v>
      </c>
      <c r="J19" s="167">
        <v>0.0</v>
      </c>
      <c r="K19" s="149">
        <v>2263.0</v>
      </c>
      <c r="L19" s="167">
        <v>0.0</v>
      </c>
      <c r="M19" s="167">
        <v>0.0</v>
      </c>
      <c r="N19" s="167">
        <v>0.0</v>
      </c>
      <c r="O19" s="167">
        <v>0.0</v>
      </c>
      <c r="P19" s="167">
        <v>0.0</v>
      </c>
      <c r="Q19" s="167">
        <v>0.0</v>
      </c>
      <c r="R19" s="155">
        <v>1500.0</v>
      </c>
      <c r="S19" s="167">
        <v>0.0</v>
      </c>
      <c r="T19" s="149"/>
      <c r="U19" s="157">
        <f t="shared" si="1"/>
        <v>65763</v>
      </c>
      <c r="V19" s="139" t="s">
        <v>132</v>
      </c>
    </row>
    <row r="20" ht="15.75" customHeight="1">
      <c r="A20" s="6" t="s">
        <v>157</v>
      </c>
      <c r="B20" s="6" t="s">
        <v>158</v>
      </c>
      <c r="C20" s="156"/>
      <c r="D20" s="149">
        <v>40000.0</v>
      </c>
      <c r="E20" s="149">
        <v>5000.0</v>
      </c>
      <c r="F20" s="149">
        <v>5000.0</v>
      </c>
      <c r="G20" s="149">
        <v>2000.0</v>
      </c>
      <c r="H20" s="167">
        <v>0.0</v>
      </c>
      <c r="I20" s="149">
        <v>42130.0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0.0</v>
      </c>
      <c r="P20" s="149">
        <v>10000.0</v>
      </c>
      <c r="Q20" s="149">
        <v>5870.0</v>
      </c>
      <c r="R20" s="167">
        <v>0.0</v>
      </c>
      <c r="S20" s="167">
        <v>0.0</v>
      </c>
      <c r="T20" s="149"/>
      <c r="U20" s="157">
        <f t="shared" si="1"/>
        <v>110000</v>
      </c>
      <c r="V20" s="139">
        <v>110000.0</v>
      </c>
    </row>
    <row r="21" ht="15.75" customHeight="1">
      <c r="A21" s="6" t="s">
        <v>159</v>
      </c>
      <c r="B21" s="6"/>
      <c r="C21" s="156"/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0.0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49"/>
      <c r="U21" s="157">
        <f t="shared" si="1"/>
        <v>0</v>
      </c>
      <c r="V21" s="139"/>
    </row>
    <row r="22" ht="15.75" customHeight="1">
      <c r="A22" s="6" t="s">
        <v>160</v>
      </c>
      <c r="B22" s="6" t="s">
        <v>161</v>
      </c>
      <c r="C22" s="156"/>
      <c r="D22" s="149">
        <v>40000.0</v>
      </c>
      <c r="E22" s="149">
        <v>5000.0</v>
      </c>
      <c r="F22" s="149">
        <v>5000.0</v>
      </c>
      <c r="G22" s="149">
        <v>2000.0</v>
      </c>
      <c r="H22" s="167">
        <v>0.0</v>
      </c>
      <c r="I22" s="149">
        <v>34100.0</v>
      </c>
      <c r="J22" s="167">
        <v>0.0</v>
      </c>
      <c r="K22" s="167">
        <v>0.0</v>
      </c>
      <c r="L22" s="167">
        <v>0.0</v>
      </c>
      <c r="M22" s="167">
        <v>0.0</v>
      </c>
      <c r="N22" s="167">
        <v>0.0</v>
      </c>
      <c r="O22" s="167">
        <v>0.0</v>
      </c>
      <c r="P22" s="167">
        <v>0.0</v>
      </c>
      <c r="Q22" s="149">
        <v>19670.0</v>
      </c>
      <c r="R22" s="167">
        <v>0.0</v>
      </c>
      <c r="S22" s="167">
        <v>0.0</v>
      </c>
      <c r="T22" s="149"/>
      <c r="U22" s="157">
        <f t="shared" si="1"/>
        <v>105770</v>
      </c>
      <c r="V22" s="139" t="s">
        <v>132</v>
      </c>
    </row>
    <row r="23" ht="15.75" customHeight="1">
      <c r="A23" s="6" t="s">
        <v>162</v>
      </c>
      <c r="B23" s="6" t="s">
        <v>163</v>
      </c>
      <c r="C23" s="156"/>
      <c r="D23" s="149">
        <v>40000.0</v>
      </c>
      <c r="E23" s="149">
        <v>5000.0</v>
      </c>
      <c r="F23" s="149">
        <v>5000.0</v>
      </c>
      <c r="G23" s="149">
        <v>2000.0</v>
      </c>
      <c r="H23" s="167">
        <v>0.0</v>
      </c>
      <c r="I23" s="149">
        <v>44330.0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49">
        <v>20000.0</v>
      </c>
      <c r="Q23" s="167">
        <v>0.0</v>
      </c>
      <c r="R23" s="167">
        <v>0.0</v>
      </c>
      <c r="S23" s="167">
        <v>0.0</v>
      </c>
      <c r="T23" s="149"/>
      <c r="U23" s="157">
        <f t="shared" si="1"/>
        <v>116330</v>
      </c>
      <c r="V23" s="139" t="s">
        <v>132</v>
      </c>
    </row>
    <row r="24" ht="15.75" customHeight="1">
      <c r="A24" s="6" t="s">
        <v>164</v>
      </c>
      <c r="B24" s="6"/>
      <c r="C24" s="156"/>
      <c r="D24" s="167">
        <v>0.0</v>
      </c>
      <c r="E24" s="167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49"/>
      <c r="U24" s="157">
        <f t="shared" si="1"/>
        <v>0</v>
      </c>
      <c r="V24" s="139"/>
    </row>
    <row r="25" ht="15.75" customHeight="1">
      <c r="A25" s="6" t="s">
        <v>165</v>
      </c>
      <c r="B25" s="6" t="s">
        <v>166</v>
      </c>
      <c r="C25" s="156"/>
      <c r="D25" s="149">
        <v>40000.0</v>
      </c>
      <c r="E25" s="149">
        <v>5000.0</v>
      </c>
      <c r="F25" s="149">
        <v>5000.0</v>
      </c>
      <c r="G25" s="149">
        <v>2000.0</v>
      </c>
      <c r="H25" s="149">
        <v>10000.0</v>
      </c>
      <c r="I25" s="167">
        <v>0.0</v>
      </c>
      <c r="J25" s="149">
        <v>7502.0</v>
      </c>
      <c r="K25" s="167">
        <v>0.0</v>
      </c>
      <c r="L25" s="167">
        <v>0.0</v>
      </c>
      <c r="M25" s="167">
        <v>0.0</v>
      </c>
      <c r="N25" s="170" t="s">
        <v>145</v>
      </c>
      <c r="O25" s="170" t="s">
        <v>145</v>
      </c>
      <c r="P25" s="167">
        <v>0.0</v>
      </c>
      <c r="Q25" s="167">
        <v>0.0</v>
      </c>
      <c r="R25" s="155">
        <v>1500.0</v>
      </c>
      <c r="S25" s="167">
        <v>0.0</v>
      </c>
      <c r="T25" s="149"/>
      <c r="U25" s="157">
        <f t="shared" si="1"/>
        <v>71002</v>
      </c>
      <c r="V25" s="139" t="s">
        <v>132</v>
      </c>
    </row>
    <row r="26" ht="15.75" customHeight="1">
      <c r="A26" s="6"/>
      <c r="B26" s="6"/>
      <c r="C26" s="156"/>
      <c r="D26" s="167">
        <v>0.0</v>
      </c>
      <c r="E26" s="167">
        <v>0.0</v>
      </c>
      <c r="F26" s="167">
        <v>0.0</v>
      </c>
      <c r="G26" s="167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167">
        <v>0.0</v>
      </c>
      <c r="T26" s="149"/>
      <c r="U26" s="157">
        <f t="shared" si="1"/>
        <v>0</v>
      </c>
      <c r="V26" s="139"/>
    </row>
    <row r="27" ht="15.75" customHeight="1">
      <c r="A27" s="148" t="s">
        <v>128</v>
      </c>
      <c r="B27" s="148"/>
      <c r="C27" s="157"/>
      <c r="D27" s="157">
        <f t="shared" ref="D27:T27" si="2">SUM(D3:D26)</f>
        <v>680000</v>
      </c>
      <c r="E27" s="157">
        <f t="shared" si="2"/>
        <v>85000</v>
      </c>
      <c r="F27" s="157">
        <f t="shared" si="2"/>
        <v>85000</v>
      </c>
      <c r="G27" s="157">
        <f t="shared" si="2"/>
        <v>34000</v>
      </c>
      <c r="H27" s="157">
        <f t="shared" si="2"/>
        <v>60000</v>
      </c>
      <c r="I27" s="157">
        <f t="shared" si="2"/>
        <v>564520</v>
      </c>
      <c r="J27" s="157">
        <f t="shared" si="2"/>
        <v>26257</v>
      </c>
      <c r="K27" s="157">
        <f t="shared" si="2"/>
        <v>6789</v>
      </c>
      <c r="L27" s="157">
        <f t="shared" si="2"/>
        <v>0</v>
      </c>
      <c r="M27" s="157">
        <f t="shared" si="2"/>
        <v>0</v>
      </c>
      <c r="N27" s="157">
        <f t="shared" si="2"/>
        <v>0</v>
      </c>
      <c r="O27" s="157">
        <f t="shared" si="2"/>
        <v>0</v>
      </c>
      <c r="P27" s="157">
        <f t="shared" si="2"/>
        <v>50000</v>
      </c>
      <c r="Q27" s="157">
        <f t="shared" si="2"/>
        <v>61310</v>
      </c>
      <c r="R27" s="157">
        <f t="shared" si="2"/>
        <v>6000</v>
      </c>
      <c r="S27" s="157">
        <f t="shared" si="2"/>
        <v>0</v>
      </c>
      <c r="T27" s="157">
        <f t="shared" si="2"/>
        <v>500</v>
      </c>
      <c r="U27" s="157">
        <f t="shared" si="1"/>
        <v>1659376</v>
      </c>
      <c r="V27" s="139"/>
    </row>
    <row r="28" ht="15.75" customHeight="1">
      <c r="A28" s="10"/>
      <c r="B28" s="10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</row>
    <row r="29" ht="15.75" customHeight="1">
      <c r="A29" s="10"/>
      <c r="B29" s="10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</row>
    <row r="30" ht="15.75" customHeight="1">
      <c r="A30" s="10"/>
      <c r="B30" s="10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</row>
    <row r="31" ht="15.75" customHeight="1">
      <c r="A31" s="10"/>
      <c r="B31" s="10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</row>
    <row r="32" ht="15.75" customHeight="1">
      <c r="A32" s="10"/>
      <c r="B32" s="10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</row>
    <row r="33" ht="15.75" customHeight="1">
      <c r="A33" s="10"/>
      <c r="B33" s="10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</row>
    <row r="34" ht="15.75" customHeight="1">
      <c r="A34" s="10"/>
      <c r="B34" s="10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</row>
    <row r="35" ht="15.75" customHeight="1">
      <c r="A35" s="10"/>
      <c r="B35" s="10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</row>
    <row r="36" ht="15.75" customHeight="1">
      <c r="A36" s="10"/>
      <c r="B36" s="10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</row>
    <row r="37" ht="15.75" customHeight="1">
      <c r="A37" s="10"/>
      <c r="B37" s="10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</row>
    <row r="38" ht="15.75" customHeight="1">
      <c r="A38" s="10"/>
      <c r="B38" s="10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</row>
    <row r="39" ht="15.75" customHeight="1">
      <c r="A39" s="10"/>
      <c r="B39" s="10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</row>
    <row r="40" ht="15.75" customHeight="1">
      <c r="A40" s="10"/>
      <c r="B40" s="10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</row>
    <row r="41" ht="15.75" customHeight="1">
      <c r="A41" s="10"/>
      <c r="B41" s="10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ht="15.75" customHeight="1">
      <c r="A42" s="10"/>
      <c r="B42" s="10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</row>
    <row r="43" ht="15.75" customHeight="1">
      <c r="A43" s="10"/>
      <c r="B43" s="10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