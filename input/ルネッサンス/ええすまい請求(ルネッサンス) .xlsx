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居者" sheetId="1" r:id="rId5"/>
    <sheet state="visible" name="すまい請求書" sheetId="2" r:id="rId6"/>
    <sheet state="visible" name="領収書（自動）" sheetId="3" r:id="rId7"/>
    <sheet state="visible" name="領収書（手入力）" sheetId="4" r:id="rId8"/>
    <sheet state="visible" name="合算明細書" sheetId="5" r:id="rId9"/>
    <sheet state="visible" name="202602" sheetId="6" r:id="rId10"/>
    <sheet state="visible" name="202601" sheetId="7" r:id="rId11"/>
    <sheet state="visible" name="202512" sheetId="8" r:id="rId12"/>
    <sheet state="visible" name="202511" sheetId="9" r:id="rId13"/>
    <sheet state="visible" name="202510" sheetId="10" r:id="rId14"/>
    <sheet state="visible" name="202509" sheetId="11" r:id="rId15"/>
    <sheet state="visible" name="202508" sheetId="12" r:id="rId16"/>
    <sheet state="visible" name="202507" sheetId="13" r:id="rId17"/>
    <sheet state="visible" name="202506" sheetId="14" r:id="rId18"/>
    <sheet state="visible" name="202505" sheetId="15" r:id="rId19"/>
    <sheet state="visible" name="202504" sheetId="16" r:id="rId20"/>
    <sheet state="visible" name="202503" sheetId="17" r:id="rId21"/>
    <sheet state="visible" name="202502" sheetId="18" r:id="rId22"/>
    <sheet state="visible" name="202501" sheetId="19" r:id="rId23"/>
    <sheet state="visible" name="202412" sheetId="20" r:id="rId24"/>
    <sheet state="visible" name="R6.11" sheetId="21" r:id="rId25"/>
    <sheet state="visible" name="R7.7✕" sheetId="22" r:id="rId26"/>
    <sheet state="visible" name="R7.6✕" sheetId="23" r:id="rId27"/>
    <sheet state="visible" name="R7.5✕" sheetId="24" r:id="rId28"/>
  </sheets>
  <definedNames>
    <definedName hidden="1" localSheetId="5" name="_xlnm._FilterDatabase">'202602'!$A$2:$AJ$111</definedName>
    <definedName hidden="1" localSheetId="6" name="_xlnm._FilterDatabase">'202601'!$A$2:$AJ$111</definedName>
    <definedName hidden="1" localSheetId="7" name="_xlnm._FilterDatabase">'202512'!$A$2:$AJ$111</definedName>
    <definedName hidden="1" localSheetId="8" name="_xlnm._FilterDatabase">'202511'!$A$2:$AJ$111</definedName>
    <definedName hidden="1" localSheetId="9" name="_xlnm._FilterDatabase">'202510'!$A$2:$AJ$111</definedName>
    <definedName hidden="1" localSheetId="10" name="_xlnm._FilterDatabase">'202509'!$A$2:$AJ$110</definedName>
    <definedName hidden="1" localSheetId="11" name="_xlnm._FilterDatabase">'202508'!$A$2:$AJ$110</definedName>
    <definedName hidden="1" localSheetId="12" name="_xlnm._FilterDatabase">'202507'!$A$2:$AJ$110</definedName>
    <definedName hidden="1" localSheetId="13" name="_xlnm._FilterDatabase">'202506'!$A$2:$AJ$110</definedName>
    <definedName hidden="1" localSheetId="14" name="_xlnm._FilterDatabase">'202505'!$A$2:$AJ$110</definedName>
    <definedName hidden="1" localSheetId="15" name="_xlnm._FilterDatabase">'202504'!$A$2:$AJ$110</definedName>
    <definedName hidden="1" localSheetId="16" name="_xlnm._FilterDatabase">'202503'!$A$2:$AJ$110</definedName>
    <definedName hidden="1" localSheetId="17" name="_xlnm._FilterDatabase">'202502'!$A$2:$AJ$110</definedName>
    <definedName hidden="1" localSheetId="18" name="_xlnm._FilterDatabase">'202501'!$A$2:$AJ$110</definedName>
    <definedName hidden="1" localSheetId="19" name="_xlnm._FilterDatabase">'202412'!$A$2:$AJ$110</definedName>
    <definedName hidden="1" localSheetId="20" name="_xlnm._FilterDatabase">'R6.11'!$A$2:$AJ$110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tc={07a1df2a-d098-4106-a8f5-1faa5b246c58}</author>
    <author>tc={4a1d4c0c-1123-4262-83ff-e13c90308480}</author>
    <author>tc={56e48395-9dbc-4506-a5d7-e4db44c1fd8f}</author>
    <author>tc={7d46c873-336c-4e2e-8b40-13756cabb58d}</author>
    <author>tc={9c1bf049-15fb-43c2-9db8-2ec9e6e41a80}</author>
    <author>tc={af67d48f-6a64-4333-86b8-41caa209e2b0}</author>
    <author>tc={ca7f5b59-d213-445a-9554-be8effc11b70}</author>
  </authors>
  <commentList>
    <comment authorId="0" xr:uid="{07a1df2a-d098-4106-a8f5-1faa5b246c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4a1d4c0c-1123-4262-83ff-e13c903084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56e48395-9dbc-4506-a5d7-e4db44c1fd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7d46c873-336c-4e2e-8b40-13756cabb5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9c1bf049-15fb-43c2-9db8-2ec9e6e41a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af67d48f-6a64-4333-86b8-41caa209e2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6" xr:uid="{ca7f5b59-d213-445a-9554-be8effc11b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tc={18a60c32-bfaf-4ed1-babf-ad48925d4828}</author>
    <author>tc={42a85ba9-d34d-4f6a-a5ae-f9628e1d117f}</author>
    <author>tc={4f43cdcc-1050-4d09-933c-02db2d93db4d}</author>
    <author>tc={6d350e22-80dd-457a-9a6e-cda4d26717a3}</author>
    <author>tc={df8b1d33-46c6-4eb4-866e-000bc393ac6d}</author>
    <author>tc={ec9068bf-72ec-4ec5-8195-c2252f9646b3}</author>
    <author>tc={fe2e92d2-377a-402a-8e7d-779aeb452a7b}</author>
  </authors>
  <commentList>
    <comment authorId="0" xr:uid="{18a60c32-bfaf-4ed1-babf-ad48925d4828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42a85ba9-d34d-4f6a-a5ae-f9628e1d117f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4f43cdcc-1050-4d09-933c-02db2d93db4d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6d350e22-80dd-457a-9a6e-cda4d26717a3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df8b1d33-46c6-4eb4-866e-000bc393ac6d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ec9068bf-72ec-4ec5-8195-c2252f9646b3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6" xr:uid="{fe2e92d2-377a-402a-8e7d-779aeb452a7b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tc={2cb93bf1-19af-4715-ad73-1a35ff19212d}</author>
    <author>tc={53e8f8c4-d1ef-49db-9beb-7d1b3fc8caa4}</author>
    <author>tc={80d37cbd-3b3e-47a3-bfcf-03d9f5c264d5}</author>
  </authors>
  <commentList>
    <comment authorId="0" xr:uid="{2cb93bf1-19af-4715-ad73-1a35ff19212d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1" xr:uid="{53e8f8c4-d1ef-49db-9beb-7d1b3fc8caa4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80d37cbd-3b3e-47a3-bfcf-03d9f5c264d5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1か月19670円固定
</t>
      </text>
    </comment>
  </commentList>
</comments>
</file>

<file path=xl/sharedStrings.xml><?xml version="1.0" encoding="utf-8"?>
<sst xmlns="http://schemas.openxmlformats.org/spreadsheetml/2006/main" count="1707" uniqueCount="157">
  <si>
    <t>居室</t>
  </si>
  <si>
    <t>利用者名</t>
  </si>
  <si>
    <t>2A</t>
  </si>
  <si>
    <t>椎雅彦</t>
  </si>
  <si>
    <t>2B</t>
  </si>
  <si>
    <t>笠岡康志</t>
  </si>
  <si>
    <t>2E</t>
  </si>
  <si>
    <t>5B</t>
  </si>
  <si>
    <t>中込和人</t>
  </si>
  <si>
    <t>5C</t>
  </si>
  <si>
    <t>上田清江</t>
  </si>
  <si>
    <t>6A</t>
  </si>
  <si>
    <t>6B</t>
  </si>
  <si>
    <t>小山美由紀</t>
  </si>
  <si>
    <t>6C</t>
  </si>
  <si>
    <t>宮本浩行</t>
  </si>
  <si>
    <t>6D</t>
  </si>
  <si>
    <t>民徳正人</t>
  </si>
  <si>
    <t>6E</t>
  </si>
  <si>
    <t>岡村三男</t>
  </si>
  <si>
    <t>ええすまい請求書</t>
  </si>
  <si>
    <t>様</t>
  </si>
  <si>
    <t>発行日：</t>
  </si>
  <si>
    <t>当月</t>
  </si>
  <si>
    <t>前月</t>
  </si>
  <si>
    <t>ルネッサンス塚本（ええすまい）</t>
  </si>
  <si>
    <t>号室</t>
  </si>
  <si>
    <t>株式会社AA
代表取締役 大石佐智子</t>
  </si>
  <si>
    <t>※分割払いの管理</t>
  </si>
  <si>
    <t>ご請求金額</t>
  </si>
  <si>
    <t>大阪市西淀川区柏里2-9-3-102</t>
  </si>
  <si>
    <t>内　　容</t>
  </si>
  <si>
    <t xml:space="preserve">単 価 </t>
  </si>
  <si>
    <t>数量</t>
  </si>
  <si>
    <t>小計</t>
  </si>
  <si>
    <t>備考</t>
  </si>
  <si>
    <t>1か月</t>
  </si>
  <si>
    <t>ご請求額合計</t>
  </si>
  <si>
    <t>※家賃、共益費、管理費、光熱費は消費税不要</t>
  </si>
  <si>
    <t>8%対象　合計</t>
  </si>
  <si>
    <t>未収・前払金</t>
  </si>
  <si>
    <t>10％対象　合計</t>
  </si>
  <si>
    <t>今月請求分合計額</t>
  </si>
  <si>
    <t xml:space="preserve">　</t>
  </si>
  <si>
    <t>領　収　書</t>
  </si>
  <si>
    <t>受領日</t>
  </si>
  <si>
    <t>但し　家賃、共益費、管理費、水道代、自費分として</t>
  </si>
  <si>
    <t>上記の金額正に受領いたしました</t>
  </si>
  <si>
    <t>株式会社AA</t>
  </si>
  <si>
    <t>〒555-0022</t>
  </si>
  <si>
    <t>TEL・FAX 06-4400-2901</t>
  </si>
  <si>
    <t>上田　清江</t>
  </si>
  <si>
    <t>ご利用金額のお知らせ</t>
  </si>
  <si>
    <t>合計金額</t>
  </si>
  <si>
    <t>請求金額</t>
  </si>
  <si>
    <t>お支払期限</t>
  </si>
  <si>
    <t>ええすまい</t>
  </si>
  <si>
    <t>請求書別紙</t>
  </si>
  <si>
    <t>ええかいご</t>
  </si>
  <si>
    <t>ええかんご</t>
  </si>
  <si>
    <t>お支払につきましては下記口座へお願いいたします。</t>
  </si>
  <si>
    <t>振込手数料につきましてはお客様ご負担にてお願い申し上げます。</t>
  </si>
  <si>
    <t>■振込先</t>
  </si>
  <si>
    <t>銀行名：</t>
  </si>
  <si>
    <t>住信ＳＢＩネット銀行（金融機関コード0038）</t>
  </si>
  <si>
    <t>支店名：</t>
  </si>
  <si>
    <t>法人第一支店（支店コード106）</t>
  </si>
  <si>
    <t>口座番号：</t>
  </si>
  <si>
    <t>普通 2555848</t>
  </si>
  <si>
    <t>口座名義：</t>
  </si>
  <si>
    <t>株式会社AA ええすまい塚本</t>
  </si>
  <si>
    <t>カ）エーエー</t>
  </si>
  <si>
    <t>請求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</si>
  <si>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</si>
  <si>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</si>
  <si>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</si>
  <si>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</si>
  <si>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</si>
  <si>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</si>
  <si>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</si>
  <si>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</si>
  <si>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</si>
  <si>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</si>
  <si>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</si>
  <si>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</si>
  <si>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</si>
  <si>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</si>
  <si>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</si>
  <si>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</si>
  <si>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</si>
  <si>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</si>
  <si>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</si>
  <si>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</si>
  <si>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</si>
  <si>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</si>
  <si>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</si>
  <si>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</si>
  <si>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</si>
  <si>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分納残</t>
  </si>
  <si>
    <t>家賃</t>
  </si>
  <si>
    <t>管理費</t>
  </si>
  <si>
    <t>共益費</t>
  </si>
  <si>
    <t>水道料金</t>
  </si>
  <si>
    <t>定額光熱費</t>
  </si>
  <si>
    <t>食事</t>
  </si>
  <si>
    <t>調整額</t>
  </si>
  <si>
    <t>オムツ</t>
  </si>
  <si>
    <t>日用品</t>
  </si>
  <si>
    <t>分割支払い</t>
  </si>
  <si>
    <t>事務手数料</t>
  </si>
  <si>
    <t>デイサービス</t>
  </si>
  <si>
    <t>福祉用具</t>
  </si>
  <si>
    <t>しろくま薬局</t>
  </si>
  <si>
    <t>往診診療費</t>
  </si>
  <si>
    <t>サポート費</t>
  </si>
  <si>
    <t>その他</t>
  </si>
  <si>
    <t>計</t>
  </si>
  <si>
    <t>一部負担(介護)</t>
  </si>
  <si>
    <t>一部負担(看護)</t>
  </si>
  <si>
    <t>合計</t>
  </si>
  <si>
    <t>請求書</t>
  </si>
  <si>
    <t>分割残高</t>
  </si>
  <si>
    <t>入金額</t>
  </si>
  <si>
    <t>過不足</t>
  </si>
  <si>
    <t>生保予定</t>
  </si>
  <si>
    <t>未作成</t>
  </si>
  <si>
    <t>通常請求</t>
  </si>
  <si>
    <t>↑来月の過不足へ反映</t>
  </si>
  <si>
    <t>数式修正</t>
  </si>
  <si>
    <t>藤本敏博</t>
  </si>
  <si>
    <t>入金日</t>
  </si>
  <si>
    <t>ルネッサンス塚本</t>
  </si>
  <si>
    <t>未納金額</t>
  </si>
  <si>
    <t>8月家賃</t>
  </si>
  <si>
    <t>8月管理費</t>
  </si>
  <si>
    <t>8月共益費</t>
  </si>
  <si>
    <t>8月水道料金</t>
  </si>
  <si>
    <t>介護一部負担</t>
  </si>
  <si>
    <t>介護保険料</t>
  </si>
  <si>
    <t>健康保険料</t>
  </si>
  <si>
    <t>外部利用</t>
  </si>
  <si>
    <t>6月一部負担</t>
  </si>
  <si>
    <t>発行済</t>
  </si>
  <si>
    <t>本人手渡し</t>
  </si>
  <si>
    <t>後見人郵送</t>
  </si>
  <si>
    <t>本人支払い</t>
  </si>
  <si>
    <t>国保連　月請求分</t>
  </si>
  <si>
    <t>杉田誠一</t>
  </si>
  <si>
    <t>林郁子</t>
  </si>
  <si>
    <t>北村繁弘</t>
  </si>
  <si>
    <t>鈴木信子</t>
  </si>
  <si>
    <t>長谷部融子</t>
  </si>
  <si>
    <t>金澤喜乎</t>
  </si>
  <si>
    <t>榎本裕子</t>
  </si>
  <si>
    <t>斧義也</t>
  </si>
  <si>
    <t>日川敬達</t>
  </si>
  <si>
    <t>内田克政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</si>
</sst>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"/>
    <numFmt numFmtId="165" formatCode="yyyy&quot;年&quot;m&quot;月&quot;d&quot;日&quot;"/>
    <numFmt numFmtId="166" formatCode="&quot;¥&quot;#,##0;[Red]&quot;¥&quot;\-#,##0"/>
    <numFmt numFmtId="167" formatCode="&quot;¥&quot;#,##0;&quot;¥&quot;\-#,##0"/>
    <numFmt numFmtId="168" formatCode="0月分"/>
    <numFmt numFmtId="169" formatCode="&quot;¥&quot;#,##0\-_ ;&quot;¥&quot;\-#,##0\-_ ;_ &quot;¥&quot;* &quot;-&quot;_ ;_ @_ "/>
    <numFmt numFmtId="170" formatCode="[$-F800]dddd\,\ mmmm\ dd\,\ yyyy"/>
    <numFmt numFmtId="171" formatCode="0月ご利用分"/>
    <numFmt numFmtId="172" formatCode="yyyy/MM/dd"/>
    <numFmt numFmtId="173" formatCode="[$¥-411]#,##0"/>
    <numFmt numFmtId="174" formatCode="[$¥]#,##0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sz val="20.0"/>
      <color theme="1"/>
      <name val="游ゴシック"/>
    </font>
    <font>
      <sz val="11.0"/>
      <color theme="1"/>
      <name val="游ゴシック"/>
    </font>
    <font>
      <b/>
      <u/>
      <sz val="20.0"/>
      <color theme="1"/>
      <name val="游ゴシック"/>
    </font>
    <font>
      <sz val="14.0"/>
      <color theme="1"/>
      <name val="游ゴシック"/>
    </font>
    <font>
      <sz val="10.0"/>
      <color theme="1"/>
      <name val="游ゴシック"/>
    </font>
    <font>
      <b/>
      <sz val="11.0"/>
      <color theme="1"/>
      <name val="游ゴシック"/>
    </font>
    <font/>
    <font>
      <b/>
      <sz val="12.0"/>
      <color theme="1"/>
      <name val="游ゴシック"/>
    </font>
    <font>
      <b/>
      <sz val="18.0"/>
      <color theme="1"/>
      <name val="游ゴシック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sz val="12.0"/>
      <color theme="1"/>
      <name val="游ゴシック"/>
    </font>
    <font>
      <sz val="12.0"/>
      <color rgb="FFFF0000"/>
      <name val="Arial"/>
    </font>
    <font>
      <sz val="9.0"/>
      <color theme="1"/>
      <name val="Arial"/>
    </font>
    <font>
      <color theme="1"/>
      <name val="Arial"/>
    </font>
    <font>
      <color theme="1"/>
      <name val="Meiryo"/>
    </font>
    <font>
      <sz val="12.0"/>
      <color theme="1"/>
      <name val="Arial"/>
      <scheme val="minor"/>
    </font>
    <font>
      <sz val="14.0"/>
      <color theme="1"/>
      <name val="Arial"/>
    </font>
    <font>
      <sz val="14.0"/>
      <color theme="1"/>
      <name val="游ゴシック light"/>
    </font>
    <font>
      <sz val="24.0"/>
      <color theme="1"/>
      <name val="游ゴシック light"/>
    </font>
    <font>
      <sz val="11.0"/>
      <color theme="1"/>
      <name val="游ゴシック light"/>
    </font>
    <font>
      <u/>
      <sz val="14.0"/>
      <color theme="1"/>
      <name val="游ゴシック light"/>
    </font>
    <font>
      <sz val="18.0"/>
      <color theme="1"/>
      <name val="游ゴシック light"/>
    </font>
    <font>
      <sz val="28.0"/>
      <color theme="1"/>
      <name val="游ゴシック light"/>
    </font>
    <font>
      <sz val="9.0"/>
      <color theme="1"/>
      <name val="游ゴシック light"/>
    </font>
    <font>
      <sz val="12.0"/>
      <color theme="1"/>
      <name val="游ゴシック light"/>
    </font>
    <font>
      <b/>
      <sz val="16.0"/>
      <color theme="1"/>
      <name val="游ゴシック light"/>
    </font>
    <font>
      <sz val="16.0"/>
      <color theme="1"/>
      <name val="游ゴシック light"/>
    </font>
    <font>
      <sz val="13.0"/>
      <color theme="1"/>
      <name val="Calibri"/>
    </font>
    <font>
      <sz val="9.0"/>
      <color theme="1"/>
      <name val="游ゴシック"/>
    </font>
    <font>
      <sz val="11.0"/>
      <color theme="1"/>
      <name val="Calibri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FF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center"/>
    </xf>
    <xf borderId="0" fillId="0" fontId="4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right" readingOrder="0" vertical="center"/>
    </xf>
    <xf borderId="2" fillId="2" fontId="8" numFmtId="0" xfId="0" applyAlignment="1" applyBorder="1" applyFont="1">
      <alignment horizontal="center" readingOrder="0" vertical="center"/>
    </xf>
    <xf borderId="3" fillId="0" fontId="9" numFmtId="0" xfId="0" applyBorder="1" applyFont="1"/>
    <xf borderId="0" fillId="0" fontId="4" numFmtId="0" xfId="0" applyAlignment="1" applyFont="1">
      <alignment horizontal="right" readingOrder="0" vertical="center"/>
    </xf>
    <xf borderId="4" fillId="4" fontId="4" numFmtId="0" xfId="0" applyAlignment="1" applyBorder="1" applyFill="1" applyFont="1">
      <alignment horizontal="center" readingOrder="0" vertical="center"/>
    </xf>
    <xf borderId="5" fillId="0" fontId="9" numFmtId="0" xfId="0" applyBorder="1" applyFont="1"/>
    <xf borderId="0" fillId="2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2" fontId="4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4" fillId="3" fontId="4" numFmtId="0" xfId="0" applyAlignment="1" applyBorder="1" applyFont="1">
      <alignment horizontal="center" vertical="center"/>
    </xf>
    <xf borderId="4" fillId="0" fontId="11" numFmtId="166" xfId="0" applyAlignment="1" applyBorder="1" applyFont="1" applyNumberFormat="1">
      <alignment horizontal="center" vertical="center"/>
    </xf>
    <xf borderId="6" fillId="0" fontId="9" numFmtId="0" xfId="0" applyBorder="1" applyFont="1"/>
    <xf borderId="0" fillId="0" fontId="1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7" fillId="3" fontId="12" numFmtId="0" xfId="0" applyAlignment="1" applyBorder="1" applyFont="1">
      <alignment horizontal="center"/>
    </xf>
    <xf borderId="8" fillId="0" fontId="9" numFmtId="0" xfId="0" applyBorder="1" applyFont="1"/>
    <xf borderId="8" fillId="3" fontId="12" numFmtId="0" xfId="0" applyAlignment="1" applyBorder="1" applyFont="1">
      <alignment horizontal="center"/>
    </xf>
    <xf borderId="8" fillId="3" fontId="12" numFmtId="0" xfId="0" applyAlignment="1" applyBorder="1" applyFont="1">
      <alignment horizontal="center"/>
    </xf>
    <xf borderId="9" fillId="0" fontId="9" numFmtId="0" xfId="0" applyBorder="1" applyFont="1"/>
    <xf borderId="10" fillId="0" fontId="13" numFmtId="167" xfId="0" applyAlignment="1" applyBorder="1" applyFont="1" applyNumberFormat="1">
      <alignment horizontal="center"/>
    </xf>
    <xf borderId="0" fillId="0" fontId="13" numFmtId="166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0" fillId="0" fontId="13" numFmtId="167" xfId="0" applyAlignment="1" applyFont="1" applyNumberFormat="1">
      <alignment horizontal="right"/>
    </xf>
    <xf borderId="0" fillId="0" fontId="14" numFmtId="168" xfId="0" applyAlignment="1" applyFont="1" applyNumberFormat="1">
      <alignment horizontal="center"/>
    </xf>
    <xf borderId="11" fillId="0" fontId="9" numFmtId="0" xfId="0" applyBorder="1" applyFont="1"/>
    <xf borderId="10" fillId="3" fontId="13" numFmtId="167" xfId="0" applyAlignment="1" applyBorder="1" applyFont="1" applyNumberFormat="1">
      <alignment horizontal="center"/>
    </xf>
    <xf borderId="0" fillId="3" fontId="13" numFmtId="166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3" fontId="13" numFmtId="167" xfId="0" applyAlignment="1" applyFont="1" applyNumberFormat="1">
      <alignment horizontal="right"/>
    </xf>
    <xf borderId="0" fillId="3" fontId="14" numFmtId="168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3" fontId="13" numFmtId="166" xfId="0" applyFont="1" applyNumberFormat="1"/>
    <xf borderId="0" fillId="3" fontId="13" numFmtId="167" xfId="0" applyFont="1" applyNumberFormat="1"/>
    <xf borderId="0" fillId="0" fontId="13" numFmtId="166" xfId="0" applyFont="1" applyNumberFormat="1"/>
    <xf borderId="0" fillId="0" fontId="16" numFmtId="167" xfId="0" applyFont="1" applyNumberFormat="1"/>
    <xf borderId="0" fillId="0" fontId="13" numFmtId="167" xfId="0" applyFont="1" applyNumberFormat="1"/>
    <xf borderId="0" fillId="0" fontId="13" numFmtId="167" xfId="0" applyAlignment="1" applyFont="1" applyNumberFormat="1">
      <alignment horizontal="center"/>
    </xf>
    <xf borderId="0" fillId="3" fontId="13" numFmtId="167" xfId="0" applyAlignment="1" applyFont="1" applyNumberFormat="1">
      <alignment horizontal="center"/>
    </xf>
    <xf borderId="10" fillId="3" fontId="13" numFmtId="167" xfId="0" applyBorder="1" applyFont="1" applyNumberFormat="1"/>
    <xf borderId="0" fillId="3" fontId="13" numFmtId="0" xfId="0" applyAlignment="1" applyFont="1">
      <alignment horizontal="center"/>
    </xf>
    <xf borderId="0" fillId="3" fontId="13" numFmtId="168" xfId="0" applyFont="1" applyNumberFormat="1"/>
    <xf borderId="10" fillId="0" fontId="13" numFmtId="167" xfId="0" applyBorder="1" applyFont="1" applyNumberFormat="1"/>
    <xf borderId="0" fillId="0" fontId="13" numFmtId="168" xfId="0" applyFont="1" applyNumberFormat="1"/>
    <xf borderId="12" fillId="3" fontId="13" numFmtId="167" xfId="0" applyAlignment="1" applyBorder="1" applyFont="1" applyNumberFormat="1">
      <alignment horizontal="center"/>
    </xf>
    <xf borderId="13" fillId="0" fontId="9" numFmtId="0" xfId="0" applyBorder="1" applyFont="1"/>
    <xf borderId="13" fillId="3" fontId="13" numFmtId="167" xfId="0" applyAlignment="1" applyBorder="1" applyFont="1" applyNumberFormat="1">
      <alignment horizontal="right"/>
    </xf>
    <xf borderId="13" fillId="3" fontId="13" numFmtId="166" xfId="0" applyBorder="1" applyFont="1" applyNumberFormat="1"/>
    <xf borderId="14" fillId="0" fontId="9" numFmtId="0" xfId="0" applyBorder="1" applyFont="1"/>
    <xf borderId="0" fillId="0" fontId="17" numFmtId="0" xfId="0" applyFont="1"/>
    <xf borderId="0" fillId="0" fontId="18" numFmtId="167" xfId="0" applyFont="1" applyNumberFormat="1"/>
    <xf borderId="0" fillId="0" fontId="18" numFmtId="166" xfId="0" applyFont="1" applyNumberFormat="1"/>
    <xf borderId="0" fillId="0" fontId="18" numFmtId="0" xfId="0" applyFont="1"/>
    <xf borderId="4" fillId="2" fontId="19" numFmtId="0" xfId="0" applyAlignment="1" applyBorder="1" applyFont="1">
      <alignment horizontal="center"/>
    </xf>
    <xf borderId="4" fillId="0" fontId="13" numFmtId="166" xfId="0" applyAlignment="1" applyBorder="1" applyFont="1" applyNumberFormat="1">
      <alignment horizontal="right"/>
    </xf>
    <xf borderId="4" fillId="2" fontId="20" numFmtId="0" xfId="0" applyAlignment="1" applyBorder="1" applyFont="1">
      <alignment horizontal="center" readingOrder="0"/>
    </xf>
    <xf borderId="4" fillId="3" fontId="13" numFmtId="167" xfId="0" applyAlignment="1" applyBorder="1" applyFont="1" applyNumberFormat="1">
      <alignment horizontal="center" readingOrder="0"/>
    </xf>
    <xf borderId="0" fillId="0" fontId="21" numFmtId="0" xfId="0" applyAlignment="1" applyFont="1">
      <alignment horizontal="center"/>
    </xf>
    <xf borderId="0" fillId="0" fontId="21" numFmtId="0" xfId="0" applyFont="1"/>
    <xf borderId="0" fillId="0" fontId="6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horizontal="right" vertical="center"/>
    </xf>
    <xf borderId="0" fillId="0" fontId="22" numFmtId="49" xfId="0" applyAlignment="1" applyFont="1" applyNumberFormat="1">
      <alignment horizontal="center" vertical="center"/>
    </xf>
    <xf borderId="0" fillId="0" fontId="25" numFmtId="0" xfId="0" applyAlignment="1" applyFont="1">
      <alignment vertical="center"/>
    </xf>
    <xf borderId="0" fillId="0" fontId="24" numFmtId="0" xfId="0" applyAlignment="1" applyFont="1">
      <alignment horizontal="center" vertical="center"/>
    </xf>
    <xf borderId="13" fillId="0" fontId="26" numFmtId="0" xfId="0" applyAlignment="1" applyBorder="1" applyFont="1">
      <alignment horizontal="center" vertical="center"/>
    </xf>
    <xf borderId="15" fillId="5" fontId="22" numFmtId="0" xfId="0" applyAlignment="1" applyBorder="1" applyFill="1" applyFont="1">
      <alignment vertical="center"/>
    </xf>
    <xf borderId="16" fillId="5" fontId="27" numFmtId="169" xfId="0" applyAlignment="1" applyBorder="1" applyFont="1" applyNumberFormat="1">
      <alignment horizontal="center" vertical="center"/>
    </xf>
    <xf borderId="17" fillId="0" fontId="9" numFmtId="0" xfId="0" applyBorder="1" applyFont="1"/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vertical="center"/>
    </xf>
    <xf borderId="0" fillId="0" fontId="30" numFmtId="170" xfId="0" applyAlignment="1" applyFont="1" applyNumberFormat="1">
      <alignment vertical="center"/>
    </xf>
    <xf borderId="0" fillId="0" fontId="31" numFmtId="0" xfId="0" applyAlignment="1" applyFont="1">
      <alignment horizontal="left" readingOrder="0" vertical="center"/>
    </xf>
    <xf borderId="0" fillId="0" fontId="31" numFmtId="0" xfId="0" applyAlignment="1" applyFont="1">
      <alignment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24" numFmtId="165" xfId="0" applyAlignment="1" applyFont="1" applyNumberFormat="1">
      <alignment horizontal="center" readingOrder="0" vertical="center"/>
    </xf>
    <xf borderId="13" fillId="0" fontId="26" numFmtId="0" xfId="0" applyAlignment="1" applyBorder="1" applyFont="1">
      <alignment horizontal="center" readingOrder="0" vertical="center"/>
    </xf>
    <xf borderId="16" fillId="5" fontId="27" numFmtId="16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4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18" fillId="6" fontId="15" numFmtId="0" xfId="0" applyAlignment="1" applyBorder="1" applyFill="1" applyFont="1">
      <alignment horizontal="center" vertical="center"/>
    </xf>
    <xf borderId="19" fillId="0" fontId="9" numFmtId="0" xfId="0" applyBorder="1" applyFont="1"/>
    <xf borderId="18" fillId="6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readingOrder="0" vertical="center"/>
    </xf>
    <xf borderId="18" fillId="6" fontId="4" numFmtId="0" xfId="0" applyAlignment="1" applyBorder="1" applyFont="1">
      <alignment horizontal="center" vertical="center"/>
    </xf>
    <xf borderId="20" fillId="0" fontId="9" numFmtId="0" xfId="0" applyBorder="1" applyFont="1"/>
    <xf borderId="12" fillId="0" fontId="15" numFmtId="167" xfId="0" applyAlignment="1" applyBorder="1" applyFont="1" applyNumberFormat="1">
      <alignment horizontal="center" readingOrder="0" shrinkToFit="1" vertical="center" wrapText="0"/>
    </xf>
    <xf borderId="12" fillId="0" fontId="15" numFmtId="166" xfId="0" applyAlignment="1" applyBorder="1" applyFont="1" applyNumberFormat="1">
      <alignment horizontal="right" readingOrder="0" vertical="center"/>
    </xf>
    <xf borderId="4" fillId="0" fontId="15" numFmtId="165" xfId="0" applyAlignment="1" applyBorder="1" applyFont="1" applyNumberFormat="1">
      <alignment horizontal="center" readingOrder="0" vertical="center"/>
    </xf>
    <xf borderId="12" fillId="0" fontId="32" numFmtId="171" xfId="0" applyAlignment="1" applyBorder="1" applyFont="1" applyNumberFormat="1">
      <alignment horizontal="center" readingOrder="0" vertical="center"/>
    </xf>
    <xf borderId="8" fillId="0" fontId="33" numFmtId="0" xfId="0" applyAlignment="1" applyBorder="1" applyFont="1">
      <alignment horizontal="left" vertical="center"/>
    </xf>
    <xf borderId="0" fillId="0" fontId="34" numFmtId="0" xfId="0" applyAlignment="1" applyFont="1">
      <alignment vertical="center"/>
    </xf>
    <xf borderId="0" fillId="0" fontId="35" numFmtId="172" xfId="0" applyAlignment="1" applyFont="1" applyNumberFormat="1">
      <alignment horizontal="right"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1" fillId="7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37" numFmtId="0" xfId="0" applyAlignment="1" applyBorder="1" applyFont="1">
      <alignment horizontal="center" readingOrder="0"/>
    </xf>
    <xf borderId="1" fillId="3" fontId="38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7" fontId="1" numFmtId="173" xfId="0" applyAlignment="1" applyBorder="1" applyFont="1" applyNumberFormat="1">
      <alignment readingOrder="0"/>
    </xf>
    <xf borderId="1" fillId="0" fontId="1" numFmtId="174" xfId="0" applyAlignment="1" applyBorder="1" applyFont="1" applyNumberFormat="1">
      <alignment readingOrder="0"/>
    </xf>
    <xf borderId="1" fillId="2" fontId="1" numFmtId="174" xfId="0" applyAlignment="1" applyBorder="1" applyFont="1" applyNumberFormat="1">
      <alignment readingOrder="0"/>
    </xf>
    <xf borderId="1" fillId="2" fontId="36" numFmtId="174" xfId="0" applyAlignment="1" applyBorder="1" applyFont="1" applyNumberFormat="1">
      <alignment readingOrder="0"/>
    </xf>
    <xf borderId="1" fillId="2" fontId="37" numFmtId="174" xfId="0" applyAlignment="1" applyBorder="1" applyFont="1" applyNumberFormat="1">
      <alignment readingOrder="0"/>
    </xf>
    <xf borderId="1" fillId="4" fontId="1" numFmtId="174" xfId="0" applyAlignment="1" applyBorder="1" applyFont="1" applyNumberFormat="1">
      <alignment readingOrder="0"/>
    </xf>
    <xf borderId="1" fillId="7" fontId="37" numFmtId="174" xfId="0" applyAlignment="1" applyBorder="1" applyFont="1" applyNumberFormat="1">
      <alignment readingOrder="0"/>
    </xf>
    <xf borderId="1" fillId="3" fontId="38" numFmtId="174" xfId="0" applyAlignment="1" applyBorder="1" applyFont="1" applyNumberFormat="1">
      <alignment readingOrder="0"/>
    </xf>
    <xf borderId="1" fillId="9" fontId="1" numFmtId="174" xfId="0" applyAlignment="1" applyBorder="1" applyFill="1" applyFont="1" applyNumberFormat="1">
      <alignment readingOrder="0"/>
    </xf>
    <xf borderId="1" fillId="4" fontId="1" numFmtId="174" xfId="0" applyBorder="1" applyFont="1" applyNumberFormat="1"/>
    <xf borderId="0" fillId="0" fontId="1" numFmtId="17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73" xfId="0" applyBorder="1" applyFont="1" applyNumberFormat="1"/>
    <xf borderId="1" fillId="7" fontId="1" numFmtId="174" xfId="0" applyAlignment="1" applyBorder="1" applyFont="1" applyNumberFormat="1">
      <alignment readingOrder="0"/>
    </xf>
    <xf borderId="1" fillId="2" fontId="39" numFmtId="174" xfId="0" applyAlignment="1" applyBorder="1" applyFont="1" applyNumberFormat="1">
      <alignment readingOrder="0"/>
    </xf>
    <xf borderId="1" fillId="2" fontId="1" numFmtId="174" xfId="0" applyBorder="1" applyFont="1" applyNumberFormat="1"/>
    <xf borderId="1" fillId="0" fontId="36" numFmtId="174" xfId="0" applyAlignment="1" applyBorder="1" applyFont="1" applyNumberFormat="1">
      <alignment readingOrder="0"/>
    </xf>
    <xf borderId="0" fillId="0" fontId="1" numFmtId="174" xfId="0" applyFont="1" applyNumberFormat="1"/>
    <xf borderId="1" fillId="7" fontId="1" numFmtId="174" xfId="0" applyBorder="1" applyFont="1" applyNumberFormat="1"/>
    <xf borderId="0" fillId="0" fontId="1" numFmtId="174" xfId="0" applyFont="1" applyNumberFormat="1"/>
    <xf borderId="1" fillId="10" fontId="1" numFmtId="174" xfId="0" applyAlignment="1" applyBorder="1" applyFill="1" applyFont="1" applyNumberFormat="1">
      <alignment readingOrder="0"/>
    </xf>
    <xf borderId="1" fillId="4" fontId="36" numFmtId="174" xfId="0" applyAlignment="1" applyBorder="1" applyFont="1" applyNumberFormat="1">
      <alignment readingOrder="0"/>
    </xf>
    <xf borderId="0" fillId="0" fontId="36" numFmtId="174" xfId="0" applyAlignment="1" applyFont="1" applyNumberFormat="1">
      <alignment readingOrder="0"/>
    </xf>
    <xf borderId="0" fillId="2" fontId="1" numFmtId="174" xfId="0" applyFont="1" applyNumberFormat="1"/>
    <xf borderId="0" fillId="2" fontId="1" numFmtId="0" xfId="0" applyFont="1"/>
    <xf borderId="1" fillId="4" fontId="1" numFmtId="0" xfId="0" applyAlignment="1" applyBorder="1" applyFont="1">
      <alignment horizontal="center"/>
    </xf>
    <xf borderId="1" fillId="4" fontId="1" numFmtId="173" xfId="0" applyAlignment="1" applyBorder="1" applyFont="1" applyNumberFormat="1">
      <alignment readingOrder="0"/>
    </xf>
    <xf borderId="1" fillId="4" fontId="37" numFmtId="174" xfId="0" applyAlignment="1" applyBorder="1" applyFont="1" applyNumberFormat="1">
      <alignment readingOrder="0"/>
    </xf>
    <xf borderId="1" fillId="0" fontId="1" numFmtId="0" xfId="0" applyBorder="1" applyFont="1"/>
    <xf borderId="0" fillId="11" fontId="1" numFmtId="0" xfId="0" applyAlignment="1" applyFill="1" applyFont="1">
      <alignment readingOrder="0"/>
    </xf>
    <xf borderId="0" fillId="3" fontId="1" numFmtId="174" xfId="0" applyFont="1" applyNumberFormat="1"/>
    <xf borderId="0" fillId="0" fontId="1" numFmtId="174" xfId="0" applyAlignment="1" applyFont="1" applyNumberFormat="1">
      <alignment readingOrder="0"/>
    </xf>
    <xf borderId="1" fillId="12" fontId="1" numFmtId="174" xfId="0" applyAlignment="1" applyBorder="1" applyFill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1" numFmtId="173" xfId="0" applyAlignment="1" applyBorder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readingOrder="0"/>
    </xf>
    <xf borderId="0" fillId="2" fontId="1" numFmtId="165" xfId="0" applyFont="1" applyNumberFormat="1"/>
    <xf borderId="1" fillId="0" fontId="1" numFmtId="173" xfId="0" applyAlignment="1" applyBorder="1" applyFont="1" applyNumberFormat="1">
      <alignment readingOrder="0"/>
    </xf>
    <xf borderId="0" fillId="0" fontId="1" numFmtId="0" xfId="0" applyAlignment="1" applyFont="1">
      <alignment horizontal="right" readingOrder="0"/>
    </xf>
    <xf borderId="1" fillId="9" fontId="1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1" fillId="0" fontId="1" numFmtId="174" xfId="0" applyBorder="1" applyFont="1" applyNumberFormat="1"/>
    <xf borderId="0" fillId="0" fontId="37" numFmtId="0" xfId="0" applyAlignment="1" applyFont="1">
      <alignment readingOrder="0"/>
    </xf>
    <xf borderId="1" fillId="10" fontId="36" numFmtId="174" xfId="0" applyAlignment="1" applyBorder="1" applyFont="1" applyNumberFormat="1">
      <alignment readingOrder="0"/>
    </xf>
    <xf borderId="0" fillId="0" fontId="1" numFmtId="0" xfId="0" applyFont="1"/>
    <xf borderId="1" fillId="10" fontId="1" numFmtId="174" xfId="0" applyAlignment="1" applyBorder="1" applyFont="1" applyNumberFormat="1">
      <alignment horizontal="center" readingOrder="0"/>
    </xf>
    <xf borderId="0" fillId="2" fontId="1" numFmtId="174" xfId="0" applyFont="1" applyNumberFormat="1"/>
    <xf borderId="1" fillId="9" fontId="1" numFmtId="174" xfId="0" applyBorder="1" applyFont="1" applyNumberFormat="1"/>
    <xf borderId="1" fillId="13" fontId="1" numFmtId="17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381000</xdr:colOff>
      <xdr:row>3</xdr:row>
      <xdr:rowOff>28575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8</xdr:row>
      <xdr:rowOff>19050</xdr:rowOff>
    </xdr:from>
    <xdr:ext cx="600075" cy="866775"/>
    <xdr:sp>
      <xdr:nvSpPr>
        <xdr:cNvPr id="3" name="Shape 3"/>
        <xdr:cNvSpPr txBox="1"/>
      </xdr:nvSpPr>
      <xdr:spPr>
        <a:xfrm>
          <a:off x="5050725" y="3351375"/>
          <a:ext cx="590550" cy="857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219075</xdr:colOff>
      <xdr:row>8</xdr:row>
      <xdr:rowOff>19050</xdr:rowOff>
    </xdr:from>
    <xdr:ext cx="495300" cy="809625"/>
    <xdr:sp>
      <xdr:nvSpPr>
        <xdr:cNvPr id="4" name="Shape 4"/>
        <xdr:cNvSpPr txBox="1"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609600</xdr:colOff>
      <xdr:row>8</xdr:row>
      <xdr:rowOff>114300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8</xdr:row>
      <xdr:rowOff>19050</xdr:rowOff>
    </xdr:from>
    <xdr:ext cx="600075" cy="866775"/>
    <xdr:sp>
      <xdr:nvSpPr>
        <xdr:cNvPr id="3" name="Shape 3"/>
        <xdr:cNvSpPr txBox="1"/>
      </xdr:nvSpPr>
      <xdr:spPr>
        <a:xfrm>
          <a:off x="5050725" y="3351375"/>
          <a:ext cx="590550" cy="857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219075</xdr:colOff>
      <xdr:row>8</xdr:row>
      <xdr:rowOff>19050</xdr:rowOff>
    </xdr:from>
    <xdr:ext cx="495300" cy="809625"/>
    <xdr:sp>
      <xdr:nvSpPr>
        <xdr:cNvPr id="4" name="Shape 4"/>
        <xdr:cNvSpPr txBox="1"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123825</xdr:colOff>
      <xdr:row>8</xdr:row>
      <xdr:rowOff>114300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ff3b3ec0-0086-433b-8577-77159e19e60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21T02:43:29.00" personId="{ff3b3ec0-0086-433b-8577-77159e19e606}" id="{7d46c873-336c-4e2e-8b40-13756cabb58d}" done="0">
    <x18tc:text xml:space="preserve">73円/1日</x18tc:text>
  </x18tc:threadedComment>
  <x18tc:threadedComment ref="A1" dT="2025-08-21T02:47:20.00" personId="{ff3b3ec0-0086-433b-8577-77159e19e606}" id="{ca7f5b59-d213-445a-9554-be8effc11b70}" done="0">
    <x18tc:text xml:space="preserve">145円/1日</x18tc:text>
  </x18tc:threadedComment>
  <x18tc:threadedComment ref="A1" dT="2025-08-21T02:43:50.00" personId="{ff3b3ec0-0086-433b-8577-77159e19e606}" id="{07a1df2a-d098-4106-a8f5-1faa5b246c58}" done="0">
    <x18tc:text xml:space="preserve">73円/1日</x18tc:text>
  </x18tc:threadedComment>
  <x18tc:threadedComment ref="A1" dT="2025-08-21T02:48:01.00" personId="{ff3b3ec0-0086-433b-8577-77159e19e606}" id="{56e48395-9dbc-4506-a5d7-e4db44c1fd8f}" done="0">
    <x18tc:text xml:space="preserve">73円/1日</x18tc:text>
  </x18tc:threadedComment>
  <x18tc:threadedComment ref="A1" dT="2025-08-21T02:44:25.00" personId="{ff3b3ec0-0086-433b-8577-77159e19e606}" id="{4a1d4c0c-1123-4262-83ff-e13c90308480}" done="0">
    <x18tc:text xml:space="preserve">73円/1日</x18tc:text>
  </x18tc:threadedComment>
  <x18tc:threadedComment ref="A1" dT="2025-08-21T03:19:47.00" personId="{ff3b3ec0-0086-433b-8577-77159e19e606}" id="{af67d48f-6a64-4333-86b8-41caa209e2b0}" done="0">
    <x18tc:text xml:space="preserve">73円/1日</x18tc:text>
  </x18tc:threadedComment>
  <x18tc:threadedComment ref="A1" dT="2025-08-21T02:44:45.00" personId="{ff3b3ec0-0086-433b-8577-77159e19e606}" id="{9c1bf049-15fb-43c2-9db8-2ec9e6e41a80}" done="0">
    <x18tc:text xml:space="preserve">73円/1日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1" dT="2025-08-25T02:06:30.00" personId="{ff3b3ec0-0086-433b-8577-77159e19e606}" id="{fe2e92d2-377a-402a-8e7d-779aeb452a7b}" done="0">
    <x18tc:text xml:space="preserve">73円/1日</x18tc:text>
  </x18tc:threadedComment>
  <x18tc:threadedComment ref="L10" dT="2025-08-25T02:06:20.00" personId="{ff3b3ec0-0086-433b-8577-77159e19e606}" id="{42a85ba9-d34d-4f6a-a5ae-f9628e1d117f}" done="0">
    <x18tc:text xml:space="preserve">73円/1日</x18tc:text>
  </x18tc:threadedComment>
  <x18tc:threadedComment ref="L3" dT="2025-08-25T01:58:48.00" personId="{ff3b3ec0-0086-433b-8577-77159e19e606}" id="{ec9068bf-72ec-4ec5-8195-c2252f9646b3}" done="0">
    <x18tc:text xml:space="preserve">73円/1日</x18tc:text>
  </x18tc:threadedComment>
  <x18tc:threadedComment ref="L6" dT="2025-08-25T02:03:48.00" personId="{ff3b3ec0-0086-433b-8577-77159e19e606}" id="{6d350e22-80dd-457a-9a6e-cda4d26717a3}" done="0">
    <x18tc:text xml:space="preserve">73円/1日</x18tc:text>
  </x18tc:threadedComment>
  <x18tc:threadedComment ref="L7" dT="2025-08-25T01:54:06.00" personId="{ff3b3ec0-0086-433b-8577-77159e19e606}" id="{18a60c32-bfaf-4ed1-babf-ad48925d4828}" done="0">
    <x18tc:text xml:space="preserve">73円/1日</x18tc:text>
  </x18tc:threadedComment>
  <x18tc:threadedComment ref="L5" dT="2025-08-25T02:06:08.00" personId="{ff3b3ec0-0086-433b-8577-77159e19e606}" id="{4f43cdcc-1050-4d09-933c-02db2d93db4d}" done="0">
    <x18tc:text xml:space="preserve">73円/1日</x18tc:text>
  </x18tc:threadedComment>
  <x18tc:threadedComment ref="L9" dT="2025-08-25T01:58:32.00" personId="{ff3b3ec0-0086-433b-8577-77159e19e606}" id="{df8b1d33-46c6-4eb4-866e-000bc393ac6d}" done="0">
    <x18tc:text xml:space="preserve">73円/1日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" dT="2025-07-21T05:37:59.00" personId="{ff3b3ec0-0086-433b-8577-77159e19e606}" id="{53e8f8c4-d1ef-49db-9beb-7d1b3fc8caa4}" done="0">
    <x18tc:text xml:space="preserve">73円/1日</x18tc:text>
  </x18tc:threadedComment>
  <x18tc:threadedComment ref="J12" dT="2025-07-21T05:40:17.00" personId="{ff3b3ec0-0086-433b-8577-77159e19e606}" id="{2cb93bf1-19af-4715-ad73-1a35ff19212d}" done="0">
    <x18tc:text xml:space="preserve">242円/1日</x18tc:text>
  </x18tc:threadedComment>
  <x18tc:threadedComment ref="Q9" dT="2025-07-21T05:42:28.00" personId="{ff3b3ec0-0086-433b-8577-77159e19e606}" id="{80d37cbd-3b3e-47a3-bfcf-03d9f5c264d5}" done="0">
    <x18tc:text xml:space="preserve">1か月19670円固定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/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2"/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3" t="s">
        <v>18</v>
      </c>
      <c r="B11" s="3" t="s">
        <v>19</v>
      </c>
    </row>
    <row r="12">
      <c r="A12" s="1" t="s">
        <v>18</v>
      </c>
      <c r="B12" s="1"/>
    </row>
    <row r="13">
      <c r="A13" s="4"/>
      <c r="B13" s="5"/>
    </row>
    <row r="14">
      <c r="A14" s="4"/>
      <c r="B14" s="5"/>
    </row>
    <row r="15">
      <c r="A15" s="4"/>
      <c r="B15" s="5"/>
    </row>
    <row r="16">
      <c r="A16" s="4"/>
      <c r="B16" s="5"/>
    </row>
    <row r="17">
      <c r="A17" s="4"/>
      <c r="B17" s="5"/>
    </row>
    <row r="18">
      <c r="A18" s="4"/>
      <c r="B18" s="5"/>
    </row>
    <row r="19">
      <c r="A19" s="4"/>
      <c r="B19" s="5"/>
    </row>
    <row r="20">
      <c r="A20" s="4"/>
      <c r="B20" s="5"/>
    </row>
    <row r="21">
      <c r="A21" s="4"/>
      <c r="B21" s="5"/>
    </row>
    <row r="22">
      <c r="A22" s="4"/>
      <c r="B22" s="5"/>
    </row>
    <row r="23">
      <c r="A23" s="4"/>
      <c r="B23" s="5"/>
    </row>
    <row r="24">
      <c r="A24" s="4"/>
      <c r="B24" s="5"/>
    </row>
    <row r="25">
      <c r="A25" s="4"/>
      <c r="B25" s="5"/>
    </row>
    <row r="26">
      <c r="A26" s="4"/>
      <c r="B26" s="5"/>
    </row>
    <row r="27">
      <c r="A27" s="4"/>
      <c r="B27" s="5"/>
    </row>
    <row r="28">
      <c r="A28" s="4"/>
      <c r="B28" s="5"/>
    </row>
    <row r="29">
      <c r="A29" s="4"/>
      <c r="B29" s="5"/>
    </row>
    <row r="30">
      <c r="A30" s="4"/>
      <c r="B30" s="5"/>
    </row>
    <row r="31">
      <c r="A31" s="4"/>
      <c r="B31" s="5"/>
    </row>
    <row r="32">
      <c r="A32" s="4"/>
      <c r="B32" s="5"/>
    </row>
    <row r="33">
      <c r="A33" s="4"/>
      <c r="B33" s="5"/>
    </row>
    <row r="34">
      <c r="A34" s="4"/>
      <c r="B34" s="5"/>
    </row>
    <row r="35">
      <c r="A35" s="4"/>
      <c r="B35" s="5"/>
    </row>
    <row r="36">
      <c r="A36" s="4"/>
      <c r="B36" s="5"/>
    </row>
    <row r="37">
      <c r="A37" s="4"/>
      <c r="B37" s="5"/>
    </row>
    <row r="38">
      <c r="A38" s="4"/>
      <c r="B38" s="5"/>
    </row>
    <row r="39">
      <c r="A39" s="4"/>
      <c r="B39" s="5"/>
    </row>
    <row r="40">
      <c r="A40" s="4"/>
      <c r="B40" s="5"/>
    </row>
    <row r="41">
      <c r="A41" s="4"/>
      <c r="B41" s="5"/>
    </row>
    <row r="42">
      <c r="A42" s="4"/>
      <c r="B42" s="5"/>
    </row>
    <row r="43">
      <c r="A43" s="4"/>
      <c r="B43" s="5"/>
    </row>
    <row r="44">
      <c r="A44" s="4"/>
      <c r="B44" s="5"/>
    </row>
    <row r="45">
      <c r="A45" s="4"/>
      <c r="B45" s="5"/>
    </row>
    <row r="46">
      <c r="A46" s="4"/>
      <c r="B46" s="5"/>
    </row>
    <row r="47">
      <c r="A47" s="4"/>
      <c r="B47" s="5"/>
    </row>
    <row r="48">
      <c r="A48" s="4"/>
      <c r="B48" s="5"/>
    </row>
    <row r="49">
      <c r="A49" s="4"/>
      <c r="B49" s="5"/>
    </row>
    <row r="50">
      <c r="A50" s="4"/>
      <c r="B50" s="5"/>
    </row>
    <row r="51">
      <c r="A51" s="4"/>
      <c r="B51" s="5"/>
    </row>
    <row r="52">
      <c r="A52" s="4"/>
      <c r="B52" s="5"/>
    </row>
    <row r="53">
      <c r="A53" s="4"/>
      <c r="B53" s="5"/>
    </row>
    <row r="54">
      <c r="A54" s="4"/>
      <c r="B54" s="5"/>
    </row>
    <row r="55">
      <c r="A55" s="4"/>
      <c r="B55" s="5"/>
    </row>
    <row r="56">
      <c r="A56" s="4"/>
      <c r="B56" s="5"/>
    </row>
    <row r="57">
      <c r="A57" s="4"/>
      <c r="B57" s="5"/>
    </row>
    <row r="58">
      <c r="A58" s="4"/>
      <c r="B58" s="5"/>
    </row>
    <row r="59">
      <c r="A59" s="4"/>
      <c r="B59" s="5"/>
    </row>
    <row r="60">
      <c r="A60" s="4"/>
      <c r="B60" s="5"/>
    </row>
    <row r="61">
      <c r="A61" s="4"/>
      <c r="B61" s="5"/>
    </row>
    <row r="62">
      <c r="A62" s="4"/>
      <c r="B62" s="5"/>
    </row>
    <row r="63">
      <c r="A63" s="4"/>
      <c r="B63" s="5"/>
    </row>
    <row r="64">
      <c r="A64" s="4"/>
      <c r="B64" s="5"/>
    </row>
    <row r="65">
      <c r="A65" s="4"/>
      <c r="B65" s="5"/>
    </row>
    <row r="66">
      <c r="A66" s="4"/>
      <c r="B66" s="5"/>
    </row>
    <row r="67">
      <c r="A67" s="4"/>
      <c r="B67" s="5"/>
    </row>
    <row r="68">
      <c r="A68" s="4"/>
      <c r="B68" s="5"/>
    </row>
    <row r="69">
      <c r="A69" s="4"/>
      <c r="B69" s="5"/>
    </row>
    <row r="70">
      <c r="A70" s="4"/>
      <c r="B70" s="5"/>
    </row>
    <row r="71">
      <c r="A71" s="4"/>
      <c r="B71" s="5"/>
    </row>
    <row r="72">
      <c r="A72" s="4"/>
      <c r="B72" s="5"/>
    </row>
    <row r="73">
      <c r="A73" s="4"/>
      <c r="B73" s="5"/>
    </row>
    <row r="74">
      <c r="A74" s="4"/>
      <c r="B74" s="5"/>
    </row>
    <row r="75">
      <c r="A75" s="4"/>
      <c r="B75" s="5"/>
    </row>
    <row r="76">
      <c r="A76" s="4"/>
      <c r="B76" s="5"/>
    </row>
    <row r="77">
      <c r="A77" s="4"/>
      <c r="B77" s="5"/>
    </row>
    <row r="78">
      <c r="A78" s="4"/>
      <c r="B78" s="5"/>
    </row>
    <row r="79">
      <c r="A79" s="4"/>
      <c r="B79" s="5"/>
    </row>
    <row r="80">
      <c r="A80" s="4"/>
      <c r="B80" s="5"/>
    </row>
    <row r="81">
      <c r="A81" s="4"/>
      <c r="B81" s="5"/>
    </row>
    <row r="82">
      <c r="A82" s="4"/>
      <c r="B82" s="5"/>
    </row>
    <row r="83">
      <c r="A83" s="4"/>
      <c r="B83" s="5"/>
    </row>
    <row r="84">
      <c r="A84" s="4"/>
      <c r="B84" s="5"/>
    </row>
    <row r="85">
      <c r="A85" s="4"/>
      <c r="B85" s="5"/>
    </row>
    <row r="86">
      <c r="A86" s="4"/>
      <c r="B86" s="5"/>
    </row>
    <row r="87">
      <c r="A87" s="4"/>
      <c r="B87" s="5"/>
    </row>
    <row r="88">
      <c r="A88" s="4"/>
      <c r="B88" s="5"/>
    </row>
    <row r="89">
      <c r="A89" s="4"/>
      <c r="B89" s="5"/>
    </row>
    <row r="90">
      <c r="A90" s="4"/>
      <c r="B90" s="5"/>
    </row>
    <row r="91">
      <c r="A91" s="4"/>
      <c r="B91" s="5"/>
    </row>
    <row r="92">
      <c r="A92" s="4"/>
      <c r="B92" s="5"/>
    </row>
    <row r="93">
      <c r="A93" s="4"/>
      <c r="B93" s="5"/>
    </row>
    <row r="94">
      <c r="A94" s="4"/>
      <c r="B94" s="5"/>
    </row>
    <row r="95">
      <c r="A95" s="4"/>
      <c r="B95" s="5"/>
    </row>
    <row r="96">
      <c r="A96" s="4"/>
      <c r="B96" s="5"/>
    </row>
    <row r="97">
      <c r="A97" s="4"/>
      <c r="B97" s="5"/>
    </row>
    <row r="98">
      <c r="A98" s="4"/>
      <c r="B98" s="5"/>
    </row>
    <row r="99">
      <c r="A99" s="4"/>
      <c r="B99" s="5"/>
    </row>
    <row r="100">
      <c r="A100" s="4"/>
      <c r="B100" s="5"/>
    </row>
    <row r="101">
      <c r="A101" s="4"/>
      <c r="B101" s="5"/>
    </row>
    <row r="102">
      <c r="A102" s="4"/>
      <c r="B102" s="5"/>
    </row>
    <row r="103">
      <c r="A103" s="4"/>
      <c r="B103" s="5"/>
    </row>
    <row r="104">
      <c r="A104" s="4"/>
      <c r="B104" s="5"/>
    </row>
    <row r="105">
      <c r="A105" s="4"/>
      <c r="B105" s="5"/>
    </row>
    <row r="106">
      <c r="A106" s="4"/>
      <c r="B106" s="5"/>
    </row>
    <row r="107">
      <c r="A107" s="4"/>
      <c r="B107" s="5"/>
    </row>
    <row r="108">
      <c r="A108" s="4"/>
      <c r="B108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5" width="8.25"/>
    <col customWidth="1" min="6" max="6" width="9.13"/>
    <col customWidth="1" min="7" max="8" width="9.5"/>
    <col customWidth="1" min="9" max="11" width="8.25"/>
    <col customWidth="1" min="12" max="26" width="7.13"/>
  </cols>
  <sheetData>
    <row r="1" ht="33.0" customHeight="1">
      <c r="A1" s="6" t="s">
        <v>20</v>
      </c>
      <c r="L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 t="str">
        <f t="array" ref="A2">VLOOKUP(F$4,INDIRECT(M$2&amp;"!A3:U109"),2,FALSE)</f>
        <v>宮本浩行</v>
      </c>
      <c r="E2" s="10" t="s">
        <v>21</v>
      </c>
      <c r="F2" s="7"/>
      <c r="G2" s="7"/>
      <c r="H2" s="11" t="s">
        <v>22</v>
      </c>
      <c r="J2" s="12">
        <v>46056.0</v>
      </c>
      <c r="L2" s="13" t="s">
        <v>23</v>
      </c>
      <c r="M2" s="14">
        <v>202601.0</v>
      </c>
      <c r="N2" s="15"/>
      <c r="O2" s="16" t="s">
        <v>24</v>
      </c>
      <c r="P2" s="17">
        <v>202512.0</v>
      </c>
      <c r="Q2" s="18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F3" s="7"/>
      <c r="G3" s="7"/>
      <c r="H3" s="7"/>
      <c r="I3" s="7"/>
      <c r="J3" s="7"/>
      <c r="K3" s="7"/>
      <c r="L3" s="7"/>
      <c r="M3" s="16"/>
      <c r="N3" s="19"/>
      <c r="O3" s="20"/>
      <c r="P3" s="21"/>
      <c r="Q3" s="20"/>
      <c r="R3" s="21"/>
      <c r="S3" s="7"/>
      <c r="T3" s="7"/>
      <c r="U3" s="7"/>
      <c r="V3" s="7"/>
      <c r="W3" s="7"/>
      <c r="X3" s="7"/>
      <c r="Y3" s="7"/>
      <c r="Z3" s="7"/>
    </row>
    <row r="4" ht="18.75" customHeight="1">
      <c r="A4" s="22" t="s">
        <v>25</v>
      </c>
      <c r="F4" s="23" t="s">
        <v>14</v>
      </c>
      <c r="G4" s="20" t="s">
        <v>26</v>
      </c>
      <c r="H4" s="24" t="s">
        <v>27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5"/>
      <c r="B5" s="25"/>
      <c r="C5" s="25"/>
      <c r="D5" s="7"/>
      <c r="E5" s="7"/>
      <c r="F5" s="7"/>
      <c r="G5" s="7"/>
      <c r="L5" s="26"/>
      <c r="M5" s="27" t="s">
        <v>28</v>
      </c>
      <c r="N5" s="26"/>
      <c r="O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28" t="s">
        <v>29</v>
      </c>
      <c r="B6" s="18"/>
      <c r="C6" s="29">
        <f>I33</f>
        <v>108593</v>
      </c>
      <c r="D6" s="30"/>
      <c r="E6" s="30"/>
      <c r="F6" s="30"/>
      <c r="G6" s="18"/>
      <c r="H6" s="31" t="s">
        <v>30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32"/>
      <c r="M7" s="32"/>
      <c r="N7" s="32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32"/>
      <c r="M8" s="32"/>
      <c r="N8" s="32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3" t="s">
        <v>31</v>
      </c>
      <c r="B9" s="34"/>
      <c r="C9" s="35" t="s">
        <v>32</v>
      </c>
      <c r="D9" s="34"/>
      <c r="E9" s="36" t="s">
        <v>33</v>
      </c>
      <c r="F9" s="34"/>
      <c r="G9" s="35" t="s">
        <v>34</v>
      </c>
      <c r="H9" s="34"/>
      <c r="I9" s="35" t="s">
        <v>35</v>
      </c>
      <c r="J9" s="34"/>
      <c r="K9" s="3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8" t="str">
        <f t="array" ref="A10">INDIRECT(M$2&amp;"!D2")</f>
        <v>家賃</v>
      </c>
      <c r="C10" s="39">
        <f t="array" ref="C10">VLOOKUP(F$4,INDIRECT(M$2&amp;"!A3:U109"),4,FALSE)</f>
        <v>40000</v>
      </c>
      <c r="E10" s="40" t="s">
        <v>36</v>
      </c>
      <c r="G10" s="41">
        <f t="shared" ref="G10:G28" si="1">C10</f>
        <v>40000</v>
      </c>
      <c r="I10" s="42" t="str">
        <f>TEXT(EDATE(DATE(LEFT(M2,4), RIGHT(M2,2), 1), +1), "m月分")</f>
        <v>2月分</v>
      </c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44" t="str">
        <f t="array" ref="A11">INDIRECT(M$2&amp;"!E2")</f>
        <v>管理費</v>
      </c>
      <c r="C11" s="45">
        <f t="array" ref="C11">VLOOKUP(F$4,INDIRECT(M$2&amp;"!A3:U109"),5,FALSE)</f>
        <v>5000</v>
      </c>
      <c r="E11" s="46" t="s">
        <v>36</v>
      </c>
      <c r="G11" s="47">
        <f t="shared" si="1"/>
        <v>5000</v>
      </c>
      <c r="I11" s="48" t="str">
        <f>TEXT(EDATE(DATE(LEFT(M2,4), RIGHT(M2,2), 1), +1), "m月分")</f>
        <v>2月分</v>
      </c>
      <c r="K11" s="4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38" t="str">
        <f t="array" ref="A12">INDIRECT(M$2&amp;"!F2")</f>
        <v>共益費</v>
      </c>
      <c r="C12" s="39">
        <f t="array" ref="C12">VLOOKUP(F$4,INDIRECT(M$2&amp;"!A3:U109"),6,FALSE)</f>
        <v>5000</v>
      </c>
      <c r="E12" s="40" t="s">
        <v>36</v>
      </c>
      <c r="G12" s="41">
        <f t="shared" si="1"/>
        <v>5000</v>
      </c>
      <c r="I12" s="42" t="str">
        <f>TEXT(EDATE(DATE(LEFT(M2,4), RIGHT(M2,2), 1), +1), "m月分")</f>
        <v>2月分</v>
      </c>
      <c r="K12" s="43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2.5" customHeight="1">
      <c r="A13" s="44" t="str">
        <f t="array" ref="A13">INDIRECT(M$2&amp;"!G2")</f>
        <v>水道料金</v>
      </c>
      <c r="C13" s="45">
        <f t="array" ref="C13">VLOOKUP(F$4,INDIRECT(M$2&amp;"!A3:U109"),7,FALSE)</f>
        <v>2000</v>
      </c>
      <c r="E13" s="46" t="s">
        <v>36</v>
      </c>
      <c r="G13" s="47">
        <f t="shared" si="1"/>
        <v>2000</v>
      </c>
      <c r="I13" s="48" t="str">
        <f>TEXT(EDATE(DATE(LEFT(M2,4), RIGHT(M2,2), 1), +1), "m月分")</f>
        <v>2月分</v>
      </c>
      <c r="K13" s="43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38" t="str">
        <f t="array" ref="A14">INDIRECT(M$2&amp;"!H2")</f>
        <v>定額光熱費</v>
      </c>
      <c r="C14" s="39">
        <f t="array" ref="C14">VLOOKUP(F$4,INDIRECT(M$2&amp;"!A3:U109"),8,FALSE)</f>
        <v>10000</v>
      </c>
      <c r="E14" s="40" t="s">
        <v>36</v>
      </c>
      <c r="G14" s="41">
        <f t="shared" si="1"/>
        <v>10000</v>
      </c>
      <c r="I14" s="42" t="str">
        <f>TEXT(EDATE(DATE(LEFT(M2,4), RIGHT(M2,2), 1), +1), "m月分")</f>
        <v>2月分</v>
      </c>
      <c r="K14" s="43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44" t="str">
        <f t="array" ref="A15">INDIRECT(M$2&amp;"!I2")</f>
        <v>食事</v>
      </c>
      <c r="C15" s="50">
        <f t="array" ref="C15">VLOOKUP(F$4,INDIRECT(M$2&amp;"!A3:U109"),9,FALSE)</f>
        <v>44330</v>
      </c>
      <c r="E15" s="46" t="s">
        <v>36</v>
      </c>
      <c r="G15" s="51">
        <f t="shared" si="1"/>
        <v>44330</v>
      </c>
      <c r="I15" s="48" t="str">
        <f>TEXT(EDATE(DATE(LEFT(M2,4), RIGHT(M2,2), 1), ), "m月分")</f>
        <v>1月分</v>
      </c>
      <c r="K15" s="43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38" t="str">
        <f t="array" ref="A16">INDIRECT(M$2&amp;"!J2")</f>
        <v>調整額</v>
      </c>
      <c r="C16" s="52" t="str">
        <f t="array" ref="C16">VLOOKUP(F$4,INDIRECT(M$2&amp;"!A3:U109"),10,FALSE)</f>
        <v/>
      </c>
      <c r="E16" s="40" t="s">
        <v>36</v>
      </c>
      <c r="G16" s="53" t="str">
        <f t="shared" si="1"/>
        <v/>
      </c>
      <c r="I16" s="42" t="str">
        <f>TEXT(EDATE(DATE(LEFT(M2,4), RIGHT(M2,2), 1), ), "m月分")</f>
        <v>1月分</v>
      </c>
      <c r="K16" s="4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2.5" customHeight="1">
      <c r="A17" s="44" t="str">
        <f t="array" ref="A17">INDIRECT(M$2&amp;"!K2")</f>
        <v>オムツ</v>
      </c>
      <c r="C17" s="50" t="str">
        <f t="array" ref="C17">VLOOKUP(F$4,INDIRECT(M$2&amp;"!A3:U109"),11,FALSE)</f>
        <v/>
      </c>
      <c r="E17" s="46" t="s">
        <v>36</v>
      </c>
      <c r="G17" s="51" t="str">
        <f t="shared" si="1"/>
        <v/>
      </c>
      <c r="I17" s="48" t="str">
        <f>TEXT(EDATE(DATE(LEFT(M2,4), RIGHT(M2,2), 1), ), "m月分")</f>
        <v>1月分</v>
      </c>
      <c r="K17" s="4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2.5" customHeight="1">
      <c r="A18" s="38" t="str">
        <f t="array" ref="A18">INDIRECT(M$2&amp;"!L2")</f>
        <v>日用品</v>
      </c>
      <c r="C18" s="52">
        <f t="array" ref="C18">VLOOKUP(F$4,INDIRECT(M$2&amp;"!A3:U109"),12,FALSE)</f>
        <v>2263</v>
      </c>
      <c r="E18" s="40" t="s">
        <v>36</v>
      </c>
      <c r="G18" s="54">
        <f t="shared" si="1"/>
        <v>2263</v>
      </c>
      <c r="I18" s="42" t="str">
        <f>TEXT(EDATE(DATE(LEFT(M2,4), RIGHT(M2,2), 1), ), "m月分")</f>
        <v>1月分</v>
      </c>
      <c r="K18" s="4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22.5" customHeight="1">
      <c r="A19" s="44" t="str">
        <f t="array" ref="A19">INDIRECT(M$2&amp;"!M2")</f>
        <v>分割支払い</v>
      </c>
      <c r="C19" s="45" t="str">
        <f t="array" ref="C19">VLOOKUP(F$4,INDIRECT(M$2&amp;"!A3:U109"),13,FALSE)</f>
        <v/>
      </c>
      <c r="E19" s="46" t="s">
        <v>36</v>
      </c>
      <c r="G19" s="47" t="str">
        <f t="shared" si="1"/>
        <v/>
      </c>
      <c r="I19" s="48" t="str">
        <f>TEXT(EDATE(DATE(LEFT(M2,4), RIGHT(M2,2), 1), ), "m月分")</f>
        <v>1月分</v>
      </c>
      <c r="K19" s="4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2.5" customHeight="1">
      <c r="A20" s="38" t="str">
        <f t="array" ref="A20">INDIRECT(M$2&amp;"!N2")</f>
        <v>事務手数料</v>
      </c>
      <c r="C20" s="39" t="str">
        <f t="array" ref="C20">VLOOKUP(F$4,INDIRECT(M$2&amp;"!A3:U109"),14,FALSE)</f>
        <v/>
      </c>
      <c r="E20" s="40" t="s">
        <v>36</v>
      </c>
      <c r="G20" s="41" t="str">
        <f t="shared" si="1"/>
        <v/>
      </c>
      <c r="I20" s="42" t="str">
        <f>TEXT(EDATE(DATE(LEFT(M2,4), RIGHT(M2,2), 1), ), "m月分")</f>
        <v>1月分</v>
      </c>
      <c r="K20" s="4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2.5" customHeight="1">
      <c r="A21" s="44" t="str">
        <f t="array" ref="A21">INDIRECT(M$2&amp;"!O2")</f>
        <v>デイサービス</v>
      </c>
      <c r="C21" s="45" t="str">
        <f t="array" ref="C21">VLOOKUP(F$4,INDIRECT(M$2&amp;"!A3:U109"),15,FALSE)</f>
        <v/>
      </c>
      <c r="E21" s="46" t="s">
        <v>36</v>
      </c>
      <c r="G21" s="47" t="str">
        <f t="shared" si="1"/>
        <v/>
      </c>
      <c r="I21" s="48" t="str">
        <f>TEXT(EDATE(DATE(LEFT(M2,4), RIGHT(M2,2), 1), -1), "m月分")</f>
        <v>12月分</v>
      </c>
      <c r="K21" s="4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2.5" customHeight="1">
      <c r="A22" s="38" t="str">
        <f t="array" ref="A22">INDIRECT(M$2&amp;"!P2")</f>
        <v>福祉用具</v>
      </c>
      <c r="C22" s="52" t="str">
        <f t="array" ref="C22">VLOOKUP(F$4,INDIRECT(M$2&amp;"!A3:U109"),16,FALSE)</f>
        <v/>
      </c>
      <c r="E22" s="40" t="s">
        <v>36</v>
      </c>
      <c r="G22" s="54" t="str">
        <f t="shared" si="1"/>
        <v/>
      </c>
      <c r="I22" s="42" t="str">
        <f>TEXT(EDATE(DATE(LEFT(M2,4), RIGHT(M2,2), 1), -1), "m月分")</f>
        <v>12月分</v>
      </c>
      <c r="K22" s="43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22.5" customHeight="1">
      <c r="A23" s="44" t="str">
        <f t="array" ref="A23">INDIRECT(M$2&amp;"!Q2")</f>
        <v>しろくま薬局</v>
      </c>
      <c r="C23" s="50" t="str">
        <f t="array" ref="C23">VLOOKUP(F$4,INDIRECT(M$2&amp;"!A3:U109"),17,FALSE)</f>
        <v/>
      </c>
      <c r="E23" s="46" t="s">
        <v>36</v>
      </c>
      <c r="G23" s="51" t="str">
        <f t="shared" si="1"/>
        <v/>
      </c>
      <c r="I23" s="48" t="str">
        <f>TEXT(EDATE(DATE(LEFT(M2,4), RIGHT(M2,2), 1), -1), "m月分")</f>
        <v>12月分</v>
      </c>
      <c r="K23" s="43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22.5" customHeight="1">
      <c r="A24" s="38" t="str">
        <f t="array" ref="A24">INDIRECT(M$2&amp;"!R2")</f>
        <v>往診診療費</v>
      </c>
      <c r="C24" s="52" t="str">
        <f t="array" ref="C24">VLOOKUP(F$4,INDIRECT(M$2&amp;"!A3:U109"),18,FALSE)</f>
        <v/>
      </c>
      <c r="E24" s="55" t="s">
        <v>36</v>
      </c>
      <c r="G24" s="54" t="str">
        <f t="shared" si="1"/>
        <v/>
      </c>
      <c r="I24" s="42" t="str">
        <f>TEXT(EDATE(DATE(LEFT(M2,4), RIGHT(M2,2), 1), -1), "m月分")</f>
        <v>12月分</v>
      </c>
      <c r="K24" s="43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22.5" customHeight="1">
      <c r="A25" s="44" t="str">
        <f t="array" ref="A25">INDIRECT(M$2&amp;"!S2")</f>
        <v>サポート費</v>
      </c>
      <c r="C25" s="50" t="str">
        <f t="array" ref="C25">VLOOKUP(F$4,INDIRECT(M$2&amp;"!A3:U109"),19,FALSE)</f>
        <v/>
      </c>
      <c r="E25" s="56" t="s">
        <v>36</v>
      </c>
      <c r="G25" s="51" t="str">
        <f t="shared" si="1"/>
        <v/>
      </c>
      <c r="I25" s="48" t="str">
        <f>TEXT(EDATE(DATE(LEFT(M2,4), RIGHT(M2,2), 1), -1), "m月分")</f>
        <v>12月分</v>
      </c>
      <c r="K25" s="43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22.5" customHeight="1">
      <c r="A26" s="38" t="str">
        <f t="array" ref="A26">INDIRECT(M$2&amp;"!T2")</f>
        <v>その他</v>
      </c>
      <c r="C26" s="52" t="str">
        <f t="array" ref="C26">VLOOKUP(F$4,INDIRECT(M$2&amp;"!A3:U109"),20,FALSE)</f>
        <v/>
      </c>
      <c r="E26" s="55" t="s">
        <v>36</v>
      </c>
      <c r="G26" s="54" t="str">
        <f t="shared" si="1"/>
        <v/>
      </c>
      <c r="I26" s="42" t="str">
        <f>TEXT(EDATE(DATE(LEFT(M2,4), RIGHT(M2,2), 1), -1), "m月分")</f>
        <v>12月分</v>
      </c>
      <c r="K26" s="43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22.5" customHeight="1">
      <c r="A27" s="57" t="str">
        <f t="array" ref="A27">INDIRECT(M$2&amp;"!U2")</f>
        <v/>
      </c>
      <c r="C27" s="50" t="str">
        <f t="array" ref="C27">VLOOKUP(F$4,INDIRECT(M$2&amp;"!A3:U109"),21,FALSE)</f>
        <v/>
      </c>
      <c r="E27" s="58" t="s">
        <v>36</v>
      </c>
      <c r="G27" s="51" t="str">
        <f t="shared" si="1"/>
        <v/>
      </c>
      <c r="I27" s="59"/>
      <c r="K27" s="43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22.5" customHeight="1">
      <c r="A28" s="60" t="str">
        <f t="array" ref="A28">INDIRECT(M$2&amp;"!V2")</f>
        <v/>
      </c>
      <c r="C28" s="52"/>
      <c r="E28" s="54"/>
      <c r="G28" s="54" t="str">
        <f t="shared" si="1"/>
        <v/>
      </c>
      <c r="I28" s="61"/>
      <c r="K28" s="43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2.5" customHeight="1">
      <c r="A29" s="62" t="s">
        <v>37</v>
      </c>
      <c r="B29" s="63"/>
      <c r="C29" s="63"/>
      <c r="D29" s="63"/>
      <c r="E29" s="63"/>
      <c r="F29" s="63"/>
      <c r="G29" s="64">
        <f>SUM(G10:H28)</f>
        <v>108593</v>
      </c>
      <c r="H29" s="63"/>
      <c r="I29" s="65"/>
      <c r="J29" s="63"/>
      <c r="K29" s="66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22.5" customHeight="1">
      <c r="A30" s="67" t="s">
        <v>38</v>
      </c>
      <c r="H30" s="68"/>
      <c r="I30" s="69"/>
      <c r="J30" s="69"/>
      <c r="K30" s="70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22.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22.5" customHeight="1">
      <c r="A32" s="71" t="s">
        <v>39</v>
      </c>
      <c r="B32" s="18"/>
      <c r="C32" s="72">
        <v>0.0</v>
      </c>
      <c r="D32" s="18"/>
      <c r="E32" s="70"/>
      <c r="F32" s="70"/>
      <c r="G32" s="73" t="s">
        <v>40</v>
      </c>
      <c r="H32" s="18"/>
      <c r="I32" s="72" t="str">
        <f t="array" ref="I32">VLOOKUP(F$4,INDIRECT(P$2&amp;"!A3:AE109"),31,FALSE)</f>
        <v/>
      </c>
      <c r="J32" s="18"/>
      <c r="K32" s="70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22.5" customHeight="1">
      <c r="A33" s="71" t="s">
        <v>41</v>
      </c>
      <c r="B33" s="18"/>
      <c r="C33" s="72">
        <v>0.0</v>
      </c>
      <c r="D33" s="18"/>
      <c r="E33" s="70"/>
      <c r="F33" s="70"/>
      <c r="G33" s="74" t="s">
        <v>42</v>
      </c>
      <c r="H33" s="18"/>
      <c r="I33" s="72">
        <f>G29</f>
        <v>108593</v>
      </c>
      <c r="J33" s="18"/>
      <c r="K33" s="70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8.0" customHeight="1">
      <c r="A34" s="70"/>
      <c r="B34" s="70"/>
      <c r="C34" s="70"/>
      <c r="D34" s="70"/>
      <c r="E34" s="70"/>
      <c r="F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8.0" customHeight="1">
      <c r="A35" s="75"/>
      <c r="C35" s="76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8.0" customHeight="1">
      <c r="A36" s="75"/>
      <c r="C36" s="76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9.5" customHeight="1">
      <c r="A37" s="75"/>
      <c r="C37" s="76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24.0" customHeight="1">
      <c r="A38" s="75"/>
      <c r="C38" s="76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24.0" customHeight="1">
      <c r="C39" s="7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24.0" customHeight="1">
      <c r="A40" s="70"/>
      <c r="B40" s="70"/>
      <c r="C40" s="70"/>
      <c r="D40" s="70"/>
      <c r="E40" s="70"/>
      <c r="F40" s="70"/>
      <c r="G40" s="7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7.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24.0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8.0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mergeCells count="128">
    <mergeCell ref="J2:K2"/>
    <mergeCell ref="H4:K5"/>
    <mergeCell ref="A1:K1"/>
    <mergeCell ref="A2:D3"/>
    <mergeCell ref="E2:E3"/>
    <mergeCell ref="H2:I2"/>
    <mergeCell ref="M2:N2"/>
    <mergeCell ref="P2:Q2"/>
    <mergeCell ref="A4:E4"/>
    <mergeCell ref="A6:B6"/>
    <mergeCell ref="C6:G6"/>
    <mergeCell ref="H6:K6"/>
    <mergeCell ref="C9:D9"/>
    <mergeCell ref="E9:F9"/>
    <mergeCell ref="G9:H9"/>
    <mergeCell ref="I9:K9"/>
    <mergeCell ref="G11:H11"/>
    <mergeCell ref="I11:K11"/>
    <mergeCell ref="I12:K12"/>
    <mergeCell ref="A9:B9"/>
    <mergeCell ref="A10:B10"/>
    <mergeCell ref="C10:D10"/>
    <mergeCell ref="E10:F10"/>
    <mergeCell ref="G10:H10"/>
    <mergeCell ref="I10:K10"/>
    <mergeCell ref="A11:B11"/>
    <mergeCell ref="C11:D11"/>
    <mergeCell ref="E11:F11"/>
    <mergeCell ref="A12:B12"/>
    <mergeCell ref="C12:D12"/>
    <mergeCell ref="E12:F12"/>
    <mergeCell ref="G12:H12"/>
    <mergeCell ref="G13:H13"/>
    <mergeCell ref="C15:D15"/>
    <mergeCell ref="E15:F15"/>
    <mergeCell ref="C13:D13"/>
    <mergeCell ref="E13:F13"/>
    <mergeCell ref="I13:K13"/>
    <mergeCell ref="G15:H15"/>
    <mergeCell ref="I15:K15"/>
    <mergeCell ref="A13:B13"/>
    <mergeCell ref="A14:B14"/>
    <mergeCell ref="C14:D14"/>
    <mergeCell ref="E14:F14"/>
    <mergeCell ref="G14:H14"/>
    <mergeCell ref="I14:K14"/>
    <mergeCell ref="A15:B15"/>
    <mergeCell ref="E17:F17"/>
    <mergeCell ref="G17:H17"/>
    <mergeCell ref="A16:B16"/>
    <mergeCell ref="C16:D16"/>
    <mergeCell ref="E16:F16"/>
    <mergeCell ref="G16:H16"/>
    <mergeCell ref="I16:K16"/>
    <mergeCell ref="C17:D17"/>
    <mergeCell ref="I17:K17"/>
    <mergeCell ref="G19:H19"/>
    <mergeCell ref="I19:K19"/>
    <mergeCell ref="I20:K20"/>
    <mergeCell ref="A17:B17"/>
    <mergeCell ref="A18:B18"/>
    <mergeCell ref="C18:D18"/>
    <mergeCell ref="E18:F18"/>
    <mergeCell ref="G18:H18"/>
    <mergeCell ref="I18:K18"/>
    <mergeCell ref="A19:B19"/>
    <mergeCell ref="C25:D25"/>
    <mergeCell ref="E25:F25"/>
    <mergeCell ref="I25:K25"/>
    <mergeCell ref="A25:B25"/>
    <mergeCell ref="A26:B26"/>
    <mergeCell ref="C26:D26"/>
    <mergeCell ref="E26:F26"/>
    <mergeCell ref="G26:H26"/>
    <mergeCell ref="I26:K26"/>
    <mergeCell ref="A27:B27"/>
    <mergeCell ref="G32:H32"/>
    <mergeCell ref="G33:H33"/>
    <mergeCell ref="A33:B33"/>
    <mergeCell ref="A35:B35"/>
    <mergeCell ref="A36:B36"/>
    <mergeCell ref="A37:B37"/>
    <mergeCell ref="A38:B39"/>
    <mergeCell ref="A29:F29"/>
    <mergeCell ref="A30:G30"/>
    <mergeCell ref="A32:B32"/>
    <mergeCell ref="C32:D32"/>
    <mergeCell ref="I32:J32"/>
    <mergeCell ref="C33:D33"/>
    <mergeCell ref="I33:J33"/>
    <mergeCell ref="C21:D21"/>
    <mergeCell ref="E21:F21"/>
    <mergeCell ref="I21:K21"/>
    <mergeCell ref="C19:D19"/>
    <mergeCell ref="E19:F19"/>
    <mergeCell ref="A20:B20"/>
    <mergeCell ref="C20:D20"/>
    <mergeCell ref="E20:F20"/>
    <mergeCell ref="G20:H20"/>
    <mergeCell ref="G21:H21"/>
    <mergeCell ref="G23:H23"/>
    <mergeCell ref="I23:K23"/>
    <mergeCell ref="I24:K24"/>
    <mergeCell ref="A21:B21"/>
    <mergeCell ref="A22:B22"/>
    <mergeCell ref="C22:D22"/>
    <mergeCell ref="E22:F22"/>
    <mergeCell ref="G22:H22"/>
    <mergeCell ref="I22:K22"/>
    <mergeCell ref="A23:B23"/>
    <mergeCell ref="C23:D23"/>
    <mergeCell ref="E23:F23"/>
    <mergeCell ref="A24:B24"/>
    <mergeCell ref="C24:D24"/>
    <mergeCell ref="E24:F24"/>
    <mergeCell ref="G24:H24"/>
    <mergeCell ref="G25:H25"/>
    <mergeCell ref="G27:H27"/>
    <mergeCell ref="I27:K27"/>
    <mergeCell ref="I28:K28"/>
    <mergeCell ref="I29:K29"/>
    <mergeCell ref="C27:D27"/>
    <mergeCell ref="E27:F27"/>
    <mergeCell ref="A28:B28"/>
    <mergeCell ref="C28:D28"/>
    <mergeCell ref="E28:F28"/>
    <mergeCell ref="G28:H28"/>
    <mergeCell ref="G29:H29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78" t="s">
        <v>43</v>
      </c>
      <c r="B1" s="79" t="s">
        <v>44</v>
      </c>
      <c r="H1" s="80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3.25" customHeight="1">
      <c r="A2" s="79"/>
      <c r="B2" s="79"/>
      <c r="C2" s="79"/>
      <c r="D2" s="79"/>
      <c r="E2" s="81"/>
      <c r="G2" s="82"/>
      <c r="H2" s="79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3.25" customHeight="1">
      <c r="A3" s="78"/>
      <c r="B3" s="83"/>
      <c r="C3" s="78"/>
      <c r="D3" s="78"/>
      <c r="E3" s="81" t="s">
        <v>45</v>
      </c>
      <c r="G3" s="84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34.5" customHeight="1">
      <c r="A4" s="78"/>
      <c r="B4" s="85" t="str">
        <f>'すまい請求書'!A2</f>
        <v>宮本浩行</v>
      </c>
      <c r="C4" s="63"/>
      <c r="D4" s="78" t="s">
        <v>21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2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48.0" customHeight="1">
      <c r="A6" s="78"/>
      <c r="B6" s="86"/>
      <c r="C6" s="87">
        <f>'すまい請求書'!C6</f>
        <v>108593</v>
      </c>
      <c r="D6" s="88"/>
      <c r="E6" s="88"/>
      <c r="F6" s="86"/>
      <c r="G6" s="86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7.75" customHeight="1">
      <c r="A7" s="78"/>
      <c r="B7" s="89" t="s">
        <v>46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38.25" customHeight="1">
      <c r="A8" s="78"/>
      <c r="B8" s="78"/>
      <c r="C8" s="90" t="s">
        <v>47</v>
      </c>
      <c r="D8" s="78"/>
      <c r="E8" s="91"/>
      <c r="F8" s="91"/>
      <c r="G8" s="91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6.25" customHeight="1">
      <c r="A9" s="78"/>
      <c r="B9" s="78"/>
      <c r="C9" s="92" t="s">
        <v>48</v>
      </c>
      <c r="G9" s="93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94" t="s">
        <v>49</v>
      </c>
      <c r="D10" s="95"/>
      <c r="E10" s="96"/>
      <c r="F10" s="78"/>
      <c r="G10" s="90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94" t="s">
        <v>30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97" t="s">
        <v>50</v>
      </c>
      <c r="D12" s="96"/>
      <c r="E12" s="96"/>
      <c r="F12" s="96"/>
      <c r="G12" s="90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7.25" customHeight="1">
      <c r="A13" s="93"/>
      <c r="B13" s="93"/>
      <c r="C13" s="95"/>
      <c r="D13" s="96"/>
      <c r="E13" s="96"/>
      <c r="F13" s="93"/>
      <c r="G13" s="90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7.25" customHeight="1">
      <c r="A14" s="93"/>
      <c r="B14" s="93"/>
      <c r="C14" s="95"/>
      <c r="D14" s="96"/>
      <c r="E14" s="96"/>
      <c r="F14" s="93"/>
      <c r="G14" s="90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7.25" customHeight="1">
      <c r="A15" s="93"/>
      <c r="B15" s="93"/>
      <c r="C15" s="93"/>
      <c r="D15" s="93"/>
      <c r="E15" s="93"/>
      <c r="F15" s="93"/>
      <c r="G15" s="90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4.0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0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4.0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4.0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4.0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4.0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4.0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4.0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4.0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4.2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4.0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0.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2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2.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2.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0.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4.0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4.0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4.0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4.0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4.0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4.0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4.0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4.0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4.0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4.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4.0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4.0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4.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4.0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4.0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4.0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4.0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4.0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4.0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4.0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4.0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4.0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4.0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4.0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4.0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4.0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4.0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4.0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4.0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4.0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4.0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4.0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4.0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4.0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4.0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4.0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4.0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4.0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4.0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4.0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4.0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4.0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4.0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4.0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4.0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4.0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4.0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4.0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4.0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4.0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4.0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4.0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4.0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4.0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4.0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4.0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4.0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4.0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4.0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4.0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4.0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4.0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4.0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4.0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4.0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4.0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4.0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4.0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4.0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4.0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4.0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4.0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4.0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4.0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4.0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4.0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4.0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4.0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4.0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4.0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4.0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4.0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4.0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4.0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4.0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4.0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4.0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4.0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4.0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4.0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4.0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4.0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24.0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24.0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24.0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24.0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4.0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4.0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24.0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24.0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24.0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24.0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24.0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24.0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24.0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4.0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24.0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4.0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4.0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4.0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4.0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4.0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4.0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4.0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4.0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4.0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4.0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4.0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4.0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4.0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4.0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4.0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4.0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4.0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4.0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4.0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4.0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4.0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4.0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4.0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4.0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4.0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4.0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4.0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4.0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4.0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4.0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4.0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4.0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4.0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4.0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4.0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4.0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4.0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4.0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4.0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4.0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4.0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4.0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4.0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4.0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4.0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4.0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4.0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24.0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24.0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24.0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24.0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24.0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24.0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24.0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4.0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24.0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24.0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24.0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24.0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24.0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4.0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24.0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24.0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24.0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24.0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24.0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24.0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24.0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24.0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24.0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24.0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24.0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24.0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24.0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4.0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24.0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24.0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24.0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24.0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24.0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24.0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24.0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24.0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24.0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24.0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24.0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24.0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24.0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24.0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24.0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24.0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24.0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24.0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24.0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24.0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24.0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24.0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24.0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24.0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24.0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24.0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24.0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24.0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24.0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24.0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24.0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24.0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24.0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24.0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24.0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24.0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24.0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24.0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24.0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24.0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24.0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24.0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24.0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24.0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24.0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24.0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24.0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24.0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24.0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24.0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24.0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24.0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24.0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24.0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24.0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24.0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24.0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24.0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24.0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24.0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24.0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24.0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24.0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24.0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24.0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24.0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24.0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24.0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24.0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24.0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24.0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24.0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24.0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24.0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24.0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24.0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24.0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24.0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24.0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24.0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24.0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24.0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24.0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24.0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24.0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24.0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24.0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24.0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24.0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24.0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24.0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24.0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24.0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24.0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24.0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24.0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24.0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24.0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24.0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24.0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24.0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24.0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24.0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24.0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24.0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24.0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24.0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24.0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24.0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24.0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24.0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24.0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24.0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24.0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24.0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24.0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24.0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24.0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24.0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24.0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24.0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24.0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24.0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24.0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24.0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24.0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24.0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24.0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24.0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24.0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24.0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24.0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24.0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24.0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24.0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24.0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24.0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24.0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24.0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24.0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24.0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24.0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24.0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24.0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24.0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24.0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24.0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24.0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24.0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24.0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24.0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24.0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24.0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24.0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24.0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24.0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24.0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24.0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24.0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24.0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24.0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24.0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24.0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24.0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24.0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24.0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24.0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24.0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24.0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24.0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24.0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24.0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24.0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24.0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24.0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24.0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24.0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24.0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24.0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24.0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24.0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24.0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24.0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24.0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24.0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24.0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24.0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24.0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24.0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24.0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24.0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24.0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24.0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24.0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24.0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24.0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24.0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24.0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24.0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24.0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24.0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24.0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24.0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24.0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24.0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24.0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24.0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24.0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24.0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24.0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24.0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24.0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24.0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24.0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24.0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24.0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24.0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24.0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24.0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24.0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24.0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24.0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24.0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24.0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24.0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24.0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24.0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24.0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24.0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24.0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24.0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24.0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24.0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24.0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24.0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24.0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24.0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24.0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24.0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24.0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24.0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24.0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24.0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24.0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24.0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24.0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24.0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24.0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24.0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24.0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24.0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24.0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24.0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24.0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24.0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24.0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24.0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24.0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24.0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24.0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24.0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24.0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24.0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24.0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24.0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24.0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24.0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24.0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24.0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24.0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24.0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24.0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24.0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24.0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24.0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24.0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24.0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24.0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24.0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24.0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24.0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24.0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24.0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24.0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24.0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24.0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24.0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24.0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24.0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24.0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24.0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24.0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24.0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24.0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24.0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24.0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24.0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24.0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24.0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24.0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24.0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24.0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24.0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24.0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24.0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24.0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24.0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24.0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24.0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24.0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24.0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24.0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24.0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24.0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24.0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24.0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24.0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24.0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24.0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24.0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24.0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24.0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24.0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24.0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24.0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24.0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24.0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24.0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24.0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24.0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24.0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24.0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24.0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24.0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24.0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24.0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24.0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24.0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24.0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24.0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24.0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24.0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24.0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24.0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24.0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24.0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24.0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24.0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24.0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24.0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24.0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24.0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24.0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24.0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24.0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24.0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24.0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24.0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24.0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24.0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24.0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24.0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24.0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24.0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24.0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24.0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24.0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24.0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24.0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24.0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24.0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24.0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24.0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24.0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24.0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24.0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24.0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24.0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24.0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24.0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24.0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24.0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24.0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24.0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24.0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24.0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24.0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24.0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24.0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24.0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24.0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24.0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24.0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24.0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24.0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24.0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24.0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24.0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24.0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24.0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24.0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24.0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24.0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24.0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24.0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24.0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24.0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24.0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24.0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24.0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24.0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24.0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24.0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24.0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24.0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24.0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24.0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24.0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24.0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24.0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24.0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24.0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24.0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24.0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24.0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24.0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24.0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24.0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24.0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24.0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24.0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24.0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24.0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24.0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24.0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24.0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24.0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24.0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24.0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24.0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24.0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24.0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24.0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24.0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24.0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24.0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24.0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24.0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24.0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24.0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24.0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24.0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24.0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24.0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24.0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24.0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24.0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24.0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24.0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24.0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24.0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24.0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24.0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24.0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24.0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24.0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24.0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24.0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24.0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24.0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24.0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24.0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24.0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24.0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24.0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24.0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24.0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24.0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24.0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24.0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24.0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24.0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24.0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24.0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24.0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24.0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24.0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24.0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24.0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24.0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24.0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24.0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24.0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24.0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24.0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24.0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24.0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24.0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24.0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24.0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24.0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24.0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24.0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24.0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24.0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24.0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24.0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24.0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24.0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24.0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24.0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24.0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24.0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24.0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24.0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24.0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24.0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24.0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24.0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24.0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24.0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24.0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24.0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24.0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24.0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24.0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24.0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24.0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24.0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24.0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24.0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24.0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24.0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24.0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24.0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24.0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24.0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24.0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24.0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24.0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24.0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24.0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24.0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24.0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24.0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24.0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24.0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24.0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24.0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24.0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24.0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24.0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24.0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24.0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24.0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24.0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24.0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24.0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24.0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24.0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24.0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24.0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24.0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24.0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24.0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24.0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24.0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24.0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24.0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24.0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24.0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24.0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24.0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24.0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24.0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24.0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24.0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24.0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24.0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24.0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24.0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24.0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24.0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24.0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24.0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24.0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24.0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24.0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24.0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24.0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24.0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24.0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24.0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24.0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24.0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24.0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24.0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24.0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24.0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24.0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24.0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24.0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24.0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24.0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24.0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24.0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24.0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24.0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24.0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24.0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24.0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24.0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24.0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24.0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24.0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24.0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24.0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24.0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24.0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24.0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24.0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24.0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24.0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24.0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24.0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24.0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24.0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24.0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24.0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24.0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24.0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24.0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24.0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24.0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24.0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24.0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24.0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24.0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24.0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24.0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24.0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24.0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24.0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24.0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24.0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24.0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24.0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24.0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24.0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24.0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24.0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24.0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24.0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24.0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24.0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24.0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24.0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24.0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24.0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24.0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24.0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24.0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24.0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24.0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24.0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24.0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24.0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24.0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24.0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24.0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24.0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24.0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24.0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24.0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24.0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24.0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24.0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24.0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24.0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24.0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24.0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24.0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24.0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24.0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24.0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24.0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24.0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24.0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24.0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24.0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24.0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24.0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24.0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24.0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24.0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24.0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24.0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24.0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24.0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24.0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24.0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24.0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24.0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24.0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24.0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24.0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24.0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24.0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24.0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24.0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24.0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24.0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24.0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24.0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24.0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24.0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24.0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24.0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24.0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24.0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24.0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24.0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24.0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24.0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24.0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24.0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24.0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24.0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24.0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24.0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24.0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24.0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24.0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24.0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24.0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24.0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24.0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24.0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24.0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24.0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24.0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24.0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24.0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24.0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24.0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24.0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24.0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24.0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24.0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24.0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24.0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24.0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24.0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24.0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24.0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24.0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24.0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24.0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24.0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24.0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24.0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24.0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24.0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24.0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24.0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24.0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24.0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24.0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24.0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24.0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24.0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24.0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24.0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24.0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24.0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24.0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24.0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24.0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24.0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24.0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24.0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24.0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24.0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24.0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24.0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24.0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24.0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78" t="s">
        <v>43</v>
      </c>
      <c r="B1" s="79" t="s">
        <v>44</v>
      </c>
      <c r="H1" s="80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3.25" customHeight="1">
      <c r="A2" s="79"/>
      <c r="B2" s="79"/>
      <c r="C2" s="79"/>
      <c r="D2" s="79"/>
      <c r="E2" s="81"/>
      <c r="G2" s="82"/>
      <c r="H2" s="79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3.25" customHeight="1">
      <c r="A3" s="78"/>
      <c r="B3" s="83"/>
      <c r="C3" s="78"/>
      <c r="D3" s="78"/>
      <c r="E3" s="81" t="s">
        <v>45</v>
      </c>
      <c r="G3" s="98">
        <v>45950.0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34.5" customHeight="1">
      <c r="A4" s="78"/>
      <c r="B4" s="99" t="s">
        <v>51</v>
      </c>
      <c r="C4" s="63"/>
      <c r="D4" s="78" t="s">
        <v>21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2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48.0" customHeight="1">
      <c r="A6" s="78"/>
      <c r="B6" s="86"/>
      <c r="C6" s="100">
        <v>200000.0</v>
      </c>
      <c r="D6" s="88"/>
      <c r="E6" s="88"/>
      <c r="F6" s="86"/>
      <c r="G6" s="86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7.75" customHeight="1">
      <c r="A7" s="78"/>
      <c r="B7" s="89" t="s">
        <v>46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38.25" customHeight="1">
      <c r="A8" s="78"/>
      <c r="B8" s="78"/>
      <c r="C8" s="90" t="s">
        <v>47</v>
      </c>
      <c r="D8" s="78"/>
      <c r="E8" s="91"/>
      <c r="F8" s="91"/>
      <c r="G8" s="91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6.25" customHeight="1">
      <c r="A9" s="78"/>
      <c r="B9" s="78"/>
      <c r="C9" s="92" t="s">
        <v>48</v>
      </c>
      <c r="G9" s="93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94" t="s">
        <v>49</v>
      </c>
      <c r="D10" s="95"/>
      <c r="E10" s="96"/>
      <c r="F10" s="78"/>
      <c r="G10" s="90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94" t="s">
        <v>30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97" t="s">
        <v>50</v>
      </c>
      <c r="D12" s="96"/>
      <c r="E12" s="96"/>
      <c r="F12" s="96"/>
      <c r="G12" s="90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7.25" customHeight="1">
      <c r="A13" s="93"/>
      <c r="B13" s="93"/>
      <c r="C13" s="95"/>
      <c r="D13" s="96"/>
      <c r="E13" s="96"/>
      <c r="F13" s="93"/>
      <c r="G13" s="90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7.25" customHeight="1">
      <c r="A14" s="93"/>
      <c r="B14" s="93"/>
      <c r="C14" s="95"/>
      <c r="D14" s="96"/>
      <c r="E14" s="96"/>
      <c r="F14" s="93"/>
      <c r="G14" s="90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7.25" customHeight="1">
      <c r="A15" s="93"/>
      <c r="B15" s="93"/>
      <c r="C15" s="93"/>
      <c r="D15" s="93"/>
      <c r="E15" s="93"/>
      <c r="F15" s="93"/>
      <c r="G15" s="90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4.0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0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4.0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4.0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4.0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4.0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4.0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4.0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4.0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4.2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4.0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0.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2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2.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2.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0.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4.0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4.0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4.0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4.0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4.0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4.0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4.0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4.0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4.0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4.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4.0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4.0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4.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4.0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4.0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4.0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4.0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4.0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4.0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4.0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4.0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4.0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4.0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4.0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4.0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4.0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4.0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4.0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4.0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4.0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4.0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4.0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4.0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4.0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4.0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4.0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4.0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4.0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4.0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4.0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4.0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4.0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4.0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4.0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4.0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4.0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4.0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4.0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4.0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4.0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4.0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4.0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4.0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4.0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4.0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4.0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4.0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4.0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4.0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4.0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4.0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4.0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4.0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4.0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4.0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4.0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4.0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4.0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4.0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4.0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4.0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4.0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4.0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4.0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4.0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4.0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4.0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4.0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4.0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4.0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4.0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4.0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4.0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4.0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4.0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4.0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4.0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4.0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4.0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4.0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4.0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4.0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24.0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24.0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24.0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24.0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4.0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4.0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24.0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24.0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24.0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24.0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24.0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24.0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24.0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4.0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24.0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4.0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4.0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4.0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4.0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4.0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4.0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4.0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4.0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4.0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4.0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4.0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4.0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4.0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4.0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4.0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4.0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4.0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4.0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4.0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4.0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4.0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4.0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4.0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4.0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4.0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4.0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4.0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4.0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4.0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4.0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4.0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4.0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4.0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4.0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4.0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4.0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4.0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4.0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4.0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4.0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4.0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4.0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4.0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4.0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4.0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4.0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4.0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24.0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24.0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24.0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24.0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24.0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24.0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24.0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4.0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24.0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24.0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24.0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24.0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24.0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4.0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24.0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24.0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24.0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24.0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24.0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24.0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24.0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24.0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24.0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24.0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24.0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24.0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24.0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4.0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24.0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24.0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24.0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24.0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24.0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24.0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24.0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24.0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24.0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24.0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24.0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24.0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24.0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24.0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24.0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24.0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24.0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24.0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24.0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24.0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24.0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24.0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24.0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24.0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24.0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24.0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24.0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24.0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24.0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24.0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24.0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24.0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24.0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24.0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24.0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24.0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24.0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24.0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24.0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24.0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24.0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24.0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24.0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24.0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24.0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24.0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24.0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24.0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24.0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24.0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24.0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24.0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24.0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24.0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24.0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24.0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24.0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24.0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24.0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24.0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24.0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24.0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24.0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24.0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24.0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24.0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24.0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24.0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24.0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24.0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24.0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24.0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24.0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24.0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24.0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24.0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24.0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24.0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24.0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24.0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24.0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24.0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24.0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24.0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24.0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24.0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24.0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24.0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24.0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24.0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24.0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24.0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24.0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24.0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24.0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24.0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24.0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24.0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24.0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24.0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24.0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24.0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24.0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24.0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24.0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24.0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24.0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24.0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24.0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24.0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24.0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24.0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24.0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24.0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24.0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24.0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24.0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24.0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24.0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24.0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24.0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24.0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24.0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24.0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24.0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24.0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24.0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24.0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24.0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24.0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24.0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24.0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24.0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24.0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24.0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24.0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24.0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24.0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24.0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24.0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24.0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24.0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24.0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24.0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24.0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24.0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24.0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24.0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24.0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24.0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24.0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24.0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24.0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24.0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24.0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24.0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24.0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24.0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24.0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24.0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24.0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24.0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24.0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24.0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24.0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24.0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24.0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24.0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24.0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24.0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24.0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24.0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24.0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24.0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24.0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24.0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24.0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24.0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24.0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24.0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24.0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24.0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24.0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24.0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24.0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24.0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24.0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24.0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24.0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24.0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24.0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24.0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24.0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24.0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24.0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24.0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24.0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24.0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24.0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24.0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24.0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24.0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24.0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24.0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24.0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24.0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24.0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24.0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24.0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24.0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24.0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24.0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24.0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24.0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24.0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24.0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24.0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24.0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24.0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24.0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24.0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24.0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24.0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24.0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24.0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24.0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24.0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24.0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24.0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24.0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24.0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24.0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24.0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24.0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24.0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24.0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24.0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24.0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24.0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24.0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24.0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24.0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24.0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24.0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24.0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24.0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24.0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24.0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24.0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24.0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24.0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24.0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24.0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24.0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24.0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24.0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24.0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24.0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24.0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24.0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24.0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24.0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24.0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24.0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24.0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24.0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24.0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24.0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24.0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24.0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24.0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24.0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24.0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24.0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24.0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24.0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24.0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24.0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24.0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24.0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24.0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24.0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24.0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24.0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24.0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24.0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24.0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24.0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24.0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24.0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24.0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24.0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24.0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24.0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24.0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24.0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24.0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24.0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24.0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24.0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24.0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24.0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24.0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24.0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24.0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24.0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24.0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24.0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24.0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24.0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24.0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24.0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24.0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24.0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24.0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24.0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24.0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24.0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24.0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24.0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24.0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24.0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24.0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24.0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24.0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24.0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24.0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24.0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24.0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24.0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24.0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24.0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24.0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24.0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24.0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24.0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24.0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24.0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24.0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24.0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24.0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24.0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24.0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24.0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24.0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24.0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24.0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24.0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24.0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24.0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24.0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24.0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24.0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24.0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24.0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24.0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24.0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24.0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24.0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24.0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24.0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24.0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24.0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24.0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24.0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24.0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24.0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24.0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24.0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24.0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24.0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24.0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24.0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24.0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24.0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24.0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24.0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24.0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24.0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24.0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24.0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24.0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24.0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24.0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24.0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24.0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24.0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24.0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24.0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24.0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24.0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24.0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24.0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24.0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24.0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24.0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24.0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24.0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24.0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24.0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24.0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24.0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24.0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24.0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24.0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24.0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24.0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24.0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24.0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24.0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24.0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24.0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24.0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24.0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24.0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24.0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24.0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24.0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24.0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24.0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24.0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24.0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24.0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24.0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24.0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24.0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24.0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24.0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24.0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24.0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24.0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24.0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24.0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24.0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24.0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24.0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24.0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24.0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24.0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24.0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24.0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24.0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24.0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24.0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24.0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24.0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24.0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24.0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24.0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24.0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24.0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24.0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24.0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24.0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24.0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24.0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24.0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24.0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24.0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24.0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24.0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24.0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24.0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24.0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24.0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24.0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24.0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24.0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24.0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24.0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24.0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24.0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24.0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24.0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24.0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24.0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24.0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24.0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24.0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24.0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24.0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24.0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24.0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24.0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24.0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24.0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24.0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24.0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24.0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24.0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24.0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24.0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24.0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24.0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24.0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24.0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24.0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24.0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24.0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24.0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24.0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24.0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24.0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24.0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24.0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24.0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24.0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24.0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24.0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24.0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24.0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24.0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24.0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24.0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24.0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24.0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24.0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24.0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24.0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24.0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24.0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24.0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24.0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24.0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24.0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24.0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24.0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24.0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24.0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24.0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24.0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24.0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24.0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24.0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24.0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24.0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24.0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24.0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24.0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24.0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24.0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24.0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24.0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24.0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24.0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24.0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24.0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24.0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24.0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24.0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24.0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24.0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24.0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24.0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24.0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24.0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24.0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24.0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24.0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24.0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24.0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24.0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24.0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24.0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24.0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24.0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24.0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24.0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24.0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24.0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24.0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24.0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24.0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24.0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24.0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24.0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24.0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24.0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24.0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24.0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24.0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24.0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24.0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24.0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24.0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24.0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24.0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24.0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24.0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24.0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24.0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24.0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24.0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24.0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24.0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24.0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24.0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24.0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24.0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24.0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24.0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24.0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24.0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24.0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24.0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24.0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24.0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24.0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24.0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24.0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24.0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24.0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24.0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24.0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24.0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24.0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24.0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24.0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24.0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24.0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24.0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24.0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24.0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24.0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24.0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24.0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24.0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24.0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24.0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24.0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24.0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24.0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24.0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24.0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24.0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24.0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24.0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24.0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24.0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24.0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24.0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24.0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24.0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24.0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24.0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24.0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24.0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24.0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24.0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24.0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24.0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24.0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24.0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24.0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24.0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24.0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24.0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24.0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24.0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24.0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24.0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24.0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24.0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24.0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24.0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24.0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24.0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24.0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24.0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24.0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24.0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24.0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24.0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24.0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24.0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24.0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24.0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24.0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24.0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24.0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24.0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24.0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24.0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24.0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24.0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24.0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24.0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24.0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24.0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24.0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24.0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24.0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24.0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24.0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24.0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24.0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24.0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24.0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24.0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24.0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24.0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24.0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24.0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24.0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24.0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24.0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24.0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24.0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24.0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24.0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24.0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24.0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24.0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24.0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24.0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24.0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24.0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24.0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24.0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24.0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24.0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24.0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24.0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24.0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24.0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24.0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24.0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24.0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24.0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24.0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24.0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24.0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24.0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24.0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24.0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24.0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24.0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24.0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24.0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24.0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24.0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24.0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24.0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24.0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24.0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24.0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24.0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24.0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24.0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24.0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24.0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24.0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24.0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24.0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24.0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24.0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24.0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24.0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24.0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24.0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24.0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24.0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24.0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24.0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24.0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24.0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24.0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24.0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24.0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24.0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24.0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24.0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24.0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24.0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24.0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24.0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24.0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24.0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24.0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24.0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24.0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24.0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24.0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24.0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24.0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24.0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24.0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75"/>
  <cols>
    <col customWidth="1" min="1" max="9" width="8.25"/>
    <col customWidth="1" min="10" max="26" width="7.13"/>
  </cols>
  <sheetData>
    <row r="1" ht="33.0" customHeight="1">
      <c r="A1" s="101" t="s">
        <v>52</v>
      </c>
      <c r="J1" s="101"/>
      <c r="K1" s="101"/>
      <c r="L1" s="7"/>
      <c r="O1" s="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9" t="str">
        <f t="array" ref="A2">VLOOKUP(F$4,INDIRECT(M$2&amp;"!A3:U109"),2,FALSE)</f>
        <v>中込和人</v>
      </c>
      <c r="E2" s="10" t="s">
        <v>21</v>
      </c>
      <c r="F2" s="11" t="s">
        <v>22</v>
      </c>
      <c r="H2" s="12">
        <v>46055.0</v>
      </c>
      <c r="L2" s="77"/>
      <c r="M2" s="102">
        <v>202601.0</v>
      </c>
      <c r="N2" s="1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F3" s="7"/>
      <c r="G3" s="7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22" t="s">
        <v>25</v>
      </c>
      <c r="F4" s="23" t="s">
        <v>7</v>
      </c>
      <c r="G4" s="20" t="s">
        <v>26</v>
      </c>
      <c r="H4" s="24"/>
      <c r="I4" s="24"/>
      <c r="J4" s="24"/>
      <c r="K4" s="2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5"/>
      <c r="B5" s="25"/>
      <c r="C5" s="25"/>
      <c r="D5" s="7"/>
      <c r="E5" s="7"/>
      <c r="F5" s="7"/>
      <c r="G5" s="7"/>
      <c r="H5" s="24"/>
      <c r="I5" s="24"/>
      <c r="J5" s="24"/>
      <c r="K5" s="24"/>
      <c r="L5" s="26"/>
      <c r="M5" s="27"/>
      <c r="N5" s="26"/>
      <c r="O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32"/>
      <c r="M6" s="32"/>
      <c r="N6" s="32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103" t="s">
        <v>53</v>
      </c>
      <c r="C7" s="18"/>
      <c r="D7" s="29">
        <f>SUM(C10:C12)</f>
        <v>64363</v>
      </c>
      <c r="E7" s="30"/>
      <c r="F7" s="30"/>
      <c r="G7" s="30"/>
      <c r="H7" s="18"/>
      <c r="I7" s="10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105" t="s">
        <v>31</v>
      </c>
      <c r="B9" s="106"/>
      <c r="C9" s="107" t="s">
        <v>54</v>
      </c>
      <c r="D9" s="106"/>
      <c r="E9" s="108" t="s">
        <v>55</v>
      </c>
      <c r="F9" s="37"/>
      <c r="G9" s="109" t="s">
        <v>35</v>
      </c>
      <c r="H9" s="110"/>
      <c r="I9" s="10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111" t="s">
        <v>56</v>
      </c>
      <c r="B10" s="66"/>
      <c r="C10" s="112">
        <f t="array" ref="C10">VLOOKUP(F$4,INDIRECT(M$2&amp;"!A3:Y109"),23,FALSE)</f>
        <v>64363</v>
      </c>
      <c r="D10" s="66"/>
      <c r="E10" s="113">
        <f>H2+20</f>
        <v>46075</v>
      </c>
      <c r="F10" s="18"/>
      <c r="G10" s="114" t="s">
        <v>57</v>
      </c>
      <c r="H10" s="63"/>
      <c r="I10" s="6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111" t="s">
        <v>58</v>
      </c>
      <c r="B11" s="66"/>
      <c r="C11" s="112" t="str">
        <f t="array" ref="C11">VLOOKUP(F$4,INDIRECT(M$2&amp;"!A3:Y109"),24,FALSE)</f>
        <v/>
      </c>
      <c r="D11" s="66"/>
      <c r="E11" s="113">
        <f>H2+20</f>
        <v>46075</v>
      </c>
      <c r="F11" s="18"/>
      <c r="G11" s="114" t="s">
        <v>57</v>
      </c>
      <c r="H11" s="63"/>
      <c r="I11" s="66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111" t="s">
        <v>59</v>
      </c>
      <c r="B12" s="66"/>
      <c r="C12" s="112" t="str">
        <f t="array" ref="C12">VLOOKUP(F$4,INDIRECT(M$2&amp;"!A3:Y109"),25,FALSE)</f>
        <v/>
      </c>
      <c r="D12" s="66"/>
      <c r="E12" s="113">
        <f>H2+20</f>
        <v>46075</v>
      </c>
      <c r="F12" s="18"/>
      <c r="G12" s="114" t="s">
        <v>57</v>
      </c>
      <c r="H12" s="63"/>
      <c r="I12" s="66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6.5" customHeight="1">
      <c r="A13" s="115"/>
      <c r="B13" s="34"/>
      <c r="C13" s="34"/>
      <c r="D13" s="34"/>
      <c r="E13" s="34"/>
      <c r="F13" s="34"/>
      <c r="G13" s="34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7" t="s">
        <v>60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116" t="s">
        <v>61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7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8.0" customHeight="1">
      <c r="A17" s="75" t="s">
        <v>62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8.0" customHeight="1">
      <c r="A18" s="75" t="s">
        <v>63</v>
      </c>
      <c r="C18" s="76" t="s">
        <v>64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8.0" customHeight="1">
      <c r="A19" s="75" t="s">
        <v>65</v>
      </c>
      <c r="C19" s="76" t="s">
        <v>66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9.5" customHeight="1">
      <c r="A20" s="75" t="s">
        <v>67</v>
      </c>
      <c r="C20" s="76" t="s">
        <v>68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24.0" customHeight="1">
      <c r="A21" s="75" t="s">
        <v>69</v>
      </c>
      <c r="C21" s="76" t="s">
        <v>70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24.0" customHeight="1">
      <c r="C22" s="76" t="s">
        <v>71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24.0" customHeight="1">
      <c r="A23" s="70"/>
      <c r="B23" s="70"/>
      <c r="C23" s="70"/>
      <c r="D23" s="70"/>
      <c r="E23" s="70"/>
      <c r="F23" s="70"/>
      <c r="G23" s="7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.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24.0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8.0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</sheetData>
  <mergeCells count="31">
    <mergeCell ref="A1:I1"/>
    <mergeCell ref="A2:D3"/>
    <mergeCell ref="E2:E3"/>
    <mergeCell ref="F2:G2"/>
    <mergeCell ref="H2:I2"/>
    <mergeCell ref="M2:N2"/>
    <mergeCell ref="A4:E4"/>
    <mergeCell ref="B7:C7"/>
    <mergeCell ref="D7:H7"/>
    <mergeCell ref="A9:B9"/>
    <mergeCell ref="C9:D9"/>
    <mergeCell ref="E9:F9"/>
    <mergeCell ref="G9:I9"/>
    <mergeCell ref="A10:B10"/>
    <mergeCell ref="G10:I10"/>
    <mergeCell ref="C12:D12"/>
    <mergeCell ref="E12:F12"/>
    <mergeCell ref="A12:B12"/>
    <mergeCell ref="A13:G13"/>
    <mergeCell ref="A17:B17"/>
    <mergeCell ref="A18:B18"/>
    <mergeCell ref="A19:B19"/>
    <mergeCell ref="A20:B20"/>
    <mergeCell ref="A21:B22"/>
    <mergeCell ref="C10:D10"/>
    <mergeCell ref="E10:F10"/>
    <mergeCell ref="A11:B11"/>
    <mergeCell ref="C11:D11"/>
    <mergeCell ref="E11:F11"/>
    <mergeCell ref="G11:I11"/>
    <mergeCell ref="G12:I12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46081.0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120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0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28">
        <f>'202511'!AC3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35640.0</v>
      </c>
      <c r="J3" s="132">
        <v>-24225.0</v>
      </c>
      <c r="K3" s="130"/>
      <c r="L3" s="130">
        <v>2044.0</v>
      </c>
      <c r="M3" s="133"/>
      <c r="N3" s="130"/>
      <c r="O3" s="131">
        <v>5850.0</v>
      </c>
      <c r="P3" s="130"/>
      <c r="Q3" s="130"/>
      <c r="R3" s="132"/>
      <c r="S3" s="132"/>
      <c r="T3" s="132"/>
      <c r="U3" s="132"/>
      <c r="V3" s="134"/>
      <c r="W3" s="135">
        <f t="shared" ref="W3:W6" si="1">SUM(D3:V3)</f>
        <v>81309</v>
      </c>
      <c r="X3" s="136">
        <v>24225.0</v>
      </c>
      <c r="Y3" s="136"/>
      <c r="Z3" s="137">
        <f t="shared" ref="Z3:Z110" si="2">SUM(W3:Y3)</f>
        <v>105534</v>
      </c>
      <c r="AA3" s="138" t="s">
        <v>124</v>
      </c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28">
        <f>'202511'!AC4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/>
      <c r="J4" s="132"/>
      <c r="K4" s="130"/>
      <c r="L4" s="130"/>
      <c r="M4" s="130"/>
      <c r="N4" s="130"/>
      <c r="O4" s="130">
        <v>600.0</v>
      </c>
      <c r="P4" s="130"/>
      <c r="Q4" s="130"/>
      <c r="R4" s="130"/>
      <c r="S4" s="130"/>
      <c r="T4" s="130"/>
      <c r="U4" s="130"/>
      <c r="V4" s="141"/>
      <c r="W4" s="135">
        <f t="shared" si="1"/>
        <v>62600</v>
      </c>
      <c r="X4" s="136">
        <v>17141.0</v>
      </c>
      <c r="Y4" s="136"/>
      <c r="Z4" s="137">
        <f t="shared" si="2"/>
        <v>79741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/>
      <c r="C5" s="128">
        <f>'202511'!AC5</f>
        <v>72000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41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72000</v>
      </c>
    </row>
    <row r="6" ht="22.5" customHeight="1">
      <c r="A6" s="1" t="s">
        <v>7</v>
      </c>
      <c r="B6" s="1" t="s">
        <v>8</v>
      </c>
      <c r="C6" s="128">
        <f>'202511'!AC6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/>
      <c r="J6" s="132"/>
      <c r="K6" s="130"/>
      <c r="L6" s="130">
        <v>2044.0</v>
      </c>
      <c r="M6" s="130"/>
      <c r="N6" s="130"/>
      <c r="O6" s="130"/>
      <c r="P6" s="130"/>
      <c r="Q6" s="130"/>
      <c r="R6" s="130"/>
      <c r="S6" s="130"/>
      <c r="T6" s="130"/>
      <c r="U6" s="130"/>
      <c r="V6" s="141"/>
      <c r="W6" s="135">
        <f t="shared" si="1"/>
        <v>64044</v>
      </c>
      <c r="X6" s="136"/>
      <c r="Y6" s="136"/>
      <c r="Z6" s="137">
        <f t="shared" si="2"/>
        <v>64044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28">
        <f>'202511'!AC7</f>
        <v>20000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1">
        <v>37840.0</v>
      </c>
      <c r="J7" s="142">
        <v>-31477.0</v>
      </c>
      <c r="K7" s="130"/>
      <c r="L7" s="130">
        <v>2044.0</v>
      </c>
      <c r="M7" s="130"/>
      <c r="N7" s="130"/>
      <c r="O7" s="131">
        <v>6899.0</v>
      </c>
      <c r="P7" s="130"/>
      <c r="Q7" s="130">
        <v>2626.0</v>
      </c>
      <c r="R7" s="143"/>
      <c r="S7" s="143"/>
      <c r="T7" s="143"/>
      <c r="U7" s="143"/>
      <c r="V7" s="134">
        <f>'202601'!AE7</f>
        <v>-650000</v>
      </c>
      <c r="W7" s="135">
        <f>SUM(D7:U7)-V7</f>
        <v>729932</v>
      </c>
      <c r="X7" s="129">
        <v>27568.0</v>
      </c>
      <c r="Y7" s="144">
        <v>2500.0</v>
      </c>
      <c r="Z7" s="137">
        <f t="shared" si="2"/>
        <v>760000</v>
      </c>
      <c r="AA7" s="138">
        <v>110000.0</v>
      </c>
      <c r="AB7" s="139" t="s">
        <v>125</v>
      </c>
      <c r="AC7" s="140">
        <f t="shared" si="3"/>
        <v>20000</v>
      </c>
      <c r="AE7" s="145">
        <f>AD7-Z7</f>
        <v>-760000</v>
      </c>
    </row>
    <row r="8" ht="22.5" customHeight="1">
      <c r="A8" s="1" t="s">
        <v>11</v>
      </c>
      <c r="B8" s="2"/>
      <c r="C8" s="128">
        <f>'202511'!AC8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6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28">
        <f>'202511'!AC9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41"/>
      <c r="W9" s="135">
        <f t="shared" si="4"/>
        <v>62000</v>
      </c>
      <c r="X9" s="136"/>
      <c r="Y9" s="136"/>
      <c r="Z9" s="137">
        <f t="shared" si="2"/>
        <v>62000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28">
        <f>'202511'!AC10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1">
        <v>39490.0</v>
      </c>
      <c r="J10" s="132"/>
      <c r="K10" s="130"/>
      <c r="L10" s="130">
        <v>2044.0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41"/>
      <c r="W10" s="135">
        <f t="shared" si="4"/>
        <v>103534</v>
      </c>
      <c r="X10" s="148"/>
      <c r="Y10" s="148"/>
      <c r="Z10" s="137">
        <f t="shared" si="2"/>
        <v>103534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28">
        <f>'202511'!AC11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/>
      <c r="J11" s="132"/>
      <c r="K11" s="130"/>
      <c r="L11" s="130">
        <v>2044.0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41"/>
      <c r="W11" s="135">
        <f t="shared" si="4"/>
        <v>64044</v>
      </c>
      <c r="X11" s="136"/>
      <c r="Y11" s="136"/>
      <c r="Z11" s="137">
        <f t="shared" si="2"/>
        <v>64044</v>
      </c>
      <c r="AA11" s="150"/>
      <c r="AB11" s="139" t="s">
        <v>125</v>
      </c>
      <c r="AC11" s="140">
        <f t="shared" si="3"/>
        <v>0</v>
      </c>
    </row>
    <row r="12" ht="22.5" customHeight="1">
      <c r="A12" s="1"/>
      <c r="B12" s="1"/>
      <c r="C12" s="128">
        <f>'202511'!AC12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41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28">
        <f>'202511'!AC13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41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28">
        <f>'202511'!AC14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41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28">
        <f>'202511'!AC15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41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28">
        <f>'202509'!AC16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41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28">
        <f>'202509'!AC17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41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28">
        <f>'202509'!AC18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41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28">
        <f>'202509'!AC19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41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28">
        <f>'202509'!AC20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41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28">
        <f>'202509'!AC21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41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28">
        <f>'202509'!AC22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41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28">
        <f>'202509'!AC23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41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28">
        <f>'202509'!AC24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41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28">
        <f>'202509'!AC25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41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28">
        <f>'202509'!AC26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41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28">
        <f>'202509'!AC27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41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28">
        <f>'202509'!AC28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41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28">
        <f>'202509'!AC29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41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28">
        <f>'202509'!AC30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41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28">
        <f>'202509'!AC31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41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28">
        <f>'202509'!AC32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41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28">
        <f>'202509'!AC33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41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28">
        <f>'202509'!AC34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41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28">
        <f>'202509'!AC35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41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28">
        <f>'202509'!AC36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41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28">
        <f>'202509'!AC37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41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28">
        <f>'202509'!AC38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41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28">
        <f>'202509'!AC39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41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28">
        <f>'202509'!AC40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41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28">
        <f>'202509'!AC41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41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28">
        <f>'202509'!AC42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41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28">
        <f>'202509'!AC43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41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28">
        <f>'202509'!AC44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41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28">
        <f>'202509'!AC45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41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28">
        <f>'202509'!AC46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41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28">
        <f>'202509'!AC47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41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28">
        <f>'202509'!AC48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41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28">
        <f>'202509'!AC49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41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28">
        <f>'202509'!AC50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41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28">
        <f>'202509'!AC51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41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28">
        <f>'202509'!AC52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41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28">
        <f>'202509'!AC53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41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28">
        <f>'202509'!AC54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41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28">
        <f>'202509'!AC55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41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28">
        <f>'202509'!AC56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41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28">
        <f>'202509'!AC57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41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28">
        <f>'202509'!AC58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41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28">
        <f>'202509'!AC59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41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28">
        <f>'202509'!AC60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41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28">
        <f>'202509'!AC61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41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28">
        <f>'202509'!AC62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41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28">
        <f>'202509'!AC63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41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28">
        <f>'202509'!AC64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41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28">
        <f>'202509'!AC65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41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28">
        <f>'202509'!AC66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41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28">
        <f>'202509'!AC67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41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28">
        <f>'202509'!AC68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41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28">
        <f>'202509'!AC69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41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28">
        <f>'202509'!AC70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41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28">
        <f>'202509'!AC71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41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28">
        <f>'202509'!AC72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41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28">
        <f>'202509'!AC73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41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28">
        <f>'202509'!AC74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41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28">
        <f>'202509'!AC75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41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28">
        <f>'202509'!AC76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41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28">
        <f>'202509'!AC77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41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28">
        <f>'202509'!AC78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41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28">
        <f>'202509'!AC79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41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28">
        <f>'202509'!AC80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41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28">
        <f>'202509'!AC81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41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28">
        <f>'202509'!AC82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41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28">
        <f>'202509'!AC83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41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28">
        <f>'202509'!AC84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41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28">
        <f>'202509'!AC85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41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28">
        <f>'202509'!AC86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41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28">
        <f>'202509'!AC87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41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28">
        <f>'202509'!AC88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41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28">
        <f>'202509'!AC89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41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28">
        <f>'202509'!AC90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41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28">
        <f>'202509'!AC91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41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28">
        <f>'202509'!AC92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41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28">
        <f>'202509'!AC93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41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28">
        <f>'202509'!AC94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41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28">
        <f>'202509'!AC95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41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28">
        <f>'202509'!AC96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41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28">
        <f>'202509'!AC97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41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28">
        <f>'202509'!AC98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41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28">
        <f>'202509'!AC99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41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28">
        <f>'202509'!AC100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41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28">
        <f>'202509'!AC101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41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28">
        <f>'202509'!AC102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41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28">
        <f>'202509'!AC103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41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28">
        <f>'202509'!AC104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41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28">
        <f>'202509'!AC105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41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28">
        <f>'202509'!AC106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41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28">
        <f>'202509'!AC107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41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28">
        <f>'202509'!AC108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41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28">
        <f>'202509'!AC109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41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54" t="str">
        <f>'202509'!AC110</f>
        <v/>
      </c>
      <c r="D110" s="133">
        <f t="shared" ref="D110:V110" si="5">SUM(D3:D109)</f>
        <v>280000</v>
      </c>
      <c r="E110" s="133">
        <f t="shared" si="5"/>
        <v>35000</v>
      </c>
      <c r="F110" s="133">
        <f t="shared" si="5"/>
        <v>35000</v>
      </c>
      <c r="G110" s="133">
        <f t="shared" si="5"/>
        <v>14000</v>
      </c>
      <c r="H110" s="133">
        <f t="shared" si="5"/>
        <v>70000</v>
      </c>
      <c r="I110" s="133">
        <f t="shared" si="5"/>
        <v>112970</v>
      </c>
      <c r="J110" s="155">
        <f t="shared" si="5"/>
        <v>-55702</v>
      </c>
      <c r="K110" s="133">
        <f t="shared" si="5"/>
        <v>0</v>
      </c>
      <c r="L110" s="133">
        <f t="shared" si="5"/>
        <v>10220</v>
      </c>
      <c r="M110" s="133">
        <f t="shared" si="5"/>
        <v>0</v>
      </c>
      <c r="N110" s="133">
        <f t="shared" si="5"/>
        <v>0</v>
      </c>
      <c r="O110" s="133">
        <f t="shared" si="5"/>
        <v>13349</v>
      </c>
      <c r="P110" s="133">
        <f t="shared" si="5"/>
        <v>0</v>
      </c>
      <c r="Q110" s="133">
        <f t="shared" si="5"/>
        <v>2626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-650000</v>
      </c>
      <c r="W110" s="135">
        <f t="shared" si="4"/>
        <v>-132537</v>
      </c>
      <c r="X110" s="133">
        <f t="shared" ref="X110:Y110" si="6">SUM(X3:X109)</f>
        <v>68934</v>
      </c>
      <c r="Y110" s="133">
        <f t="shared" si="6"/>
        <v>2500</v>
      </c>
      <c r="Z110" s="137">
        <f t="shared" si="2"/>
        <v>-61103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59" t="s">
        <v>128</v>
      </c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59" t="s">
        <v>128</v>
      </c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59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59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59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59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59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59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59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59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46053.0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120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0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28">
        <f>'202511'!AC3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39380.0</v>
      </c>
      <c r="J3" s="132"/>
      <c r="K3" s="130"/>
      <c r="L3" s="130">
        <v>2263.0</v>
      </c>
      <c r="M3" s="133"/>
      <c r="N3" s="130"/>
      <c r="O3" s="131">
        <v>7350.0</v>
      </c>
      <c r="P3" s="130"/>
      <c r="Q3" s="130"/>
      <c r="R3" s="132"/>
      <c r="S3" s="132"/>
      <c r="T3" s="132"/>
      <c r="U3" s="132"/>
      <c r="V3" s="134"/>
      <c r="W3" s="135">
        <f t="shared" ref="W3:W6" si="1">SUM(D3:V3)</f>
        <v>110993</v>
      </c>
      <c r="X3" s="136"/>
      <c r="Y3" s="136"/>
      <c r="Z3" s="137">
        <f t="shared" ref="Z3:Z110" si="2">SUM(W3:Y3)</f>
        <v>110993</v>
      </c>
      <c r="AA3" s="138" t="s">
        <v>124</v>
      </c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28">
        <f>'202511'!AC4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41"/>
      <c r="W4" s="135">
        <f t="shared" si="1"/>
        <v>62000</v>
      </c>
      <c r="X4" s="136"/>
      <c r="Y4" s="136"/>
      <c r="Z4" s="137">
        <f t="shared" si="2"/>
        <v>62000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/>
      <c r="C5" s="128">
        <f>'202511'!AC5</f>
        <v>72000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41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72000</v>
      </c>
    </row>
    <row r="6" ht="22.5" customHeight="1">
      <c r="A6" s="1" t="s">
        <v>7</v>
      </c>
      <c r="B6" s="1" t="s">
        <v>8</v>
      </c>
      <c r="C6" s="128">
        <f>'202511'!AC6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/>
      <c r="J6" s="132"/>
      <c r="K6" s="130"/>
      <c r="L6" s="130">
        <v>2263.0</v>
      </c>
      <c r="M6" s="130"/>
      <c r="N6" s="130"/>
      <c r="O6" s="130"/>
      <c r="P6" s="130"/>
      <c r="Q6" s="130">
        <v>100.0</v>
      </c>
      <c r="R6" s="130"/>
      <c r="S6" s="130"/>
      <c r="T6" s="130"/>
      <c r="U6" s="130"/>
      <c r="V6" s="141"/>
      <c r="W6" s="135">
        <f t="shared" si="1"/>
        <v>64363</v>
      </c>
      <c r="X6" s="136"/>
      <c r="Y6" s="136"/>
      <c r="Z6" s="137">
        <f t="shared" si="2"/>
        <v>64363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28">
        <f>'202511'!AC7</f>
        <v>20000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1">
        <v>41580.0</v>
      </c>
      <c r="J7" s="142">
        <v>-46485.0</v>
      </c>
      <c r="K7" s="130"/>
      <c r="L7" s="130">
        <v>2263.0</v>
      </c>
      <c r="M7" s="130">
        <v>10000.0</v>
      </c>
      <c r="N7" s="130"/>
      <c r="O7" s="131">
        <v>8623.0</v>
      </c>
      <c r="P7" s="130"/>
      <c r="Q7" s="130">
        <v>3336.0</v>
      </c>
      <c r="R7" s="143"/>
      <c r="S7" s="143"/>
      <c r="T7" s="143"/>
      <c r="U7" s="143"/>
      <c r="V7" s="134">
        <f>'202512'!AE7</f>
        <v>-540000</v>
      </c>
      <c r="W7" s="135">
        <f>SUM(D7:U7)-V7</f>
        <v>621317</v>
      </c>
      <c r="X7" s="129">
        <v>26183.0</v>
      </c>
      <c r="Y7" s="144">
        <v>2500.0</v>
      </c>
      <c r="Z7" s="137">
        <f t="shared" si="2"/>
        <v>650000</v>
      </c>
      <c r="AA7" s="138">
        <v>110000.0</v>
      </c>
      <c r="AB7" s="139" t="s">
        <v>125</v>
      </c>
      <c r="AC7" s="140">
        <f t="shared" si="3"/>
        <v>10000</v>
      </c>
      <c r="AE7" s="145">
        <f>AD7-Z7</f>
        <v>-650000</v>
      </c>
    </row>
    <row r="8" ht="22.5" customHeight="1">
      <c r="A8" s="1" t="s">
        <v>11</v>
      </c>
      <c r="B8" s="2"/>
      <c r="C8" s="128">
        <f>'202511'!AC8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6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28">
        <f>'202511'!AC9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41"/>
      <c r="W9" s="135">
        <f t="shared" si="4"/>
        <v>62000</v>
      </c>
      <c r="X9" s="136"/>
      <c r="Y9" s="136"/>
      <c r="Z9" s="137">
        <f t="shared" si="2"/>
        <v>62000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28">
        <f>'202511'!AC10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1">
        <v>44330.0</v>
      </c>
      <c r="J10" s="132"/>
      <c r="K10" s="130"/>
      <c r="L10" s="130">
        <v>2263.0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41"/>
      <c r="W10" s="135">
        <f t="shared" si="4"/>
        <v>108593</v>
      </c>
      <c r="X10" s="148"/>
      <c r="Y10" s="148"/>
      <c r="Z10" s="137">
        <f t="shared" si="2"/>
        <v>108593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28">
        <f>'202511'!AC11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/>
      <c r="J11" s="132"/>
      <c r="K11" s="130"/>
      <c r="L11" s="130">
        <v>2263.0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41"/>
      <c r="W11" s="135">
        <f t="shared" si="4"/>
        <v>64263</v>
      </c>
      <c r="X11" s="136"/>
      <c r="Y11" s="136"/>
      <c r="Z11" s="137">
        <f t="shared" si="2"/>
        <v>64263</v>
      </c>
      <c r="AA11" s="150"/>
      <c r="AB11" s="139" t="s">
        <v>125</v>
      </c>
      <c r="AC11" s="140">
        <f t="shared" si="3"/>
        <v>0</v>
      </c>
    </row>
    <row r="12" ht="22.5" customHeight="1">
      <c r="A12" s="1"/>
      <c r="B12" s="1"/>
      <c r="C12" s="128">
        <f>'202511'!AC12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41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28">
        <f>'202511'!AC13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41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28">
        <f>'202511'!AC14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41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28">
        <f>'202511'!AC15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41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28">
        <f>'202509'!AC16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41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28">
        <f>'202509'!AC17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41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28">
        <f>'202509'!AC18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41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28">
        <f>'202509'!AC19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41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28">
        <f>'202509'!AC20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41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28">
        <f>'202509'!AC21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41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28">
        <f>'202509'!AC22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41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28">
        <f>'202509'!AC23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41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28">
        <f>'202509'!AC24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41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28">
        <f>'202509'!AC25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41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28">
        <f>'202509'!AC26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41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28">
        <f>'202509'!AC27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41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28">
        <f>'202509'!AC28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41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28">
        <f>'202509'!AC29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41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28">
        <f>'202509'!AC30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41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28">
        <f>'202509'!AC31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41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28">
        <f>'202509'!AC32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41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28">
        <f>'202509'!AC33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41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28">
        <f>'202509'!AC34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41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28">
        <f>'202509'!AC35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41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28">
        <f>'202509'!AC36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41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28">
        <f>'202509'!AC37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41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28">
        <f>'202509'!AC38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41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28">
        <f>'202509'!AC39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41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28">
        <f>'202509'!AC40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41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28">
        <f>'202509'!AC41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41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28">
        <f>'202509'!AC42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41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28">
        <f>'202509'!AC43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41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28">
        <f>'202509'!AC44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41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28">
        <f>'202509'!AC45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41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28">
        <f>'202509'!AC46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41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28">
        <f>'202509'!AC47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41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28">
        <f>'202509'!AC48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41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28">
        <f>'202509'!AC49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41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28">
        <f>'202509'!AC50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41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28">
        <f>'202509'!AC51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41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28">
        <f>'202509'!AC52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41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28">
        <f>'202509'!AC53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41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28">
        <f>'202509'!AC54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41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28">
        <f>'202509'!AC55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41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28">
        <f>'202509'!AC56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41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28">
        <f>'202509'!AC57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41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28">
        <f>'202509'!AC58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41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28">
        <f>'202509'!AC59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41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28">
        <f>'202509'!AC60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41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28">
        <f>'202509'!AC61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41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28">
        <f>'202509'!AC62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41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28">
        <f>'202509'!AC63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41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28">
        <f>'202509'!AC64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41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28">
        <f>'202509'!AC65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41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28">
        <f>'202509'!AC66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41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28">
        <f>'202509'!AC67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41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28">
        <f>'202509'!AC68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41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28">
        <f>'202509'!AC69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41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28">
        <f>'202509'!AC70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41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28">
        <f>'202509'!AC71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41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28">
        <f>'202509'!AC72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41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28">
        <f>'202509'!AC73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41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28">
        <f>'202509'!AC74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41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28">
        <f>'202509'!AC75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41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28">
        <f>'202509'!AC76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41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28">
        <f>'202509'!AC77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41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28">
        <f>'202509'!AC78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41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28">
        <f>'202509'!AC79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41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28">
        <f>'202509'!AC80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41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28">
        <f>'202509'!AC81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41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28">
        <f>'202509'!AC82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41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28">
        <f>'202509'!AC83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41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28">
        <f>'202509'!AC84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41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28">
        <f>'202509'!AC85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41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28">
        <f>'202509'!AC86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41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28">
        <f>'202509'!AC87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41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28">
        <f>'202509'!AC88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41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28">
        <f>'202509'!AC89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41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28">
        <f>'202509'!AC90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41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28">
        <f>'202509'!AC91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41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28">
        <f>'202509'!AC92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41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28">
        <f>'202509'!AC93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41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28">
        <f>'202509'!AC94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41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28">
        <f>'202509'!AC95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41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28">
        <f>'202509'!AC96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41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28">
        <f>'202509'!AC97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41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28">
        <f>'202509'!AC98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41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28">
        <f>'202509'!AC99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41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28">
        <f>'202509'!AC100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41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28">
        <f>'202509'!AC101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41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28">
        <f>'202509'!AC102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41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28">
        <f>'202509'!AC103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41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28">
        <f>'202509'!AC104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41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28">
        <f>'202509'!AC105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41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28">
        <f>'202509'!AC106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41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28">
        <f>'202509'!AC107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41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28">
        <f>'202509'!AC108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41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28">
        <f>'202509'!AC109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41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54" t="str">
        <f>'202509'!AC110</f>
        <v/>
      </c>
      <c r="D110" s="133">
        <f t="shared" ref="D110:V110" si="5">SUM(D3:D109)</f>
        <v>280000</v>
      </c>
      <c r="E110" s="133">
        <f t="shared" si="5"/>
        <v>35000</v>
      </c>
      <c r="F110" s="133">
        <f t="shared" si="5"/>
        <v>35000</v>
      </c>
      <c r="G110" s="133">
        <f t="shared" si="5"/>
        <v>14000</v>
      </c>
      <c r="H110" s="133">
        <f t="shared" si="5"/>
        <v>70000</v>
      </c>
      <c r="I110" s="133">
        <f t="shared" si="5"/>
        <v>125290</v>
      </c>
      <c r="J110" s="155">
        <f t="shared" si="5"/>
        <v>-46485</v>
      </c>
      <c r="K110" s="133">
        <f t="shared" si="5"/>
        <v>0</v>
      </c>
      <c r="L110" s="133">
        <f t="shared" si="5"/>
        <v>11315</v>
      </c>
      <c r="M110" s="133">
        <f t="shared" si="5"/>
        <v>10000</v>
      </c>
      <c r="N110" s="133">
        <f t="shared" si="5"/>
        <v>0</v>
      </c>
      <c r="O110" s="133">
        <f t="shared" si="5"/>
        <v>15973</v>
      </c>
      <c r="P110" s="133">
        <f t="shared" si="5"/>
        <v>0</v>
      </c>
      <c r="Q110" s="133">
        <f t="shared" si="5"/>
        <v>3436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-540000</v>
      </c>
      <c r="W110" s="135">
        <f t="shared" si="4"/>
        <v>13529</v>
      </c>
      <c r="X110" s="133">
        <f t="shared" ref="X110:Y110" si="6">SUM(X3:X109)</f>
        <v>26183</v>
      </c>
      <c r="Y110" s="133">
        <f t="shared" si="6"/>
        <v>2500</v>
      </c>
      <c r="Z110" s="137">
        <f t="shared" si="2"/>
        <v>42212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59" t="s">
        <v>128</v>
      </c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59" t="s">
        <v>128</v>
      </c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59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59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59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59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59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59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59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59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46022.0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120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0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28">
        <f>'202511'!AC3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39380.0</v>
      </c>
      <c r="J3" s="132"/>
      <c r="K3" s="130"/>
      <c r="L3" s="130">
        <v>2263.0</v>
      </c>
      <c r="M3" s="133"/>
      <c r="N3" s="130"/>
      <c r="O3" s="130">
        <v>5200.0</v>
      </c>
      <c r="P3" s="130"/>
      <c r="Q3" s="130"/>
      <c r="R3" s="132"/>
      <c r="S3" s="132"/>
      <c r="T3" s="132"/>
      <c r="U3" s="132"/>
      <c r="V3" s="134"/>
      <c r="W3" s="135">
        <f t="shared" ref="W3:W6" si="1">SUM(D3:V3)</f>
        <v>108843</v>
      </c>
      <c r="X3" s="136"/>
      <c r="Y3" s="136"/>
      <c r="Z3" s="137">
        <f t="shared" ref="Z3:Z110" si="2">SUM(W3:Y3)</f>
        <v>108843</v>
      </c>
      <c r="AA3" s="138" t="s">
        <v>124</v>
      </c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28">
        <f>'202511'!AC4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41"/>
      <c r="W4" s="135">
        <f t="shared" si="1"/>
        <v>62000</v>
      </c>
      <c r="X4" s="136"/>
      <c r="Y4" s="136"/>
      <c r="Z4" s="137">
        <f t="shared" si="2"/>
        <v>62000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/>
      <c r="C5" s="128">
        <f>'202511'!AC5</f>
        <v>72000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41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72000</v>
      </c>
    </row>
    <row r="6" ht="22.5" customHeight="1">
      <c r="A6" s="1" t="s">
        <v>7</v>
      </c>
      <c r="B6" s="1" t="s">
        <v>8</v>
      </c>
      <c r="C6" s="128">
        <f>'202511'!AC6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/>
      <c r="J6" s="132"/>
      <c r="K6" s="130"/>
      <c r="L6" s="130">
        <v>2263.0</v>
      </c>
      <c r="M6" s="130"/>
      <c r="N6" s="130"/>
      <c r="O6" s="130"/>
      <c r="P6" s="130"/>
      <c r="Q6" s="130">
        <v>50.0</v>
      </c>
      <c r="R6" s="130"/>
      <c r="S6" s="130"/>
      <c r="T6" s="130"/>
      <c r="U6" s="130"/>
      <c r="V6" s="141"/>
      <c r="W6" s="135">
        <f t="shared" si="1"/>
        <v>64313</v>
      </c>
      <c r="X6" s="136"/>
      <c r="Y6" s="136"/>
      <c r="Z6" s="137">
        <f t="shared" si="2"/>
        <v>64313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28">
        <f>'202511'!AC7</f>
        <v>20000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0">
        <v>41580.0</v>
      </c>
      <c r="J7" s="142">
        <v>-44275.0</v>
      </c>
      <c r="K7" s="130"/>
      <c r="L7" s="130">
        <v>2263.0</v>
      </c>
      <c r="M7" s="130">
        <v>10000.0</v>
      </c>
      <c r="N7" s="130"/>
      <c r="O7" s="130">
        <v>6899.0</v>
      </c>
      <c r="P7" s="130"/>
      <c r="Q7" s="130">
        <v>2826.0</v>
      </c>
      <c r="R7" s="143"/>
      <c r="S7" s="143"/>
      <c r="T7" s="143"/>
      <c r="U7" s="143"/>
      <c r="V7" s="134">
        <f>'202511'!AE7</f>
        <v>-430000</v>
      </c>
      <c r="W7" s="135">
        <f>SUM(D7:U7)-V7</f>
        <v>511293</v>
      </c>
      <c r="X7" s="129">
        <v>26207.0</v>
      </c>
      <c r="Y7" s="144">
        <v>2500.0</v>
      </c>
      <c r="Z7" s="137">
        <f t="shared" si="2"/>
        <v>540000</v>
      </c>
      <c r="AA7" s="138">
        <v>110000.0</v>
      </c>
      <c r="AB7" s="139" t="s">
        <v>125</v>
      </c>
      <c r="AC7" s="140">
        <f t="shared" si="3"/>
        <v>10000</v>
      </c>
      <c r="AE7" s="145">
        <f>AD7-Z7</f>
        <v>-540000</v>
      </c>
    </row>
    <row r="8" ht="22.5" customHeight="1">
      <c r="A8" s="1" t="s">
        <v>11</v>
      </c>
      <c r="B8" s="2"/>
      <c r="C8" s="128">
        <f>'202511'!AC8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6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28">
        <f>'202511'!AC9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41"/>
      <c r="W9" s="135">
        <f t="shared" si="4"/>
        <v>62000</v>
      </c>
      <c r="X9" s="136"/>
      <c r="Y9" s="136"/>
      <c r="Z9" s="137">
        <f t="shared" si="2"/>
        <v>62000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28">
        <f>'202511'!AC10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0">
        <v>44330.0</v>
      </c>
      <c r="J10" s="132"/>
      <c r="K10" s="130"/>
      <c r="L10" s="130">
        <v>2263.0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41"/>
      <c r="W10" s="135">
        <f t="shared" si="4"/>
        <v>108593</v>
      </c>
      <c r="X10" s="148"/>
      <c r="Y10" s="148"/>
      <c r="Z10" s="137">
        <f t="shared" si="2"/>
        <v>108593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28">
        <f>'202511'!AC11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/>
      <c r="J11" s="132"/>
      <c r="K11" s="130"/>
      <c r="L11" s="130">
        <v>2263.0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41"/>
      <c r="W11" s="135">
        <f t="shared" si="4"/>
        <v>64263</v>
      </c>
      <c r="X11" s="136"/>
      <c r="Y11" s="136"/>
      <c r="Z11" s="137">
        <f t="shared" si="2"/>
        <v>64263</v>
      </c>
      <c r="AA11" s="150"/>
      <c r="AB11" s="139" t="s">
        <v>125</v>
      </c>
      <c r="AC11" s="140">
        <f t="shared" si="3"/>
        <v>0</v>
      </c>
    </row>
    <row r="12" ht="22.5" customHeight="1">
      <c r="A12" s="1"/>
      <c r="B12" s="1"/>
      <c r="C12" s="128">
        <f>'202511'!AC12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41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28">
        <f>'202511'!AC13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41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28">
        <f>'202511'!AC14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41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28">
        <f>'202511'!AC15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41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28">
        <f>'202509'!AC16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41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28">
        <f>'202509'!AC17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41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28">
        <f>'202509'!AC18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41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28">
        <f>'202509'!AC19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41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28">
        <f>'202509'!AC20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41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28">
        <f>'202509'!AC21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41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28">
        <f>'202509'!AC22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41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28">
        <f>'202509'!AC23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41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28">
        <f>'202509'!AC24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41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28">
        <f>'202509'!AC25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41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28">
        <f>'202509'!AC26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41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28">
        <f>'202509'!AC27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41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28">
        <f>'202509'!AC28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41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28">
        <f>'202509'!AC29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41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28">
        <f>'202509'!AC30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41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28">
        <f>'202509'!AC31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41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28">
        <f>'202509'!AC32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41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28">
        <f>'202509'!AC33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41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28">
        <f>'202509'!AC34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41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28">
        <f>'202509'!AC35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41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28">
        <f>'202509'!AC36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41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28">
        <f>'202509'!AC37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41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28">
        <f>'202509'!AC38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41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28">
        <f>'202509'!AC39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41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28">
        <f>'202509'!AC40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41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28">
        <f>'202509'!AC41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41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28">
        <f>'202509'!AC42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41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28">
        <f>'202509'!AC43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41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28">
        <f>'202509'!AC44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41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28">
        <f>'202509'!AC45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41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28">
        <f>'202509'!AC46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41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28">
        <f>'202509'!AC47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41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28">
        <f>'202509'!AC48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41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28">
        <f>'202509'!AC49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41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28">
        <f>'202509'!AC50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41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28">
        <f>'202509'!AC51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41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28">
        <f>'202509'!AC52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41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28">
        <f>'202509'!AC53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41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28">
        <f>'202509'!AC54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41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28">
        <f>'202509'!AC55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41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28">
        <f>'202509'!AC56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41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28">
        <f>'202509'!AC57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41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28">
        <f>'202509'!AC58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41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28">
        <f>'202509'!AC59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41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28">
        <f>'202509'!AC60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41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28">
        <f>'202509'!AC61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41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28">
        <f>'202509'!AC62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41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28">
        <f>'202509'!AC63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41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28">
        <f>'202509'!AC64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41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28">
        <f>'202509'!AC65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41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28">
        <f>'202509'!AC66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41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28">
        <f>'202509'!AC67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41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28">
        <f>'202509'!AC68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41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28">
        <f>'202509'!AC69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41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28">
        <f>'202509'!AC70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41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28">
        <f>'202509'!AC71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41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28">
        <f>'202509'!AC72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41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28">
        <f>'202509'!AC73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41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28">
        <f>'202509'!AC74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41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28">
        <f>'202509'!AC75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41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28">
        <f>'202509'!AC76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41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28">
        <f>'202509'!AC77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41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28">
        <f>'202509'!AC78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41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28">
        <f>'202509'!AC79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41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28">
        <f>'202509'!AC80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41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28">
        <f>'202509'!AC81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41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28">
        <f>'202509'!AC82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41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28">
        <f>'202509'!AC83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41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28">
        <f>'202509'!AC84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41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28">
        <f>'202509'!AC85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41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28">
        <f>'202509'!AC86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41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28">
        <f>'202509'!AC87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41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28">
        <f>'202509'!AC88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41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28">
        <f>'202509'!AC89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41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28">
        <f>'202509'!AC90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41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28">
        <f>'202509'!AC91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41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28">
        <f>'202509'!AC92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41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28">
        <f>'202509'!AC93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41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28">
        <f>'202509'!AC94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41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28">
        <f>'202509'!AC95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41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28">
        <f>'202509'!AC96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41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28">
        <f>'202509'!AC97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41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28">
        <f>'202509'!AC98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41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28">
        <f>'202509'!AC99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41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28">
        <f>'202509'!AC100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41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28">
        <f>'202509'!AC101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41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28">
        <f>'202509'!AC102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41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28">
        <f>'202509'!AC103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41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28">
        <f>'202509'!AC104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41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28">
        <f>'202509'!AC105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41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28">
        <f>'202509'!AC106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41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28">
        <f>'202509'!AC107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41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28">
        <f>'202509'!AC108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41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28">
        <f>'202509'!AC109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41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54" t="str">
        <f>'202509'!AC110</f>
        <v/>
      </c>
      <c r="D110" s="133">
        <f t="shared" ref="D110:V110" si="5">SUM(D3:D109)</f>
        <v>280000</v>
      </c>
      <c r="E110" s="133">
        <f t="shared" si="5"/>
        <v>35000</v>
      </c>
      <c r="F110" s="133">
        <f t="shared" si="5"/>
        <v>35000</v>
      </c>
      <c r="G110" s="133">
        <f t="shared" si="5"/>
        <v>14000</v>
      </c>
      <c r="H110" s="133">
        <f t="shared" si="5"/>
        <v>70000</v>
      </c>
      <c r="I110" s="133">
        <f t="shared" si="5"/>
        <v>125290</v>
      </c>
      <c r="J110" s="155">
        <f t="shared" si="5"/>
        <v>-44275</v>
      </c>
      <c r="K110" s="133">
        <f t="shared" si="5"/>
        <v>0</v>
      </c>
      <c r="L110" s="133">
        <f t="shared" si="5"/>
        <v>11315</v>
      </c>
      <c r="M110" s="133">
        <f t="shared" si="5"/>
        <v>10000</v>
      </c>
      <c r="N110" s="133">
        <f t="shared" si="5"/>
        <v>0</v>
      </c>
      <c r="O110" s="133">
        <f t="shared" si="5"/>
        <v>12099</v>
      </c>
      <c r="P110" s="133">
        <f t="shared" si="5"/>
        <v>0</v>
      </c>
      <c r="Q110" s="133">
        <f t="shared" si="5"/>
        <v>2876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-430000</v>
      </c>
      <c r="W110" s="135">
        <f t="shared" si="4"/>
        <v>121305</v>
      </c>
      <c r="X110" s="133">
        <f t="shared" ref="X110:Y110" si="6">SUM(X3:X109)</f>
        <v>26207</v>
      </c>
      <c r="Y110" s="133">
        <f t="shared" si="6"/>
        <v>2500</v>
      </c>
      <c r="Z110" s="137">
        <f t="shared" si="2"/>
        <v>150012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59" t="s">
        <v>128</v>
      </c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59" t="s">
        <v>128</v>
      </c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59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59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59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59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59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59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59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59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45991.0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120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0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28">
        <f>'202509'!AC3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38500.0</v>
      </c>
      <c r="J3" s="132"/>
      <c r="K3" s="130"/>
      <c r="L3" s="130">
        <v>2190.0</v>
      </c>
      <c r="M3" s="133"/>
      <c r="N3" s="130"/>
      <c r="O3" s="130">
        <v>6050.0</v>
      </c>
      <c r="P3" s="130"/>
      <c r="Q3" s="130"/>
      <c r="R3" s="132"/>
      <c r="S3" s="132"/>
      <c r="T3" s="132"/>
      <c r="U3" s="132"/>
      <c r="V3" s="134"/>
      <c r="W3" s="135">
        <f t="shared" ref="W3:W6" si="1">SUM(D3:V3)</f>
        <v>108740</v>
      </c>
      <c r="X3" s="136">
        <v>0.0</v>
      </c>
      <c r="Y3" s="136"/>
      <c r="Z3" s="137">
        <f t="shared" ref="Z3:Z110" si="2">SUM(W3:Y3)</f>
        <v>108740</v>
      </c>
      <c r="AA3" s="138" t="s">
        <v>124</v>
      </c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28">
        <f>'202509'!AC4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41"/>
      <c r="W4" s="135">
        <f t="shared" si="1"/>
        <v>62000</v>
      </c>
      <c r="X4" s="136">
        <v>0.0</v>
      </c>
      <c r="Y4" s="136"/>
      <c r="Z4" s="137">
        <f t="shared" si="2"/>
        <v>62000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 t="s">
        <v>129</v>
      </c>
      <c r="C5" s="128">
        <f>'202510'!AC5</f>
        <v>82000</v>
      </c>
      <c r="D5" s="129">
        <v>40000.0</v>
      </c>
      <c r="E5" s="129">
        <v>5000.0</v>
      </c>
      <c r="F5" s="129">
        <v>5000.0</v>
      </c>
      <c r="G5" s="129">
        <v>2000.0</v>
      </c>
      <c r="H5" s="130">
        <v>10000.0</v>
      </c>
      <c r="I5" s="130">
        <v>38500.0</v>
      </c>
      <c r="J5" s="142">
        <v>-33643.0</v>
      </c>
      <c r="K5" s="130"/>
      <c r="L5" s="130">
        <v>2190.0</v>
      </c>
      <c r="M5" s="130">
        <v>10000.0</v>
      </c>
      <c r="N5" s="130"/>
      <c r="O5" s="130"/>
      <c r="P5" s="130"/>
      <c r="Q5" s="130">
        <v>6477.0</v>
      </c>
      <c r="R5" s="130"/>
      <c r="S5" s="130"/>
      <c r="T5" s="130"/>
      <c r="U5" s="130"/>
      <c r="V5" s="141"/>
      <c r="W5" s="135">
        <f t="shared" si="1"/>
        <v>85524</v>
      </c>
      <c r="X5" s="136">
        <v>19476.0</v>
      </c>
      <c r="Y5" s="136">
        <v>5000.0</v>
      </c>
      <c r="Z5" s="137">
        <f t="shared" si="2"/>
        <v>110000</v>
      </c>
      <c r="AA5" s="138">
        <v>110000.0</v>
      </c>
      <c r="AB5" s="139" t="s">
        <v>125</v>
      </c>
      <c r="AC5" s="140">
        <f t="shared" si="3"/>
        <v>72000</v>
      </c>
    </row>
    <row r="6" ht="22.5" customHeight="1">
      <c r="A6" s="1" t="s">
        <v>7</v>
      </c>
      <c r="B6" s="1" t="s">
        <v>8</v>
      </c>
      <c r="C6" s="128">
        <f>'202510'!AC6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/>
      <c r="J6" s="132"/>
      <c r="K6" s="130"/>
      <c r="L6" s="130">
        <v>2190.0</v>
      </c>
      <c r="M6" s="130"/>
      <c r="N6" s="130"/>
      <c r="O6" s="130"/>
      <c r="P6" s="130"/>
      <c r="Q6" s="130">
        <v>50.0</v>
      </c>
      <c r="R6" s="130"/>
      <c r="S6" s="130"/>
      <c r="T6" s="130"/>
      <c r="U6" s="130"/>
      <c r="V6" s="141"/>
      <c r="W6" s="135">
        <f t="shared" si="1"/>
        <v>64240</v>
      </c>
      <c r="X6" s="136"/>
      <c r="Y6" s="136"/>
      <c r="Z6" s="137">
        <f t="shared" si="2"/>
        <v>64240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28">
        <f>'202510'!AC7</f>
        <v>30000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0">
        <v>40700.0</v>
      </c>
      <c r="J7" s="142">
        <v>-46358.0</v>
      </c>
      <c r="K7" s="130"/>
      <c r="L7" s="130">
        <v>2190.0</v>
      </c>
      <c r="M7" s="130">
        <v>10000.0</v>
      </c>
      <c r="N7" s="130"/>
      <c r="O7" s="130">
        <v>8623.0</v>
      </c>
      <c r="P7" s="130"/>
      <c r="Q7" s="130">
        <v>2996.0</v>
      </c>
      <c r="R7" s="143"/>
      <c r="S7" s="143"/>
      <c r="T7" s="143"/>
      <c r="U7" s="143"/>
      <c r="V7" s="134">
        <f>'202510'!AE7</f>
        <v>-320000</v>
      </c>
      <c r="W7" s="135">
        <f>SUM(D7:U7)-V7</f>
        <v>400151</v>
      </c>
      <c r="X7" s="129">
        <v>27349.0</v>
      </c>
      <c r="Y7" s="144">
        <v>2500.0</v>
      </c>
      <c r="Z7" s="137">
        <f t="shared" si="2"/>
        <v>430000</v>
      </c>
      <c r="AA7" s="138">
        <v>110000.0</v>
      </c>
      <c r="AB7" s="139" t="s">
        <v>125</v>
      </c>
      <c r="AC7" s="140">
        <f t="shared" si="3"/>
        <v>20000</v>
      </c>
      <c r="AE7" s="145">
        <f>AD7-Z7</f>
        <v>-430000</v>
      </c>
    </row>
    <row r="8" ht="22.5" customHeight="1">
      <c r="A8" s="1" t="s">
        <v>11</v>
      </c>
      <c r="B8" s="2"/>
      <c r="C8" s="128">
        <f>'202510'!AC8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6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28">
        <f>'202510'!AC9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41"/>
      <c r="W9" s="135">
        <f t="shared" si="4"/>
        <v>62000</v>
      </c>
      <c r="X9" s="136"/>
      <c r="Y9" s="136"/>
      <c r="Z9" s="137">
        <f t="shared" si="2"/>
        <v>62000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28">
        <f>'202510'!AC10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0">
        <v>42900.0</v>
      </c>
      <c r="J10" s="132"/>
      <c r="K10" s="130"/>
      <c r="L10" s="130">
        <v>2190.0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41"/>
      <c r="W10" s="135">
        <f t="shared" si="4"/>
        <v>107090</v>
      </c>
      <c r="X10" s="148"/>
      <c r="Y10" s="148"/>
      <c r="Z10" s="137">
        <f t="shared" si="2"/>
        <v>107090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28">
        <f>'202510'!AC11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/>
      <c r="J11" s="132"/>
      <c r="K11" s="130"/>
      <c r="L11" s="130">
        <v>2190.0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41"/>
      <c r="W11" s="135">
        <f t="shared" si="4"/>
        <v>64190</v>
      </c>
      <c r="X11" s="136"/>
      <c r="Y11" s="136"/>
      <c r="Z11" s="137">
        <f t="shared" si="2"/>
        <v>64190</v>
      </c>
      <c r="AA11" s="150"/>
      <c r="AB11" s="139" t="s">
        <v>125</v>
      </c>
      <c r="AC11" s="140">
        <f t="shared" si="3"/>
        <v>0</v>
      </c>
    </row>
    <row r="12" ht="22.5" customHeight="1">
      <c r="A12" s="1"/>
      <c r="B12" s="1"/>
      <c r="C12" s="128">
        <f>'202510'!AC12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41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28">
        <f>'202510'!AC13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41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28">
        <f>'202509'!AC14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41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28">
        <f>'202509'!AC15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41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28">
        <f>'202509'!AC16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41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28">
        <f>'202509'!AC17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41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28">
        <f>'202509'!AC18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41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28">
        <f>'202509'!AC19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41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28">
        <f>'202509'!AC20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41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28">
        <f>'202509'!AC21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41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28">
        <f>'202509'!AC22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41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28">
        <f>'202509'!AC23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41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28">
        <f>'202509'!AC24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41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28">
        <f>'202509'!AC25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41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28">
        <f>'202509'!AC26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41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28">
        <f>'202509'!AC27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41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28">
        <f>'202509'!AC28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41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28">
        <f>'202509'!AC29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41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28">
        <f>'202509'!AC30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41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28">
        <f>'202509'!AC31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41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28">
        <f>'202509'!AC32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41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28">
        <f>'202509'!AC33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41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28">
        <f>'202509'!AC34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41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28">
        <f>'202509'!AC35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41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28">
        <f>'202509'!AC36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41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28">
        <f>'202509'!AC37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41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28">
        <f>'202509'!AC38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41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28">
        <f>'202509'!AC39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41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28">
        <f>'202509'!AC40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41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28">
        <f>'202509'!AC41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41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28">
        <f>'202509'!AC42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41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28">
        <f>'202509'!AC43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41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28">
        <f>'202509'!AC44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41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28">
        <f>'202509'!AC45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41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28">
        <f>'202509'!AC46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41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28">
        <f>'202509'!AC47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41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28">
        <f>'202509'!AC48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41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28">
        <f>'202509'!AC49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41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28">
        <f>'202509'!AC50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41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28">
        <f>'202509'!AC51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41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28">
        <f>'202509'!AC52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41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28">
        <f>'202509'!AC53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41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28">
        <f>'202509'!AC54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41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28">
        <f>'202509'!AC55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41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28">
        <f>'202509'!AC56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41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28">
        <f>'202509'!AC57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41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28">
        <f>'202509'!AC58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41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28">
        <f>'202509'!AC59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41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28">
        <f>'202509'!AC60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41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28">
        <f>'202509'!AC61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41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28">
        <f>'202509'!AC62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41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28">
        <f>'202509'!AC63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41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28">
        <f>'202509'!AC64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41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28">
        <f>'202509'!AC65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41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28">
        <f>'202509'!AC66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41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28">
        <f>'202509'!AC67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41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28">
        <f>'202509'!AC68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41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28">
        <f>'202509'!AC69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41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28">
        <f>'202509'!AC70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41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28">
        <f>'202509'!AC71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41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28">
        <f>'202509'!AC72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41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28">
        <f>'202509'!AC73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41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28">
        <f>'202509'!AC74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41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28">
        <f>'202509'!AC75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41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28">
        <f>'202509'!AC76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41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28">
        <f>'202509'!AC77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41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28">
        <f>'202509'!AC78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41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28">
        <f>'202509'!AC79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41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28">
        <f>'202509'!AC80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41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28">
        <f>'202509'!AC81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41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28">
        <f>'202509'!AC82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41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28">
        <f>'202509'!AC83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41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28">
        <f>'202509'!AC84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41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28">
        <f>'202509'!AC85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41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28">
        <f>'202509'!AC86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41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28">
        <f>'202509'!AC87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41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28">
        <f>'202509'!AC88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41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28">
        <f>'202509'!AC89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41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28">
        <f>'202509'!AC90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41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28">
        <f>'202509'!AC91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41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28">
        <f>'202509'!AC92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41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28">
        <f>'202509'!AC93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41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28">
        <f>'202509'!AC94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41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28">
        <f>'202509'!AC95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41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28">
        <f>'202509'!AC96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41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28">
        <f>'202509'!AC97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41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28">
        <f>'202509'!AC98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41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28">
        <f>'202509'!AC99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41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28">
        <f>'202509'!AC100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41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28">
        <f>'202509'!AC101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41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28">
        <f>'202509'!AC102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41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28">
        <f>'202509'!AC103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41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28">
        <f>'202509'!AC104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41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28">
        <f>'202509'!AC105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41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28">
        <f>'202509'!AC106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41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28">
        <f>'202509'!AC107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41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28">
        <f>'202509'!AC108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41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28">
        <f>'202509'!AC109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41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54" t="str">
        <f>'202509'!AC110</f>
        <v/>
      </c>
      <c r="D110" s="133">
        <f t="shared" ref="D110:V110" si="5">SUM(D3:D109)</f>
        <v>320000</v>
      </c>
      <c r="E110" s="133">
        <f t="shared" si="5"/>
        <v>40000</v>
      </c>
      <c r="F110" s="133">
        <f t="shared" si="5"/>
        <v>40000</v>
      </c>
      <c r="G110" s="133">
        <f t="shared" si="5"/>
        <v>16000</v>
      </c>
      <c r="H110" s="133">
        <f t="shared" si="5"/>
        <v>80000</v>
      </c>
      <c r="I110" s="133">
        <f t="shared" si="5"/>
        <v>160600</v>
      </c>
      <c r="J110" s="155">
        <f t="shared" si="5"/>
        <v>-80001</v>
      </c>
      <c r="K110" s="133">
        <f t="shared" si="5"/>
        <v>0</v>
      </c>
      <c r="L110" s="133">
        <f t="shared" si="5"/>
        <v>13140</v>
      </c>
      <c r="M110" s="133">
        <f t="shared" si="5"/>
        <v>20000</v>
      </c>
      <c r="N110" s="133">
        <f t="shared" si="5"/>
        <v>0</v>
      </c>
      <c r="O110" s="133">
        <f t="shared" si="5"/>
        <v>14673</v>
      </c>
      <c r="P110" s="133">
        <f t="shared" si="5"/>
        <v>0</v>
      </c>
      <c r="Q110" s="133">
        <f t="shared" si="5"/>
        <v>9523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-320000</v>
      </c>
      <c r="W110" s="135">
        <f t="shared" si="4"/>
        <v>313935</v>
      </c>
      <c r="X110" s="133">
        <f t="shared" ref="X110:Y110" si="6">SUM(X3:X109)</f>
        <v>46825</v>
      </c>
      <c r="Y110" s="133">
        <f t="shared" si="6"/>
        <v>7500</v>
      </c>
      <c r="Z110" s="137">
        <f t="shared" si="2"/>
        <v>368260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59" t="s">
        <v>128</v>
      </c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59" t="s">
        <v>128</v>
      </c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59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59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59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59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59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59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59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59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45961.0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120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0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28">
        <f>'202509'!AC3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39380.0</v>
      </c>
      <c r="J3" s="132">
        <v>-19531.0</v>
      </c>
      <c r="K3" s="130">
        <v>0.0</v>
      </c>
      <c r="L3" s="130">
        <v>2263.0</v>
      </c>
      <c r="M3" s="133"/>
      <c r="N3" s="130"/>
      <c r="O3" s="130">
        <v>650.0</v>
      </c>
      <c r="P3" s="130"/>
      <c r="Q3" s="130"/>
      <c r="R3" s="132"/>
      <c r="S3" s="132"/>
      <c r="T3" s="132"/>
      <c r="U3" s="132"/>
      <c r="V3" s="134"/>
      <c r="W3" s="135">
        <f t="shared" ref="W3:W6" si="1">SUM(D3:V3)</f>
        <v>84762</v>
      </c>
      <c r="X3" s="136">
        <v>19531.0</v>
      </c>
      <c r="Y3" s="136"/>
      <c r="Z3" s="137">
        <f t="shared" ref="Z3:Z110" si="2">SUM(W3:Y3)</f>
        <v>104293</v>
      </c>
      <c r="AA3" s="138" t="s">
        <v>124</v>
      </c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28">
        <f>'202509'!AC4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>
        <v>17050.0</v>
      </c>
      <c r="J4" s="132">
        <v>0.0</v>
      </c>
      <c r="K4" s="130">
        <v>0.0</v>
      </c>
      <c r="L4" s="130">
        <v>0.0</v>
      </c>
      <c r="M4" s="130"/>
      <c r="N4" s="130"/>
      <c r="O4" s="130"/>
      <c r="P4" s="130"/>
      <c r="Q4" s="130"/>
      <c r="R4" s="130"/>
      <c r="S4" s="130"/>
      <c r="T4" s="130"/>
      <c r="U4" s="130"/>
      <c r="V4" s="141"/>
      <c r="W4" s="135">
        <f t="shared" si="1"/>
        <v>79050</v>
      </c>
      <c r="X4" s="136"/>
      <c r="Y4" s="136"/>
      <c r="Z4" s="137">
        <f t="shared" si="2"/>
        <v>79050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 t="s">
        <v>129</v>
      </c>
      <c r="C5" s="128">
        <f>'202509'!AC5</f>
        <v>92000</v>
      </c>
      <c r="D5" s="129">
        <v>40000.0</v>
      </c>
      <c r="E5" s="129">
        <v>5000.0</v>
      </c>
      <c r="F5" s="129">
        <v>5000.0</v>
      </c>
      <c r="G5" s="129">
        <v>2000.0</v>
      </c>
      <c r="H5" s="130">
        <v>10000.0</v>
      </c>
      <c r="I5" s="130">
        <v>19030.0</v>
      </c>
      <c r="J5" s="142">
        <v>-16264.0</v>
      </c>
      <c r="K5" s="130">
        <v>0.0</v>
      </c>
      <c r="L5" s="130">
        <v>2263.0</v>
      </c>
      <c r="M5" s="130">
        <v>10000.0</v>
      </c>
      <c r="N5" s="130"/>
      <c r="O5" s="130"/>
      <c r="P5" s="130"/>
      <c r="Q5" s="130">
        <v>6386.0</v>
      </c>
      <c r="R5" s="130"/>
      <c r="S5" s="130"/>
      <c r="T5" s="130"/>
      <c r="U5" s="130"/>
      <c r="V5" s="141"/>
      <c r="W5" s="135">
        <f t="shared" si="1"/>
        <v>83415</v>
      </c>
      <c r="X5" s="136">
        <v>21585.0</v>
      </c>
      <c r="Y5" s="136">
        <v>5000.0</v>
      </c>
      <c r="Z5" s="137">
        <f t="shared" si="2"/>
        <v>110000</v>
      </c>
      <c r="AA5" s="138">
        <v>110000.0</v>
      </c>
      <c r="AB5" s="139" t="s">
        <v>125</v>
      </c>
      <c r="AC5" s="140">
        <f t="shared" si="3"/>
        <v>82000</v>
      </c>
    </row>
    <row r="6" ht="22.5" customHeight="1">
      <c r="A6" s="1" t="s">
        <v>7</v>
      </c>
      <c r="B6" s="1" t="s">
        <v>8</v>
      </c>
      <c r="C6" s="128">
        <f>'202509'!AC6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>
        <v>0.0</v>
      </c>
      <c r="J6" s="132">
        <v>0.0</v>
      </c>
      <c r="K6" s="130">
        <v>0.0</v>
      </c>
      <c r="L6" s="130">
        <v>2263.0</v>
      </c>
      <c r="M6" s="130"/>
      <c r="N6" s="130"/>
      <c r="O6" s="130"/>
      <c r="P6" s="130"/>
      <c r="Q6" s="130">
        <v>50.0</v>
      </c>
      <c r="R6" s="130"/>
      <c r="S6" s="130"/>
      <c r="T6" s="130"/>
      <c r="U6" s="130"/>
      <c r="V6" s="141"/>
      <c r="W6" s="135">
        <f t="shared" si="1"/>
        <v>64313</v>
      </c>
      <c r="X6" s="136"/>
      <c r="Y6" s="136"/>
      <c r="Z6" s="137">
        <f t="shared" si="2"/>
        <v>64313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28">
        <f>'202509'!AC7</f>
        <v>40000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0">
        <v>41580.0</v>
      </c>
      <c r="J7" s="142">
        <v>-43771.0</v>
      </c>
      <c r="K7" s="130">
        <v>0.0</v>
      </c>
      <c r="L7" s="130">
        <v>2263.0</v>
      </c>
      <c r="M7" s="130">
        <v>10000.0</v>
      </c>
      <c r="N7" s="130"/>
      <c r="O7" s="130">
        <v>6899.0</v>
      </c>
      <c r="P7" s="130"/>
      <c r="Q7" s="130">
        <v>2796.0</v>
      </c>
      <c r="R7" s="143"/>
      <c r="S7" s="143"/>
      <c r="T7" s="143"/>
      <c r="U7" s="143"/>
      <c r="V7" s="134">
        <f>'202509'!AE7</f>
        <v>-210000</v>
      </c>
      <c r="W7" s="135">
        <f>SUM(D7:U7)-V7</f>
        <v>291767</v>
      </c>
      <c r="X7" s="129">
        <v>25733.0</v>
      </c>
      <c r="Y7" s="144">
        <v>2500.0</v>
      </c>
      <c r="Z7" s="137">
        <f t="shared" si="2"/>
        <v>320000</v>
      </c>
      <c r="AA7" s="138">
        <v>110000.0</v>
      </c>
      <c r="AB7" s="139" t="s">
        <v>125</v>
      </c>
      <c r="AC7" s="140">
        <f t="shared" si="3"/>
        <v>30000</v>
      </c>
      <c r="AE7" s="145">
        <f>AD7-Z7</f>
        <v>-320000</v>
      </c>
    </row>
    <row r="8" ht="22.5" customHeight="1">
      <c r="A8" s="1" t="s">
        <v>11</v>
      </c>
      <c r="B8" s="2"/>
      <c r="C8" s="128">
        <f>'202509'!AC8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6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28">
        <f>'202509'!AC9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>
        <v>0.0</v>
      </c>
      <c r="J9" s="132">
        <v>0.0</v>
      </c>
      <c r="K9" s="130">
        <v>0.0</v>
      </c>
      <c r="L9" s="130">
        <v>0.0</v>
      </c>
      <c r="M9" s="130"/>
      <c r="N9" s="130"/>
      <c r="O9" s="130"/>
      <c r="P9" s="130"/>
      <c r="Q9" s="130"/>
      <c r="R9" s="130"/>
      <c r="S9" s="130"/>
      <c r="T9" s="130"/>
      <c r="U9" s="130"/>
      <c r="V9" s="141"/>
      <c r="W9" s="135">
        <f t="shared" si="4"/>
        <v>62000</v>
      </c>
      <c r="X9" s="136"/>
      <c r="Y9" s="136"/>
      <c r="Z9" s="137">
        <f t="shared" si="2"/>
        <v>62000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28">
        <f>'202509'!AC10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0">
        <v>44330.0</v>
      </c>
      <c r="J10" s="132">
        <v>0.0</v>
      </c>
      <c r="K10" s="130">
        <v>0.0</v>
      </c>
      <c r="L10" s="130">
        <v>2263.0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41"/>
      <c r="W10" s="135">
        <f t="shared" si="4"/>
        <v>108593</v>
      </c>
      <c r="X10" s="148"/>
      <c r="Y10" s="148"/>
      <c r="Z10" s="137">
        <f t="shared" si="2"/>
        <v>108593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28">
        <f>'202509'!AC11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>
        <v>660.0</v>
      </c>
      <c r="J11" s="132">
        <v>0.0</v>
      </c>
      <c r="K11" s="130">
        <v>0.0</v>
      </c>
      <c r="L11" s="130">
        <v>2263.0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41"/>
      <c r="W11" s="135">
        <f t="shared" si="4"/>
        <v>64923</v>
      </c>
      <c r="X11" s="136"/>
      <c r="Y11" s="136"/>
      <c r="Z11" s="137">
        <f t="shared" si="2"/>
        <v>64923</v>
      </c>
      <c r="AA11" s="150"/>
      <c r="AB11" s="139" t="s">
        <v>125</v>
      </c>
      <c r="AC11" s="140">
        <f t="shared" si="3"/>
        <v>0</v>
      </c>
    </row>
    <row r="12" ht="22.5" customHeight="1">
      <c r="A12" s="1"/>
      <c r="B12" s="1"/>
      <c r="C12" s="128">
        <f>'202509'!AC12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41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28">
        <f>'202509'!AC13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41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28">
        <f>'202509'!AC14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41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28">
        <f>'202509'!AC15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41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28">
        <f>'202509'!AC16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41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28">
        <f>'202509'!AC17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41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28">
        <f>'202509'!AC18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41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28">
        <f>'202509'!AC19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41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28">
        <f>'202509'!AC20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41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28">
        <f>'202509'!AC21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41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28">
        <f>'202509'!AC22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41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28">
        <f>'202509'!AC23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41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28">
        <f>'202509'!AC24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41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28">
        <f>'202509'!AC25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41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28">
        <f>'202509'!AC26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41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28">
        <f>'202509'!AC27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41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28">
        <f>'202509'!AC28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41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28">
        <f>'202509'!AC29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41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28">
        <f>'202509'!AC30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41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28">
        <f>'202509'!AC31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41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28">
        <f>'202509'!AC32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41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28">
        <f>'202509'!AC33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41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28">
        <f>'202509'!AC34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41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28">
        <f>'202509'!AC35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41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28">
        <f>'202509'!AC36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41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28">
        <f>'202509'!AC37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41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28">
        <f>'202509'!AC38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41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28">
        <f>'202509'!AC39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41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28">
        <f>'202509'!AC40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41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28">
        <f>'202509'!AC41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41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28">
        <f>'202509'!AC42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41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28">
        <f>'202509'!AC43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41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28">
        <f>'202509'!AC44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41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28">
        <f>'202509'!AC45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41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28">
        <f>'202509'!AC46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41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28">
        <f>'202509'!AC47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41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28">
        <f>'202509'!AC48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41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28">
        <f>'202509'!AC49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41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28">
        <f>'202509'!AC50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41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28">
        <f>'202509'!AC51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41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28">
        <f>'202509'!AC52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41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28">
        <f>'202509'!AC53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41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28">
        <f>'202509'!AC54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41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28">
        <f>'202509'!AC55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41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28">
        <f>'202509'!AC56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41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28">
        <f>'202509'!AC57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41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28">
        <f>'202509'!AC58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41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28">
        <f>'202509'!AC59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41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28">
        <f>'202509'!AC60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41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28">
        <f>'202509'!AC61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41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28">
        <f>'202509'!AC62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41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28">
        <f>'202509'!AC63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41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28">
        <f>'202509'!AC64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41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28">
        <f>'202509'!AC65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41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28">
        <f>'202509'!AC66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41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28">
        <f>'202509'!AC67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41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28">
        <f>'202509'!AC68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41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28">
        <f>'202509'!AC69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41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28">
        <f>'202509'!AC70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41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28">
        <f>'202509'!AC71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41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28">
        <f>'202509'!AC72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41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28">
        <f>'202509'!AC73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41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28">
        <f>'202509'!AC74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41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28">
        <f>'202509'!AC75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41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28">
        <f>'202509'!AC76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41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28">
        <f>'202509'!AC77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41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28">
        <f>'202509'!AC78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41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28">
        <f>'202509'!AC79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41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28">
        <f>'202509'!AC80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41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28">
        <f>'202509'!AC81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41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28">
        <f>'202509'!AC82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41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28">
        <f>'202509'!AC83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41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28">
        <f>'202509'!AC84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41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28">
        <f>'202509'!AC85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41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28">
        <f>'202509'!AC86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41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28">
        <f>'202509'!AC87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41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28">
        <f>'202509'!AC88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41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28">
        <f>'202509'!AC89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41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28">
        <f>'202509'!AC90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41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28">
        <f>'202509'!AC91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41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28">
        <f>'202509'!AC92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41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28">
        <f>'202509'!AC93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41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28">
        <f>'202509'!AC94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41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28">
        <f>'202509'!AC95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41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28">
        <f>'202509'!AC96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41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28">
        <f>'202509'!AC97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41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28">
        <f>'202509'!AC98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41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28">
        <f>'202509'!AC99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41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28">
        <f>'202509'!AC100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41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28">
        <f>'202509'!AC101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41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28">
        <f>'202509'!AC102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41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28">
        <f>'202509'!AC103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41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28">
        <f>'202509'!AC104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41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28">
        <f>'202509'!AC105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41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28">
        <f>'202509'!AC106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41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28">
        <f>'202509'!AC107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41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28">
        <f>'202509'!AC108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41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28">
        <f>'202509'!AC109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41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54" t="str">
        <f>'202509'!AC110</f>
        <v/>
      </c>
      <c r="D110" s="133">
        <f t="shared" ref="D110:V110" si="5">SUM(D3:D109)</f>
        <v>320000</v>
      </c>
      <c r="E110" s="133">
        <f t="shared" si="5"/>
        <v>40000</v>
      </c>
      <c r="F110" s="133">
        <f t="shared" si="5"/>
        <v>40000</v>
      </c>
      <c r="G110" s="133">
        <f t="shared" si="5"/>
        <v>16000</v>
      </c>
      <c r="H110" s="133">
        <f t="shared" si="5"/>
        <v>80000</v>
      </c>
      <c r="I110" s="133">
        <f t="shared" si="5"/>
        <v>162030</v>
      </c>
      <c r="J110" s="155">
        <f t="shared" si="5"/>
        <v>-79566</v>
      </c>
      <c r="K110" s="133">
        <f t="shared" si="5"/>
        <v>0</v>
      </c>
      <c r="L110" s="133">
        <f t="shared" si="5"/>
        <v>13578</v>
      </c>
      <c r="M110" s="133">
        <f t="shared" si="5"/>
        <v>20000</v>
      </c>
      <c r="N110" s="133">
        <f t="shared" si="5"/>
        <v>0</v>
      </c>
      <c r="O110" s="133">
        <f t="shared" si="5"/>
        <v>7549</v>
      </c>
      <c r="P110" s="133">
        <f t="shared" si="5"/>
        <v>0</v>
      </c>
      <c r="Q110" s="133">
        <f t="shared" si="5"/>
        <v>9232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-210000</v>
      </c>
      <c r="W110" s="135">
        <f t="shared" si="4"/>
        <v>418823</v>
      </c>
      <c r="X110" s="133">
        <f t="shared" ref="X110:Y110" si="6">SUM(X3:X109)</f>
        <v>66849</v>
      </c>
      <c r="Y110" s="133">
        <f t="shared" si="6"/>
        <v>7500</v>
      </c>
      <c r="Z110" s="137">
        <f t="shared" si="2"/>
        <v>493172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59" t="s">
        <v>128</v>
      </c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59" t="s">
        <v>128</v>
      </c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59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59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59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59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59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59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59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59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45930.0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54">
        <f>'202508'!AC3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41800.0</v>
      </c>
      <c r="J3" s="132"/>
      <c r="K3" s="160">
        <v>0.0</v>
      </c>
      <c r="L3" s="130">
        <v>2190.0</v>
      </c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105990</v>
      </c>
      <c r="X3" s="136"/>
      <c r="Y3" s="136"/>
      <c r="Z3" s="137">
        <f t="shared" ref="Z3:Z110" si="2">SUM(W3:Y3)</f>
        <v>105990</v>
      </c>
      <c r="AA3" s="147"/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54">
        <f>'202508'!AC4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>
        <v>16500.0</v>
      </c>
      <c r="J4" s="132"/>
      <c r="K4" s="160">
        <v>0.0</v>
      </c>
      <c r="L4" s="130">
        <v>0.0</v>
      </c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78500</v>
      </c>
      <c r="X4" s="136"/>
      <c r="Y4" s="136"/>
      <c r="Z4" s="137">
        <f t="shared" si="2"/>
        <v>78500</v>
      </c>
      <c r="AA4" s="138" t="s">
        <v>126</v>
      </c>
      <c r="AB4" s="139" t="s">
        <v>125</v>
      </c>
      <c r="AC4" s="140">
        <f t="shared" si="3"/>
        <v>0</v>
      </c>
    </row>
    <row r="5" ht="22.5" customHeight="1">
      <c r="A5" s="1" t="s">
        <v>6</v>
      </c>
      <c r="B5" s="1" t="s">
        <v>129</v>
      </c>
      <c r="C5" s="154">
        <f>'202508'!AC5</f>
        <v>102000</v>
      </c>
      <c r="D5" s="129">
        <v>40000.0</v>
      </c>
      <c r="E5" s="129">
        <v>5000.0</v>
      </c>
      <c r="F5" s="129">
        <v>5000.0</v>
      </c>
      <c r="G5" s="129">
        <v>2000.0</v>
      </c>
      <c r="H5" s="130">
        <v>10000.0</v>
      </c>
      <c r="I5" s="130">
        <v>39050.0</v>
      </c>
      <c r="J5" s="142">
        <v>-36289.0</v>
      </c>
      <c r="K5" s="130">
        <v>0.0</v>
      </c>
      <c r="L5" s="130">
        <v>2190.0</v>
      </c>
      <c r="M5" s="130">
        <v>10000.0</v>
      </c>
      <c r="N5" s="130"/>
      <c r="O5" s="130"/>
      <c r="P5" s="130"/>
      <c r="Q5" s="130">
        <v>6456.0</v>
      </c>
      <c r="R5" s="130"/>
      <c r="S5" s="130"/>
      <c r="T5" s="130"/>
      <c r="U5" s="130"/>
      <c r="V5" s="130"/>
      <c r="W5" s="135">
        <f t="shared" si="1"/>
        <v>83407</v>
      </c>
      <c r="X5" s="136">
        <v>21593.0</v>
      </c>
      <c r="Y5" s="136">
        <v>5000.0</v>
      </c>
      <c r="Z5" s="137">
        <f t="shared" si="2"/>
        <v>110000</v>
      </c>
      <c r="AA5" s="138">
        <v>110000.0</v>
      </c>
      <c r="AB5" s="139" t="s">
        <v>125</v>
      </c>
      <c r="AC5" s="140">
        <f t="shared" si="3"/>
        <v>92000</v>
      </c>
    </row>
    <row r="6" ht="22.5" customHeight="1">
      <c r="A6" s="1" t="s">
        <v>7</v>
      </c>
      <c r="B6" s="1" t="s">
        <v>8</v>
      </c>
      <c r="C6" s="154">
        <f>'202508'!AC6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>
        <v>0.0</v>
      </c>
      <c r="J6" s="132"/>
      <c r="K6" s="160">
        <v>0.0</v>
      </c>
      <c r="L6" s="130">
        <v>2190.0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64190</v>
      </c>
      <c r="X6" s="136"/>
      <c r="Y6" s="136"/>
      <c r="Z6" s="137">
        <f t="shared" si="2"/>
        <v>64190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54">
        <f>'202508'!AC7</f>
        <v>50000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0">
        <v>40700.0</v>
      </c>
      <c r="J7" s="142">
        <v>-50348.0</v>
      </c>
      <c r="K7" s="130">
        <v>0.0</v>
      </c>
      <c r="L7" s="130">
        <v>2190.0</v>
      </c>
      <c r="M7" s="130">
        <v>10000.0</v>
      </c>
      <c r="N7" s="130"/>
      <c r="O7" s="130"/>
      <c r="P7" s="130"/>
      <c r="Q7" s="130">
        <v>15390.0</v>
      </c>
      <c r="R7" s="143"/>
      <c r="S7" s="143"/>
      <c r="T7" s="143"/>
      <c r="U7" s="143"/>
      <c r="V7" s="132">
        <f>'202508'!AE7</f>
        <v>-100000</v>
      </c>
      <c r="W7" s="135">
        <f>SUM(D7:U7)-V7</f>
        <v>179932</v>
      </c>
      <c r="X7" s="129">
        <v>27568.0</v>
      </c>
      <c r="Y7" s="144">
        <v>2500.0</v>
      </c>
      <c r="Z7" s="137">
        <f t="shared" si="2"/>
        <v>210000</v>
      </c>
      <c r="AA7" s="138">
        <v>110000.0</v>
      </c>
      <c r="AB7" s="139" t="s">
        <v>125</v>
      </c>
      <c r="AC7" s="140">
        <f t="shared" si="3"/>
        <v>40000</v>
      </c>
      <c r="AE7" s="145">
        <f>AD7-Z7</f>
        <v>-210000</v>
      </c>
    </row>
    <row r="8" ht="22.5" customHeight="1">
      <c r="A8" s="1" t="s">
        <v>11</v>
      </c>
      <c r="B8" s="2"/>
      <c r="C8" s="154">
        <f>'202508'!AC8</f>
        <v>0</v>
      </c>
      <c r="D8" s="129"/>
      <c r="E8" s="129"/>
      <c r="F8" s="129"/>
      <c r="G8" s="129"/>
      <c r="H8" s="130"/>
      <c r="I8" s="130"/>
      <c r="J8" s="132"/>
      <c r="K8" s="130">
        <v>0.0</v>
      </c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54">
        <f>'202508'!AC9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>
        <v>3850.0</v>
      </c>
      <c r="J9" s="132"/>
      <c r="K9" s="160">
        <v>0.0</v>
      </c>
      <c r="L9" s="130">
        <v>0.0</v>
      </c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65850</v>
      </c>
      <c r="X9" s="136"/>
      <c r="Y9" s="136"/>
      <c r="Z9" s="137">
        <f t="shared" si="2"/>
        <v>65850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54">
        <f>'202508'!AC10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0">
        <v>42900.0</v>
      </c>
      <c r="J10" s="132"/>
      <c r="K10" s="160">
        <v>0.0</v>
      </c>
      <c r="L10" s="130">
        <v>2190.0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107090</v>
      </c>
      <c r="X10" s="148"/>
      <c r="Y10" s="148"/>
      <c r="Z10" s="137">
        <f t="shared" si="2"/>
        <v>107090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54">
        <f>'202508'!AC11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>
        <v>9900.0</v>
      </c>
      <c r="J11" s="132"/>
      <c r="K11" s="160">
        <v>0.0</v>
      </c>
      <c r="L11" s="130">
        <v>2190.0</v>
      </c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74090</v>
      </c>
      <c r="X11" s="136"/>
      <c r="Y11" s="136"/>
      <c r="Z11" s="137">
        <f t="shared" si="2"/>
        <v>74090</v>
      </c>
      <c r="AA11" s="150"/>
      <c r="AB11" s="139" t="s">
        <v>125</v>
      </c>
      <c r="AC11" s="140">
        <f t="shared" si="3"/>
        <v>0</v>
      </c>
    </row>
    <row r="12" ht="22.5" customHeight="1">
      <c r="A12" s="1" t="s">
        <v>18</v>
      </c>
      <c r="B12" s="1" t="s">
        <v>19</v>
      </c>
      <c r="C12" s="154">
        <f>'202508'!AC12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>
        <v>0.0</v>
      </c>
      <c r="O12" s="130">
        <v>0.0</v>
      </c>
      <c r="P12" s="130"/>
      <c r="Q12" s="130"/>
      <c r="R12" s="130"/>
      <c r="S12" s="130"/>
      <c r="T12" s="130">
        <v>0.0</v>
      </c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54">
        <f>'202508'!AC13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54">
        <f>'202508'!AC14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54">
        <f>'202508'!AC15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54">
        <f>'202508'!AC16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54">
        <f>'202508'!AC17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54">
        <f>'202508'!AC18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54">
        <f>'202508'!AC19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54">
        <f>'202508'!AC20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54">
        <f>'202508'!AC21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54">
        <f>'202508'!AC22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54">
        <f>'202508'!AC23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54">
        <f>'202508'!AC24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54">
        <f>'202508'!AC25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54">
        <f>'202508'!AC26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54">
        <f>'202508'!AC27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54">
        <f>'202508'!AC28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54">
        <f>'202508'!AC29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54">
        <f>'202508'!AC30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54">
        <f>'202508'!AC31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54">
        <f>'202508'!AC32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54">
        <f>'202508'!AC33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54">
        <f>'202508'!AC34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54">
        <f>'202508'!AC35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54">
        <f>'202508'!AC36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54">
        <f>'202508'!AC37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54">
        <f>'202508'!AC38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54">
        <f>'202508'!AC39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54">
        <f>'202508'!AC40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54">
        <f>'202508'!AC41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54">
        <f>'202508'!AC42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54">
        <f>'202508'!AC43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54">
        <f>'202508'!AC44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54">
        <f>'202508'!AC45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54">
        <f>'202508'!AC46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54">
        <f>'202508'!AC47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54">
        <f>'202508'!AC48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54">
        <f>'202508'!AC49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54">
        <f>'202508'!AC50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54">
        <f>'202508'!AC51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54">
        <f>'202508'!AC52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54">
        <f>'202508'!AC53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54">
        <f>'202508'!AC54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54">
        <f>'202508'!AC55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54">
        <f>'202508'!AC56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54">
        <f>'202508'!AC57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54">
        <f>'202508'!AC58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54">
        <f>'202508'!AC59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54">
        <f>'202508'!AC60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54">
        <f>'202508'!AC61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54">
        <f>'202508'!AC62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54">
        <f>'202508'!AC63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54">
        <f>'202508'!AC64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54">
        <f>'202508'!AC65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54">
        <f>'202508'!AC66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54">
        <f>'202508'!AC67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54">
        <f>'202508'!AC68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54">
        <f>'202508'!AC69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54">
        <f>'202508'!AC70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54">
        <f>'202508'!AC71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54">
        <f>'202508'!AC72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54">
        <f>'202508'!AC73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54">
        <f>'202508'!AC74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54">
        <f>'202508'!AC75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54">
        <f>'202508'!AC76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54">
        <f>'202508'!AC77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54">
        <f>'202508'!AC78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54">
        <f>'202508'!AC79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54">
        <f>'202508'!AC80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54">
        <f>'202508'!AC81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54">
        <f>'202508'!AC82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54">
        <f>'202508'!AC83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54">
        <f>'202508'!AC84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54">
        <f>'202508'!AC85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54">
        <f>'202508'!AC86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54">
        <f>'202508'!AC87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54">
        <f>'202508'!AC88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54">
        <f>'202508'!AC89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54">
        <f>'202508'!AC90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54">
        <f>'202508'!AC91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54">
        <f>'202508'!AC92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54">
        <f>'202508'!AC93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54">
        <f>'202508'!AC94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54">
        <f>'202508'!AC95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54">
        <f>'202508'!AC96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54">
        <f>'202508'!AC97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54">
        <f>'202508'!AC98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54">
        <f>'202508'!AC99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54">
        <f>'202508'!AC100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54">
        <f>'202508'!AC101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54">
        <f>'202508'!AC102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54">
        <f>'202508'!AC103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54">
        <f>'202508'!AC104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54">
        <f>'202508'!AC105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54">
        <f>'202508'!AC106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54">
        <f>'202508'!AC107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54">
        <f>'202508'!AC108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54">
        <f>'202508'!AC109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320000</v>
      </c>
      <c r="E110" s="133">
        <f t="shared" si="5"/>
        <v>40000</v>
      </c>
      <c r="F110" s="133">
        <f t="shared" si="5"/>
        <v>40000</v>
      </c>
      <c r="G110" s="133">
        <f t="shared" si="5"/>
        <v>16000</v>
      </c>
      <c r="H110" s="133">
        <f t="shared" si="5"/>
        <v>80000</v>
      </c>
      <c r="I110" s="133">
        <f t="shared" si="5"/>
        <v>194700</v>
      </c>
      <c r="J110" s="155">
        <f t="shared" si="5"/>
        <v>-86637</v>
      </c>
      <c r="K110" s="133">
        <f t="shared" si="5"/>
        <v>0</v>
      </c>
      <c r="L110" s="133">
        <f t="shared" si="5"/>
        <v>13140</v>
      </c>
      <c r="M110" s="133">
        <f t="shared" si="5"/>
        <v>20000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21846</v>
      </c>
      <c r="R110" s="133">
        <f t="shared" si="5"/>
        <v>0</v>
      </c>
      <c r="S110" s="133">
        <f t="shared" si="5"/>
        <v>0</v>
      </c>
      <c r="T110" s="133">
        <f t="shared" si="5"/>
        <v>0</v>
      </c>
      <c r="U110" s="133">
        <f t="shared" si="5"/>
        <v>0</v>
      </c>
      <c r="V110" s="133">
        <f t="shared" si="5"/>
        <v>-100000</v>
      </c>
      <c r="W110" s="135">
        <f t="shared" si="4"/>
        <v>559049</v>
      </c>
      <c r="X110" s="133">
        <f t="shared" ref="X110:Y110" si="6">SUM(X3:X109)</f>
        <v>49161</v>
      </c>
      <c r="Y110" s="133">
        <f t="shared" si="6"/>
        <v>7500</v>
      </c>
      <c r="Z110" s="137">
        <f t="shared" si="2"/>
        <v>615710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45900.0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 t="s">
        <v>3</v>
      </c>
      <c r="C3" s="154">
        <f>'202507'!AC3</f>
        <v>0</v>
      </c>
      <c r="D3" s="129">
        <v>40000.0</v>
      </c>
      <c r="E3" s="129">
        <v>5000.0</v>
      </c>
      <c r="F3" s="129">
        <v>5000.0</v>
      </c>
      <c r="G3" s="129">
        <v>2000.0</v>
      </c>
      <c r="H3" s="130">
        <v>10000.0</v>
      </c>
      <c r="I3" s="131">
        <v>44330.0</v>
      </c>
      <c r="J3" s="132"/>
      <c r="K3" s="130">
        <v>0.0</v>
      </c>
      <c r="L3" s="130">
        <f>73*31</f>
        <v>2263</v>
      </c>
      <c r="M3" s="133">
        <v>0.0</v>
      </c>
      <c r="N3" s="130">
        <v>0.0</v>
      </c>
      <c r="O3" s="130">
        <v>0.0</v>
      </c>
      <c r="P3" s="130"/>
      <c r="Q3" s="130">
        <v>0.0</v>
      </c>
      <c r="R3" s="132"/>
      <c r="S3" s="132"/>
      <c r="T3" s="132"/>
      <c r="U3" s="132"/>
      <c r="V3" s="132"/>
      <c r="W3" s="135">
        <f t="shared" ref="W3:W6" si="1">SUM(D3:V3)</f>
        <v>108593</v>
      </c>
      <c r="X3" s="136"/>
      <c r="Y3" s="136"/>
      <c r="Z3" s="137">
        <f t="shared" ref="Z3:Z110" si="2">SUM(W3:Y3)</f>
        <v>108593</v>
      </c>
      <c r="AA3" s="147"/>
      <c r="AB3" s="139" t="s">
        <v>125</v>
      </c>
      <c r="AC3" s="140">
        <f t="shared" ref="AC3:AC109" si="3">C3-M3</f>
        <v>0</v>
      </c>
    </row>
    <row r="4" ht="22.5" customHeight="1">
      <c r="A4" s="1" t="s">
        <v>4</v>
      </c>
      <c r="B4" s="1" t="s">
        <v>5</v>
      </c>
      <c r="C4" s="154">
        <f>'202507'!AC4</f>
        <v>0</v>
      </c>
      <c r="D4" s="129">
        <v>40000.0</v>
      </c>
      <c r="E4" s="129">
        <v>5000.0</v>
      </c>
      <c r="F4" s="129">
        <v>5000.0</v>
      </c>
      <c r="G4" s="129">
        <v>2000.0</v>
      </c>
      <c r="H4" s="130">
        <v>10000.0</v>
      </c>
      <c r="I4" s="131">
        <v>17050.0</v>
      </c>
      <c r="J4" s="132"/>
      <c r="K4" s="130">
        <v>0.0</v>
      </c>
      <c r="L4" s="130">
        <v>0.0</v>
      </c>
      <c r="M4" s="130">
        <v>0.0</v>
      </c>
      <c r="N4" s="130">
        <v>0.0</v>
      </c>
      <c r="O4" s="130">
        <v>0.0</v>
      </c>
      <c r="P4" s="130"/>
      <c r="Q4" s="130">
        <v>0.0</v>
      </c>
      <c r="R4" s="130"/>
      <c r="S4" s="130"/>
      <c r="T4" s="130">
        <v>0.0</v>
      </c>
      <c r="U4" s="130"/>
      <c r="V4" s="130"/>
      <c r="W4" s="135">
        <f t="shared" si="1"/>
        <v>79050</v>
      </c>
      <c r="X4" s="136"/>
      <c r="Y4" s="136"/>
      <c r="Z4" s="137">
        <f t="shared" si="2"/>
        <v>79050</v>
      </c>
      <c r="AA4" s="138" t="s">
        <v>126</v>
      </c>
      <c r="AB4" s="119" t="s">
        <v>125</v>
      </c>
      <c r="AC4" s="140">
        <f t="shared" si="3"/>
        <v>0</v>
      </c>
    </row>
    <row r="5" ht="22.5" customHeight="1">
      <c r="A5" s="1" t="s">
        <v>6</v>
      </c>
      <c r="B5" s="1" t="s">
        <v>129</v>
      </c>
      <c r="C5" s="154">
        <f>'202507'!AC5</f>
        <v>112000</v>
      </c>
      <c r="D5" s="129">
        <v>40000.0</v>
      </c>
      <c r="E5" s="129">
        <v>5000.0</v>
      </c>
      <c r="F5" s="129">
        <v>5000.0</v>
      </c>
      <c r="G5" s="129">
        <v>2000.0</v>
      </c>
      <c r="H5" s="130">
        <v>10000.0</v>
      </c>
      <c r="I5" s="130">
        <v>42130.0</v>
      </c>
      <c r="J5" s="142">
        <v>-32753.0</v>
      </c>
      <c r="K5" s="130">
        <v>0.0</v>
      </c>
      <c r="L5" s="130">
        <f t="shared" ref="L5:L7" si="4">73*31</f>
        <v>2263</v>
      </c>
      <c r="M5" s="130">
        <v>10000.0</v>
      </c>
      <c r="N5" s="130">
        <v>0.0</v>
      </c>
      <c r="O5" s="130">
        <v>0.0</v>
      </c>
      <c r="P5" s="130"/>
      <c r="Q5" s="130">
        <v>8006.0</v>
      </c>
      <c r="R5" s="130"/>
      <c r="S5" s="130"/>
      <c r="T5" s="130">
        <v>0.0</v>
      </c>
      <c r="U5" s="130"/>
      <c r="V5" s="130"/>
      <c r="W5" s="135">
        <f t="shared" si="1"/>
        <v>91646</v>
      </c>
      <c r="X5" s="136">
        <v>18354.0</v>
      </c>
      <c r="Y5" s="136"/>
      <c r="Z5" s="137">
        <f t="shared" si="2"/>
        <v>110000</v>
      </c>
      <c r="AA5" s="138">
        <v>110000.0</v>
      </c>
      <c r="AB5" s="139" t="s">
        <v>125</v>
      </c>
      <c r="AC5" s="140">
        <f t="shared" si="3"/>
        <v>102000</v>
      </c>
    </row>
    <row r="6" ht="22.5" customHeight="1">
      <c r="A6" s="1" t="s">
        <v>7</v>
      </c>
      <c r="B6" s="1" t="s">
        <v>8</v>
      </c>
      <c r="C6" s="154">
        <f>'202507'!AC6</f>
        <v>0</v>
      </c>
      <c r="D6" s="129">
        <v>40000.0</v>
      </c>
      <c r="E6" s="129">
        <v>5000.0</v>
      </c>
      <c r="F6" s="129">
        <v>5000.0</v>
      </c>
      <c r="G6" s="129">
        <v>2000.0</v>
      </c>
      <c r="H6" s="130">
        <v>10000.0</v>
      </c>
      <c r="I6" s="130">
        <v>0.0</v>
      </c>
      <c r="J6" s="132"/>
      <c r="K6" s="130">
        <v>0.0</v>
      </c>
      <c r="L6" s="130">
        <f t="shared" si="4"/>
        <v>2263</v>
      </c>
      <c r="M6" s="130">
        <v>0.0</v>
      </c>
      <c r="N6" s="130">
        <v>1500.0</v>
      </c>
      <c r="O6" s="130">
        <v>0.0</v>
      </c>
      <c r="P6" s="130"/>
      <c r="Q6" s="130">
        <v>50.0</v>
      </c>
      <c r="R6" s="130"/>
      <c r="S6" s="130"/>
      <c r="T6" s="130">
        <v>0.0</v>
      </c>
      <c r="U6" s="130"/>
      <c r="V6" s="130"/>
      <c r="W6" s="135">
        <f t="shared" si="1"/>
        <v>65813</v>
      </c>
      <c r="X6" s="136"/>
      <c r="Y6" s="136"/>
      <c r="Z6" s="137">
        <f t="shared" si="2"/>
        <v>65813</v>
      </c>
      <c r="AA6" s="138" t="s">
        <v>126</v>
      </c>
      <c r="AB6" s="139" t="s">
        <v>125</v>
      </c>
      <c r="AC6" s="140">
        <f t="shared" si="3"/>
        <v>0</v>
      </c>
    </row>
    <row r="7" ht="22.5" customHeight="1">
      <c r="A7" s="1" t="s">
        <v>9</v>
      </c>
      <c r="B7" s="1" t="s">
        <v>10</v>
      </c>
      <c r="C7" s="154">
        <f>'202507'!AC7</f>
        <v>60000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10000.0</v>
      </c>
      <c r="I7" s="130">
        <v>42130.0</v>
      </c>
      <c r="J7" s="142">
        <v>-42448.0</v>
      </c>
      <c r="K7" s="130">
        <v>0.0</v>
      </c>
      <c r="L7" s="130">
        <f t="shared" si="4"/>
        <v>2263</v>
      </c>
      <c r="M7" s="130">
        <v>10000.0</v>
      </c>
      <c r="N7" s="130"/>
      <c r="O7" s="130">
        <v>6899.0</v>
      </c>
      <c r="P7" s="130"/>
      <c r="Q7" s="130">
        <v>0.0</v>
      </c>
      <c r="R7" s="143"/>
      <c r="S7" s="143"/>
      <c r="T7" s="143"/>
      <c r="U7" s="143"/>
      <c r="V7" s="132">
        <f>'202507'!AE7</f>
        <v>10000</v>
      </c>
      <c r="W7" s="135">
        <f>SUM(D7:U7)-V7</f>
        <v>70844</v>
      </c>
      <c r="X7" s="129">
        <v>26656.0</v>
      </c>
      <c r="Y7" s="144">
        <v>2500.0</v>
      </c>
      <c r="Z7" s="137">
        <f t="shared" si="2"/>
        <v>100000</v>
      </c>
      <c r="AA7" s="138">
        <v>110000.0</v>
      </c>
      <c r="AB7" s="139" t="s">
        <v>125</v>
      </c>
      <c r="AC7" s="140">
        <f t="shared" si="3"/>
        <v>50000</v>
      </c>
      <c r="AE7" s="145">
        <f>AD7-Z7</f>
        <v>-100000</v>
      </c>
    </row>
    <row r="8" ht="22.5" customHeight="1">
      <c r="A8" s="1" t="s">
        <v>11</v>
      </c>
      <c r="B8" s="2"/>
      <c r="C8" s="154">
        <f>'202507'!AC8</f>
        <v>0</v>
      </c>
      <c r="D8" s="129"/>
      <c r="E8" s="129"/>
      <c r="F8" s="129"/>
      <c r="G8" s="129"/>
      <c r="H8" s="130"/>
      <c r="I8" s="130"/>
      <c r="J8" s="132"/>
      <c r="K8" s="130">
        <v>0.0</v>
      </c>
      <c r="L8" s="130">
        <v>0.0</v>
      </c>
      <c r="M8" s="130"/>
      <c r="N8" s="130"/>
      <c r="O8" s="130">
        <v>0.0</v>
      </c>
      <c r="P8" s="130"/>
      <c r="Q8" s="130"/>
      <c r="R8" s="143"/>
      <c r="S8" s="143"/>
      <c r="T8" s="143"/>
      <c r="U8" s="143"/>
      <c r="V8" s="143"/>
      <c r="W8" s="135">
        <f t="shared" ref="W8:W110" si="5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</row>
    <row r="9" ht="22.5" customHeight="1">
      <c r="A9" s="1" t="s">
        <v>12</v>
      </c>
      <c r="B9" s="1" t="s">
        <v>13</v>
      </c>
      <c r="C9" s="154">
        <f>'202507'!AC9</f>
        <v>0</v>
      </c>
      <c r="D9" s="129">
        <v>40000.0</v>
      </c>
      <c r="E9" s="129">
        <v>5000.0</v>
      </c>
      <c r="F9" s="129">
        <v>5000.0</v>
      </c>
      <c r="G9" s="129">
        <v>2000.0</v>
      </c>
      <c r="H9" s="130">
        <v>10000.0</v>
      </c>
      <c r="I9" s="130">
        <v>13750.0</v>
      </c>
      <c r="J9" s="132"/>
      <c r="K9" s="130">
        <v>0.0</v>
      </c>
      <c r="L9" s="130">
        <f>73*25</f>
        <v>1825</v>
      </c>
      <c r="M9" s="130">
        <v>0.0</v>
      </c>
      <c r="N9" s="130">
        <v>0.0</v>
      </c>
      <c r="O9" s="130">
        <v>0.0</v>
      </c>
      <c r="P9" s="130"/>
      <c r="Q9" s="130">
        <v>0.0</v>
      </c>
      <c r="R9" s="130"/>
      <c r="S9" s="130"/>
      <c r="T9" s="130">
        <v>0.0</v>
      </c>
      <c r="U9" s="130"/>
      <c r="V9" s="130"/>
      <c r="W9" s="135">
        <f t="shared" si="5"/>
        <v>77575</v>
      </c>
      <c r="X9" s="136"/>
      <c r="Y9" s="136"/>
      <c r="Z9" s="137">
        <f t="shared" si="2"/>
        <v>77575</v>
      </c>
      <c r="AA9" s="138" t="s">
        <v>126</v>
      </c>
      <c r="AB9" s="139" t="s">
        <v>125</v>
      </c>
      <c r="AC9" s="140">
        <f t="shared" si="3"/>
        <v>0</v>
      </c>
    </row>
    <row r="10" ht="22.5" customHeight="1">
      <c r="A10" s="1" t="s">
        <v>14</v>
      </c>
      <c r="B10" s="1" t="s">
        <v>15</v>
      </c>
      <c r="C10" s="154">
        <f>'202507'!AC10</f>
        <v>0</v>
      </c>
      <c r="D10" s="129">
        <v>40000.0</v>
      </c>
      <c r="E10" s="129">
        <v>5000.0</v>
      </c>
      <c r="F10" s="129">
        <v>5000.0</v>
      </c>
      <c r="G10" s="129">
        <v>2000.0</v>
      </c>
      <c r="H10" s="130">
        <v>10000.0</v>
      </c>
      <c r="I10" s="130">
        <v>44330.0</v>
      </c>
      <c r="J10" s="132"/>
      <c r="K10" s="130">
        <v>0.0</v>
      </c>
      <c r="L10" s="130">
        <f t="shared" ref="L10:L11" si="6">73*31</f>
        <v>2263</v>
      </c>
      <c r="M10" s="130">
        <v>0.0</v>
      </c>
      <c r="N10" s="130">
        <v>0.0</v>
      </c>
      <c r="O10" s="130">
        <v>0.0</v>
      </c>
      <c r="P10" s="130"/>
      <c r="Q10" s="130">
        <v>0.0</v>
      </c>
      <c r="R10" s="130"/>
      <c r="S10" s="130"/>
      <c r="T10" s="130">
        <v>0.0</v>
      </c>
      <c r="U10" s="130"/>
      <c r="V10" s="130"/>
      <c r="W10" s="135">
        <f t="shared" si="5"/>
        <v>108593</v>
      </c>
      <c r="X10" s="148"/>
      <c r="Y10" s="148"/>
      <c r="Z10" s="137">
        <f t="shared" si="2"/>
        <v>108593</v>
      </c>
      <c r="AA10" s="138" t="s">
        <v>126</v>
      </c>
      <c r="AB10" s="139" t="s">
        <v>125</v>
      </c>
      <c r="AC10" s="140">
        <f t="shared" si="3"/>
        <v>0</v>
      </c>
    </row>
    <row r="11" ht="22.5" customHeight="1">
      <c r="A11" s="1" t="s">
        <v>16</v>
      </c>
      <c r="B11" s="1" t="s">
        <v>17</v>
      </c>
      <c r="C11" s="154">
        <f>'202507'!AC11</f>
        <v>0</v>
      </c>
      <c r="D11" s="129">
        <v>40000.0</v>
      </c>
      <c r="E11" s="129">
        <v>5000.0</v>
      </c>
      <c r="F11" s="129">
        <v>5000.0</v>
      </c>
      <c r="G11" s="129">
        <v>2000.0</v>
      </c>
      <c r="H11" s="130">
        <v>10000.0</v>
      </c>
      <c r="I11" s="130">
        <v>25300.0</v>
      </c>
      <c r="J11" s="132"/>
      <c r="K11" s="130">
        <v>0.0</v>
      </c>
      <c r="L11" s="130">
        <f t="shared" si="6"/>
        <v>2263</v>
      </c>
      <c r="M11" s="149">
        <v>0.0</v>
      </c>
      <c r="N11" s="130">
        <v>0.0</v>
      </c>
      <c r="O11" s="130">
        <v>0.0</v>
      </c>
      <c r="P11" s="130"/>
      <c r="Q11" s="130">
        <v>0.0</v>
      </c>
      <c r="R11" s="130"/>
      <c r="S11" s="133"/>
      <c r="T11" s="130">
        <v>0.0</v>
      </c>
      <c r="U11" s="130"/>
      <c r="V11" s="130"/>
      <c r="W11" s="135">
        <f t="shared" si="5"/>
        <v>89563</v>
      </c>
      <c r="X11" s="136"/>
      <c r="Y11" s="136"/>
      <c r="Z11" s="137">
        <f t="shared" si="2"/>
        <v>89563</v>
      </c>
      <c r="AA11" s="150"/>
      <c r="AB11" s="139" t="s">
        <v>125</v>
      </c>
      <c r="AC11" s="140">
        <f t="shared" si="3"/>
        <v>0</v>
      </c>
    </row>
    <row r="12" ht="22.5" customHeight="1">
      <c r="A12" s="1" t="s">
        <v>18</v>
      </c>
      <c r="B12" s="1" t="s">
        <v>19</v>
      </c>
      <c r="C12" s="154">
        <f>'202507'!AC12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>
        <v>0.0</v>
      </c>
      <c r="O12" s="130">
        <v>0.0</v>
      </c>
      <c r="P12" s="130"/>
      <c r="Q12" s="130"/>
      <c r="R12" s="130"/>
      <c r="S12" s="130"/>
      <c r="T12" s="130">
        <v>0.0</v>
      </c>
      <c r="U12" s="130"/>
      <c r="V12" s="130"/>
      <c r="W12" s="135">
        <f t="shared" si="5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</row>
    <row r="13" ht="22.5" customHeight="1">
      <c r="A13" s="1"/>
      <c r="B13" s="4"/>
      <c r="C13" s="154">
        <f>'202507'!AC13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5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</row>
    <row r="14" ht="22.5" customHeight="1">
      <c r="A14" s="1"/>
      <c r="B14" s="4"/>
      <c r="C14" s="154">
        <f>'202507'!AC14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5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54">
        <f>'202507'!AC15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5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54">
        <f>'202507'!AC16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5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54">
        <f>'202507'!AC17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5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54">
        <f>'202507'!AC18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5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54">
        <f>'202507'!AC19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5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54">
        <f>'202507'!AC20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5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54">
        <f>'202507'!AC21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5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54">
        <f>'202507'!AC22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5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54">
        <f>'202507'!AC23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5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54">
        <f>'202507'!AC24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5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54">
        <f>'202507'!AC25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5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54">
        <f>'202507'!AC26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5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54">
        <f>'202507'!AC27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5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54">
        <f>'202507'!AC28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5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54">
        <f>'202507'!AC29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5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54">
        <f>'202507'!AC30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5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54">
        <f>'202507'!AC31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5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54">
        <f>'202507'!AC32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5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54">
        <f>'202507'!AC33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5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54">
        <f>'202507'!AC34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5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54">
        <f>'202507'!AC35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5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54">
        <f>'202507'!AC36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5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54">
        <f>'202507'!AC37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5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54">
        <f>'202507'!AC38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5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54">
        <f>'202507'!AC39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5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54">
        <f>'202507'!AC40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5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54">
        <f>'202507'!AC41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5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54">
        <f>'202507'!AC42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5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54">
        <f>'202507'!AC43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5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54">
        <f>'202507'!AC44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5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54">
        <f>'202507'!AC45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5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54">
        <f>'202507'!AC46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5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54">
        <f>'202507'!AC47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5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54">
        <f>'202507'!AC48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5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54">
        <f>'202507'!AC49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5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54">
        <f>'202507'!AC50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5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54">
        <f>'202507'!AC51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5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54">
        <f>'202507'!AC52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5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54">
        <f>'202507'!AC53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5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54">
        <f>'202507'!AC54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5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54">
        <f>'202507'!AC55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5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54">
        <f>'202507'!AC56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5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54">
        <f>'202507'!AC57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5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54">
        <f>'202507'!AC58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5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54">
        <f>'202507'!AC59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5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54">
        <f>'202507'!AC60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5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54">
        <f>'202507'!AC61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5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54">
        <f>'202507'!AC62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5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54">
        <f>'202507'!AC63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5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54">
        <f>'202507'!AC64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5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54">
        <f>'202507'!AC65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5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54">
        <f>'202507'!AC66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5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54">
        <f>'202507'!AC67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5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54">
        <f>'202507'!AC68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5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54">
        <f>'202507'!AC69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5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54">
        <f>'202507'!AC70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5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54">
        <f>'202507'!AC71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5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54">
        <f>'202507'!AC72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5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54">
        <f>'202507'!AC73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5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54">
        <f>'202507'!AC74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5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54">
        <f>'202507'!AC75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5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54">
        <f>'202507'!AC76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5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54">
        <f>'202507'!AC77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5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54">
        <f>'202507'!AC78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5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54">
        <f>'202507'!AC79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5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54">
        <f>'202507'!AC80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5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54">
        <f>'202507'!AC81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5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54">
        <f>'202507'!AC82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5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54">
        <f>'202507'!AC83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5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54">
        <f>'202507'!AC84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5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54">
        <f>'202507'!AC85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5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54">
        <f>'202507'!AC86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5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54">
        <f>'202507'!AC87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5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54">
        <f>'202507'!AC88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5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54">
        <f>'202507'!AC89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5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54">
        <f>'202507'!AC90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5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54">
        <f>'202507'!AC91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5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54">
        <f>'202507'!AC92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5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54">
        <f>'202507'!AC93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5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54">
        <f>'202507'!AC94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5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54">
        <f>'202507'!AC95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5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54">
        <f>'202507'!AC96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5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54">
        <f>'202507'!AC97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5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54">
        <f>'202507'!AC98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5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54">
        <f>'202507'!AC99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5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54">
        <f>'202507'!AC100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5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54">
        <f>'202507'!AC101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5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54">
        <f>'202507'!AC102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5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54">
        <f>'202507'!AC103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5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54">
        <f>'202507'!AC104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5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54">
        <f>'202507'!AC105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5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54">
        <f>'202507'!AC106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5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54">
        <f>'202507'!AC107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5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54">
        <f>'202507'!AC108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5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54">
        <f>'202507'!AC109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5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7">SUM(D3:D109)</f>
        <v>320000</v>
      </c>
      <c r="E110" s="133">
        <f t="shared" si="7"/>
        <v>40000</v>
      </c>
      <c r="F110" s="133">
        <f t="shared" si="7"/>
        <v>40000</v>
      </c>
      <c r="G110" s="133">
        <f t="shared" si="7"/>
        <v>16000</v>
      </c>
      <c r="H110" s="133">
        <f t="shared" si="7"/>
        <v>80000</v>
      </c>
      <c r="I110" s="133">
        <f t="shared" si="7"/>
        <v>229020</v>
      </c>
      <c r="J110" s="155">
        <f t="shared" si="7"/>
        <v>-75201</v>
      </c>
      <c r="K110" s="133">
        <f t="shared" si="7"/>
        <v>0</v>
      </c>
      <c r="L110" s="133">
        <f t="shared" si="7"/>
        <v>15403</v>
      </c>
      <c r="M110" s="133">
        <f t="shared" si="7"/>
        <v>20000</v>
      </c>
      <c r="N110" s="133">
        <f t="shared" si="7"/>
        <v>1500</v>
      </c>
      <c r="O110" s="133">
        <f t="shared" si="7"/>
        <v>6899</v>
      </c>
      <c r="P110" s="133">
        <f t="shared" si="7"/>
        <v>0</v>
      </c>
      <c r="Q110" s="133">
        <f t="shared" si="7"/>
        <v>8056</v>
      </c>
      <c r="R110" s="133">
        <f t="shared" si="7"/>
        <v>0</v>
      </c>
      <c r="S110" s="133">
        <f t="shared" si="7"/>
        <v>0</v>
      </c>
      <c r="T110" s="133">
        <f t="shared" si="7"/>
        <v>0</v>
      </c>
      <c r="U110" s="133">
        <f t="shared" si="7"/>
        <v>0</v>
      </c>
      <c r="V110" s="133">
        <f t="shared" si="7"/>
        <v>10000</v>
      </c>
      <c r="W110" s="135">
        <f t="shared" si="5"/>
        <v>711677</v>
      </c>
      <c r="X110" s="133">
        <f t="shared" ref="X110:Y110" si="8">SUM(X3:X109)</f>
        <v>45010</v>
      </c>
      <c r="Y110" s="133">
        <f t="shared" si="8"/>
        <v>2500</v>
      </c>
      <c r="Z110" s="137">
        <f t="shared" si="2"/>
        <v>759187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45869.0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'202506'!AC3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4" si="3">C3-M3</f>
        <v>0</v>
      </c>
    </row>
    <row r="4" ht="22.5" customHeight="1">
      <c r="A4" s="1" t="s">
        <v>4</v>
      </c>
      <c r="B4" s="1"/>
      <c r="C4" s="154">
        <f>'202506'!AC4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</row>
    <row r="5" ht="22.5" customHeight="1">
      <c r="A5" s="1" t="s">
        <v>6</v>
      </c>
      <c r="B5" s="1"/>
      <c r="C5" s="154">
        <f>'202506'!AC5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61">
        <v>112000.0</v>
      </c>
    </row>
    <row r="6" ht="22.5" customHeight="1">
      <c r="A6" s="1" t="s">
        <v>7</v>
      </c>
      <c r="B6" s="1"/>
      <c r="C6" s="154">
        <f>'202506'!AC6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ref="AC6:AC109" si="4">C6-M6</f>
        <v>0</v>
      </c>
    </row>
    <row r="7" ht="22.5" customHeight="1">
      <c r="A7" s="1" t="s">
        <v>9</v>
      </c>
      <c r="B7" s="1" t="s">
        <v>10</v>
      </c>
      <c r="C7" s="154">
        <f>'202506'!AC7</f>
        <v>70000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21793.0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43"/>
      <c r="T7" s="143"/>
      <c r="U7" s="143"/>
      <c r="V7" s="132">
        <f>'202506'!AE7</f>
        <v>120000</v>
      </c>
      <c r="W7" s="135">
        <f>SUM(D7:U7)-V7</f>
        <v>-36207</v>
      </c>
      <c r="X7" s="129">
        <v>26207.0</v>
      </c>
      <c r="Y7" s="144"/>
      <c r="Z7" s="137">
        <f t="shared" si="2"/>
        <v>-10000</v>
      </c>
      <c r="AA7" s="138">
        <v>110000.0</v>
      </c>
      <c r="AB7" s="139" t="s">
        <v>125</v>
      </c>
      <c r="AC7" s="140">
        <f t="shared" si="4"/>
        <v>60000</v>
      </c>
      <c r="AE7" s="145">
        <f>AD7-Z7</f>
        <v>10000</v>
      </c>
    </row>
    <row r="8" ht="22.5" customHeight="1">
      <c r="A8" s="1" t="s">
        <v>11</v>
      </c>
      <c r="B8" s="2"/>
      <c r="C8" s="154">
        <f>'202506'!AC8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5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4"/>
        <v>0</v>
      </c>
    </row>
    <row r="9" ht="22.5" customHeight="1">
      <c r="A9" s="1" t="s">
        <v>12</v>
      </c>
      <c r="B9" s="1"/>
      <c r="C9" s="154">
        <f>'202506'!AC9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5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4"/>
        <v>0</v>
      </c>
    </row>
    <row r="10" ht="22.5" customHeight="1">
      <c r="A10" s="1" t="s">
        <v>14</v>
      </c>
      <c r="B10" s="1"/>
      <c r="C10" s="154">
        <f>'202506'!AC10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5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4"/>
        <v>0</v>
      </c>
    </row>
    <row r="11" ht="22.5" customHeight="1">
      <c r="A11" s="1" t="s">
        <v>16</v>
      </c>
      <c r="B11" s="1"/>
      <c r="C11" s="154">
        <f>'202506'!AC11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5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4"/>
        <v>0</v>
      </c>
    </row>
    <row r="12" ht="22.5" customHeight="1">
      <c r="A12" s="1" t="s">
        <v>18</v>
      </c>
      <c r="B12" s="1"/>
      <c r="C12" s="154">
        <f>'202506'!AC12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5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4"/>
        <v>0</v>
      </c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5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4"/>
        <v>0</v>
      </c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5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4"/>
        <v>0</v>
      </c>
      <c r="AD14" s="152"/>
      <c r="AF14" s="152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5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4"/>
        <v>0</v>
      </c>
      <c r="AD15" s="152"/>
      <c r="AF15" s="152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5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4"/>
        <v>0</v>
      </c>
      <c r="AD16" s="152"/>
      <c r="AF16" s="152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5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4"/>
        <v>0</v>
      </c>
      <c r="AD17" s="152"/>
      <c r="AF17" s="152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5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4"/>
        <v>0</v>
      </c>
      <c r="AD18" s="152"/>
      <c r="AF18" s="152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5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4"/>
        <v>0</v>
      </c>
      <c r="AD19" s="152"/>
      <c r="AF19" s="152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5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4"/>
        <v>0</v>
      </c>
      <c r="AD20" s="152"/>
      <c r="AF20" s="152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5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4"/>
        <v>0</v>
      </c>
      <c r="AD21" s="152"/>
      <c r="AF21" s="152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5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4"/>
        <v>0</v>
      </c>
      <c r="AD22" s="152"/>
      <c r="AF22" s="152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5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4"/>
        <v>0</v>
      </c>
      <c r="AD23" s="152"/>
      <c r="AF23" s="152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5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4"/>
        <v>0</v>
      </c>
      <c r="AD24" s="152"/>
      <c r="AF24" s="152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5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4"/>
        <v>0</v>
      </c>
      <c r="AD25" s="152"/>
      <c r="AF25" s="152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5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4"/>
        <v>0</v>
      </c>
      <c r="AD26" s="152"/>
      <c r="AF26" s="152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5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4"/>
        <v>0</v>
      </c>
      <c r="AD27" s="152"/>
      <c r="AF27" s="152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5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4"/>
        <v>0</v>
      </c>
      <c r="AD28" s="152"/>
      <c r="AF28" s="152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5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4"/>
        <v>0</v>
      </c>
      <c r="AD29" s="152"/>
      <c r="AF29" s="152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5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4"/>
        <v>0</v>
      </c>
      <c r="AD30" s="152"/>
      <c r="AF30" s="152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5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4"/>
        <v>0</v>
      </c>
      <c r="AD31" s="152"/>
      <c r="AF31" s="152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5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4"/>
        <v>0</v>
      </c>
      <c r="AD32" s="152"/>
      <c r="AF32" s="152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5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4"/>
        <v>0</v>
      </c>
      <c r="AD33" s="152"/>
      <c r="AF33" s="152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5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4"/>
        <v>0</v>
      </c>
      <c r="AD34" s="152"/>
      <c r="AF34" s="152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5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4"/>
        <v>0</v>
      </c>
      <c r="AD35" s="152"/>
      <c r="AF35" s="152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5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4"/>
        <v>0</v>
      </c>
      <c r="AD36" s="152"/>
      <c r="AF36" s="152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5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4"/>
        <v>0</v>
      </c>
      <c r="AD37" s="152"/>
      <c r="AF37" s="152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5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4"/>
        <v>0</v>
      </c>
      <c r="AD38" s="152"/>
      <c r="AF38" s="152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5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4"/>
        <v>0</v>
      </c>
      <c r="AD39" s="152"/>
      <c r="AF39" s="152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5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4"/>
        <v>0</v>
      </c>
      <c r="AD40" s="152"/>
      <c r="AF40" s="152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5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4"/>
        <v>0</v>
      </c>
      <c r="AD41" s="152"/>
      <c r="AF41" s="152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5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4"/>
        <v>0</v>
      </c>
      <c r="AD42" s="152"/>
      <c r="AF42" s="152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5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4"/>
        <v>0</v>
      </c>
      <c r="AD43" s="152"/>
      <c r="AF43" s="152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5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4"/>
        <v>0</v>
      </c>
      <c r="AD44" s="152"/>
      <c r="AF44" s="152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5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4"/>
        <v>0</v>
      </c>
      <c r="AD45" s="152"/>
      <c r="AF45" s="152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5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4"/>
        <v>0</v>
      </c>
      <c r="AD46" s="152"/>
      <c r="AF46" s="152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5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4"/>
        <v>0</v>
      </c>
      <c r="AD47" s="152"/>
      <c r="AF47" s="152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5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4"/>
        <v>0</v>
      </c>
      <c r="AD48" s="152"/>
      <c r="AF48" s="152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5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4"/>
        <v>0</v>
      </c>
      <c r="AD49" s="152"/>
      <c r="AF49" s="152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5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4"/>
        <v>0</v>
      </c>
      <c r="AD50" s="152"/>
      <c r="AF50" s="152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5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4"/>
        <v>0</v>
      </c>
      <c r="AD51" s="152"/>
      <c r="AF51" s="152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5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4"/>
        <v>0</v>
      </c>
      <c r="AD52" s="152"/>
      <c r="AF52" s="152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5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4"/>
        <v>0</v>
      </c>
      <c r="AD53" s="152"/>
      <c r="AF53" s="152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5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4"/>
        <v>0</v>
      </c>
      <c r="AD54" s="152"/>
      <c r="AF54" s="152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5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4"/>
        <v>0</v>
      </c>
      <c r="AD55" s="152"/>
      <c r="AF55" s="152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5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4"/>
        <v>0</v>
      </c>
      <c r="AD56" s="152"/>
      <c r="AF56" s="152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5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4"/>
        <v>0</v>
      </c>
      <c r="AD57" s="152"/>
      <c r="AF57" s="152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5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4"/>
        <v>0</v>
      </c>
      <c r="AD58" s="152"/>
      <c r="AF58" s="152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5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4"/>
        <v>0</v>
      </c>
      <c r="AD59" s="152"/>
      <c r="AF59" s="152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5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4"/>
        <v>0</v>
      </c>
      <c r="AD60" s="152"/>
      <c r="AF60" s="152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5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4"/>
        <v>0</v>
      </c>
      <c r="AD61" s="152"/>
      <c r="AF61" s="152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5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4"/>
        <v>0</v>
      </c>
      <c r="AD62" s="152"/>
      <c r="AF62" s="152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5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4"/>
        <v>0</v>
      </c>
      <c r="AD63" s="152"/>
      <c r="AF63" s="152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5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4"/>
        <v>0</v>
      </c>
      <c r="AD64" s="152"/>
      <c r="AF64" s="152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5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4"/>
        <v>0</v>
      </c>
      <c r="AD65" s="152"/>
      <c r="AF65" s="152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5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4"/>
        <v>0</v>
      </c>
      <c r="AD66" s="152"/>
      <c r="AF66" s="152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5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4"/>
        <v>0</v>
      </c>
      <c r="AD67" s="152"/>
      <c r="AF67" s="152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5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4"/>
        <v>0</v>
      </c>
      <c r="AD68" s="152"/>
      <c r="AF68" s="152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5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4"/>
        <v>0</v>
      </c>
      <c r="AD69" s="152"/>
      <c r="AF69" s="152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5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4"/>
        <v>0</v>
      </c>
      <c r="AD70" s="152"/>
      <c r="AF70" s="152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5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4"/>
        <v>0</v>
      </c>
      <c r="AD71" s="152"/>
      <c r="AF71" s="152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5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4"/>
        <v>0</v>
      </c>
      <c r="AD72" s="152"/>
      <c r="AF72" s="152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5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4"/>
        <v>0</v>
      </c>
      <c r="AD73" s="152"/>
      <c r="AF73" s="152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5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4"/>
        <v>0</v>
      </c>
      <c r="AD74" s="152"/>
      <c r="AF74" s="152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5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4"/>
        <v>0</v>
      </c>
      <c r="AD75" s="152"/>
      <c r="AF75" s="152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5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4"/>
        <v>0</v>
      </c>
      <c r="AD76" s="152"/>
      <c r="AF76" s="152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5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4"/>
        <v>0</v>
      </c>
      <c r="AD77" s="152"/>
      <c r="AF77" s="152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5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4"/>
        <v>0</v>
      </c>
      <c r="AD78" s="152"/>
      <c r="AF78" s="152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5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4"/>
        <v>0</v>
      </c>
      <c r="AD79" s="152"/>
      <c r="AF79" s="152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5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4"/>
        <v>0</v>
      </c>
      <c r="AD80" s="152"/>
      <c r="AF80" s="152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5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4"/>
        <v>0</v>
      </c>
      <c r="AD81" s="152"/>
      <c r="AF81" s="152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5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4"/>
        <v>0</v>
      </c>
      <c r="AD82" s="152"/>
      <c r="AF82" s="152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5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4"/>
        <v>0</v>
      </c>
      <c r="AD83" s="152"/>
      <c r="AF83" s="152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5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4"/>
        <v>0</v>
      </c>
      <c r="AD84" s="152"/>
      <c r="AF84" s="152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5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4"/>
        <v>0</v>
      </c>
      <c r="AD85" s="152"/>
      <c r="AF85" s="152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5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4"/>
        <v>0</v>
      </c>
      <c r="AD86" s="152"/>
      <c r="AF86" s="152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5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4"/>
        <v>0</v>
      </c>
      <c r="AD87" s="152"/>
      <c r="AF87" s="152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5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4"/>
        <v>0</v>
      </c>
      <c r="AD88" s="152"/>
      <c r="AF88" s="152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5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4"/>
        <v>0</v>
      </c>
      <c r="AD89" s="152"/>
      <c r="AF89" s="152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5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4"/>
        <v>0</v>
      </c>
      <c r="AD90" s="152"/>
      <c r="AF90" s="152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5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4"/>
        <v>0</v>
      </c>
      <c r="AD91" s="152"/>
      <c r="AF91" s="152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5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4"/>
        <v>0</v>
      </c>
      <c r="AD92" s="152"/>
      <c r="AF92" s="152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5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4"/>
        <v>0</v>
      </c>
      <c r="AD93" s="152"/>
      <c r="AF93" s="152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5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4"/>
        <v>0</v>
      </c>
      <c r="AD94" s="152"/>
      <c r="AF94" s="152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5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4"/>
        <v>0</v>
      </c>
      <c r="AD95" s="152"/>
      <c r="AF95" s="152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5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4"/>
        <v>0</v>
      </c>
      <c r="AD96" s="152"/>
      <c r="AF96" s="152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5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4"/>
        <v>0</v>
      </c>
      <c r="AD97" s="152"/>
      <c r="AF97" s="152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5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4"/>
        <v>0</v>
      </c>
      <c r="AD98" s="152"/>
      <c r="AF98" s="152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5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4"/>
        <v>0</v>
      </c>
      <c r="AD99" s="152"/>
      <c r="AF99" s="152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5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4"/>
        <v>0</v>
      </c>
      <c r="AD100" s="152"/>
      <c r="AF100" s="152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5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4"/>
        <v>0</v>
      </c>
      <c r="AD101" s="152"/>
      <c r="AF101" s="152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5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4"/>
        <v>0</v>
      </c>
      <c r="AD102" s="152"/>
      <c r="AF102" s="152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5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4"/>
        <v>0</v>
      </c>
      <c r="AD103" s="152"/>
      <c r="AF103" s="152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5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4"/>
        <v>0</v>
      </c>
      <c r="AD104" s="152"/>
      <c r="AF104" s="152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5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4"/>
        <v>0</v>
      </c>
      <c r="AD105" s="152"/>
      <c r="AF105" s="152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5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4"/>
        <v>0</v>
      </c>
      <c r="AD106" s="152"/>
      <c r="AF106" s="152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5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4"/>
        <v>0</v>
      </c>
      <c r="AD107" s="152"/>
      <c r="AF107" s="152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5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4"/>
        <v>0</v>
      </c>
      <c r="AD108" s="152"/>
      <c r="AF108" s="152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5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4"/>
        <v>0</v>
      </c>
      <c r="AD109" s="152"/>
      <c r="AF109" s="152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6">SUM(D3:D109)</f>
        <v>40000</v>
      </c>
      <c r="E110" s="133">
        <f t="shared" si="6"/>
        <v>5000</v>
      </c>
      <c r="F110" s="133">
        <f t="shared" si="6"/>
        <v>5000</v>
      </c>
      <c r="G110" s="133">
        <f t="shared" si="6"/>
        <v>2000</v>
      </c>
      <c r="H110" s="133">
        <f t="shared" si="6"/>
        <v>0</v>
      </c>
      <c r="I110" s="133">
        <f t="shared" si="6"/>
        <v>21793</v>
      </c>
      <c r="J110" s="155">
        <f t="shared" si="6"/>
        <v>0</v>
      </c>
      <c r="K110" s="133">
        <f t="shared" si="6"/>
        <v>0</v>
      </c>
      <c r="L110" s="133">
        <f t="shared" si="6"/>
        <v>0</v>
      </c>
      <c r="M110" s="133">
        <f t="shared" si="6"/>
        <v>10000</v>
      </c>
      <c r="N110" s="133">
        <f t="shared" si="6"/>
        <v>0</v>
      </c>
      <c r="O110" s="133">
        <f t="shared" si="6"/>
        <v>0</v>
      </c>
      <c r="P110" s="133">
        <f t="shared" si="6"/>
        <v>0</v>
      </c>
      <c r="Q110" s="133">
        <f t="shared" si="6"/>
        <v>0</v>
      </c>
      <c r="R110" s="133">
        <f t="shared" si="6"/>
        <v>0</v>
      </c>
      <c r="S110" s="133">
        <f t="shared" si="6"/>
        <v>0</v>
      </c>
      <c r="T110" s="133">
        <f t="shared" si="6"/>
        <v>0</v>
      </c>
      <c r="U110" s="133">
        <f t="shared" si="6"/>
        <v>0</v>
      </c>
      <c r="V110" s="133">
        <f t="shared" si="6"/>
        <v>120000</v>
      </c>
      <c r="W110" s="135">
        <f t="shared" si="5"/>
        <v>203793</v>
      </c>
      <c r="X110" s="133">
        <f t="shared" ref="X110:Y110" si="7">SUM(X3:X109)</f>
        <v>26207</v>
      </c>
      <c r="Y110" s="133">
        <f t="shared" si="7"/>
        <v>0</v>
      </c>
      <c r="Z110" s="137">
        <f t="shared" si="2"/>
        <v>230000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45838.0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'202505'!AC3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'202505'!AC4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'202505'!AC5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'202505'!AC6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'202505'!AC7</f>
        <v>80000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40700.0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7300.0</v>
      </c>
      <c r="T7" s="143"/>
      <c r="U7" s="143"/>
      <c r="V7" s="132">
        <f>'202505'!AE7</f>
        <v>30000</v>
      </c>
      <c r="W7" s="135">
        <f>SUM(D7:U7)-V7</f>
        <v>80000</v>
      </c>
      <c r="X7" s="129"/>
      <c r="Y7" s="144"/>
      <c r="Z7" s="137">
        <f t="shared" si="2"/>
        <v>80000</v>
      </c>
      <c r="AA7" s="138">
        <v>110000.0</v>
      </c>
      <c r="AB7" s="139" t="s">
        <v>125</v>
      </c>
      <c r="AC7" s="140">
        <f t="shared" si="3"/>
        <v>70000</v>
      </c>
      <c r="AD7" s="139">
        <v>200000.0</v>
      </c>
      <c r="AE7" s="145">
        <f>AD7-Z7</f>
        <v>120000</v>
      </c>
      <c r="AF7" s="165">
        <v>45950.0</v>
      </c>
    </row>
    <row r="8" ht="22.5" customHeight="1">
      <c r="A8" s="1" t="s">
        <v>11</v>
      </c>
      <c r="B8" s="2"/>
      <c r="C8" s="154">
        <f>'202505'!AC8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'202505'!AC9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'202505'!AC10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'202505'!AC11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'202505'!AC12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40000</v>
      </c>
      <c r="E110" s="133">
        <f t="shared" si="5"/>
        <v>5000</v>
      </c>
      <c r="F110" s="133">
        <f t="shared" si="5"/>
        <v>5000</v>
      </c>
      <c r="G110" s="133">
        <f t="shared" si="5"/>
        <v>2000</v>
      </c>
      <c r="H110" s="133">
        <f t="shared" si="5"/>
        <v>0</v>
      </c>
      <c r="I110" s="133">
        <f t="shared" si="5"/>
        <v>40700</v>
      </c>
      <c r="J110" s="155">
        <f t="shared" si="5"/>
        <v>0</v>
      </c>
      <c r="K110" s="133">
        <f t="shared" si="5"/>
        <v>0</v>
      </c>
      <c r="L110" s="133">
        <f t="shared" si="5"/>
        <v>0</v>
      </c>
      <c r="M110" s="133">
        <f t="shared" si="5"/>
        <v>10000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0</v>
      </c>
      <c r="R110" s="133">
        <f t="shared" si="5"/>
        <v>0</v>
      </c>
      <c r="S110" s="133">
        <f t="shared" si="5"/>
        <v>7300</v>
      </c>
      <c r="T110" s="133">
        <f t="shared" si="5"/>
        <v>0</v>
      </c>
      <c r="U110" s="133">
        <f t="shared" si="5"/>
        <v>0</v>
      </c>
      <c r="V110" s="133">
        <f t="shared" si="5"/>
        <v>30000</v>
      </c>
      <c r="W110" s="135">
        <f t="shared" si="4"/>
        <v>140000</v>
      </c>
      <c r="X110" s="133">
        <f t="shared" ref="X110:Y110" si="6">SUM(X3:X109)</f>
        <v>0</v>
      </c>
      <c r="Y110" s="133">
        <f t="shared" si="6"/>
        <v>0</v>
      </c>
      <c r="Z110" s="137">
        <f t="shared" si="2"/>
        <v>140000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45808.0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'202504'!AC3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'202504'!AC4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'202504'!AC5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'202504'!AC6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'202504'!AC7</f>
        <v>90000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42130.0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5870.0</v>
      </c>
      <c r="T7" s="143"/>
      <c r="U7" s="143"/>
      <c r="V7" s="132">
        <f>'202504'!AE7</f>
        <v>50000</v>
      </c>
      <c r="W7" s="135">
        <f>SUM(D7:U7)-V7</f>
        <v>60000</v>
      </c>
      <c r="X7" s="129"/>
      <c r="Y7" s="144"/>
      <c r="Z7" s="137">
        <f t="shared" si="2"/>
        <v>60000</v>
      </c>
      <c r="AA7" s="138">
        <v>110000.0</v>
      </c>
      <c r="AB7" s="139" t="s">
        <v>125</v>
      </c>
      <c r="AC7" s="140">
        <f t="shared" si="3"/>
        <v>80000</v>
      </c>
      <c r="AD7" s="139">
        <v>90000.0</v>
      </c>
      <c r="AE7" s="145">
        <f>AD7-Z7</f>
        <v>30000</v>
      </c>
      <c r="AF7" s="165">
        <v>45894.0</v>
      </c>
    </row>
    <row r="8" ht="22.5" customHeight="1">
      <c r="A8" s="1" t="s">
        <v>11</v>
      </c>
      <c r="B8" s="2"/>
      <c r="C8" s="154">
        <f>'202504'!AC8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'202504'!AC9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'202504'!AC10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'202504'!AC11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'202504'!AC12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40000</v>
      </c>
      <c r="E110" s="133">
        <f t="shared" si="5"/>
        <v>5000</v>
      </c>
      <c r="F110" s="133">
        <f t="shared" si="5"/>
        <v>5000</v>
      </c>
      <c r="G110" s="133">
        <f t="shared" si="5"/>
        <v>2000</v>
      </c>
      <c r="H110" s="133">
        <f t="shared" si="5"/>
        <v>0</v>
      </c>
      <c r="I110" s="133">
        <f t="shared" si="5"/>
        <v>42130</v>
      </c>
      <c r="J110" s="155">
        <f t="shared" si="5"/>
        <v>0</v>
      </c>
      <c r="K110" s="133">
        <f t="shared" si="5"/>
        <v>0</v>
      </c>
      <c r="L110" s="133">
        <f t="shared" si="5"/>
        <v>0</v>
      </c>
      <c r="M110" s="133">
        <f t="shared" si="5"/>
        <v>10000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0</v>
      </c>
      <c r="R110" s="133">
        <f t="shared" si="5"/>
        <v>0</v>
      </c>
      <c r="S110" s="133">
        <f t="shared" si="5"/>
        <v>5870</v>
      </c>
      <c r="T110" s="133">
        <f t="shared" si="5"/>
        <v>0</v>
      </c>
      <c r="U110" s="133">
        <f t="shared" si="5"/>
        <v>0</v>
      </c>
      <c r="V110" s="133">
        <f t="shared" si="5"/>
        <v>50000</v>
      </c>
      <c r="W110" s="135">
        <f t="shared" si="4"/>
        <v>160000</v>
      </c>
      <c r="X110" s="133">
        <f t="shared" ref="X110:Y110" si="6">SUM(X3:X109)</f>
        <v>0</v>
      </c>
      <c r="Y110" s="133">
        <f t="shared" si="6"/>
        <v>0</v>
      </c>
      <c r="Z110" s="137">
        <f t="shared" si="2"/>
        <v>160000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45777.0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'202503'!AC3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'202503'!AC4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'202503'!AC5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'202503'!AC6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'202503'!AC7</f>
        <v>100000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42900.0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5100.0</v>
      </c>
      <c r="T7" s="143"/>
      <c r="U7" s="143"/>
      <c r="V7" s="132">
        <f>'202503'!AE7</f>
        <v>40000</v>
      </c>
      <c r="W7" s="135">
        <f>SUM(D7:U7)-V7</f>
        <v>70000</v>
      </c>
      <c r="X7" s="129"/>
      <c r="Y7" s="144"/>
      <c r="Z7" s="137">
        <f t="shared" si="2"/>
        <v>70000</v>
      </c>
      <c r="AA7" s="138">
        <v>110000.0</v>
      </c>
      <c r="AB7" s="139" t="s">
        <v>125</v>
      </c>
      <c r="AC7" s="140">
        <f t="shared" si="3"/>
        <v>90000</v>
      </c>
      <c r="AD7" s="139">
        <v>120000.0</v>
      </c>
      <c r="AE7" s="145">
        <f>AD7-Z7</f>
        <v>50000</v>
      </c>
      <c r="AF7" s="165">
        <v>45888.0</v>
      </c>
    </row>
    <row r="8" ht="22.5" customHeight="1">
      <c r="A8" s="1" t="s">
        <v>11</v>
      </c>
      <c r="B8" s="2"/>
      <c r="C8" s="154">
        <f>'202503'!AC8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'202503'!AC9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'202503'!AC10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'202503'!AC11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'202503'!AC12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40000</v>
      </c>
      <c r="E110" s="133">
        <f t="shared" si="5"/>
        <v>5000</v>
      </c>
      <c r="F110" s="133">
        <f t="shared" si="5"/>
        <v>5000</v>
      </c>
      <c r="G110" s="133">
        <f t="shared" si="5"/>
        <v>2000</v>
      </c>
      <c r="H110" s="133">
        <f t="shared" si="5"/>
        <v>0</v>
      </c>
      <c r="I110" s="133">
        <f t="shared" si="5"/>
        <v>42900</v>
      </c>
      <c r="J110" s="155">
        <f t="shared" si="5"/>
        <v>0</v>
      </c>
      <c r="K110" s="133">
        <f t="shared" si="5"/>
        <v>0</v>
      </c>
      <c r="L110" s="133">
        <f t="shared" si="5"/>
        <v>0</v>
      </c>
      <c r="M110" s="133">
        <f t="shared" si="5"/>
        <v>10000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0</v>
      </c>
      <c r="R110" s="133">
        <f t="shared" si="5"/>
        <v>0</v>
      </c>
      <c r="S110" s="133">
        <f t="shared" si="5"/>
        <v>5100</v>
      </c>
      <c r="T110" s="133">
        <f t="shared" si="5"/>
        <v>0</v>
      </c>
      <c r="U110" s="133">
        <f t="shared" si="5"/>
        <v>0</v>
      </c>
      <c r="V110" s="133">
        <f t="shared" si="5"/>
        <v>40000</v>
      </c>
      <c r="W110" s="135">
        <f t="shared" si="4"/>
        <v>150000</v>
      </c>
      <c r="X110" s="133">
        <f t="shared" ref="X110:Y110" si="6">SUM(X3:X109)</f>
        <v>0</v>
      </c>
      <c r="Y110" s="133">
        <f t="shared" si="6"/>
        <v>0</v>
      </c>
      <c r="Z110" s="137">
        <f t="shared" si="2"/>
        <v>150000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45747.0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'202502'!AC3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'202502'!AC4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'202502'!AC5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'202502'!AC6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'202502'!AC7</f>
        <v>110000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34870.0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13130.0</v>
      </c>
      <c r="T7" s="143"/>
      <c r="U7" s="143"/>
      <c r="V7" s="132">
        <f>'202502'!AE7</f>
        <v>30000</v>
      </c>
      <c r="W7" s="135">
        <f>SUM(D7:U7)-V7</f>
        <v>80000</v>
      </c>
      <c r="X7" s="129"/>
      <c r="Y7" s="144"/>
      <c r="Z7" s="137">
        <f t="shared" si="2"/>
        <v>80000</v>
      </c>
      <c r="AA7" s="138">
        <v>110000.0</v>
      </c>
      <c r="AB7" s="139" t="s">
        <v>125</v>
      </c>
      <c r="AC7" s="140">
        <f t="shared" si="3"/>
        <v>100000</v>
      </c>
      <c r="AD7" s="139">
        <v>120000.0</v>
      </c>
      <c r="AE7" s="145">
        <f>AD7-Z7</f>
        <v>40000</v>
      </c>
      <c r="AF7" s="165">
        <v>45828.0</v>
      </c>
    </row>
    <row r="8" ht="22.5" customHeight="1">
      <c r="A8" s="1" t="s">
        <v>11</v>
      </c>
      <c r="B8" s="2"/>
      <c r="C8" s="154">
        <f>'202502'!AC8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'202502'!AC9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'202502'!AC10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'202502'!AC11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'202502'!AC12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40000</v>
      </c>
      <c r="E110" s="133">
        <f t="shared" si="5"/>
        <v>5000</v>
      </c>
      <c r="F110" s="133">
        <f t="shared" si="5"/>
        <v>5000</v>
      </c>
      <c r="G110" s="133">
        <f t="shared" si="5"/>
        <v>2000</v>
      </c>
      <c r="H110" s="133">
        <f t="shared" si="5"/>
        <v>0</v>
      </c>
      <c r="I110" s="133">
        <f t="shared" si="5"/>
        <v>34870</v>
      </c>
      <c r="J110" s="155">
        <f t="shared" si="5"/>
        <v>0</v>
      </c>
      <c r="K110" s="133">
        <f t="shared" si="5"/>
        <v>0</v>
      </c>
      <c r="L110" s="133">
        <f t="shared" si="5"/>
        <v>0</v>
      </c>
      <c r="M110" s="133">
        <f t="shared" si="5"/>
        <v>10000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0</v>
      </c>
      <c r="R110" s="133">
        <f t="shared" si="5"/>
        <v>0</v>
      </c>
      <c r="S110" s="133">
        <f t="shared" si="5"/>
        <v>13130</v>
      </c>
      <c r="T110" s="133">
        <f t="shared" si="5"/>
        <v>0</v>
      </c>
      <c r="U110" s="133">
        <f t="shared" si="5"/>
        <v>0</v>
      </c>
      <c r="V110" s="133">
        <f t="shared" si="5"/>
        <v>30000</v>
      </c>
      <c r="W110" s="135">
        <f t="shared" si="4"/>
        <v>140000</v>
      </c>
      <c r="X110" s="133">
        <f t="shared" ref="X110:Y110" si="6">SUM(X3:X109)</f>
        <v>0</v>
      </c>
      <c r="Y110" s="133">
        <f t="shared" si="6"/>
        <v>0</v>
      </c>
      <c r="Z110" s="137">
        <f t="shared" si="2"/>
        <v>140000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45716.0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'202501'!AC3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6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'202501'!AC4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'202501'!AC5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'202501'!AC6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'202501'!AC7</f>
        <v>120000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48000.0</v>
      </c>
      <c r="T7" s="143"/>
      <c r="U7" s="143"/>
      <c r="V7" s="143">
        <f>'202501'!AE7</f>
        <v>20000</v>
      </c>
      <c r="W7" s="135">
        <f>SUM(D7:U7)-V7</f>
        <v>90000</v>
      </c>
      <c r="X7" s="129"/>
      <c r="Y7" s="144"/>
      <c r="Z7" s="137">
        <f t="shared" si="2"/>
        <v>90000</v>
      </c>
      <c r="AA7" s="138">
        <v>110000.0</v>
      </c>
      <c r="AB7" s="139" t="s">
        <v>125</v>
      </c>
      <c r="AC7" s="140">
        <f t="shared" si="3"/>
        <v>110000</v>
      </c>
      <c r="AD7" s="139">
        <v>120000.0</v>
      </c>
      <c r="AE7" s="145">
        <f>AD7-Z7</f>
        <v>30000</v>
      </c>
      <c r="AF7" s="165">
        <v>45823.0</v>
      </c>
    </row>
    <row r="8" ht="22.5" customHeight="1">
      <c r="A8" s="1" t="s">
        <v>11</v>
      </c>
      <c r="B8" s="2"/>
      <c r="C8" s="154">
        <f>'202501'!AC8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ref="W8:W110" si="4">SUM(D8:V8)</f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'202501'!AC9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4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'202501'!AC10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4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'202501'!AC11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4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'202501'!AC12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4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54">
        <f>'202501'!AC13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4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54">
        <f>'202501'!AC14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4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54">
        <f>'202501'!AC15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4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54">
        <f>'202501'!AC16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4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54">
        <f>'202501'!AC17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4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54">
        <f>'202501'!AC18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4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54">
        <f>'202501'!AC19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4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54">
        <f>'202501'!AC20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4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54">
        <f>'202501'!AC21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4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54">
        <f>'202501'!AC22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4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54">
        <f>'202501'!AC23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4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54">
        <f>'202501'!AC24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4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54">
        <f>'202501'!AC25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4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54">
        <f>'202501'!AC26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4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54">
        <f>'202501'!AC27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4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54">
        <f>'202501'!AC28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4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54">
        <f>'202501'!AC29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4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54">
        <f>'202501'!AC30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4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54">
        <f>'202501'!AC31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4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54">
        <f>'202501'!AC32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4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54">
        <f>'202501'!AC33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4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54">
        <f>'202501'!AC34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4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54">
        <f>'202501'!AC35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4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54">
        <f>'202501'!AC36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4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54">
        <f>'202501'!AC37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4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54">
        <f>'202501'!AC38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4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54">
        <f>'202501'!AC39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4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54">
        <f>'202501'!AC40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4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54">
        <f>'202501'!AC41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4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54">
        <f>'202501'!AC42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4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54">
        <f>'202501'!AC43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4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54">
        <f>'202501'!AC44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4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54">
        <f>'202501'!AC45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4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54">
        <f>'202501'!AC46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4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54">
        <f>'202501'!AC47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4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54">
        <f>'202501'!AC48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4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54">
        <f>'202501'!AC49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4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54">
        <f>'202501'!AC50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4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54">
        <f>'202501'!AC51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4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54">
        <f>'202501'!AC52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4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54">
        <f>'202501'!AC53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4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54">
        <f>'202501'!AC54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4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54">
        <f>'202501'!AC55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4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54">
        <f>'202501'!AC56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4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54">
        <f>'202501'!AC57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4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54">
        <f>'202501'!AC58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4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54">
        <f>'202501'!AC59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4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54">
        <f>'202501'!AC60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4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54">
        <f>'202501'!AC61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4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54">
        <f>'202501'!AC62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4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54">
        <f>'202501'!AC63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4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54">
        <f>'202501'!AC64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4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54">
        <f>'202501'!AC65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4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54">
        <f>'202501'!AC66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4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54">
        <f>'202501'!AC67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4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54">
        <f>'202501'!AC68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4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54">
        <f>'202501'!AC69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4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54">
        <f>'202501'!AC70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4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54">
        <f>'202501'!AC71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4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54">
        <f>'202501'!AC72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4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54">
        <f>'202501'!AC73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4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54">
        <f>'202501'!AC74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4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54">
        <f>'202501'!AC75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4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54">
        <f>'202501'!AC76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4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54">
        <f>'202501'!AC77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4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54">
        <f>'202501'!AC78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4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54">
        <f>'202501'!AC79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4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54">
        <f>'202501'!AC80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4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54">
        <f>'202501'!AC81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4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54">
        <f>'202501'!AC82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4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54">
        <f>'202501'!AC83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4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54">
        <f>'202501'!AC84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4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54">
        <f>'202501'!AC85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4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54">
        <f>'202501'!AC86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4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54">
        <f>'202501'!AC87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4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54">
        <f>'202501'!AC88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4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54">
        <f>'202501'!AC89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4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54">
        <f>'202501'!AC90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4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54">
        <f>'202501'!AC91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4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54">
        <f>'202501'!AC92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4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54">
        <f>'202501'!AC93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4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54">
        <f>'202501'!AC94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4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54">
        <f>'202501'!AC95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4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54">
        <f>'202501'!AC96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4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54">
        <f>'202501'!AC97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4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54">
        <f>'202501'!AC98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4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54">
        <f>'202501'!AC99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4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54">
        <f>'202501'!AC100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4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54">
        <f>'202501'!AC101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4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54">
        <f>'202501'!AC102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4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54">
        <f>'202501'!AC103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4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54">
        <f>'202501'!AC104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4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54">
        <f>'202501'!AC105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4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54">
        <f>'202501'!AC106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4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54">
        <f>'202501'!AC107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4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54">
        <f>'202501'!AC108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4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54">
        <f>'202501'!AC109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4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5">SUM(D3:D109)</f>
        <v>40000</v>
      </c>
      <c r="E110" s="133">
        <f t="shared" si="5"/>
        <v>5000</v>
      </c>
      <c r="F110" s="133">
        <f t="shared" si="5"/>
        <v>5000</v>
      </c>
      <c r="G110" s="133">
        <f t="shared" si="5"/>
        <v>2000</v>
      </c>
      <c r="H110" s="133">
        <f t="shared" si="5"/>
        <v>0</v>
      </c>
      <c r="I110" s="133">
        <f t="shared" si="5"/>
        <v>0</v>
      </c>
      <c r="J110" s="155">
        <f t="shared" si="5"/>
        <v>0</v>
      </c>
      <c r="K110" s="133">
        <f t="shared" si="5"/>
        <v>0</v>
      </c>
      <c r="L110" s="133">
        <f t="shared" si="5"/>
        <v>0</v>
      </c>
      <c r="M110" s="133">
        <f t="shared" si="5"/>
        <v>10000</v>
      </c>
      <c r="N110" s="133">
        <f t="shared" si="5"/>
        <v>0</v>
      </c>
      <c r="O110" s="133">
        <f t="shared" si="5"/>
        <v>0</v>
      </c>
      <c r="P110" s="133">
        <f t="shared" si="5"/>
        <v>0</v>
      </c>
      <c r="Q110" s="133">
        <f t="shared" si="5"/>
        <v>0</v>
      </c>
      <c r="R110" s="133">
        <f t="shared" si="5"/>
        <v>0</v>
      </c>
      <c r="S110" s="133">
        <f t="shared" si="5"/>
        <v>48000</v>
      </c>
      <c r="T110" s="133">
        <f t="shared" si="5"/>
        <v>0</v>
      </c>
      <c r="U110" s="133">
        <f t="shared" si="5"/>
        <v>0</v>
      </c>
      <c r="V110" s="133">
        <f t="shared" si="5"/>
        <v>20000</v>
      </c>
      <c r="W110" s="135">
        <f t="shared" si="4"/>
        <v>130000</v>
      </c>
      <c r="X110" s="133">
        <f t="shared" ref="X110:Y110" si="6">SUM(X3:X109)</f>
        <v>0</v>
      </c>
      <c r="Y110" s="133">
        <f t="shared" si="6"/>
        <v>0</v>
      </c>
      <c r="Z110" s="137">
        <f t="shared" si="2"/>
        <v>130000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45688.0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  <c r="AF1" s="163"/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64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'202412'!AC3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 t="str">
        <f>'202412'!AE3</f>
        <v/>
      </c>
      <c r="W3" s="135">
        <f t="shared" ref="W3:W109" si="1">SUM(D3:U3)-V3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'202412'!AC4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2" t="str">
        <f>'202412'!AE4</f>
        <v/>
      </c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'202412'!AC5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2" t="str">
        <f>'202412'!AE5</f>
        <v/>
      </c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'202412'!AC6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2" t="str">
        <f>'202412'!AE6</f>
        <v/>
      </c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'202412'!AC7</f>
        <v>130000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5720.0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42280.0</v>
      </c>
      <c r="T7" s="143"/>
      <c r="U7" s="143"/>
      <c r="V7" s="132">
        <f>'202412'!AE7</f>
        <v>10000</v>
      </c>
      <c r="W7" s="135">
        <f t="shared" si="1"/>
        <v>100000</v>
      </c>
      <c r="X7" s="129"/>
      <c r="Y7" s="144"/>
      <c r="Z7" s="137">
        <f t="shared" si="2"/>
        <v>100000</v>
      </c>
      <c r="AA7" s="138">
        <v>110000.0</v>
      </c>
      <c r="AB7" s="139" t="s">
        <v>125</v>
      </c>
      <c r="AC7" s="140">
        <f t="shared" si="3"/>
        <v>120000</v>
      </c>
      <c r="AD7" s="139">
        <v>120000.0</v>
      </c>
      <c r="AE7" s="145">
        <f>AD7-Z7</f>
        <v>20000</v>
      </c>
      <c r="AF7" s="165">
        <v>45725.0</v>
      </c>
    </row>
    <row r="8" ht="22.5" customHeight="1">
      <c r="A8" s="1" t="s">
        <v>11</v>
      </c>
      <c r="B8" s="2"/>
      <c r="C8" s="154">
        <f>'202412'!AC8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32" t="str">
        <f>'202412'!AE8</f>
        <v/>
      </c>
      <c r="W8" s="135">
        <f t="shared" si="1"/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'202412'!AC9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2" t="str">
        <f>'202412'!AE9</f>
        <v/>
      </c>
      <c r="W9" s="135">
        <f t="shared" si="1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'202412'!AC10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2" t="str">
        <f>'202412'!AE10</f>
        <v/>
      </c>
      <c r="W10" s="135">
        <f t="shared" si="1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'202412'!AC11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2" t="str">
        <f>'202412'!AE11</f>
        <v/>
      </c>
      <c r="W11" s="135">
        <f t="shared" si="1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'202412'!AC12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2" t="str">
        <f>'202412'!AE12</f>
        <v/>
      </c>
      <c r="W12" s="135">
        <f t="shared" si="1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54">
        <f>'202412'!AC13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2" t="str">
        <f>'202412'!AE13</f>
        <v/>
      </c>
      <c r="W13" s="135">
        <f t="shared" si="1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54">
        <f>'202412'!AC14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2" t="str">
        <f>'202412'!AE14</f>
        <v/>
      </c>
      <c r="W14" s="135">
        <f t="shared" si="1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54">
        <f>'202412'!AC15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2" t="str">
        <f>'202412'!AE15</f>
        <v/>
      </c>
      <c r="W15" s="135">
        <f t="shared" si="1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54">
        <f>'202412'!AC16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2" t="str">
        <f>'202412'!AE16</f>
        <v/>
      </c>
      <c r="W16" s="135">
        <f t="shared" si="1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54">
        <f>'202412'!AC17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2" t="str">
        <f>'202412'!AE17</f>
        <v/>
      </c>
      <c r="W17" s="135">
        <f t="shared" si="1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54">
        <f>'202412'!AC18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2" t="str">
        <f>'202412'!AE18</f>
        <v/>
      </c>
      <c r="W18" s="135">
        <f t="shared" si="1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54">
        <f>'202412'!AC19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2" t="str">
        <f>'202412'!AE19</f>
        <v/>
      </c>
      <c r="W19" s="135">
        <f t="shared" si="1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54">
        <f>'202412'!AC20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2" t="str">
        <f>'202412'!AE20</f>
        <v/>
      </c>
      <c r="W20" s="135">
        <f t="shared" si="1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54">
        <f>'202412'!AC21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2" t="str">
        <f>'202412'!AE21</f>
        <v/>
      </c>
      <c r="W21" s="135">
        <f t="shared" si="1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54">
        <f>'202412'!AC22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2" t="str">
        <f>'202412'!AE22</f>
        <v/>
      </c>
      <c r="W22" s="135">
        <f t="shared" si="1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54">
        <f>'202412'!AC23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2" t="str">
        <f>'202412'!AE23</f>
        <v/>
      </c>
      <c r="W23" s="135">
        <f t="shared" si="1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54">
        <f>'202412'!AC24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2" t="str">
        <f>'202412'!AE24</f>
        <v/>
      </c>
      <c r="W24" s="135">
        <f t="shared" si="1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54">
        <f>'202412'!AC25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2" t="str">
        <f>'202412'!AE25</f>
        <v/>
      </c>
      <c r="W25" s="135">
        <f t="shared" si="1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54">
        <f>'202412'!AC26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2" t="str">
        <f>'202412'!AE26</f>
        <v/>
      </c>
      <c r="W26" s="135">
        <f t="shared" si="1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54">
        <f>'202412'!AC27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2" t="str">
        <f>'202412'!AE27</f>
        <v/>
      </c>
      <c r="W27" s="135">
        <f t="shared" si="1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54">
        <f>'202412'!AC28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2" t="str">
        <f>'202412'!AE28</f>
        <v/>
      </c>
      <c r="W28" s="135">
        <f t="shared" si="1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54">
        <f>'202412'!AC29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2" t="str">
        <f>'202412'!AE29</f>
        <v/>
      </c>
      <c r="W29" s="135">
        <f t="shared" si="1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54">
        <f>'202412'!AC30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2" t="str">
        <f>'202412'!AE30</f>
        <v/>
      </c>
      <c r="W30" s="135">
        <f t="shared" si="1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54">
        <f>'202412'!AC31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2" t="str">
        <f>'202412'!AE31</f>
        <v/>
      </c>
      <c r="W31" s="135">
        <f t="shared" si="1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54">
        <f>'202412'!AC32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2" t="str">
        <f>'202412'!AE32</f>
        <v/>
      </c>
      <c r="W32" s="135">
        <f t="shared" si="1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54">
        <f>'202412'!AC33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2" t="str">
        <f>'202412'!AE33</f>
        <v/>
      </c>
      <c r="W33" s="135">
        <f t="shared" si="1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54">
        <f>'202412'!AC34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2" t="str">
        <f>'202412'!AE34</f>
        <v/>
      </c>
      <c r="W34" s="135">
        <f t="shared" si="1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54">
        <f>'202412'!AC35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2" t="str">
        <f>'202412'!AE35</f>
        <v/>
      </c>
      <c r="W35" s="135">
        <f t="shared" si="1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54">
        <f>'202412'!AC36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2" t="str">
        <f>'202412'!AE36</f>
        <v/>
      </c>
      <c r="W36" s="135">
        <f t="shared" si="1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54">
        <f>'202412'!AC37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2" t="str">
        <f>'202412'!AE37</f>
        <v/>
      </c>
      <c r="W37" s="135">
        <f t="shared" si="1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54">
        <f>'202412'!AC38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2" t="str">
        <f>'202412'!AE38</f>
        <v/>
      </c>
      <c r="W38" s="135">
        <f t="shared" si="1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54">
        <f>'202412'!AC39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2" t="str">
        <f>'202412'!AE39</f>
        <v/>
      </c>
      <c r="W39" s="135">
        <f t="shared" si="1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54">
        <f>'202412'!AC40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2" t="str">
        <f>'202412'!AE40</f>
        <v/>
      </c>
      <c r="W40" s="135">
        <f t="shared" si="1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54">
        <f>'202412'!AC41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2" t="str">
        <f>'202412'!AE41</f>
        <v/>
      </c>
      <c r="W41" s="135">
        <f t="shared" si="1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54">
        <f>'202412'!AC42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2" t="str">
        <f>'202412'!AE42</f>
        <v/>
      </c>
      <c r="W42" s="135">
        <f t="shared" si="1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54">
        <f>'202412'!AC43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2" t="str">
        <f>'202412'!AE43</f>
        <v/>
      </c>
      <c r="W43" s="135">
        <f t="shared" si="1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54">
        <f>'202412'!AC44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2" t="str">
        <f>'202412'!AE44</f>
        <v/>
      </c>
      <c r="W44" s="135">
        <f t="shared" si="1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54">
        <f>'202412'!AC45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2" t="str">
        <f>'202412'!AE45</f>
        <v/>
      </c>
      <c r="W45" s="135">
        <f t="shared" si="1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54">
        <f>'202412'!AC46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2" t="str">
        <f>'202412'!AE46</f>
        <v/>
      </c>
      <c r="W46" s="135">
        <f t="shared" si="1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54">
        <f>'202412'!AC47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2" t="str">
        <f>'202412'!AE47</f>
        <v/>
      </c>
      <c r="W47" s="135">
        <f t="shared" si="1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54">
        <f>'202412'!AC48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2" t="str">
        <f>'202412'!AE48</f>
        <v/>
      </c>
      <c r="W48" s="135">
        <f t="shared" si="1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54">
        <f>'202412'!AC49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2" t="str">
        <f>'202412'!AE49</f>
        <v/>
      </c>
      <c r="W49" s="135">
        <f t="shared" si="1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54">
        <f>'202412'!AC50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2" t="str">
        <f>'202412'!AE50</f>
        <v/>
      </c>
      <c r="W50" s="135">
        <f t="shared" si="1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54">
        <f>'202412'!AC51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2" t="str">
        <f>'202412'!AE51</f>
        <v/>
      </c>
      <c r="W51" s="135">
        <f t="shared" si="1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54">
        <f>'202412'!AC52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2" t="str">
        <f>'202412'!AE52</f>
        <v/>
      </c>
      <c r="W52" s="135">
        <f t="shared" si="1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54">
        <f>'202412'!AC53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2" t="str">
        <f>'202412'!AE53</f>
        <v/>
      </c>
      <c r="W53" s="135">
        <f t="shared" si="1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54">
        <f>'202412'!AC54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2" t="str">
        <f>'202412'!AE54</f>
        <v/>
      </c>
      <c r="W54" s="135">
        <f t="shared" si="1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54">
        <f>'202412'!AC55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2" t="str">
        <f>'202412'!AE55</f>
        <v/>
      </c>
      <c r="W55" s="135">
        <f t="shared" si="1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54">
        <f>'202412'!AC56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2" t="str">
        <f>'202412'!AE56</f>
        <v/>
      </c>
      <c r="W56" s="135">
        <f t="shared" si="1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54">
        <f>'202412'!AC57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2" t="str">
        <f>'202412'!AE57</f>
        <v/>
      </c>
      <c r="W57" s="135">
        <f t="shared" si="1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54">
        <f>'202412'!AC58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2" t="str">
        <f>'202412'!AE58</f>
        <v/>
      </c>
      <c r="W58" s="135">
        <f t="shared" si="1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54">
        <f>'202412'!AC59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2" t="str">
        <f>'202412'!AE59</f>
        <v/>
      </c>
      <c r="W59" s="135">
        <f t="shared" si="1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54">
        <f>'202412'!AC60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2" t="str">
        <f>'202412'!AE60</f>
        <v/>
      </c>
      <c r="W60" s="135">
        <f t="shared" si="1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54">
        <f>'202412'!AC61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2" t="str">
        <f>'202412'!AE61</f>
        <v/>
      </c>
      <c r="W61" s="135">
        <f t="shared" si="1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54">
        <f>'202412'!AC62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2" t="str">
        <f>'202412'!AE62</f>
        <v/>
      </c>
      <c r="W62" s="135">
        <f t="shared" si="1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54">
        <f>'202412'!AC63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2" t="str">
        <f>'202412'!AE63</f>
        <v/>
      </c>
      <c r="W63" s="135">
        <f t="shared" si="1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54">
        <f>'202412'!AC64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2" t="str">
        <f>'202412'!AE64</f>
        <v/>
      </c>
      <c r="W64" s="135">
        <f t="shared" si="1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54">
        <f>'202412'!AC65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2" t="str">
        <f>'202412'!AE65</f>
        <v/>
      </c>
      <c r="W65" s="135">
        <f t="shared" si="1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54">
        <f>'202412'!AC66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2" t="str">
        <f>'202412'!AE66</f>
        <v/>
      </c>
      <c r="W66" s="135">
        <f t="shared" si="1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54">
        <f>'202412'!AC67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2" t="str">
        <f>'202412'!AE67</f>
        <v/>
      </c>
      <c r="W67" s="135">
        <f t="shared" si="1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54">
        <f>'202412'!AC68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2" t="str">
        <f>'202412'!AE68</f>
        <v/>
      </c>
      <c r="W68" s="135">
        <f t="shared" si="1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54">
        <f>'202412'!AC69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2" t="str">
        <f>'202412'!AE69</f>
        <v/>
      </c>
      <c r="W69" s="135">
        <f t="shared" si="1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54">
        <f>'202412'!AC70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2" t="str">
        <f>'202412'!AE70</f>
        <v/>
      </c>
      <c r="W70" s="135">
        <f t="shared" si="1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54">
        <f>'202412'!AC71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2" t="str">
        <f>'202412'!AE71</f>
        <v/>
      </c>
      <c r="W71" s="135">
        <f t="shared" si="1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54">
        <f>'202412'!AC72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2" t="str">
        <f>'202412'!AE72</f>
        <v/>
      </c>
      <c r="W72" s="135">
        <f t="shared" si="1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54">
        <f>'202412'!AC73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2" t="str">
        <f>'202412'!AE73</f>
        <v/>
      </c>
      <c r="W73" s="135">
        <f t="shared" si="1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54">
        <f>'202412'!AC74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2" t="str">
        <f>'202412'!AE74</f>
        <v/>
      </c>
      <c r="W74" s="135">
        <f t="shared" si="1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54">
        <f>'202412'!AC75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2" t="str">
        <f>'202412'!AE75</f>
        <v/>
      </c>
      <c r="W75" s="135">
        <f t="shared" si="1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54">
        <f>'202412'!AC76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2" t="str">
        <f>'202412'!AE76</f>
        <v/>
      </c>
      <c r="W76" s="135">
        <f t="shared" si="1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54">
        <f>'202412'!AC77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2" t="str">
        <f>'202412'!AE77</f>
        <v/>
      </c>
      <c r="W77" s="135">
        <f t="shared" si="1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54">
        <f>'202412'!AC78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2" t="str">
        <f>'202412'!AE78</f>
        <v/>
      </c>
      <c r="W78" s="135">
        <f t="shared" si="1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54">
        <f>'202412'!AC79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2" t="str">
        <f>'202412'!AE79</f>
        <v/>
      </c>
      <c r="W79" s="135">
        <f t="shared" si="1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54">
        <f>'202412'!AC80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2" t="str">
        <f>'202412'!AE80</f>
        <v/>
      </c>
      <c r="W80" s="135">
        <f t="shared" si="1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54">
        <f>'202412'!AC81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2" t="str">
        <f>'202412'!AE81</f>
        <v/>
      </c>
      <c r="W81" s="135">
        <f t="shared" si="1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54">
        <f>'202412'!AC82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2" t="str">
        <f>'202412'!AE82</f>
        <v/>
      </c>
      <c r="W82" s="135">
        <f t="shared" si="1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54">
        <f>'202412'!AC83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2" t="str">
        <f>'202412'!AE83</f>
        <v/>
      </c>
      <c r="W83" s="135">
        <f t="shared" si="1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54">
        <f>'202412'!AC84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2" t="str">
        <f>'202412'!AE84</f>
        <v/>
      </c>
      <c r="W84" s="135">
        <f t="shared" si="1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54">
        <f>'202412'!AC85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2" t="str">
        <f>'202412'!AE85</f>
        <v/>
      </c>
      <c r="W85" s="135">
        <f t="shared" si="1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54">
        <f>'202412'!AC86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2" t="str">
        <f>'202412'!AE86</f>
        <v/>
      </c>
      <c r="W86" s="135">
        <f t="shared" si="1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54">
        <f>'202412'!AC87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2" t="str">
        <f>'202412'!AE87</f>
        <v/>
      </c>
      <c r="W87" s="135">
        <f t="shared" si="1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54">
        <f>'202412'!AC88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2" t="str">
        <f>'202412'!AE88</f>
        <v/>
      </c>
      <c r="W88" s="135">
        <f t="shared" si="1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54">
        <f>'202412'!AC89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2" t="str">
        <f>'202412'!AE89</f>
        <v/>
      </c>
      <c r="W89" s="135">
        <f t="shared" si="1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54">
        <f>'202412'!AC90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2" t="str">
        <f>'202412'!AE90</f>
        <v/>
      </c>
      <c r="W90" s="135">
        <f t="shared" si="1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54">
        <f>'202412'!AC91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2" t="str">
        <f>'202412'!AE91</f>
        <v/>
      </c>
      <c r="W91" s="135">
        <f t="shared" si="1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54">
        <f>'202412'!AC92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2" t="str">
        <f>'202412'!AE92</f>
        <v/>
      </c>
      <c r="W92" s="135">
        <f t="shared" si="1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54">
        <f>'202412'!AC93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2" t="str">
        <f>'202412'!AE93</f>
        <v/>
      </c>
      <c r="W93" s="135">
        <f t="shared" si="1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54">
        <f>'202412'!AC94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2" t="str">
        <f>'202412'!AE94</f>
        <v/>
      </c>
      <c r="W94" s="135">
        <f t="shared" si="1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54">
        <f>'202412'!AC95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2" t="str">
        <f>'202412'!AE95</f>
        <v/>
      </c>
      <c r="W95" s="135">
        <f t="shared" si="1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54">
        <f>'202412'!AC96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2" t="str">
        <f>'202412'!AE96</f>
        <v/>
      </c>
      <c r="W96" s="135">
        <f t="shared" si="1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54">
        <f>'202412'!AC97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2" t="str">
        <f>'202412'!AE97</f>
        <v/>
      </c>
      <c r="W97" s="135">
        <f t="shared" si="1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54">
        <f>'202412'!AC98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2" t="str">
        <f>'202412'!AE98</f>
        <v/>
      </c>
      <c r="W98" s="135">
        <f t="shared" si="1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54">
        <f>'202412'!AC99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2" t="str">
        <f>'202412'!AE99</f>
        <v/>
      </c>
      <c r="W99" s="135">
        <f t="shared" si="1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54">
        <f>'202412'!AC100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2" t="str">
        <f>'202412'!AE100</f>
        <v/>
      </c>
      <c r="W100" s="135">
        <f t="shared" si="1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54">
        <f>'202412'!AC101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2" t="str">
        <f>'202412'!AE101</f>
        <v/>
      </c>
      <c r="W101" s="135">
        <f t="shared" si="1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54">
        <f>'202412'!AC102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2" t="str">
        <f>'202412'!AE102</f>
        <v/>
      </c>
      <c r="W102" s="135">
        <f t="shared" si="1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54">
        <f>'202412'!AC103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2" t="str">
        <f>'202412'!AE103</f>
        <v/>
      </c>
      <c r="W103" s="135">
        <f t="shared" si="1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54">
        <f>'202412'!AC104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2" t="str">
        <f>'202412'!AE104</f>
        <v/>
      </c>
      <c r="W104" s="135">
        <f t="shared" si="1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54">
        <f>'202412'!AC105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2" t="str">
        <f>'202412'!AE105</f>
        <v/>
      </c>
      <c r="W105" s="135">
        <f t="shared" si="1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54">
        <f>'202412'!AC106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2" t="str">
        <f>'202412'!AE106</f>
        <v/>
      </c>
      <c r="W106" s="135">
        <f t="shared" si="1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54">
        <f>'202412'!AC107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2" t="str">
        <f>'202412'!AE107</f>
        <v/>
      </c>
      <c r="W107" s="135">
        <f t="shared" si="1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54">
        <f>'202412'!AC108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2" t="str">
        <f>'202412'!AE108</f>
        <v/>
      </c>
      <c r="W108" s="135">
        <f t="shared" si="1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54">
        <f>'202412'!AC109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2" t="str">
        <f>'202412'!AE109</f>
        <v/>
      </c>
      <c r="W109" s="135">
        <f t="shared" si="1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4">SUM(D3:D109)</f>
        <v>40000</v>
      </c>
      <c r="E110" s="133">
        <f t="shared" si="4"/>
        <v>5000</v>
      </c>
      <c r="F110" s="133">
        <f t="shared" si="4"/>
        <v>5000</v>
      </c>
      <c r="G110" s="133">
        <f t="shared" si="4"/>
        <v>2000</v>
      </c>
      <c r="H110" s="133">
        <f t="shared" si="4"/>
        <v>0</v>
      </c>
      <c r="I110" s="133">
        <f t="shared" si="4"/>
        <v>5720</v>
      </c>
      <c r="J110" s="155">
        <f t="shared" si="4"/>
        <v>0</v>
      </c>
      <c r="K110" s="133">
        <f t="shared" si="4"/>
        <v>0</v>
      </c>
      <c r="L110" s="133">
        <f t="shared" si="4"/>
        <v>0</v>
      </c>
      <c r="M110" s="133">
        <f t="shared" si="4"/>
        <v>10000</v>
      </c>
      <c r="N110" s="133">
        <f t="shared" si="4"/>
        <v>0</v>
      </c>
      <c r="O110" s="133">
        <f t="shared" si="4"/>
        <v>0</v>
      </c>
      <c r="P110" s="133">
        <f t="shared" si="4"/>
        <v>0</v>
      </c>
      <c r="Q110" s="133">
        <f t="shared" si="4"/>
        <v>0</v>
      </c>
      <c r="R110" s="133">
        <f t="shared" si="4"/>
        <v>0</v>
      </c>
      <c r="S110" s="133">
        <f t="shared" si="4"/>
        <v>42280</v>
      </c>
      <c r="T110" s="133">
        <f t="shared" si="4"/>
        <v>0</v>
      </c>
      <c r="U110" s="133">
        <f t="shared" si="4"/>
        <v>0</v>
      </c>
      <c r="V110" s="133">
        <f t="shared" si="4"/>
        <v>10000</v>
      </c>
      <c r="W110" s="135">
        <f>SUM(D110:V110)</f>
        <v>120000</v>
      </c>
      <c r="X110" s="133">
        <f t="shared" ref="X110:Y110" si="5">SUM(X3:X109)</f>
        <v>0</v>
      </c>
      <c r="Y110" s="133">
        <f t="shared" si="5"/>
        <v>0</v>
      </c>
      <c r="Z110" s="137">
        <f t="shared" si="2"/>
        <v>120000</v>
      </c>
      <c r="AA110" s="147"/>
      <c r="AC110" s="156"/>
      <c r="AF110" s="163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  <c r="AF111" s="163"/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AF112" s="163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AF113" s="163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AF114" s="163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AF115" s="163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AF116" s="163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AF117" s="163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AF118" s="163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AF119" s="163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AF120" s="163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AF121" s="163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AF122" s="163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AF123" s="163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AF124" s="163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AF125" s="163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AF126" s="163"/>
    </row>
    <row r="127">
      <c r="A127" s="127"/>
      <c r="B127" s="127"/>
      <c r="AF127" s="163"/>
    </row>
    <row r="128">
      <c r="A128" s="127"/>
      <c r="B128" s="127"/>
      <c r="AF128" s="163"/>
    </row>
    <row r="129">
      <c r="A129" s="127"/>
      <c r="B129" s="127"/>
      <c r="AF129" s="163"/>
    </row>
    <row r="130">
      <c r="A130" s="127"/>
      <c r="B130" s="127"/>
      <c r="AF130" s="163"/>
    </row>
    <row r="131">
      <c r="A131" s="127"/>
      <c r="B131" s="127"/>
      <c r="AF131" s="163"/>
    </row>
    <row r="132">
      <c r="A132" s="127"/>
      <c r="B132" s="127"/>
      <c r="AF132" s="163"/>
    </row>
    <row r="133">
      <c r="A133" s="127"/>
      <c r="B133" s="127"/>
      <c r="AF133" s="163"/>
    </row>
    <row r="134">
      <c r="A134" s="127"/>
      <c r="B134" s="127"/>
      <c r="AF134" s="163"/>
    </row>
    <row r="135">
      <c r="A135" s="127"/>
      <c r="B135" s="127"/>
      <c r="AF135" s="163"/>
    </row>
    <row r="136">
      <c r="A136" s="127"/>
      <c r="B136" s="127"/>
      <c r="AF136" s="163"/>
    </row>
    <row r="137">
      <c r="A137" s="127"/>
      <c r="B137" s="127"/>
      <c r="AF137" s="163"/>
    </row>
    <row r="138">
      <c r="A138" s="127"/>
      <c r="B138" s="127"/>
      <c r="AF138" s="163"/>
    </row>
    <row r="139">
      <c r="A139" s="127"/>
      <c r="B139" s="127"/>
      <c r="AF139" s="163"/>
    </row>
    <row r="140">
      <c r="A140" s="127"/>
      <c r="B140" s="127"/>
      <c r="AF140" s="163"/>
    </row>
    <row r="141">
      <c r="A141" s="127"/>
      <c r="B141" s="127"/>
      <c r="AF141" s="163"/>
    </row>
    <row r="142">
      <c r="A142" s="127"/>
      <c r="B142" s="127"/>
      <c r="AF142" s="163"/>
    </row>
    <row r="143">
      <c r="A143" s="127"/>
      <c r="B143" s="127"/>
      <c r="AF143" s="163"/>
    </row>
    <row r="144">
      <c r="A144" s="127"/>
      <c r="B144" s="127"/>
      <c r="AF144" s="163"/>
    </row>
    <row r="145">
      <c r="A145" s="127"/>
      <c r="B145" s="127"/>
      <c r="AF145" s="163"/>
    </row>
    <row r="146">
      <c r="A146" s="127"/>
      <c r="B146" s="127"/>
      <c r="AF146" s="163"/>
    </row>
    <row r="147">
      <c r="A147" s="127"/>
      <c r="B147" s="127"/>
      <c r="AF147" s="163"/>
    </row>
    <row r="148">
      <c r="A148" s="127"/>
      <c r="B148" s="127"/>
      <c r="AF148" s="163"/>
    </row>
    <row r="149">
      <c r="A149" s="127"/>
      <c r="B149" s="127"/>
      <c r="AF149" s="163"/>
    </row>
    <row r="150">
      <c r="A150" s="127"/>
      <c r="B150" s="127"/>
      <c r="AF150" s="163"/>
    </row>
    <row r="151">
      <c r="A151" s="127"/>
      <c r="B151" s="127"/>
      <c r="AF151" s="163"/>
    </row>
    <row r="152">
      <c r="A152" s="127"/>
      <c r="B152" s="127"/>
      <c r="AF152" s="163"/>
    </row>
    <row r="153">
      <c r="A153" s="127"/>
      <c r="B153" s="127"/>
      <c r="AF153" s="163"/>
    </row>
    <row r="154">
      <c r="A154" s="127"/>
      <c r="B154" s="127"/>
      <c r="AF154" s="163"/>
    </row>
    <row r="155">
      <c r="A155" s="127"/>
      <c r="B155" s="127"/>
      <c r="AF155" s="163"/>
    </row>
    <row r="156">
      <c r="A156" s="127"/>
      <c r="B156" s="127"/>
      <c r="AF156" s="163"/>
    </row>
    <row r="157">
      <c r="A157" s="127"/>
      <c r="B157" s="127"/>
      <c r="AF157" s="163"/>
    </row>
    <row r="158">
      <c r="A158" s="127"/>
      <c r="B158" s="127"/>
      <c r="AF158" s="163"/>
    </row>
    <row r="159">
      <c r="A159" s="127"/>
      <c r="B159" s="127"/>
      <c r="AF159" s="163"/>
    </row>
    <row r="160">
      <c r="A160" s="127"/>
      <c r="B160" s="127"/>
      <c r="AF160" s="163"/>
    </row>
    <row r="161">
      <c r="A161" s="127"/>
      <c r="B161" s="127"/>
      <c r="AF161" s="163"/>
    </row>
    <row r="162">
      <c r="A162" s="127"/>
      <c r="B162" s="127"/>
      <c r="AF162" s="163"/>
    </row>
    <row r="163">
      <c r="A163" s="127"/>
      <c r="B163" s="127"/>
      <c r="AF163" s="163"/>
    </row>
    <row r="164">
      <c r="A164" s="127"/>
      <c r="B164" s="127"/>
      <c r="AF164" s="163"/>
    </row>
    <row r="165">
      <c r="A165" s="127"/>
      <c r="B165" s="127"/>
      <c r="AF165" s="163"/>
    </row>
    <row r="166">
      <c r="A166" s="127"/>
      <c r="B166" s="127"/>
      <c r="AF166" s="163"/>
    </row>
    <row r="167">
      <c r="A167" s="127"/>
      <c r="B167" s="127"/>
      <c r="AF167" s="163"/>
    </row>
    <row r="168">
      <c r="A168" s="127"/>
      <c r="B168" s="127"/>
      <c r="AF168" s="163"/>
    </row>
    <row r="169">
      <c r="A169" s="127"/>
      <c r="B169" s="127"/>
      <c r="AF169" s="163"/>
    </row>
    <row r="170">
      <c r="A170" s="127"/>
      <c r="B170" s="127"/>
      <c r="AF170" s="163"/>
    </row>
    <row r="171">
      <c r="A171" s="127"/>
      <c r="B171" s="127"/>
      <c r="AF171" s="163"/>
    </row>
    <row r="172">
      <c r="A172" s="127"/>
      <c r="B172" s="127"/>
      <c r="AF172" s="163"/>
    </row>
    <row r="173">
      <c r="A173" s="127"/>
      <c r="B173" s="127"/>
      <c r="AF173" s="163"/>
    </row>
    <row r="174">
      <c r="A174" s="127"/>
      <c r="B174" s="127"/>
      <c r="AF174" s="163"/>
    </row>
    <row r="175">
      <c r="A175" s="127"/>
      <c r="B175" s="127"/>
      <c r="AF175" s="163"/>
    </row>
    <row r="176">
      <c r="A176" s="127"/>
      <c r="B176" s="127"/>
      <c r="AF176" s="163"/>
    </row>
    <row r="177">
      <c r="A177" s="127"/>
      <c r="B177" s="127"/>
      <c r="AF177" s="163"/>
    </row>
    <row r="178">
      <c r="A178" s="127"/>
      <c r="B178" s="127"/>
      <c r="AF178" s="163"/>
    </row>
    <row r="179">
      <c r="A179" s="127"/>
      <c r="B179" s="127"/>
      <c r="AF179" s="163"/>
    </row>
    <row r="180">
      <c r="A180" s="127"/>
      <c r="B180" s="127"/>
      <c r="AF180" s="163"/>
    </row>
    <row r="181">
      <c r="A181" s="127"/>
      <c r="B181" s="127"/>
      <c r="AF181" s="163"/>
    </row>
    <row r="182">
      <c r="A182" s="127"/>
      <c r="B182" s="127"/>
      <c r="AF182" s="163"/>
    </row>
    <row r="183">
      <c r="A183" s="127"/>
      <c r="B183" s="127"/>
      <c r="AF183" s="163"/>
    </row>
    <row r="184">
      <c r="A184" s="127"/>
      <c r="B184" s="127"/>
      <c r="AF184" s="163"/>
    </row>
    <row r="185">
      <c r="A185" s="127"/>
      <c r="B185" s="127"/>
      <c r="AF185" s="163"/>
    </row>
    <row r="186">
      <c r="A186" s="127"/>
      <c r="B186" s="127"/>
      <c r="AF186" s="163"/>
    </row>
    <row r="187">
      <c r="A187" s="127"/>
      <c r="B187" s="127"/>
      <c r="AF187" s="163"/>
    </row>
    <row r="188">
      <c r="A188" s="127"/>
      <c r="B188" s="127"/>
      <c r="AF188" s="163"/>
    </row>
    <row r="189">
      <c r="A189" s="127"/>
      <c r="B189" s="127"/>
      <c r="AF189" s="163"/>
    </row>
    <row r="190">
      <c r="A190" s="127"/>
      <c r="B190" s="127"/>
      <c r="AF190" s="163"/>
    </row>
    <row r="191">
      <c r="A191" s="127"/>
      <c r="B191" s="127"/>
      <c r="AF191" s="163"/>
    </row>
    <row r="192">
      <c r="A192" s="127"/>
      <c r="B192" s="127"/>
      <c r="AF192" s="163"/>
    </row>
    <row r="193">
      <c r="A193" s="127"/>
      <c r="B193" s="127"/>
      <c r="AF193" s="163"/>
    </row>
    <row r="194">
      <c r="A194" s="127"/>
      <c r="B194" s="127"/>
      <c r="AF194" s="163"/>
    </row>
    <row r="195">
      <c r="A195" s="127"/>
      <c r="B195" s="127"/>
      <c r="AF195" s="163"/>
    </row>
    <row r="196">
      <c r="A196" s="127"/>
      <c r="B196" s="127"/>
      <c r="AF196" s="163"/>
    </row>
    <row r="197">
      <c r="A197" s="127"/>
      <c r="B197" s="127"/>
      <c r="AF197" s="163"/>
    </row>
    <row r="198">
      <c r="A198" s="127"/>
      <c r="B198" s="127"/>
      <c r="AF198" s="163"/>
    </row>
    <row r="199">
      <c r="A199" s="127"/>
      <c r="B199" s="127"/>
      <c r="AF199" s="163"/>
    </row>
    <row r="200">
      <c r="A200" s="127"/>
      <c r="B200" s="127"/>
      <c r="AF200" s="163"/>
    </row>
    <row r="201">
      <c r="A201" s="127"/>
      <c r="B201" s="127"/>
      <c r="AF201" s="163"/>
    </row>
    <row r="202">
      <c r="A202" s="127"/>
      <c r="B202" s="127"/>
      <c r="AF202" s="163"/>
    </row>
    <row r="203">
      <c r="A203" s="127"/>
      <c r="B203" s="127"/>
      <c r="AF203" s="163"/>
    </row>
    <row r="204">
      <c r="A204" s="127"/>
      <c r="B204" s="127"/>
      <c r="AF204" s="163"/>
    </row>
    <row r="205">
      <c r="A205" s="127"/>
      <c r="B205" s="127"/>
      <c r="AF205" s="163"/>
    </row>
    <row r="206">
      <c r="A206" s="127"/>
      <c r="B206" s="127"/>
      <c r="AF206" s="163"/>
    </row>
    <row r="207">
      <c r="A207" s="127"/>
      <c r="B207" s="127"/>
      <c r="AF207" s="163"/>
    </row>
    <row r="208">
      <c r="A208" s="127"/>
      <c r="B208" s="127"/>
      <c r="AF208" s="163"/>
    </row>
    <row r="209">
      <c r="A209" s="127"/>
      <c r="B209" s="127"/>
      <c r="AF209" s="163"/>
    </row>
    <row r="210">
      <c r="A210" s="127"/>
      <c r="B210" s="127"/>
      <c r="AF210" s="163"/>
    </row>
    <row r="211">
      <c r="A211" s="127"/>
      <c r="B211" s="127"/>
      <c r="AF211" s="163"/>
    </row>
    <row r="212">
      <c r="A212" s="127"/>
      <c r="B212" s="127"/>
      <c r="AF212" s="163"/>
    </row>
    <row r="213">
      <c r="A213" s="127"/>
      <c r="B213" s="127"/>
      <c r="AF213" s="163"/>
    </row>
    <row r="214">
      <c r="A214" s="127"/>
      <c r="B214" s="127"/>
      <c r="AF214" s="163"/>
    </row>
    <row r="215">
      <c r="A215" s="127"/>
      <c r="B215" s="127"/>
      <c r="AF215" s="163"/>
    </row>
    <row r="216">
      <c r="A216" s="127"/>
      <c r="B216" s="127"/>
      <c r="AF216" s="163"/>
    </row>
    <row r="217">
      <c r="A217" s="127"/>
      <c r="B217" s="127"/>
      <c r="AF217" s="163"/>
    </row>
    <row r="218">
      <c r="A218" s="127"/>
      <c r="B218" s="127"/>
      <c r="AF218" s="163"/>
    </row>
    <row r="219">
      <c r="A219" s="127"/>
      <c r="B219" s="127"/>
      <c r="AF219" s="163"/>
    </row>
    <row r="220">
      <c r="A220" s="127"/>
      <c r="B220" s="127"/>
      <c r="AF220" s="163"/>
    </row>
    <row r="221">
      <c r="A221" s="127"/>
      <c r="B221" s="127"/>
      <c r="AF221" s="163"/>
    </row>
    <row r="222">
      <c r="A222" s="127"/>
      <c r="B222" s="127"/>
      <c r="AF222" s="163"/>
    </row>
    <row r="223">
      <c r="A223" s="127"/>
      <c r="B223" s="127"/>
      <c r="AF223" s="163"/>
    </row>
    <row r="224">
      <c r="A224" s="127"/>
      <c r="B224" s="127"/>
      <c r="AF224" s="163"/>
    </row>
    <row r="225">
      <c r="A225" s="127"/>
      <c r="B225" s="127"/>
      <c r="AF225" s="163"/>
    </row>
    <row r="226">
      <c r="A226" s="127"/>
      <c r="B226" s="127"/>
      <c r="AF226" s="163"/>
    </row>
    <row r="227">
      <c r="A227" s="127"/>
      <c r="B227" s="127"/>
      <c r="AF227" s="163"/>
    </row>
    <row r="228">
      <c r="A228" s="127"/>
      <c r="B228" s="127"/>
      <c r="AF228" s="163"/>
    </row>
    <row r="229">
      <c r="A229" s="127"/>
      <c r="B229" s="127"/>
      <c r="AF229" s="163"/>
    </row>
    <row r="230">
      <c r="A230" s="127"/>
      <c r="B230" s="127"/>
      <c r="AF230" s="163"/>
    </row>
    <row r="231">
      <c r="A231" s="127"/>
      <c r="B231" s="127"/>
      <c r="AF231" s="163"/>
    </row>
    <row r="232">
      <c r="A232" s="127"/>
      <c r="B232" s="127"/>
      <c r="AF232" s="163"/>
    </row>
    <row r="233">
      <c r="A233" s="127"/>
      <c r="B233" s="127"/>
      <c r="AF233" s="163"/>
    </row>
    <row r="234">
      <c r="A234" s="127"/>
      <c r="B234" s="127"/>
      <c r="AF234" s="163"/>
    </row>
    <row r="235">
      <c r="A235" s="127"/>
      <c r="B235" s="127"/>
      <c r="AF235" s="163"/>
    </row>
    <row r="236">
      <c r="A236" s="127"/>
      <c r="B236" s="127"/>
      <c r="AF236" s="163"/>
    </row>
    <row r="237">
      <c r="A237" s="127"/>
      <c r="B237" s="127"/>
      <c r="AF237" s="163"/>
    </row>
    <row r="238">
      <c r="A238" s="127"/>
      <c r="B238" s="127"/>
      <c r="AF238" s="163"/>
    </row>
    <row r="239">
      <c r="A239" s="127"/>
      <c r="B239" s="127"/>
      <c r="AF239" s="163"/>
    </row>
    <row r="240">
      <c r="A240" s="127"/>
      <c r="B240" s="127"/>
      <c r="AF240" s="163"/>
    </row>
    <row r="241">
      <c r="A241" s="127"/>
      <c r="B241" s="127"/>
      <c r="AF241" s="163"/>
    </row>
    <row r="242">
      <c r="A242" s="127"/>
      <c r="B242" s="127"/>
      <c r="AF242" s="163"/>
    </row>
    <row r="243">
      <c r="A243" s="127"/>
      <c r="B243" s="127"/>
      <c r="AF243" s="163"/>
    </row>
    <row r="244">
      <c r="A244" s="127"/>
      <c r="B244" s="127"/>
      <c r="AF244" s="163"/>
    </row>
    <row r="245">
      <c r="A245" s="127"/>
      <c r="B245" s="127"/>
      <c r="AF245" s="163"/>
    </row>
    <row r="246">
      <c r="A246" s="127"/>
      <c r="B246" s="127"/>
      <c r="AF246" s="163"/>
    </row>
    <row r="247">
      <c r="A247" s="127"/>
      <c r="B247" s="127"/>
      <c r="AF247" s="163"/>
    </row>
    <row r="248">
      <c r="A248" s="127"/>
      <c r="B248" s="127"/>
      <c r="AF248" s="163"/>
    </row>
    <row r="249">
      <c r="A249" s="127"/>
      <c r="B249" s="127"/>
      <c r="AF249" s="163"/>
    </row>
    <row r="250">
      <c r="A250" s="127"/>
      <c r="B250" s="127"/>
      <c r="AF250" s="163"/>
    </row>
    <row r="251">
      <c r="A251" s="127"/>
      <c r="B251" s="127"/>
      <c r="AF251" s="163"/>
    </row>
    <row r="252">
      <c r="A252" s="127"/>
      <c r="B252" s="127"/>
      <c r="AF252" s="163"/>
    </row>
    <row r="253">
      <c r="A253" s="127"/>
      <c r="B253" s="127"/>
      <c r="AF253" s="163"/>
    </row>
    <row r="254">
      <c r="A254" s="127"/>
      <c r="B254" s="127"/>
      <c r="AF254" s="163"/>
    </row>
    <row r="255">
      <c r="A255" s="127"/>
      <c r="B255" s="127"/>
      <c r="AF255" s="163"/>
    </row>
    <row r="256">
      <c r="A256" s="127"/>
      <c r="B256" s="127"/>
      <c r="AF256" s="163"/>
    </row>
    <row r="257">
      <c r="A257" s="127"/>
      <c r="B257" s="127"/>
      <c r="AF257" s="163"/>
    </row>
    <row r="258">
      <c r="A258" s="127"/>
      <c r="B258" s="127"/>
      <c r="AF258" s="163"/>
    </row>
    <row r="259">
      <c r="A259" s="127"/>
      <c r="B259" s="127"/>
      <c r="AF259" s="163"/>
    </row>
    <row r="260">
      <c r="A260" s="127"/>
      <c r="B260" s="127"/>
      <c r="AF260" s="163"/>
    </row>
    <row r="261">
      <c r="A261" s="127"/>
      <c r="B261" s="127"/>
      <c r="AF261" s="163"/>
    </row>
    <row r="262">
      <c r="A262" s="127"/>
      <c r="B262" s="127"/>
      <c r="AF262" s="163"/>
    </row>
    <row r="263">
      <c r="A263" s="127"/>
      <c r="B263" s="127"/>
      <c r="AF263" s="163"/>
    </row>
    <row r="264">
      <c r="A264" s="127"/>
      <c r="B264" s="127"/>
      <c r="AF264" s="163"/>
    </row>
    <row r="265">
      <c r="A265" s="127"/>
      <c r="B265" s="127"/>
      <c r="AF265" s="163"/>
    </row>
    <row r="266">
      <c r="A266" s="127"/>
      <c r="B266" s="127"/>
      <c r="AF266" s="163"/>
    </row>
    <row r="267">
      <c r="A267" s="127"/>
      <c r="B267" s="127"/>
      <c r="AF267" s="163"/>
    </row>
    <row r="268">
      <c r="A268" s="127"/>
      <c r="B268" s="127"/>
      <c r="AF268" s="163"/>
    </row>
    <row r="269">
      <c r="A269" s="127"/>
      <c r="B269" s="127"/>
      <c r="AF269" s="163"/>
    </row>
    <row r="270">
      <c r="A270" s="127"/>
      <c r="B270" s="127"/>
      <c r="AF270" s="163"/>
    </row>
    <row r="271">
      <c r="A271" s="127"/>
      <c r="B271" s="127"/>
      <c r="AF271" s="163"/>
    </row>
    <row r="272">
      <c r="A272" s="127"/>
      <c r="B272" s="127"/>
      <c r="AF272" s="163"/>
    </row>
    <row r="273">
      <c r="A273" s="127"/>
      <c r="B273" s="127"/>
      <c r="AF273" s="163"/>
    </row>
    <row r="274">
      <c r="A274" s="127"/>
      <c r="B274" s="127"/>
      <c r="AF274" s="163"/>
    </row>
    <row r="275">
      <c r="A275" s="127"/>
      <c r="B275" s="127"/>
      <c r="AF275" s="163"/>
    </row>
    <row r="276">
      <c r="A276" s="127"/>
      <c r="B276" s="127"/>
      <c r="AF276" s="163"/>
    </row>
    <row r="277">
      <c r="A277" s="127"/>
      <c r="B277" s="127"/>
      <c r="AF277" s="163"/>
    </row>
    <row r="278">
      <c r="A278" s="127"/>
      <c r="B278" s="127"/>
      <c r="AF278" s="163"/>
    </row>
    <row r="279">
      <c r="A279" s="127"/>
      <c r="B279" s="127"/>
      <c r="AF279" s="163"/>
    </row>
    <row r="280">
      <c r="A280" s="127"/>
      <c r="B280" s="127"/>
      <c r="AF280" s="163"/>
    </row>
    <row r="281">
      <c r="A281" s="127"/>
      <c r="B281" s="127"/>
      <c r="AF281" s="163"/>
    </row>
    <row r="282">
      <c r="A282" s="127"/>
      <c r="B282" s="127"/>
      <c r="AF282" s="163"/>
    </row>
    <row r="283">
      <c r="A283" s="127"/>
      <c r="B283" s="127"/>
      <c r="AF283" s="163"/>
    </row>
    <row r="284">
      <c r="A284" s="127"/>
      <c r="B284" s="127"/>
      <c r="AF284" s="163"/>
    </row>
    <row r="285">
      <c r="A285" s="127"/>
      <c r="B285" s="127"/>
      <c r="AF285" s="163"/>
    </row>
    <row r="286">
      <c r="A286" s="127"/>
      <c r="B286" s="127"/>
      <c r="AF286" s="163"/>
    </row>
    <row r="287">
      <c r="A287" s="127"/>
      <c r="B287" s="127"/>
      <c r="AF287" s="163"/>
    </row>
    <row r="288">
      <c r="A288" s="127"/>
      <c r="B288" s="127"/>
      <c r="AF288" s="163"/>
    </row>
    <row r="289">
      <c r="A289" s="127"/>
      <c r="B289" s="127"/>
      <c r="AF289" s="163"/>
    </row>
    <row r="290">
      <c r="A290" s="127"/>
      <c r="B290" s="127"/>
      <c r="AF290" s="163"/>
    </row>
    <row r="291">
      <c r="A291" s="127"/>
      <c r="B291" s="127"/>
      <c r="AF291" s="163"/>
    </row>
    <row r="292">
      <c r="A292" s="127"/>
      <c r="B292" s="127"/>
      <c r="AF292" s="163"/>
    </row>
    <row r="293">
      <c r="A293" s="127"/>
      <c r="B293" s="127"/>
      <c r="AF293" s="163"/>
    </row>
    <row r="294">
      <c r="A294" s="127"/>
      <c r="B294" s="127"/>
      <c r="AF294" s="163"/>
    </row>
    <row r="295">
      <c r="A295" s="127"/>
      <c r="B295" s="127"/>
      <c r="AF295" s="163"/>
    </row>
    <row r="296">
      <c r="A296" s="127"/>
      <c r="B296" s="127"/>
      <c r="AF296" s="163"/>
    </row>
    <row r="297">
      <c r="A297" s="127"/>
      <c r="B297" s="127"/>
      <c r="AF297" s="163"/>
    </row>
    <row r="298">
      <c r="A298" s="127"/>
      <c r="B298" s="127"/>
      <c r="AF298" s="163"/>
    </row>
    <row r="299">
      <c r="A299" s="127"/>
      <c r="B299" s="127"/>
      <c r="AF299" s="163"/>
    </row>
    <row r="300">
      <c r="A300" s="127"/>
      <c r="B300" s="127"/>
      <c r="AF300" s="163"/>
    </row>
    <row r="301">
      <c r="A301" s="127"/>
      <c r="B301" s="127"/>
      <c r="AF301" s="163"/>
    </row>
    <row r="302">
      <c r="A302" s="127"/>
      <c r="B302" s="127"/>
      <c r="AF302" s="163"/>
    </row>
    <row r="303">
      <c r="A303" s="127"/>
      <c r="B303" s="127"/>
      <c r="AF303" s="163"/>
    </row>
    <row r="304">
      <c r="A304" s="127"/>
      <c r="B304" s="127"/>
      <c r="AF304" s="163"/>
    </row>
    <row r="305">
      <c r="A305" s="127"/>
      <c r="B305" s="127"/>
      <c r="AF305" s="163"/>
    </row>
    <row r="306">
      <c r="A306" s="127"/>
      <c r="B306" s="127"/>
      <c r="AF306" s="163"/>
    </row>
    <row r="307">
      <c r="A307" s="127"/>
      <c r="B307" s="127"/>
      <c r="AF307" s="163"/>
    </row>
    <row r="308">
      <c r="A308" s="127"/>
      <c r="B308" s="127"/>
      <c r="AF308" s="163"/>
    </row>
    <row r="309">
      <c r="A309" s="127"/>
      <c r="B309" s="127"/>
      <c r="AF309" s="163"/>
    </row>
    <row r="310">
      <c r="A310" s="127"/>
      <c r="B310" s="127"/>
      <c r="AF310" s="163"/>
    </row>
    <row r="311">
      <c r="A311" s="127"/>
      <c r="B311" s="127"/>
      <c r="AF311" s="163"/>
    </row>
    <row r="312">
      <c r="A312" s="127"/>
      <c r="B312" s="127"/>
      <c r="AF312" s="163"/>
    </row>
    <row r="313">
      <c r="A313" s="127"/>
      <c r="B313" s="127"/>
      <c r="AF313" s="163"/>
    </row>
    <row r="314">
      <c r="A314" s="127"/>
      <c r="B314" s="127"/>
      <c r="AF314" s="163"/>
    </row>
    <row r="315">
      <c r="A315" s="127"/>
      <c r="B315" s="127"/>
      <c r="AF315" s="163"/>
    </row>
    <row r="316">
      <c r="A316" s="127"/>
      <c r="B316" s="127"/>
      <c r="AF316" s="163"/>
    </row>
    <row r="317">
      <c r="A317" s="127"/>
      <c r="B317" s="127"/>
      <c r="AF317" s="163"/>
    </row>
    <row r="318">
      <c r="A318" s="127"/>
      <c r="B318" s="127"/>
      <c r="AF318" s="163"/>
    </row>
    <row r="319">
      <c r="A319" s="127"/>
      <c r="B319" s="127"/>
      <c r="AF319" s="163"/>
    </row>
    <row r="320">
      <c r="A320" s="127"/>
      <c r="B320" s="127"/>
      <c r="AF320" s="163"/>
    </row>
    <row r="321">
      <c r="A321" s="127"/>
      <c r="B321" s="127"/>
      <c r="AF321" s="163"/>
    </row>
    <row r="322">
      <c r="A322" s="127"/>
      <c r="B322" s="127"/>
      <c r="AF322" s="163"/>
    </row>
    <row r="323">
      <c r="A323" s="127"/>
      <c r="B323" s="127"/>
      <c r="AF323" s="163"/>
    </row>
    <row r="324">
      <c r="A324" s="127"/>
      <c r="B324" s="127"/>
      <c r="AF324" s="163"/>
    </row>
    <row r="325">
      <c r="A325" s="127"/>
      <c r="B325" s="127"/>
      <c r="AF325" s="163"/>
    </row>
    <row r="326">
      <c r="A326" s="127"/>
      <c r="B326" s="127"/>
      <c r="AF326" s="163"/>
    </row>
    <row r="327">
      <c r="A327" s="127"/>
      <c r="B327" s="127"/>
      <c r="AF327" s="163"/>
    </row>
    <row r="328">
      <c r="A328" s="127"/>
      <c r="B328" s="127"/>
      <c r="AF328" s="163"/>
    </row>
    <row r="329">
      <c r="A329" s="127"/>
      <c r="B329" s="127"/>
      <c r="AF329" s="163"/>
    </row>
    <row r="330">
      <c r="A330" s="127"/>
      <c r="B330" s="127"/>
      <c r="AF330" s="163"/>
    </row>
    <row r="331">
      <c r="A331" s="127"/>
      <c r="B331" s="127"/>
      <c r="AF331" s="163"/>
    </row>
    <row r="332">
      <c r="A332" s="127"/>
      <c r="B332" s="127"/>
      <c r="AF332" s="163"/>
    </row>
    <row r="333">
      <c r="A333" s="127"/>
      <c r="B333" s="127"/>
      <c r="AF333" s="163"/>
    </row>
    <row r="334">
      <c r="A334" s="127"/>
      <c r="B334" s="127"/>
      <c r="AF334" s="163"/>
    </row>
    <row r="335">
      <c r="A335" s="127"/>
      <c r="B335" s="127"/>
      <c r="AF335" s="163"/>
    </row>
    <row r="336">
      <c r="A336" s="127"/>
      <c r="B336" s="127"/>
      <c r="AF336" s="163"/>
    </row>
    <row r="337">
      <c r="A337" s="127"/>
      <c r="B337" s="127"/>
      <c r="AF337" s="163"/>
    </row>
    <row r="338">
      <c r="A338" s="127"/>
      <c r="B338" s="127"/>
      <c r="AF338" s="163"/>
    </row>
    <row r="339">
      <c r="A339" s="127"/>
      <c r="B339" s="127"/>
      <c r="AF339" s="163"/>
    </row>
    <row r="340">
      <c r="A340" s="127"/>
      <c r="B340" s="127"/>
      <c r="AF340" s="163"/>
    </row>
    <row r="341">
      <c r="A341" s="127"/>
      <c r="B341" s="127"/>
      <c r="AF341" s="163"/>
    </row>
    <row r="342">
      <c r="A342" s="127"/>
      <c r="B342" s="127"/>
      <c r="AF342" s="163"/>
    </row>
    <row r="343">
      <c r="A343" s="127"/>
      <c r="B343" s="127"/>
      <c r="AF343" s="163"/>
    </row>
    <row r="344">
      <c r="A344" s="127"/>
      <c r="B344" s="127"/>
      <c r="AF344" s="163"/>
    </row>
    <row r="345">
      <c r="A345" s="127"/>
      <c r="B345" s="127"/>
      <c r="AF345" s="163"/>
    </row>
    <row r="346">
      <c r="A346" s="127"/>
      <c r="B346" s="127"/>
      <c r="AF346" s="163"/>
    </row>
    <row r="347">
      <c r="A347" s="127"/>
      <c r="B347" s="127"/>
      <c r="AF347" s="163"/>
    </row>
    <row r="348">
      <c r="A348" s="127"/>
      <c r="B348" s="127"/>
      <c r="AF348" s="163"/>
    </row>
    <row r="349">
      <c r="A349" s="127"/>
      <c r="B349" s="127"/>
      <c r="AF349" s="163"/>
    </row>
    <row r="350">
      <c r="A350" s="127"/>
      <c r="B350" s="127"/>
      <c r="AF350" s="163"/>
    </row>
    <row r="351">
      <c r="A351" s="127"/>
      <c r="B351" s="127"/>
      <c r="AF351" s="163"/>
    </row>
    <row r="352">
      <c r="A352" s="127"/>
      <c r="B352" s="127"/>
      <c r="AF352" s="163"/>
    </row>
    <row r="353">
      <c r="A353" s="127"/>
      <c r="B353" s="127"/>
      <c r="AF353" s="163"/>
    </row>
    <row r="354">
      <c r="A354" s="127"/>
      <c r="B354" s="127"/>
      <c r="AF354" s="163"/>
    </row>
    <row r="355">
      <c r="A355" s="127"/>
      <c r="B355" s="127"/>
      <c r="AF355" s="163"/>
    </row>
    <row r="356">
      <c r="A356" s="127"/>
      <c r="B356" s="127"/>
      <c r="AF356" s="163"/>
    </row>
    <row r="357">
      <c r="A357" s="127"/>
      <c r="B357" s="127"/>
      <c r="AF357" s="163"/>
    </row>
    <row r="358">
      <c r="A358" s="127"/>
      <c r="B358" s="127"/>
      <c r="AF358" s="163"/>
    </row>
    <row r="359">
      <c r="A359" s="127"/>
      <c r="B359" s="127"/>
      <c r="AF359" s="163"/>
    </row>
    <row r="360">
      <c r="A360" s="127"/>
      <c r="B360" s="127"/>
      <c r="AF360" s="163"/>
    </row>
    <row r="361">
      <c r="A361" s="127"/>
      <c r="B361" s="127"/>
      <c r="AF361" s="163"/>
    </row>
    <row r="362">
      <c r="A362" s="127"/>
      <c r="B362" s="127"/>
      <c r="AF362" s="163"/>
    </row>
    <row r="363">
      <c r="A363" s="127"/>
      <c r="B363" s="127"/>
      <c r="AF363" s="163"/>
    </row>
    <row r="364">
      <c r="A364" s="127"/>
      <c r="B364" s="127"/>
      <c r="AF364" s="163"/>
    </row>
    <row r="365">
      <c r="A365" s="127"/>
      <c r="B365" s="127"/>
      <c r="AF365" s="163"/>
    </row>
    <row r="366">
      <c r="A366" s="127"/>
      <c r="B366" s="127"/>
      <c r="AF366" s="163"/>
    </row>
    <row r="367">
      <c r="A367" s="127"/>
      <c r="B367" s="127"/>
      <c r="AF367" s="163"/>
    </row>
    <row r="368">
      <c r="A368" s="127"/>
      <c r="B368" s="127"/>
      <c r="AF368" s="163"/>
    </row>
    <row r="369">
      <c r="A369" s="127"/>
      <c r="B369" s="127"/>
      <c r="AF369" s="163"/>
    </row>
    <row r="370">
      <c r="A370" s="127"/>
      <c r="B370" s="127"/>
      <c r="AF370" s="163"/>
    </row>
    <row r="371">
      <c r="A371" s="127"/>
      <c r="B371" s="127"/>
      <c r="AF371" s="163"/>
    </row>
    <row r="372">
      <c r="A372" s="127"/>
      <c r="B372" s="127"/>
      <c r="AF372" s="163"/>
    </row>
    <row r="373">
      <c r="A373" s="127"/>
      <c r="B373" s="127"/>
      <c r="AF373" s="163"/>
    </row>
    <row r="374">
      <c r="A374" s="127"/>
      <c r="B374" s="127"/>
      <c r="AF374" s="163"/>
    </row>
    <row r="375">
      <c r="A375" s="127"/>
      <c r="B375" s="127"/>
      <c r="AF375" s="163"/>
    </row>
    <row r="376">
      <c r="A376" s="127"/>
      <c r="B376" s="127"/>
      <c r="AF376" s="163"/>
    </row>
    <row r="377">
      <c r="A377" s="127"/>
      <c r="B377" s="127"/>
      <c r="AF377" s="163"/>
    </row>
    <row r="378">
      <c r="A378" s="127"/>
      <c r="B378" s="127"/>
      <c r="AF378" s="163"/>
    </row>
    <row r="379">
      <c r="A379" s="127"/>
      <c r="B379" s="127"/>
      <c r="AF379" s="163"/>
    </row>
    <row r="380">
      <c r="A380" s="127"/>
      <c r="B380" s="127"/>
      <c r="AF380" s="163"/>
    </row>
    <row r="381">
      <c r="A381" s="127"/>
      <c r="B381" s="127"/>
      <c r="AF381" s="163"/>
    </row>
    <row r="382">
      <c r="A382" s="127"/>
      <c r="B382" s="127"/>
      <c r="AF382" s="163"/>
    </row>
    <row r="383">
      <c r="A383" s="127"/>
      <c r="B383" s="127"/>
      <c r="AF383" s="163"/>
    </row>
    <row r="384">
      <c r="A384" s="127"/>
      <c r="B384" s="127"/>
      <c r="AF384" s="163"/>
    </row>
    <row r="385">
      <c r="A385" s="127"/>
      <c r="B385" s="127"/>
      <c r="AF385" s="163"/>
    </row>
    <row r="386">
      <c r="A386" s="127"/>
      <c r="B386" s="127"/>
      <c r="AF386" s="163"/>
    </row>
    <row r="387">
      <c r="A387" s="127"/>
      <c r="B387" s="127"/>
      <c r="AF387" s="163"/>
    </row>
    <row r="388">
      <c r="A388" s="127"/>
      <c r="B388" s="127"/>
      <c r="AF388" s="163"/>
    </row>
    <row r="389">
      <c r="A389" s="127"/>
      <c r="B389" s="127"/>
      <c r="AF389" s="163"/>
    </row>
    <row r="390">
      <c r="A390" s="127"/>
      <c r="B390" s="127"/>
      <c r="AF390" s="163"/>
    </row>
    <row r="391">
      <c r="A391" s="127"/>
      <c r="B391" s="127"/>
      <c r="AF391" s="163"/>
    </row>
    <row r="392">
      <c r="A392" s="127"/>
      <c r="B392" s="127"/>
      <c r="AF392" s="163"/>
    </row>
    <row r="393">
      <c r="A393" s="127"/>
      <c r="B393" s="127"/>
      <c r="AF393" s="163"/>
    </row>
    <row r="394">
      <c r="A394" s="127"/>
      <c r="B394" s="127"/>
      <c r="AF394" s="163"/>
    </row>
    <row r="395">
      <c r="A395" s="127"/>
      <c r="B395" s="127"/>
      <c r="AF395" s="163"/>
    </row>
    <row r="396">
      <c r="A396" s="127"/>
      <c r="B396" s="127"/>
      <c r="AF396" s="163"/>
    </row>
    <row r="397">
      <c r="A397" s="127"/>
      <c r="B397" s="127"/>
      <c r="AF397" s="163"/>
    </row>
    <row r="398">
      <c r="A398" s="127"/>
      <c r="B398" s="127"/>
      <c r="AF398" s="163"/>
    </row>
    <row r="399">
      <c r="A399" s="127"/>
      <c r="B399" s="127"/>
      <c r="AF399" s="163"/>
    </row>
    <row r="400">
      <c r="A400" s="127"/>
      <c r="B400" s="127"/>
      <c r="AF400" s="163"/>
    </row>
    <row r="401">
      <c r="A401" s="127"/>
      <c r="B401" s="127"/>
      <c r="AF401" s="163"/>
    </row>
    <row r="402">
      <c r="A402" s="127"/>
      <c r="B402" s="127"/>
      <c r="AF402" s="163"/>
    </row>
    <row r="403">
      <c r="A403" s="127"/>
      <c r="B403" s="127"/>
      <c r="AF403" s="163"/>
    </row>
    <row r="404">
      <c r="A404" s="127"/>
      <c r="B404" s="127"/>
      <c r="AF404" s="163"/>
    </row>
    <row r="405">
      <c r="A405" s="127"/>
      <c r="B405" s="127"/>
      <c r="AF405" s="163"/>
    </row>
    <row r="406">
      <c r="A406" s="127"/>
      <c r="B406" s="127"/>
      <c r="AF406" s="163"/>
    </row>
    <row r="407">
      <c r="A407" s="127"/>
      <c r="B407" s="127"/>
      <c r="AF407" s="163"/>
    </row>
    <row r="408">
      <c r="A408" s="127"/>
      <c r="B408" s="127"/>
      <c r="AF408" s="163"/>
    </row>
    <row r="409">
      <c r="A409" s="127"/>
      <c r="B409" s="127"/>
      <c r="AF409" s="163"/>
    </row>
    <row r="410">
      <c r="A410" s="127"/>
      <c r="B410" s="127"/>
      <c r="AF410" s="163"/>
    </row>
    <row r="411">
      <c r="A411" s="127"/>
      <c r="B411" s="127"/>
      <c r="AF411" s="163"/>
    </row>
    <row r="412">
      <c r="A412" s="127"/>
      <c r="B412" s="127"/>
      <c r="AF412" s="163"/>
    </row>
    <row r="413">
      <c r="A413" s="127"/>
      <c r="B413" s="127"/>
      <c r="AF413" s="163"/>
    </row>
    <row r="414">
      <c r="A414" s="127"/>
      <c r="B414" s="127"/>
      <c r="AF414" s="163"/>
    </row>
    <row r="415">
      <c r="A415" s="127"/>
      <c r="B415" s="127"/>
      <c r="AF415" s="163"/>
    </row>
    <row r="416">
      <c r="A416" s="127"/>
      <c r="B416" s="127"/>
      <c r="AF416" s="163"/>
    </row>
    <row r="417">
      <c r="A417" s="127"/>
      <c r="B417" s="127"/>
      <c r="AF417" s="163"/>
    </row>
    <row r="418">
      <c r="A418" s="127"/>
      <c r="B418" s="127"/>
      <c r="AF418" s="163"/>
    </row>
    <row r="419">
      <c r="A419" s="127"/>
      <c r="B419" s="127"/>
      <c r="AF419" s="163"/>
    </row>
    <row r="420">
      <c r="A420" s="127"/>
      <c r="B420" s="127"/>
      <c r="AF420" s="163"/>
    </row>
    <row r="421">
      <c r="A421" s="127"/>
      <c r="B421" s="127"/>
      <c r="AF421" s="163"/>
    </row>
    <row r="422">
      <c r="A422" s="127"/>
      <c r="B422" s="127"/>
      <c r="AF422" s="163"/>
    </row>
    <row r="423">
      <c r="A423" s="127"/>
      <c r="B423" s="127"/>
      <c r="AF423" s="163"/>
    </row>
    <row r="424">
      <c r="A424" s="127"/>
      <c r="B424" s="127"/>
      <c r="AF424" s="163"/>
    </row>
    <row r="425">
      <c r="A425" s="127"/>
      <c r="B425" s="127"/>
      <c r="AF425" s="163"/>
    </row>
    <row r="426">
      <c r="A426" s="127"/>
      <c r="B426" s="127"/>
      <c r="AF426" s="163"/>
    </row>
    <row r="427">
      <c r="A427" s="127"/>
      <c r="B427" s="127"/>
      <c r="AF427" s="163"/>
    </row>
    <row r="428">
      <c r="A428" s="127"/>
      <c r="B428" s="127"/>
      <c r="AF428" s="163"/>
    </row>
    <row r="429">
      <c r="A429" s="127"/>
      <c r="B429" s="127"/>
      <c r="AF429" s="163"/>
    </row>
    <row r="430">
      <c r="A430" s="127"/>
      <c r="B430" s="127"/>
      <c r="AF430" s="163"/>
    </row>
    <row r="431">
      <c r="A431" s="127"/>
      <c r="B431" s="127"/>
      <c r="AF431" s="163"/>
    </row>
    <row r="432">
      <c r="A432" s="127"/>
      <c r="B432" s="127"/>
      <c r="AF432" s="163"/>
    </row>
    <row r="433">
      <c r="A433" s="127"/>
      <c r="B433" s="127"/>
      <c r="AF433" s="163"/>
    </row>
    <row r="434">
      <c r="A434" s="127"/>
      <c r="B434" s="127"/>
      <c r="AF434" s="163"/>
    </row>
    <row r="435">
      <c r="A435" s="127"/>
      <c r="B435" s="127"/>
      <c r="AF435" s="163"/>
    </row>
    <row r="436">
      <c r="A436" s="127"/>
      <c r="B436" s="127"/>
      <c r="AF436" s="163"/>
    </row>
    <row r="437">
      <c r="A437" s="127"/>
      <c r="B437" s="127"/>
      <c r="AF437" s="163"/>
    </row>
    <row r="438">
      <c r="A438" s="127"/>
      <c r="B438" s="127"/>
      <c r="AF438" s="163"/>
    </row>
    <row r="439">
      <c r="A439" s="127"/>
      <c r="B439" s="127"/>
      <c r="AF439" s="163"/>
    </row>
    <row r="440">
      <c r="A440" s="127"/>
      <c r="B440" s="127"/>
      <c r="AF440" s="163"/>
    </row>
    <row r="441">
      <c r="A441" s="127"/>
      <c r="B441" s="127"/>
      <c r="AF441" s="163"/>
    </row>
    <row r="442">
      <c r="A442" s="127"/>
      <c r="B442" s="127"/>
      <c r="AF442" s="163"/>
    </row>
    <row r="443">
      <c r="A443" s="127"/>
      <c r="B443" s="127"/>
      <c r="AF443" s="163"/>
    </row>
    <row r="444">
      <c r="A444" s="127"/>
      <c r="B444" s="127"/>
      <c r="AF444" s="163"/>
    </row>
    <row r="445">
      <c r="A445" s="127"/>
      <c r="B445" s="127"/>
      <c r="AF445" s="163"/>
    </row>
    <row r="446">
      <c r="A446" s="127"/>
      <c r="B446" s="127"/>
      <c r="AF446" s="163"/>
    </row>
    <row r="447">
      <c r="A447" s="127"/>
      <c r="B447" s="127"/>
      <c r="AF447" s="163"/>
    </row>
    <row r="448">
      <c r="A448" s="127"/>
      <c r="B448" s="127"/>
      <c r="AF448" s="163"/>
    </row>
    <row r="449">
      <c r="A449" s="127"/>
      <c r="B449" s="127"/>
      <c r="AF449" s="163"/>
    </row>
    <row r="450">
      <c r="A450" s="127"/>
      <c r="B450" s="127"/>
      <c r="AF450" s="163"/>
    </row>
    <row r="451">
      <c r="A451" s="127"/>
      <c r="B451" s="127"/>
      <c r="AF451" s="163"/>
    </row>
    <row r="452">
      <c r="A452" s="127"/>
      <c r="B452" s="127"/>
      <c r="AF452" s="163"/>
    </row>
    <row r="453">
      <c r="A453" s="127"/>
      <c r="B453" s="127"/>
      <c r="AF453" s="163"/>
    </row>
    <row r="454">
      <c r="A454" s="127"/>
      <c r="B454" s="127"/>
      <c r="AF454" s="163"/>
    </row>
    <row r="455">
      <c r="A455" s="127"/>
      <c r="B455" s="127"/>
      <c r="AF455" s="163"/>
    </row>
    <row r="456">
      <c r="A456" s="127"/>
      <c r="B456" s="127"/>
      <c r="AF456" s="163"/>
    </row>
    <row r="457">
      <c r="A457" s="127"/>
      <c r="B457" s="127"/>
      <c r="AF457" s="163"/>
    </row>
    <row r="458">
      <c r="A458" s="127"/>
      <c r="B458" s="127"/>
      <c r="AF458" s="163"/>
    </row>
    <row r="459">
      <c r="A459" s="127"/>
      <c r="B459" s="127"/>
      <c r="AF459" s="163"/>
    </row>
    <row r="460">
      <c r="A460" s="127"/>
      <c r="B460" s="127"/>
      <c r="AF460" s="163"/>
    </row>
    <row r="461">
      <c r="A461" s="127"/>
      <c r="B461" s="127"/>
      <c r="AF461" s="163"/>
    </row>
    <row r="462">
      <c r="A462" s="127"/>
      <c r="B462" s="127"/>
      <c r="AF462" s="163"/>
    </row>
    <row r="463">
      <c r="A463" s="127"/>
      <c r="B463" s="127"/>
      <c r="AF463" s="163"/>
    </row>
    <row r="464">
      <c r="A464" s="127"/>
      <c r="B464" s="127"/>
      <c r="AF464" s="163"/>
    </row>
    <row r="465">
      <c r="A465" s="127"/>
      <c r="B465" s="127"/>
      <c r="AF465" s="163"/>
    </row>
    <row r="466">
      <c r="A466" s="127"/>
      <c r="B466" s="127"/>
      <c r="AF466" s="163"/>
    </row>
    <row r="467">
      <c r="A467" s="127"/>
      <c r="B467" s="127"/>
      <c r="AF467" s="163"/>
    </row>
    <row r="468">
      <c r="A468" s="127"/>
      <c r="B468" s="127"/>
      <c r="AF468" s="163"/>
    </row>
    <row r="469">
      <c r="A469" s="127"/>
      <c r="B469" s="127"/>
      <c r="AF469" s="163"/>
    </row>
    <row r="470">
      <c r="A470" s="127"/>
      <c r="B470" s="127"/>
      <c r="AF470" s="163"/>
    </row>
    <row r="471">
      <c r="A471" s="127"/>
      <c r="B471" s="127"/>
      <c r="AF471" s="163"/>
    </row>
    <row r="472">
      <c r="A472" s="127"/>
      <c r="B472" s="127"/>
      <c r="AF472" s="163"/>
    </row>
    <row r="473">
      <c r="A473" s="127"/>
      <c r="B473" s="127"/>
      <c r="AF473" s="163"/>
    </row>
    <row r="474">
      <c r="A474" s="127"/>
      <c r="B474" s="127"/>
      <c r="AF474" s="163"/>
    </row>
    <row r="475">
      <c r="A475" s="127"/>
      <c r="B475" s="127"/>
      <c r="AF475" s="163"/>
    </row>
    <row r="476">
      <c r="A476" s="127"/>
      <c r="B476" s="127"/>
      <c r="AF476" s="163"/>
    </row>
    <row r="477">
      <c r="A477" s="127"/>
      <c r="B477" s="127"/>
      <c r="AF477" s="163"/>
    </row>
    <row r="478">
      <c r="A478" s="127"/>
      <c r="B478" s="127"/>
      <c r="AF478" s="163"/>
    </row>
    <row r="479">
      <c r="A479" s="127"/>
      <c r="B479" s="127"/>
      <c r="AF479" s="163"/>
    </row>
    <row r="480">
      <c r="A480" s="127"/>
      <c r="B480" s="127"/>
      <c r="AF480" s="163"/>
    </row>
    <row r="481">
      <c r="A481" s="127"/>
      <c r="B481" s="127"/>
      <c r="AF481" s="163"/>
    </row>
    <row r="482">
      <c r="A482" s="127"/>
      <c r="B482" s="127"/>
      <c r="AF482" s="163"/>
    </row>
    <row r="483">
      <c r="A483" s="127"/>
      <c r="B483" s="127"/>
      <c r="AF483" s="163"/>
    </row>
    <row r="484">
      <c r="A484" s="127"/>
      <c r="B484" s="127"/>
      <c r="AF484" s="163"/>
    </row>
    <row r="485">
      <c r="A485" s="127"/>
      <c r="B485" s="127"/>
      <c r="AF485" s="163"/>
    </row>
    <row r="486">
      <c r="A486" s="127"/>
      <c r="B486" s="127"/>
      <c r="AF486" s="163"/>
    </row>
    <row r="487">
      <c r="A487" s="127"/>
      <c r="B487" s="127"/>
      <c r="AF487" s="163"/>
    </row>
    <row r="488">
      <c r="A488" s="127"/>
      <c r="B488" s="127"/>
      <c r="AF488" s="163"/>
    </row>
    <row r="489">
      <c r="A489" s="127"/>
      <c r="B489" s="127"/>
      <c r="AF489" s="163"/>
    </row>
    <row r="490">
      <c r="A490" s="127"/>
      <c r="B490" s="127"/>
      <c r="AF490" s="163"/>
    </row>
    <row r="491">
      <c r="A491" s="127"/>
      <c r="B491" s="127"/>
      <c r="AF491" s="163"/>
    </row>
    <row r="492">
      <c r="A492" s="127"/>
      <c r="B492" s="127"/>
      <c r="AF492" s="163"/>
    </row>
    <row r="493">
      <c r="A493" s="127"/>
      <c r="B493" s="127"/>
      <c r="AF493" s="163"/>
    </row>
    <row r="494">
      <c r="A494" s="127"/>
      <c r="B494" s="127"/>
      <c r="AF494" s="163"/>
    </row>
    <row r="495">
      <c r="A495" s="127"/>
      <c r="B495" s="127"/>
      <c r="AF495" s="163"/>
    </row>
    <row r="496">
      <c r="A496" s="127"/>
      <c r="B496" s="127"/>
      <c r="AF496" s="163"/>
    </row>
    <row r="497">
      <c r="A497" s="127"/>
      <c r="B497" s="127"/>
      <c r="AF497" s="163"/>
    </row>
    <row r="498">
      <c r="A498" s="127"/>
      <c r="B498" s="127"/>
      <c r="AF498" s="163"/>
    </row>
    <row r="499">
      <c r="A499" s="127"/>
      <c r="B499" s="127"/>
      <c r="AF499" s="163"/>
    </row>
    <row r="500">
      <c r="A500" s="127"/>
      <c r="B500" s="127"/>
      <c r="AF500" s="163"/>
    </row>
    <row r="501">
      <c r="A501" s="127"/>
      <c r="B501" s="127"/>
      <c r="AF501" s="163"/>
    </row>
    <row r="502">
      <c r="A502" s="127"/>
      <c r="B502" s="127"/>
      <c r="AF502" s="163"/>
    </row>
    <row r="503">
      <c r="A503" s="127"/>
      <c r="B503" s="127"/>
      <c r="AF503" s="163"/>
    </row>
    <row r="504">
      <c r="A504" s="127"/>
      <c r="B504" s="127"/>
      <c r="AF504" s="163"/>
    </row>
    <row r="505">
      <c r="A505" s="127"/>
      <c r="B505" s="127"/>
      <c r="AF505" s="163"/>
    </row>
    <row r="506">
      <c r="A506" s="127"/>
      <c r="B506" s="127"/>
      <c r="AF506" s="163"/>
    </row>
    <row r="507">
      <c r="A507" s="127"/>
      <c r="B507" s="127"/>
      <c r="AF507" s="163"/>
    </row>
    <row r="508">
      <c r="A508" s="127"/>
      <c r="B508" s="127"/>
      <c r="AF508" s="163"/>
    </row>
    <row r="509">
      <c r="A509" s="127"/>
      <c r="B509" s="127"/>
      <c r="AF509" s="163"/>
    </row>
    <row r="510">
      <c r="A510" s="127"/>
      <c r="B510" s="127"/>
      <c r="AF510" s="163"/>
    </row>
    <row r="511">
      <c r="A511" s="127"/>
      <c r="B511" s="127"/>
      <c r="AF511" s="163"/>
    </row>
    <row r="512">
      <c r="A512" s="127"/>
      <c r="B512" s="127"/>
      <c r="AF512" s="163"/>
    </row>
    <row r="513">
      <c r="A513" s="127"/>
      <c r="B513" s="127"/>
      <c r="AF513" s="163"/>
    </row>
    <row r="514">
      <c r="A514" s="127"/>
      <c r="B514" s="127"/>
      <c r="AF514" s="163"/>
    </row>
    <row r="515">
      <c r="A515" s="127"/>
      <c r="B515" s="127"/>
      <c r="AF515" s="163"/>
    </row>
    <row r="516">
      <c r="A516" s="127"/>
      <c r="B516" s="127"/>
      <c r="AF516" s="163"/>
    </row>
    <row r="517">
      <c r="A517" s="127"/>
      <c r="B517" s="127"/>
      <c r="AF517" s="163"/>
    </row>
    <row r="518">
      <c r="A518" s="127"/>
      <c r="B518" s="127"/>
      <c r="AF518" s="163"/>
    </row>
    <row r="519">
      <c r="A519" s="127"/>
      <c r="B519" s="127"/>
      <c r="AF519" s="163"/>
    </row>
    <row r="520">
      <c r="A520" s="127"/>
      <c r="B520" s="127"/>
      <c r="AF520" s="163"/>
    </row>
    <row r="521">
      <c r="A521" s="127"/>
      <c r="B521" s="127"/>
      <c r="AF521" s="163"/>
    </row>
    <row r="522">
      <c r="A522" s="127"/>
      <c r="B522" s="127"/>
      <c r="AF522" s="163"/>
    </row>
    <row r="523">
      <c r="A523" s="127"/>
      <c r="B523" s="127"/>
      <c r="AF523" s="163"/>
    </row>
    <row r="524">
      <c r="A524" s="127"/>
      <c r="B524" s="127"/>
      <c r="AF524" s="163"/>
    </row>
    <row r="525">
      <c r="A525" s="127"/>
      <c r="B525" s="127"/>
      <c r="AF525" s="163"/>
    </row>
    <row r="526">
      <c r="A526" s="127"/>
      <c r="B526" s="127"/>
      <c r="AF526" s="163"/>
    </row>
    <row r="527">
      <c r="A527" s="127"/>
      <c r="B527" s="127"/>
      <c r="AF527" s="163"/>
    </row>
    <row r="528">
      <c r="A528" s="127"/>
      <c r="B528" s="127"/>
      <c r="AF528" s="163"/>
    </row>
    <row r="529">
      <c r="A529" s="127"/>
      <c r="B529" s="127"/>
      <c r="AF529" s="163"/>
    </row>
    <row r="530">
      <c r="A530" s="127"/>
      <c r="B530" s="127"/>
      <c r="AF530" s="163"/>
    </row>
    <row r="531">
      <c r="A531" s="127"/>
      <c r="B531" s="127"/>
      <c r="AF531" s="163"/>
    </row>
    <row r="532">
      <c r="A532" s="127"/>
      <c r="B532" s="127"/>
      <c r="AF532" s="163"/>
    </row>
    <row r="533">
      <c r="A533" s="127"/>
      <c r="B533" s="127"/>
      <c r="AF533" s="163"/>
    </row>
    <row r="534">
      <c r="A534" s="127"/>
      <c r="B534" s="127"/>
      <c r="AF534" s="163"/>
    </row>
    <row r="535">
      <c r="A535" s="127"/>
      <c r="B535" s="127"/>
      <c r="AF535" s="163"/>
    </row>
    <row r="536">
      <c r="A536" s="127"/>
      <c r="B536" s="127"/>
      <c r="AF536" s="163"/>
    </row>
    <row r="537">
      <c r="A537" s="127"/>
      <c r="B537" s="127"/>
      <c r="AF537" s="163"/>
    </row>
    <row r="538">
      <c r="A538" s="127"/>
      <c r="B538" s="127"/>
      <c r="AF538" s="163"/>
    </row>
    <row r="539">
      <c r="A539" s="127"/>
      <c r="B539" s="127"/>
      <c r="AF539" s="163"/>
    </row>
    <row r="540">
      <c r="A540" s="127"/>
      <c r="B540" s="127"/>
      <c r="AF540" s="163"/>
    </row>
    <row r="541">
      <c r="A541" s="127"/>
      <c r="B541" s="127"/>
      <c r="AF541" s="163"/>
    </row>
    <row r="542">
      <c r="A542" s="127"/>
      <c r="B542" s="127"/>
      <c r="AF542" s="163"/>
    </row>
    <row r="543">
      <c r="A543" s="127"/>
      <c r="B543" s="127"/>
      <c r="AF543" s="163"/>
    </row>
    <row r="544">
      <c r="A544" s="127"/>
      <c r="B544" s="127"/>
      <c r="AF544" s="163"/>
    </row>
    <row r="545">
      <c r="A545" s="127"/>
      <c r="B545" s="127"/>
      <c r="AF545" s="163"/>
    </row>
    <row r="546">
      <c r="A546" s="127"/>
      <c r="B546" s="127"/>
      <c r="AF546" s="163"/>
    </row>
    <row r="547">
      <c r="A547" s="127"/>
      <c r="B547" s="127"/>
      <c r="AF547" s="163"/>
    </row>
    <row r="548">
      <c r="A548" s="127"/>
      <c r="B548" s="127"/>
      <c r="AF548" s="163"/>
    </row>
    <row r="549">
      <c r="A549" s="127"/>
      <c r="B549" s="127"/>
      <c r="AF549" s="163"/>
    </row>
    <row r="550">
      <c r="A550" s="127"/>
      <c r="B550" s="127"/>
      <c r="AF550" s="163"/>
    </row>
    <row r="551">
      <c r="A551" s="127"/>
      <c r="B551" s="127"/>
      <c r="AF551" s="163"/>
    </row>
    <row r="552">
      <c r="A552" s="127"/>
      <c r="B552" s="127"/>
      <c r="AF552" s="163"/>
    </row>
    <row r="553">
      <c r="A553" s="127"/>
      <c r="B553" s="127"/>
      <c r="AF553" s="163"/>
    </row>
    <row r="554">
      <c r="A554" s="127"/>
      <c r="B554" s="127"/>
      <c r="AF554" s="163"/>
    </row>
    <row r="555">
      <c r="A555" s="127"/>
      <c r="B555" s="127"/>
      <c r="AF555" s="163"/>
    </row>
    <row r="556">
      <c r="A556" s="127"/>
      <c r="B556" s="127"/>
      <c r="AF556" s="163"/>
    </row>
    <row r="557">
      <c r="A557" s="127"/>
      <c r="B557" s="127"/>
      <c r="AF557" s="163"/>
    </row>
    <row r="558">
      <c r="A558" s="127"/>
      <c r="B558" s="127"/>
      <c r="AF558" s="163"/>
    </row>
    <row r="559">
      <c r="A559" s="127"/>
      <c r="B559" s="127"/>
      <c r="AF559" s="163"/>
    </row>
    <row r="560">
      <c r="A560" s="127"/>
      <c r="B560" s="127"/>
      <c r="AF560" s="163"/>
    </row>
    <row r="561">
      <c r="A561" s="127"/>
      <c r="B561" s="127"/>
      <c r="AF561" s="163"/>
    </row>
    <row r="562">
      <c r="A562" s="127"/>
      <c r="B562" s="127"/>
      <c r="AF562" s="163"/>
    </row>
    <row r="563">
      <c r="A563" s="127"/>
      <c r="B563" s="127"/>
      <c r="AF563" s="163"/>
    </row>
    <row r="564">
      <c r="A564" s="127"/>
      <c r="B564" s="127"/>
      <c r="AF564" s="163"/>
    </row>
    <row r="565">
      <c r="A565" s="127"/>
      <c r="B565" s="127"/>
      <c r="AF565" s="163"/>
    </row>
    <row r="566">
      <c r="A566" s="127"/>
      <c r="B566" s="127"/>
      <c r="AF566" s="163"/>
    </row>
    <row r="567">
      <c r="A567" s="127"/>
      <c r="B567" s="127"/>
      <c r="AF567" s="163"/>
    </row>
    <row r="568">
      <c r="A568" s="127"/>
      <c r="B568" s="127"/>
      <c r="AF568" s="163"/>
    </row>
    <row r="569">
      <c r="A569" s="127"/>
      <c r="B569" s="127"/>
      <c r="AF569" s="163"/>
    </row>
    <row r="570">
      <c r="A570" s="127"/>
      <c r="B570" s="127"/>
      <c r="AF570" s="163"/>
    </row>
    <row r="571">
      <c r="A571" s="127"/>
      <c r="B571" s="127"/>
      <c r="AF571" s="163"/>
    </row>
    <row r="572">
      <c r="A572" s="127"/>
      <c r="B572" s="127"/>
      <c r="AF572" s="163"/>
    </row>
    <row r="573">
      <c r="A573" s="127"/>
      <c r="B573" s="127"/>
      <c r="AF573" s="163"/>
    </row>
    <row r="574">
      <c r="A574" s="127"/>
      <c r="B574" s="127"/>
      <c r="AF574" s="163"/>
    </row>
    <row r="575">
      <c r="A575" s="127"/>
      <c r="B575" s="127"/>
      <c r="AF575" s="163"/>
    </row>
    <row r="576">
      <c r="A576" s="127"/>
      <c r="B576" s="127"/>
      <c r="AF576" s="163"/>
    </row>
    <row r="577">
      <c r="A577" s="127"/>
      <c r="B577" s="127"/>
      <c r="AF577" s="163"/>
    </row>
    <row r="578">
      <c r="A578" s="127"/>
      <c r="B578" s="127"/>
      <c r="AF578" s="163"/>
    </row>
    <row r="579">
      <c r="A579" s="127"/>
      <c r="B579" s="127"/>
      <c r="AF579" s="163"/>
    </row>
    <row r="580">
      <c r="A580" s="127"/>
      <c r="B580" s="127"/>
      <c r="AF580" s="163"/>
    </row>
    <row r="581">
      <c r="A581" s="127"/>
      <c r="B581" s="127"/>
      <c r="AF581" s="163"/>
    </row>
    <row r="582">
      <c r="A582" s="127"/>
      <c r="B582" s="127"/>
      <c r="AF582" s="163"/>
    </row>
    <row r="583">
      <c r="A583" s="127"/>
      <c r="B583" s="127"/>
      <c r="AF583" s="163"/>
    </row>
    <row r="584">
      <c r="A584" s="127"/>
      <c r="B584" s="127"/>
      <c r="AF584" s="163"/>
    </row>
    <row r="585">
      <c r="A585" s="127"/>
      <c r="B585" s="127"/>
      <c r="AF585" s="163"/>
    </row>
    <row r="586">
      <c r="A586" s="127"/>
      <c r="B586" s="127"/>
      <c r="AF586" s="163"/>
    </row>
    <row r="587">
      <c r="A587" s="127"/>
      <c r="B587" s="127"/>
      <c r="AF587" s="163"/>
    </row>
    <row r="588">
      <c r="A588" s="127"/>
      <c r="B588" s="127"/>
      <c r="AF588" s="163"/>
    </row>
    <row r="589">
      <c r="A589" s="127"/>
      <c r="B589" s="127"/>
      <c r="AF589" s="163"/>
    </row>
    <row r="590">
      <c r="A590" s="127"/>
      <c r="B590" s="127"/>
      <c r="AF590" s="163"/>
    </row>
    <row r="591">
      <c r="A591" s="127"/>
      <c r="B591" s="127"/>
      <c r="AF591" s="163"/>
    </row>
    <row r="592">
      <c r="A592" s="127"/>
      <c r="B592" s="127"/>
      <c r="AF592" s="163"/>
    </row>
    <row r="593">
      <c r="A593" s="127"/>
      <c r="B593" s="127"/>
      <c r="AF593" s="163"/>
    </row>
    <row r="594">
      <c r="A594" s="127"/>
      <c r="B594" s="127"/>
      <c r="AF594" s="163"/>
    </row>
    <row r="595">
      <c r="A595" s="127"/>
      <c r="B595" s="127"/>
      <c r="AF595" s="163"/>
    </row>
    <row r="596">
      <c r="A596" s="127"/>
      <c r="B596" s="127"/>
      <c r="AF596" s="163"/>
    </row>
    <row r="597">
      <c r="A597" s="127"/>
      <c r="B597" s="127"/>
      <c r="AF597" s="163"/>
    </row>
    <row r="598">
      <c r="A598" s="127"/>
      <c r="B598" s="127"/>
      <c r="AF598" s="163"/>
    </row>
    <row r="599">
      <c r="A599" s="127"/>
      <c r="B599" s="127"/>
      <c r="AF599" s="163"/>
    </row>
    <row r="600">
      <c r="A600" s="127"/>
      <c r="B600" s="127"/>
      <c r="AF600" s="163"/>
    </row>
    <row r="601">
      <c r="A601" s="127"/>
      <c r="B601" s="127"/>
      <c r="AF601" s="163"/>
    </row>
    <row r="602">
      <c r="A602" s="127"/>
      <c r="B602" s="127"/>
      <c r="AF602" s="163"/>
    </row>
    <row r="603">
      <c r="A603" s="127"/>
      <c r="B603" s="127"/>
      <c r="AF603" s="163"/>
    </row>
    <row r="604">
      <c r="A604" s="127"/>
      <c r="B604" s="127"/>
      <c r="AF604" s="163"/>
    </row>
    <row r="605">
      <c r="A605" s="127"/>
      <c r="B605" s="127"/>
      <c r="AF605" s="163"/>
    </row>
    <row r="606">
      <c r="A606" s="127"/>
      <c r="B606" s="127"/>
      <c r="AF606" s="163"/>
    </row>
    <row r="607">
      <c r="A607" s="127"/>
      <c r="B607" s="127"/>
      <c r="AF607" s="163"/>
    </row>
    <row r="608">
      <c r="A608" s="127"/>
      <c r="B608" s="127"/>
      <c r="AF608" s="163"/>
    </row>
    <row r="609">
      <c r="A609" s="127"/>
      <c r="B609" s="127"/>
      <c r="AF609" s="163"/>
    </row>
    <row r="610">
      <c r="A610" s="127"/>
      <c r="B610" s="127"/>
      <c r="AF610" s="163"/>
    </row>
    <row r="611">
      <c r="A611" s="127"/>
      <c r="B611" s="127"/>
      <c r="AF611" s="163"/>
    </row>
    <row r="612">
      <c r="A612" s="127"/>
      <c r="B612" s="127"/>
      <c r="AF612" s="163"/>
    </row>
    <row r="613">
      <c r="A613" s="127"/>
      <c r="B613" s="127"/>
      <c r="AF613" s="163"/>
    </row>
    <row r="614">
      <c r="A614" s="127"/>
      <c r="B614" s="127"/>
      <c r="AF614" s="163"/>
    </row>
    <row r="615">
      <c r="A615" s="127"/>
      <c r="B615" s="127"/>
      <c r="AF615" s="163"/>
    </row>
    <row r="616">
      <c r="A616" s="127"/>
      <c r="B616" s="127"/>
      <c r="AF616" s="163"/>
    </row>
    <row r="617">
      <c r="A617" s="127"/>
      <c r="B617" s="127"/>
      <c r="AF617" s="163"/>
    </row>
    <row r="618">
      <c r="A618" s="127"/>
      <c r="B618" s="127"/>
      <c r="AF618" s="163"/>
    </row>
    <row r="619">
      <c r="A619" s="127"/>
      <c r="B619" s="127"/>
      <c r="AF619" s="163"/>
    </row>
    <row r="620">
      <c r="A620" s="127"/>
      <c r="B620" s="127"/>
      <c r="AF620" s="163"/>
    </row>
    <row r="621">
      <c r="A621" s="127"/>
      <c r="B621" s="127"/>
      <c r="AF621" s="163"/>
    </row>
    <row r="622">
      <c r="A622" s="127"/>
      <c r="B622" s="127"/>
      <c r="AF622" s="163"/>
    </row>
    <row r="623">
      <c r="A623" s="127"/>
      <c r="B623" s="127"/>
      <c r="AF623" s="163"/>
    </row>
    <row r="624">
      <c r="A624" s="127"/>
      <c r="B624" s="127"/>
      <c r="AF624" s="163"/>
    </row>
    <row r="625">
      <c r="A625" s="127"/>
      <c r="B625" s="127"/>
      <c r="AF625" s="163"/>
    </row>
    <row r="626">
      <c r="A626" s="127"/>
      <c r="B626" s="127"/>
      <c r="AF626" s="163"/>
    </row>
    <row r="627">
      <c r="A627" s="127"/>
      <c r="B627" s="127"/>
      <c r="AF627" s="163"/>
    </row>
    <row r="628">
      <c r="A628" s="127"/>
      <c r="B628" s="127"/>
      <c r="AF628" s="163"/>
    </row>
    <row r="629">
      <c r="A629" s="127"/>
      <c r="B629" s="127"/>
      <c r="AF629" s="163"/>
    </row>
    <row r="630">
      <c r="A630" s="127"/>
      <c r="B630" s="127"/>
      <c r="AF630" s="163"/>
    </row>
    <row r="631">
      <c r="A631" s="127"/>
      <c r="B631" s="127"/>
      <c r="AF631" s="163"/>
    </row>
    <row r="632">
      <c r="A632" s="127"/>
      <c r="B632" s="127"/>
      <c r="AF632" s="163"/>
    </row>
    <row r="633">
      <c r="A633" s="127"/>
      <c r="B633" s="127"/>
      <c r="AF633" s="163"/>
    </row>
    <row r="634">
      <c r="A634" s="127"/>
      <c r="B634" s="127"/>
      <c r="AF634" s="163"/>
    </row>
    <row r="635">
      <c r="A635" s="127"/>
      <c r="B635" s="127"/>
      <c r="AF635" s="163"/>
    </row>
    <row r="636">
      <c r="A636" s="127"/>
      <c r="B636" s="127"/>
      <c r="AF636" s="163"/>
    </row>
    <row r="637">
      <c r="A637" s="127"/>
      <c r="B637" s="127"/>
      <c r="AF637" s="163"/>
    </row>
    <row r="638">
      <c r="A638" s="127"/>
      <c r="B638" s="127"/>
      <c r="AF638" s="163"/>
    </row>
    <row r="639">
      <c r="A639" s="127"/>
      <c r="B639" s="127"/>
      <c r="AF639" s="163"/>
    </row>
    <row r="640">
      <c r="A640" s="127"/>
      <c r="B640" s="127"/>
      <c r="AF640" s="163"/>
    </row>
    <row r="641">
      <c r="A641" s="127"/>
      <c r="B641" s="127"/>
      <c r="AF641" s="163"/>
    </row>
    <row r="642">
      <c r="A642" s="127"/>
      <c r="B642" s="127"/>
      <c r="AF642" s="163"/>
    </row>
    <row r="643">
      <c r="A643" s="127"/>
      <c r="B643" s="127"/>
      <c r="AF643" s="163"/>
    </row>
    <row r="644">
      <c r="A644" s="127"/>
      <c r="B644" s="127"/>
      <c r="AF644" s="163"/>
    </row>
    <row r="645">
      <c r="A645" s="127"/>
      <c r="B645" s="127"/>
      <c r="AF645" s="163"/>
    </row>
    <row r="646">
      <c r="A646" s="127"/>
      <c r="B646" s="127"/>
      <c r="AF646" s="163"/>
    </row>
    <row r="647">
      <c r="A647" s="127"/>
      <c r="B647" s="127"/>
      <c r="AF647" s="163"/>
    </row>
    <row r="648">
      <c r="A648" s="127"/>
      <c r="B648" s="127"/>
      <c r="AF648" s="163"/>
    </row>
    <row r="649">
      <c r="A649" s="127"/>
      <c r="B649" s="127"/>
      <c r="AF649" s="163"/>
    </row>
    <row r="650">
      <c r="A650" s="127"/>
      <c r="B650" s="127"/>
      <c r="AF650" s="163"/>
    </row>
    <row r="651">
      <c r="A651" s="127"/>
      <c r="B651" s="127"/>
      <c r="AF651" s="163"/>
    </row>
    <row r="652">
      <c r="A652" s="127"/>
      <c r="B652" s="127"/>
      <c r="AF652" s="163"/>
    </row>
    <row r="653">
      <c r="A653" s="127"/>
      <c r="B653" s="127"/>
      <c r="AF653" s="163"/>
    </row>
    <row r="654">
      <c r="A654" s="127"/>
      <c r="B654" s="127"/>
      <c r="AF654" s="163"/>
    </row>
    <row r="655">
      <c r="A655" s="127"/>
      <c r="B655" s="127"/>
      <c r="AF655" s="163"/>
    </row>
    <row r="656">
      <c r="A656" s="127"/>
      <c r="B656" s="127"/>
      <c r="AF656" s="163"/>
    </row>
    <row r="657">
      <c r="A657" s="127"/>
      <c r="B657" s="127"/>
      <c r="AF657" s="163"/>
    </row>
    <row r="658">
      <c r="A658" s="127"/>
      <c r="B658" s="127"/>
      <c r="AF658" s="163"/>
    </row>
    <row r="659">
      <c r="A659" s="127"/>
      <c r="B659" s="127"/>
      <c r="AF659" s="163"/>
    </row>
    <row r="660">
      <c r="A660" s="127"/>
      <c r="B660" s="127"/>
      <c r="AF660" s="163"/>
    </row>
    <row r="661">
      <c r="A661" s="127"/>
      <c r="B661" s="127"/>
      <c r="AF661" s="163"/>
    </row>
    <row r="662">
      <c r="A662" s="127"/>
      <c r="B662" s="127"/>
      <c r="AF662" s="163"/>
    </row>
    <row r="663">
      <c r="A663" s="127"/>
      <c r="B663" s="127"/>
      <c r="AF663" s="163"/>
    </row>
    <row r="664">
      <c r="A664" s="127"/>
      <c r="B664" s="127"/>
      <c r="AF664" s="163"/>
    </row>
    <row r="665">
      <c r="A665" s="127"/>
      <c r="B665" s="127"/>
      <c r="AF665" s="163"/>
    </row>
    <row r="666">
      <c r="A666" s="127"/>
      <c r="B666" s="127"/>
      <c r="AF666" s="163"/>
    </row>
    <row r="667">
      <c r="A667" s="127"/>
      <c r="B667" s="127"/>
      <c r="AF667" s="163"/>
    </row>
    <row r="668">
      <c r="A668" s="127"/>
      <c r="B668" s="127"/>
      <c r="AF668" s="163"/>
    </row>
    <row r="669">
      <c r="A669" s="127"/>
      <c r="B669" s="127"/>
      <c r="AF669" s="163"/>
    </row>
    <row r="670">
      <c r="A670" s="127"/>
      <c r="B670" s="127"/>
      <c r="AF670" s="163"/>
    </row>
    <row r="671">
      <c r="A671" s="127"/>
      <c r="B671" s="127"/>
      <c r="AF671" s="163"/>
    </row>
    <row r="672">
      <c r="A672" s="127"/>
      <c r="B672" s="127"/>
      <c r="AF672" s="163"/>
    </row>
    <row r="673">
      <c r="A673" s="127"/>
      <c r="B673" s="127"/>
      <c r="AF673" s="163"/>
    </row>
    <row r="674">
      <c r="A674" s="127"/>
      <c r="B674" s="127"/>
      <c r="AF674" s="163"/>
    </row>
    <row r="675">
      <c r="A675" s="127"/>
      <c r="B675" s="127"/>
      <c r="AF675" s="163"/>
    </row>
    <row r="676">
      <c r="A676" s="127"/>
      <c r="B676" s="127"/>
      <c r="AF676" s="163"/>
    </row>
    <row r="677">
      <c r="A677" s="127"/>
      <c r="B677" s="127"/>
      <c r="AF677" s="163"/>
    </row>
    <row r="678">
      <c r="A678" s="127"/>
      <c r="B678" s="127"/>
      <c r="AF678" s="163"/>
    </row>
    <row r="679">
      <c r="A679" s="127"/>
      <c r="B679" s="127"/>
      <c r="AF679" s="163"/>
    </row>
    <row r="680">
      <c r="A680" s="127"/>
      <c r="B680" s="127"/>
      <c r="AF680" s="163"/>
    </row>
    <row r="681">
      <c r="A681" s="127"/>
      <c r="B681" s="127"/>
      <c r="AF681" s="163"/>
    </row>
    <row r="682">
      <c r="A682" s="127"/>
      <c r="B682" s="127"/>
      <c r="AF682" s="163"/>
    </row>
    <row r="683">
      <c r="A683" s="127"/>
      <c r="B683" s="127"/>
      <c r="AF683" s="163"/>
    </row>
    <row r="684">
      <c r="A684" s="127"/>
      <c r="B684" s="127"/>
      <c r="AF684" s="163"/>
    </row>
    <row r="685">
      <c r="A685" s="127"/>
      <c r="B685" s="127"/>
      <c r="AF685" s="163"/>
    </row>
    <row r="686">
      <c r="A686" s="127"/>
      <c r="B686" s="127"/>
      <c r="AF686" s="163"/>
    </row>
    <row r="687">
      <c r="A687" s="127"/>
      <c r="B687" s="127"/>
      <c r="AF687" s="163"/>
    </row>
    <row r="688">
      <c r="A688" s="127"/>
      <c r="B688" s="127"/>
      <c r="AF688" s="163"/>
    </row>
    <row r="689">
      <c r="A689" s="127"/>
      <c r="B689" s="127"/>
      <c r="AF689" s="163"/>
    </row>
    <row r="690">
      <c r="A690" s="127"/>
      <c r="B690" s="127"/>
      <c r="AF690" s="163"/>
    </row>
    <row r="691">
      <c r="A691" s="127"/>
      <c r="B691" s="127"/>
      <c r="AF691" s="163"/>
    </row>
    <row r="692">
      <c r="A692" s="127"/>
      <c r="B692" s="127"/>
      <c r="AF692" s="163"/>
    </row>
    <row r="693">
      <c r="A693" s="127"/>
      <c r="B693" s="127"/>
      <c r="AF693" s="163"/>
    </row>
    <row r="694">
      <c r="A694" s="127"/>
      <c r="B694" s="127"/>
      <c r="AF694" s="163"/>
    </row>
    <row r="695">
      <c r="A695" s="127"/>
      <c r="B695" s="127"/>
      <c r="AF695" s="163"/>
    </row>
    <row r="696">
      <c r="A696" s="127"/>
      <c r="B696" s="127"/>
      <c r="AF696" s="163"/>
    </row>
    <row r="697">
      <c r="A697" s="127"/>
      <c r="B697" s="127"/>
      <c r="AF697" s="163"/>
    </row>
    <row r="698">
      <c r="A698" s="127"/>
      <c r="B698" s="127"/>
      <c r="AF698" s="163"/>
    </row>
    <row r="699">
      <c r="A699" s="127"/>
      <c r="B699" s="127"/>
      <c r="AF699" s="163"/>
    </row>
    <row r="700">
      <c r="A700" s="127"/>
      <c r="B700" s="127"/>
      <c r="AF700" s="163"/>
    </row>
    <row r="701">
      <c r="A701" s="127"/>
      <c r="B701" s="127"/>
      <c r="AF701" s="163"/>
    </row>
    <row r="702">
      <c r="A702" s="127"/>
      <c r="B702" s="127"/>
      <c r="AF702" s="163"/>
    </row>
    <row r="703">
      <c r="A703" s="127"/>
      <c r="B703" s="127"/>
      <c r="AF703" s="163"/>
    </row>
    <row r="704">
      <c r="A704" s="127"/>
      <c r="B704" s="127"/>
      <c r="AF704" s="163"/>
    </row>
    <row r="705">
      <c r="A705" s="127"/>
      <c r="B705" s="127"/>
      <c r="AF705" s="163"/>
    </row>
    <row r="706">
      <c r="A706" s="127"/>
      <c r="B706" s="127"/>
      <c r="AF706" s="163"/>
    </row>
    <row r="707">
      <c r="A707" s="127"/>
      <c r="B707" s="127"/>
      <c r="AF707" s="163"/>
    </row>
    <row r="708">
      <c r="A708" s="127"/>
      <c r="B708" s="127"/>
      <c r="AF708" s="163"/>
    </row>
    <row r="709">
      <c r="A709" s="127"/>
      <c r="B709" s="127"/>
      <c r="AF709" s="163"/>
    </row>
    <row r="710">
      <c r="A710" s="127"/>
      <c r="B710" s="127"/>
      <c r="AF710" s="163"/>
    </row>
    <row r="711">
      <c r="A711" s="127"/>
      <c r="B711" s="127"/>
      <c r="AF711" s="163"/>
    </row>
    <row r="712">
      <c r="A712" s="127"/>
      <c r="B712" s="127"/>
      <c r="AF712" s="163"/>
    </row>
    <row r="713">
      <c r="A713" s="127"/>
      <c r="B713" s="127"/>
      <c r="AF713" s="163"/>
    </row>
    <row r="714">
      <c r="A714" s="127"/>
      <c r="B714" s="127"/>
      <c r="AF714" s="163"/>
    </row>
    <row r="715">
      <c r="A715" s="127"/>
      <c r="B715" s="127"/>
      <c r="AF715" s="163"/>
    </row>
    <row r="716">
      <c r="A716" s="127"/>
      <c r="B716" s="127"/>
      <c r="AF716" s="163"/>
    </row>
    <row r="717">
      <c r="A717" s="127"/>
      <c r="B717" s="127"/>
      <c r="AF717" s="163"/>
    </row>
    <row r="718">
      <c r="A718" s="127"/>
      <c r="B718" s="127"/>
      <c r="AF718" s="163"/>
    </row>
    <row r="719">
      <c r="A719" s="127"/>
      <c r="B719" s="127"/>
      <c r="AF719" s="163"/>
    </row>
    <row r="720">
      <c r="A720" s="127"/>
      <c r="B720" s="127"/>
      <c r="AF720" s="163"/>
    </row>
    <row r="721">
      <c r="A721" s="127"/>
      <c r="B721" s="127"/>
      <c r="AF721" s="163"/>
    </row>
    <row r="722">
      <c r="A722" s="127"/>
      <c r="B722" s="127"/>
      <c r="AF722" s="163"/>
    </row>
    <row r="723">
      <c r="A723" s="127"/>
      <c r="B723" s="127"/>
      <c r="AF723" s="163"/>
    </row>
    <row r="724">
      <c r="A724" s="127"/>
      <c r="B724" s="127"/>
      <c r="AF724" s="163"/>
    </row>
    <row r="725">
      <c r="A725" s="127"/>
      <c r="B725" s="127"/>
      <c r="AF725" s="163"/>
    </row>
    <row r="726">
      <c r="A726" s="127"/>
      <c r="B726" s="127"/>
      <c r="AF726" s="163"/>
    </row>
    <row r="727">
      <c r="A727" s="127"/>
      <c r="B727" s="127"/>
      <c r="AF727" s="163"/>
    </row>
    <row r="728">
      <c r="A728" s="127"/>
      <c r="B728" s="127"/>
      <c r="AF728" s="163"/>
    </row>
    <row r="729">
      <c r="A729" s="127"/>
      <c r="B729" s="127"/>
      <c r="AF729" s="163"/>
    </row>
    <row r="730">
      <c r="A730" s="127"/>
      <c r="B730" s="127"/>
      <c r="AF730" s="163"/>
    </row>
    <row r="731">
      <c r="A731" s="127"/>
      <c r="B731" s="127"/>
      <c r="AF731" s="163"/>
    </row>
    <row r="732">
      <c r="A732" s="127"/>
      <c r="B732" s="127"/>
      <c r="AF732" s="163"/>
    </row>
    <row r="733">
      <c r="A733" s="127"/>
      <c r="B733" s="127"/>
      <c r="AF733" s="163"/>
    </row>
    <row r="734">
      <c r="A734" s="127"/>
      <c r="B734" s="127"/>
      <c r="AF734" s="163"/>
    </row>
    <row r="735">
      <c r="A735" s="127"/>
      <c r="B735" s="127"/>
      <c r="AF735" s="163"/>
    </row>
    <row r="736">
      <c r="A736" s="127"/>
      <c r="B736" s="127"/>
      <c r="AF736" s="163"/>
    </row>
    <row r="737">
      <c r="A737" s="127"/>
      <c r="B737" s="127"/>
      <c r="AF737" s="163"/>
    </row>
    <row r="738">
      <c r="A738" s="127"/>
      <c r="B738" s="127"/>
      <c r="AF738" s="163"/>
    </row>
    <row r="739">
      <c r="A739" s="127"/>
      <c r="B739" s="127"/>
      <c r="AF739" s="163"/>
    </row>
    <row r="740">
      <c r="A740" s="127"/>
      <c r="B740" s="127"/>
      <c r="AF740" s="163"/>
    </row>
    <row r="741">
      <c r="A741" s="127"/>
      <c r="B741" s="127"/>
      <c r="AF741" s="163"/>
    </row>
    <row r="742">
      <c r="A742" s="127"/>
      <c r="B742" s="127"/>
      <c r="AF742" s="163"/>
    </row>
    <row r="743">
      <c r="A743" s="127"/>
      <c r="B743" s="127"/>
      <c r="AF743" s="163"/>
    </row>
    <row r="744">
      <c r="A744" s="127"/>
      <c r="B744" s="127"/>
      <c r="AF744" s="163"/>
    </row>
    <row r="745">
      <c r="A745" s="127"/>
      <c r="B745" s="127"/>
      <c r="AF745" s="163"/>
    </row>
    <row r="746">
      <c r="A746" s="127"/>
      <c r="B746" s="127"/>
      <c r="AF746" s="163"/>
    </row>
    <row r="747">
      <c r="A747" s="127"/>
      <c r="B747" s="127"/>
      <c r="AF747" s="163"/>
    </row>
    <row r="748">
      <c r="A748" s="127"/>
      <c r="B748" s="127"/>
      <c r="AF748" s="163"/>
    </row>
    <row r="749">
      <c r="A749" s="127"/>
      <c r="B749" s="127"/>
      <c r="AF749" s="163"/>
    </row>
    <row r="750">
      <c r="A750" s="127"/>
      <c r="B750" s="127"/>
      <c r="AF750" s="163"/>
    </row>
    <row r="751">
      <c r="A751" s="127"/>
      <c r="B751" s="127"/>
      <c r="AF751" s="163"/>
    </row>
    <row r="752">
      <c r="A752" s="127"/>
      <c r="B752" s="127"/>
      <c r="AF752" s="163"/>
    </row>
    <row r="753">
      <c r="A753" s="127"/>
      <c r="B753" s="127"/>
      <c r="AF753" s="163"/>
    </row>
    <row r="754">
      <c r="A754" s="127"/>
      <c r="B754" s="127"/>
      <c r="AF754" s="163"/>
    </row>
    <row r="755">
      <c r="A755" s="127"/>
      <c r="B755" s="127"/>
      <c r="AF755" s="163"/>
    </row>
    <row r="756">
      <c r="A756" s="127"/>
      <c r="B756" s="127"/>
      <c r="AF756" s="163"/>
    </row>
    <row r="757">
      <c r="A757" s="127"/>
      <c r="B757" s="127"/>
      <c r="AF757" s="163"/>
    </row>
    <row r="758">
      <c r="A758" s="127"/>
      <c r="B758" s="127"/>
      <c r="AF758" s="163"/>
    </row>
    <row r="759">
      <c r="A759" s="127"/>
      <c r="B759" s="127"/>
      <c r="AF759" s="163"/>
    </row>
    <row r="760">
      <c r="A760" s="127"/>
      <c r="B760" s="127"/>
      <c r="AF760" s="163"/>
    </row>
    <row r="761">
      <c r="A761" s="127"/>
      <c r="B761" s="127"/>
      <c r="AF761" s="163"/>
    </row>
    <row r="762">
      <c r="A762" s="127"/>
      <c r="B762" s="127"/>
      <c r="AF762" s="163"/>
    </row>
    <row r="763">
      <c r="A763" s="127"/>
      <c r="B763" s="127"/>
      <c r="AF763" s="163"/>
    </row>
    <row r="764">
      <c r="A764" s="127"/>
      <c r="B764" s="127"/>
      <c r="AF764" s="163"/>
    </row>
    <row r="765">
      <c r="A765" s="127"/>
      <c r="B765" s="127"/>
      <c r="AF765" s="163"/>
    </row>
    <row r="766">
      <c r="A766" s="127"/>
      <c r="B766" s="127"/>
      <c r="AF766" s="163"/>
    </row>
    <row r="767">
      <c r="A767" s="127"/>
      <c r="B767" s="127"/>
      <c r="AF767" s="163"/>
    </row>
    <row r="768">
      <c r="A768" s="127"/>
      <c r="B768" s="127"/>
      <c r="AF768" s="163"/>
    </row>
    <row r="769">
      <c r="A769" s="127"/>
      <c r="B769" s="127"/>
      <c r="AF769" s="163"/>
    </row>
    <row r="770">
      <c r="A770" s="127"/>
      <c r="B770" s="127"/>
      <c r="AF770" s="163"/>
    </row>
    <row r="771">
      <c r="A771" s="127"/>
      <c r="B771" s="127"/>
      <c r="AF771" s="163"/>
    </row>
    <row r="772">
      <c r="A772" s="127"/>
      <c r="B772" s="127"/>
      <c r="AF772" s="163"/>
    </row>
    <row r="773">
      <c r="A773" s="127"/>
      <c r="B773" s="127"/>
      <c r="AF773" s="163"/>
    </row>
    <row r="774">
      <c r="A774" s="127"/>
      <c r="B774" s="127"/>
      <c r="AF774" s="163"/>
    </row>
    <row r="775">
      <c r="A775" s="127"/>
      <c r="B775" s="127"/>
      <c r="AF775" s="163"/>
    </row>
    <row r="776">
      <c r="A776" s="127"/>
      <c r="B776" s="127"/>
      <c r="AF776" s="163"/>
    </row>
    <row r="777">
      <c r="A777" s="127"/>
      <c r="B777" s="127"/>
      <c r="AF777" s="163"/>
    </row>
    <row r="778">
      <c r="A778" s="127"/>
      <c r="B778" s="127"/>
      <c r="AF778" s="163"/>
    </row>
    <row r="779">
      <c r="A779" s="127"/>
      <c r="B779" s="127"/>
      <c r="AF779" s="163"/>
    </row>
    <row r="780">
      <c r="A780" s="127"/>
      <c r="B780" s="127"/>
      <c r="AF780" s="163"/>
    </row>
    <row r="781">
      <c r="A781" s="127"/>
      <c r="B781" s="127"/>
      <c r="AF781" s="163"/>
    </row>
    <row r="782">
      <c r="A782" s="127"/>
      <c r="B782" s="127"/>
      <c r="AF782" s="163"/>
    </row>
    <row r="783">
      <c r="A783" s="127"/>
      <c r="B783" s="127"/>
      <c r="AF783" s="163"/>
    </row>
    <row r="784">
      <c r="A784" s="127"/>
      <c r="B784" s="127"/>
      <c r="AF784" s="163"/>
    </row>
    <row r="785">
      <c r="A785" s="127"/>
      <c r="B785" s="127"/>
      <c r="AF785" s="163"/>
    </row>
    <row r="786">
      <c r="A786" s="127"/>
      <c r="B786" s="127"/>
      <c r="AF786" s="163"/>
    </row>
    <row r="787">
      <c r="A787" s="127"/>
      <c r="B787" s="127"/>
      <c r="AF787" s="163"/>
    </row>
    <row r="788">
      <c r="A788" s="127"/>
      <c r="B788" s="127"/>
      <c r="AF788" s="163"/>
    </row>
    <row r="789">
      <c r="A789" s="127"/>
      <c r="B789" s="127"/>
      <c r="AF789" s="163"/>
    </row>
    <row r="790">
      <c r="A790" s="127"/>
      <c r="B790" s="127"/>
      <c r="AF790" s="163"/>
    </row>
    <row r="791">
      <c r="A791" s="127"/>
      <c r="B791" s="127"/>
      <c r="AF791" s="163"/>
    </row>
    <row r="792">
      <c r="A792" s="127"/>
      <c r="B792" s="127"/>
      <c r="AF792" s="163"/>
    </row>
    <row r="793">
      <c r="A793" s="127"/>
      <c r="B793" s="127"/>
      <c r="AF793" s="163"/>
    </row>
    <row r="794">
      <c r="A794" s="127"/>
      <c r="B794" s="127"/>
      <c r="AF794" s="163"/>
    </row>
    <row r="795">
      <c r="A795" s="127"/>
      <c r="B795" s="127"/>
      <c r="AF795" s="163"/>
    </row>
    <row r="796">
      <c r="A796" s="127"/>
      <c r="B796" s="127"/>
      <c r="AF796" s="163"/>
    </row>
    <row r="797">
      <c r="A797" s="127"/>
      <c r="B797" s="127"/>
      <c r="AF797" s="163"/>
    </row>
    <row r="798">
      <c r="A798" s="127"/>
      <c r="B798" s="127"/>
      <c r="AF798" s="163"/>
    </row>
    <row r="799">
      <c r="A799" s="127"/>
      <c r="B799" s="127"/>
      <c r="AF799" s="163"/>
    </row>
    <row r="800">
      <c r="A800" s="127"/>
      <c r="B800" s="127"/>
      <c r="AF800" s="163"/>
    </row>
    <row r="801">
      <c r="A801" s="127"/>
      <c r="B801" s="127"/>
      <c r="AF801" s="163"/>
    </row>
    <row r="802">
      <c r="A802" s="127"/>
      <c r="B802" s="127"/>
      <c r="AF802" s="163"/>
    </row>
    <row r="803">
      <c r="A803" s="127"/>
      <c r="B803" s="127"/>
      <c r="AF803" s="163"/>
    </row>
    <row r="804">
      <c r="A804" s="127"/>
      <c r="B804" s="127"/>
      <c r="AF804" s="163"/>
    </row>
    <row r="805">
      <c r="A805" s="127"/>
      <c r="B805" s="127"/>
      <c r="AF805" s="163"/>
    </row>
    <row r="806">
      <c r="A806" s="127"/>
      <c r="B806" s="127"/>
      <c r="AF806" s="163"/>
    </row>
    <row r="807">
      <c r="A807" s="127"/>
      <c r="B807" s="127"/>
      <c r="AF807" s="163"/>
    </row>
    <row r="808">
      <c r="A808" s="127"/>
      <c r="B808" s="127"/>
      <c r="AF808" s="163"/>
    </row>
    <row r="809">
      <c r="A809" s="127"/>
      <c r="B809" s="127"/>
      <c r="AF809" s="163"/>
    </row>
    <row r="810">
      <c r="A810" s="127"/>
      <c r="B810" s="127"/>
      <c r="AF810" s="163"/>
    </row>
    <row r="811">
      <c r="A811" s="127"/>
      <c r="B811" s="127"/>
      <c r="AF811" s="163"/>
    </row>
    <row r="812">
      <c r="A812" s="127"/>
      <c r="B812" s="127"/>
      <c r="AF812" s="163"/>
    </row>
    <row r="813">
      <c r="A813" s="127"/>
      <c r="B813" s="127"/>
      <c r="AF813" s="163"/>
    </row>
    <row r="814">
      <c r="A814" s="127"/>
      <c r="B814" s="127"/>
      <c r="AF814" s="163"/>
    </row>
    <row r="815">
      <c r="A815" s="127"/>
      <c r="B815" s="127"/>
      <c r="AF815" s="163"/>
    </row>
    <row r="816">
      <c r="A816" s="127"/>
      <c r="B816" s="127"/>
      <c r="AF816" s="163"/>
    </row>
    <row r="817">
      <c r="A817" s="127"/>
      <c r="B817" s="127"/>
      <c r="AF817" s="163"/>
    </row>
    <row r="818">
      <c r="A818" s="127"/>
      <c r="B818" s="127"/>
      <c r="AF818" s="163"/>
    </row>
    <row r="819">
      <c r="A819" s="127"/>
      <c r="B819" s="127"/>
      <c r="AF819" s="163"/>
    </row>
    <row r="820">
      <c r="A820" s="127"/>
      <c r="B820" s="127"/>
      <c r="AF820" s="163"/>
    </row>
    <row r="821">
      <c r="A821" s="127"/>
      <c r="B821" s="127"/>
      <c r="AF821" s="163"/>
    </row>
    <row r="822">
      <c r="A822" s="127"/>
      <c r="B822" s="127"/>
      <c r="AF822" s="163"/>
    </row>
    <row r="823">
      <c r="A823" s="127"/>
      <c r="B823" s="127"/>
      <c r="AF823" s="163"/>
    </row>
    <row r="824">
      <c r="A824" s="127"/>
      <c r="B824" s="127"/>
      <c r="AF824" s="163"/>
    </row>
    <row r="825">
      <c r="A825" s="127"/>
      <c r="B825" s="127"/>
      <c r="AF825" s="163"/>
    </row>
    <row r="826">
      <c r="A826" s="127"/>
      <c r="B826" s="127"/>
      <c r="AF826" s="163"/>
    </row>
    <row r="827">
      <c r="A827" s="127"/>
      <c r="B827" s="127"/>
      <c r="AF827" s="163"/>
    </row>
    <row r="828">
      <c r="A828" s="127"/>
      <c r="B828" s="127"/>
      <c r="AF828" s="163"/>
    </row>
    <row r="829">
      <c r="A829" s="127"/>
      <c r="B829" s="127"/>
      <c r="AF829" s="163"/>
    </row>
    <row r="830">
      <c r="A830" s="127"/>
      <c r="B830" s="127"/>
      <c r="AF830" s="163"/>
    </row>
    <row r="831">
      <c r="A831" s="127"/>
      <c r="B831" s="127"/>
      <c r="AF831" s="163"/>
    </row>
    <row r="832">
      <c r="A832" s="127"/>
      <c r="B832" s="127"/>
      <c r="AF832" s="163"/>
    </row>
    <row r="833">
      <c r="A833" s="127"/>
      <c r="B833" s="127"/>
      <c r="AF833" s="163"/>
    </row>
    <row r="834">
      <c r="A834" s="127"/>
      <c r="B834" s="127"/>
      <c r="AF834" s="163"/>
    </row>
    <row r="835">
      <c r="A835" s="127"/>
      <c r="B835" s="127"/>
      <c r="AF835" s="163"/>
    </row>
    <row r="836">
      <c r="A836" s="127"/>
      <c r="B836" s="127"/>
      <c r="AF836" s="163"/>
    </row>
    <row r="837">
      <c r="A837" s="127"/>
      <c r="B837" s="127"/>
      <c r="AF837" s="163"/>
    </row>
    <row r="838">
      <c r="A838" s="127"/>
      <c r="B838" s="127"/>
      <c r="AF838" s="163"/>
    </row>
    <row r="839">
      <c r="A839" s="127"/>
      <c r="B839" s="127"/>
      <c r="AF839" s="163"/>
    </row>
    <row r="840">
      <c r="A840" s="127"/>
      <c r="B840" s="127"/>
      <c r="AF840" s="163"/>
    </row>
    <row r="841">
      <c r="A841" s="127"/>
      <c r="B841" s="127"/>
      <c r="AF841" s="163"/>
    </row>
    <row r="842">
      <c r="A842" s="127"/>
      <c r="B842" s="127"/>
      <c r="AF842" s="163"/>
    </row>
    <row r="843">
      <c r="A843" s="127"/>
      <c r="B843" s="127"/>
      <c r="AF843" s="163"/>
    </row>
    <row r="844">
      <c r="A844" s="127"/>
      <c r="B844" s="127"/>
      <c r="AF844" s="163"/>
    </row>
    <row r="845">
      <c r="A845" s="127"/>
      <c r="B845" s="127"/>
      <c r="AF845" s="163"/>
    </row>
    <row r="846">
      <c r="A846" s="127"/>
      <c r="B846" s="127"/>
      <c r="AF846" s="163"/>
    </row>
    <row r="847">
      <c r="A847" s="127"/>
      <c r="B847" s="127"/>
      <c r="AF847" s="163"/>
    </row>
    <row r="848">
      <c r="A848" s="127"/>
      <c r="B848" s="127"/>
      <c r="AF848" s="163"/>
    </row>
    <row r="849">
      <c r="A849" s="127"/>
      <c r="B849" s="127"/>
      <c r="AF849" s="163"/>
    </row>
    <row r="850">
      <c r="A850" s="127"/>
      <c r="B850" s="127"/>
      <c r="AF850" s="163"/>
    </row>
    <row r="851">
      <c r="A851" s="127"/>
      <c r="B851" s="127"/>
      <c r="AF851" s="163"/>
    </row>
    <row r="852">
      <c r="A852" s="127"/>
      <c r="B852" s="127"/>
      <c r="AF852" s="163"/>
    </row>
    <row r="853">
      <c r="A853" s="127"/>
      <c r="B853" s="127"/>
      <c r="AF853" s="163"/>
    </row>
    <row r="854">
      <c r="A854" s="127"/>
      <c r="B854" s="127"/>
      <c r="AF854" s="163"/>
    </row>
    <row r="855">
      <c r="A855" s="127"/>
      <c r="B855" s="127"/>
      <c r="AF855" s="163"/>
    </row>
    <row r="856">
      <c r="A856" s="127"/>
      <c r="B856" s="127"/>
      <c r="AF856" s="163"/>
    </row>
    <row r="857">
      <c r="A857" s="127"/>
      <c r="B857" s="127"/>
      <c r="AF857" s="163"/>
    </row>
    <row r="858">
      <c r="A858" s="127"/>
      <c r="B858" s="127"/>
      <c r="AF858" s="163"/>
    </row>
    <row r="859">
      <c r="A859" s="127"/>
      <c r="B859" s="127"/>
      <c r="AF859" s="163"/>
    </row>
    <row r="860">
      <c r="A860" s="127"/>
      <c r="B860" s="127"/>
      <c r="AF860" s="163"/>
    </row>
    <row r="861">
      <c r="A861" s="127"/>
      <c r="B861" s="127"/>
      <c r="AF861" s="163"/>
    </row>
    <row r="862">
      <c r="A862" s="127"/>
      <c r="B862" s="127"/>
      <c r="AF862" s="163"/>
    </row>
    <row r="863">
      <c r="A863" s="127"/>
      <c r="B863" s="127"/>
      <c r="AF863" s="163"/>
    </row>
    <row r="864">
      <c r="A864" s="127"/>
      <c r="B864" s="127"/>
      <c r="AF864" s="163"/>
    </row>
    <row r="865">
      <c r="A865" s="127"/>
      <c r="B865" s="127"/>
      <c r="AF865" s="163"/>
    </row>
    <row r="866">
      <c r="A866" s="127"/>
      <c r="B866" s="127"/>
      <c r="AF866" s="163"/>
    </row>
    <row r="867">
      <c r="A867" s="127"/>
      <c r="B867" s="127"/>
      <c r="AF867" s="163"/>
    </row>
    <row r="868">
      <c r="A868" s="127"/>
      <c r="B868" s="127"/>
      <c r="AF868" s="163"/>
    </row>
    <row r="869">
      <c r="A869" s="127"/>
      <c r="B869" s="127"/>
      <c r="AF869" s="163"/>
    </row>
    <row r="870">
      <c r="A870" s="127"/>
      <c r="B870" s="127"/>
      <c r="AF870" s="163"/>
    </row>
    <row r="871">
      <c r="A871" s="127"/>
      <c r="B871" s="127"/>
      <c r="AF871" s="163"/>
    </row>
    <row r="872">
      <c r="A872" s="127"/>
      <c r="B872" s="127"/>
      <c r="AF872" s="163"/>
    </row>
    <row r="873">
      <c r="A873" s="127"/>
      <c r="B873" s="127"/>
      <c r="AF873" s="163"/>
    </row>
    <row r="874">
      <c r="A874" s="127"/>
      <c r="B874" s="127"/>
      <c r="AF874" s="163"/>
    </row>
    <row r="875">
      <c r="A875" s="127"/>
      <c r="B875" s="127"/>
      <c r="AF875" s="163"/>
    </row>
    <row r="876">
      <c r="A876" s="127"/>
      <c r="B876" s="127"/>
      <c r="AF876" s="163"/>
    </row>
    <row r="877">
      <c r="A877" s="127"/>
      <c r="B877" s="127"/>
      <c r="AF877" s="163"/>
    </row>
    <row r="878">
      <c r="A878" s="127"/>
      <c r="B878" s="127"/>
      <c r="AF878" s="163"/>
    </row>
    <row r="879">
      <c r="A879" s="127"/>
      <c r="B879" s="127"/>
      <c r="AF879" s="163"/>
    </row>
    <row r="880">
      <c r="A880" s="127"/>
      <c r="B880" s="127"/>
      <c r="AF880" s="163"/>
    </row>
    <row r="881">
      <c r="A881" s="127"/>
      <c r="B881" s="127"/>
      <c r="AF881" s="163"/>
    </row>
    <row r="882">
      <c r="A882" s="127"/>
      <c r="B882" s="127"/>
      <c r="AF882" s="163"/>
    </row>
    <row r="883">
      <c r="A883" s="127"/>
      <c r="B883" s="127"/>
      <c r="AF883" s="163"/>
    </row>
    <row r="884">
      <c r="A884" s="127"/>
      <c r="B884" s="127"/>
      <c r="AF884" s="163"/>
    </row>
    <row r="885">
      <c r="A885" s="127"/>
      <c r="B885" s="127"/>
      <c r="AF885" s="163"/>
    </row>
    <row r="886">
      <c r="A886" s="127"/>
      <c r="B886" s="127"/>
      <c r="AF886" s="163"/>
    </row>
    <row r="887">
      <c r="A887" s="127"/>
      <c r="B887" s="127"/>
      <c r="AF887" s="163"/>
    </row>
    <row r="888">
      <c r="A888" s="127"/>
      <c r="B888" s="127"/>
      <c r="AF888" s="163"/>
    </row>
    <row r="889">
      <c r="A889" s="127"/>
      <c r="B889" s="127"/>
      <c r="AF889" s="163"/>
    </row>
    <row r="890">
      <c r="A890" s="127"/>
      <c r="B890" s="127"/>
      <c r="AF890" s="163"/>
    </row>
    <row r="891">
      <c r="A891" s="127"/>
      <c r="B891" s="127"/>
      <c r="AF891" s="163"/>
    </row>
    <row r="892">
      <c r="A892" s="127"/>
      <c r="B892" s="127"/>
      <c r="AF892" s="163"/>
    </row>
    <row r="893">
      <c r="A893" s="127"/>
      <c r="B893" s="127"/>
      <c r="AF893" s="163"/>
    </row>
    <row r="894">
      <c r="A894" s="127"/>
      <c r="B894" s="127"/>
      <c r="AF894" s="163"/>
    </row>
    <row r="895">
      <c r="A895" s="127"/>
      <c r="B895" s="127"/>
      <c r="AF895" s="163"/>
    </row>
    <row r="896">
      <c r="A896" s="127"/>
      <c r="B896" s="127"/>
      <c r="AF896" s="163"/>
    </row>
    <row r="897">
      <c r="A897" s="127"/>
      <c r="B897" s="127"/>
      <c r="AF897" s="163"/>
    </row>
    <row r="898">
      <c r="A898" s="127"/>
      <c r="B898" s="127"/>
      <c r="AF898" s="163"/>
    </row>
    <row r="899">
      <c r="A899" s="127"/>
      <c r="B899" s="127"/>
      <c r="AF899" s="163"/>
    </row>
    <row r="900">
      <c r="A900" s="127"/>
      <c r="B900" s="127"/>
      <c r="AF900" s="163"/>
    </row>
    <row r="901">
      <c r="A901" s="127"/>
      <c r="B901" s="127"/>
      <c r="AF901" s="163"/>
    </row>
    <row r="902">
      <c r="A902" s="127"/>
      <c r="B902" s="127"/>
      <c r="AF902" s="163"/>
    </row>
    <row r="903">
      <c r="A903" s="127"/>
      <c r="B903" s="127"/>
      <c r="AF903" s="163"/>
    </row>
    <row r="904">
      <c r="A904" s="127"/>
      <c r="B904" s="127"/>
      <c r="AF904" s="163"/>
    </row>
    <row r="905">
      <c r="A905" s="127"/>
      <c r="B905" s="127"/>
      <c r="AF905" s="163"/>
    </row>
    <row r="906">
      <c r="A906" s="127"/>
      <c r="B906" s="127"/>
      <c r="AF906" s="163"/>
    </row>
    <row r="907">
      <c r="A907" s="127"/>
      <c r="B907" s="127"/>
      <c r="AF907" s="163"/>
    </row>
    <row r="908">
      <c r="A908" s="127"/>
      <c r="B908" s="127"/>
      <c r="AF908" s="163"/>
    </row>
    <row r="909">
      <c r="A909" s="127"/>
      <c r="B909" s="127"/>
      <c r="AF909" s="163"/>
    </row>
    <row r="910">
      <c r="A910" s="127"/>
      <c r="B910" s="127"/>
      <c r="AF910" s="163"/>
    </row>
    <row r="911">
      <c r="A911" s="127"/>
      <c r="B911" s="127"/>
      <c r="AF911" s="163"/>
    </row>
    <row r="912">
      <c r="A912" s="127"/>
      <c r="B912" s="127"/>
      <c r="AF912" s="163"/>
    </row>
    <row r="913">
      <c r="A913" s="127"/>
      <c r="B913" s="127"/>
      <c r="AF913" s="163"/>
    </row>
    <row r="914">
      <c r="A914" s="127"/>
      <c r="B914" s="127"/>
      <c r="AF914" s="163"/>
    </row>
    <row r="915">
      <c r="A915" s="127"/>
      <c r="B915" s="127"/>
      <c r="AF915" s="163"/>
    </row>
    <row r="916">
      <c r="A916" s="127"/>
      <c r="B916" s="127"/>
      <c r="AF916" s="163"/>
    </row>
    <row r="917">
      <c r="A917" s="127"/>
      <c r="B917" s="127"/>
      <c r="AF917" s="163"/>
    </row>
    <row r="918">
      <c r="A918" s="127"/>
      <c r="B918" s="127"/>
      <c r="AF918" s="163"/>
    </row>
    <row r="919">
      <c r="A919" s="127"/>
      <c r="B919" s="127"/>
      <c r="AF919" s="163"/>
    </row>
    <row r="920">
      <c r="A920" s="127"/>
      <c r="B920" s="127"/>
      <c r="AF920" s="163"/>
    </row>
    <row r="921">
      <c r="A921" s="127"/>
      <c r="B921" s="127"/>
      <c r="AF921" s="163"/>
    </row>
    <row r="922">
      <c r="A922" s="127"/>
      <c r="B922" s="127"/>
      <c r="AF922" s="163"/>
    </row>
    <row r="923">
      <c r="A923" s="127"/>
      <c r="B923" s="127"/>
      <c r="AF923" s="163"/>
    </row>
    <row r="924">
      <c r="A924" s="127"/>
      <c r="B924" s="127"/>
      <c r="AF924" s="163"/>
    </row>
    <row r="925">
      <c r="A925" s="127"/>
      <c r="B925" s="127"/>
      <c r="AF925" s="163"/>
    </row>
    <row r="926">
      <c r="A926" s="127"/>
      <c r="B926" s="127"/>
      <c r="AF926" s="163"/>
    </row>
    <row r="927">
      <c r="A927" s="127"/>
      <c r="B927" s="127"/>
      <c r="AF927" s="163"/>
    </row>
    <row r="928">
      <c r="A928" s="127"/>
      <c r="B928" s="127"/>
      <c r="AF928" s="163"/>
    </row>
    <row r="929">
      <c r="A929" s="127"/>
      <c r="B929" s="127"/>
      <c r="AF929" s="163"/>
    </row>
    <row r="930">
      <c r="A930" s="127"/>
      <c r="B930" s="127"/>
      <c r="AF930" s="163"/>
    </row>
    <row r="931">
      <c r="A931" s="127"/>
      <c r="B931" s="127"/>
      <c r="AF931" s="163"/>
    </row>
    <row r="932">
      <c r="A932" s="127"/>
      <c r="B932" s="127"/>
      <c r="AF932" s="163"/>
    </row>
    <row r="933">
      <c r="A933" s="127"/>
      <c r="B933" s="127"/>
      <c r="AF933" s="163"/>
    </row>
    <row r="934">
      <c r="A934" s="127"/>
      <c r="B934" s="127"/>
      <c r="AF934" s="163"/>
    </row>
    <row r="935">
      <c r="A935" s="127"/>
      <c r="B935" s="127"/>
      <c r="AF935" s="163"/>
    </row>
    <row r="936">
      <c r="A936" s="127"/>
      <c r="B936" s="127"/>
      <c r="AF936" s="163"/>
    </row>
    <row r="937">
      <c r="A937" s="127"/>
      <c r="B937" s="127"/>
      <c r="AF937" s="163"/>
    </row>
    <row r="938">
      <c r="A938" s="127"/>
      <c r="B938" s="127"/>
      <c r="AF938" s="163"/>
    </row>
    <row r="939">
      <c r="A939" s="127"/>
      <c r="B939" s="127"/>
      <c r="AF939" s="163"/>
    </row>
    <row r="940">
      <c r="A940" s="127"/>
      <c r="B940" s="127"/>
      <c r="AF940" s="163"/>
    </row>
    <row r="941">
      <c r="A941" s="127"/>
      <c r="B941" s="127"/>
      <c r="AF941" s="163"/>
    </row>
    <row r="942">
      <c r="A942" s="127"/>
      <c r="B942" s="127"/>
      <c r="AF942" s="163"/>
    </row>
    <row r="943">
      <c r="A943" s="127"/>
      <c r="B943" s="127"/>
      <c r="AF943" s="163"/>
    </row>
    <row r="944">
      <c r="A944" s="127"/>
      <c r="B944" s="127"/>
      <c r="AF944" s="163"/>
    </row>
    <row r="945">
      <c r="A945" s="127"/>
      <c r="B945" s="127"/>
      <c r="AF945" s="163"/>
    </row>
    <row r="946">
      <c r="A946" s="127"/>
      <c r="B946" s="127"/>
      <c r="AF946" s="163"/>
    </row>
    <row r="947">
      <c r="A947" s="127"/>
      <c r="B947" s="127"/>
      <c r="AF947" s="163"/>
    </row>
    <row r="948">
      <c r="A948" s="127"/>
      <c r="B948" s="127"/>
      <c r="AF948" s="163"/>
    </row>
    <row r="949">
      <c r="A949" s="127"/>
      <c r="B949" s="127"/>
      <c r="AF949" s="163"/>
    </row>
    <row r="950">
      <c r="A950" s="127"/>
      <c r="B950" s="127"/>
      <c r="AF950" s="163"/>
    </row>
    <row r="951">
      <c r="A951" s="127"/>
      <c r="B951" s="127"/>
      <c r="AF951" s="163"/>
    </row>
    <row r="952">
      <c r="A952" s="127"/>
      <c r="B952" s="127"/>
      <c r="AF952" s="163"/>
    </row>
    <row r="953">
      <c r="A953" s="127"/>
      <c r="B953" s="127"/>
      <c r="AF953" s="163"/>
    </row>
    <row r="954">
      <c r="A954" s="127"/>
      <c r="B954" s="127"/>
      <c r="AF954" s="163"/>
    </row>
    <row r="955">
      <c r="A955" s="127"/>
      <c r="B955" s="127"/>
      <c r="AF955" s="163"/>
    </row>
    <row r="956">
      <c r="A956" s="127"/>
      <c r="B956" s="127"/>
      <c r="AF956" s="163"/>
    </row>
    <row r="957">
      <c r="A957" s="127"/>
      <c r="B957" s="127"/>
      <c r="AF957" s="163"/>
    </row>
    <row r="958">
      <c r="A958" s="127"/>
      <c r="B958" s="127"/>
      <c r="AF958" s="163"/>
    </row>
    <row r="959">
      <c r="A959" s="127"/>
      <c r="B959" s="127"/>
      <c r="AF959" s="163"/>
    </row>
    <row r="960">
      <c r="A960" s="127"/>
      <c r="B960" s="127"/>
      <c r="AF960" s="163"/>
    </row>
    <row r="961">
      <c r="A961" s="127"/>
      <c r="B961" s="127"/>
      <c r="AF961" s="163"/>
    </row>
    <row r="962">
      <c r="A962" s="127"/>
      <c r="B962" s="127"/>
      <c r="AF962" s="163"/>
    </row>
    <row r="963">
      <c r="A963" s="127"/>
      <c r="B963" s="127"/>
      <c r="AF963" s="163"/>
    </row>
    <row r="964">
      <c r="A964" s="127"/>
      <c r="B964" s="127"/>
      <c r="AF964" s="163"/>
    </row>
    <row r="965">
      <c r="A965" s="127"/>
      <c r="B965" s="127"/>
      <c r="AF965" s="163"/>
    </row>
    <row r="966">
      <c r="A966" s="127"/>
      <c r="B966" s="127"/>
      <c r="AF966" s="163"/>
    </row>
    <row r="967">
      <c r="A967" s="127"/>
      <c r="B967" s="127"/>
      <c r="AF967" s="163"/>
    </row>
    <row r="968">
      <c r="A968" s="127"/>
      <c r="B968" s="127"/>
      <c r="AF968" s="163"/>
    </row>
    <row r="969">
      <c r="A969" s="127"/>
      <c r="B969" s="127"/>
      <c r="AF969" s="163"/>
    </row>
    <row r="970">
      <c r="A970" s="127"/>
      <c r="B970" s="127"/>
      <c r="AF970" s="163"/>
    </row>
    <row r="971">
      <c r="A971" s="127"/>
      <c r="B971" s="127"/>
      <c r="AF971" s="163"/>
    </row>
    <row r="972">
      <c r="A972" s="127"/>
      <c r="B972" s="127"/>
      <c r="AF972" s="163"/>
    </row>
    <row r="973">
      <c r="A973" s="127"/>
      <c r="B973" s="127"/>
      <c r="AF973" s="163"/>
    </row>
    <row r="974">
      <c r="A974" s="127"/>
      <c r="B974" s="127"/>
      <c r="AF974" s="163"/>
    </row>
    <row r="975">
      <c r="A975" s="127"/>
      <c r="B975" s="127"/>
      <c r="AF975" s="163"/>
    </row>
    <row r="976">
      <c r="A976" s="127"/>
      <c r="B976" s="127"/>
      <c r="AF976" s="163"/>
    </row>
    <row r="977">
      <c r="A977" s="127"/>
      <c r="B977" s="127"/>
      <c r="AF977" s="163"/>
    </row>
    <row r="978">
      <c r="A978" s="127"/>
      <c r="B978" s="127"/>
      <c r="AF978" s="163"/>
    </row>
    <row r="979">
      <c r="A979" s="127"/>
      <c r="B979" s="127"/>
      <c r="AF979" s="163"/>
    </row>
    <row r="980">
      <c r="A980" s="127"/>
      <c r="B980" s="127"/>
      <c r="AF980" s="163"/>
    </row>
    <row r="981">
      <c r="A981" s="127"/>
      <c r="B981" s="127"/>
      <c r="AF981" s="163"/>
    </row>
    <row r="982">
      <c r="A982" s="127"/>
      <c r="B982" s="127"/>
      <c r="AF982" s="163"/>
    </row>
    <row r="983">
      <c r="A983" s="127"/>
      <c r="B983" s="127"/>
      <c r="AF983" s="163"/>
    </row>
    <row r="984">
      <c r="A984" s="127"/>
      <c r="B984" s="127"/>
      <c r="AF984" s="163"/>
    </row>
    <row r="985">
      <c r="A985" s="127"/>
      <c r="B985" s="127"/>
      <c r="AF985" s="163"/>
    </row>
    <row r="986">
      <c r="A986" s="127"/>
      <c r="B986" s="127"/>
      <c r="AF986" s="163"/>
    </row>
    <row r="987">
      <c r="A987" s="127"/>
      <c r="B987" s="127"/>
      <c r="AF987" s="163"/>
    </row>
    <row r="988">
      <c r="A988" s="127"/>
      <c r="B988" s="127"/>
      <c r="AF988" s="163"/>
    </row>
    <row r="989">
      <c r="A989" s="127"/>
      <c r="B989" s="127"/>
      <c r="AF989" s="163"/>
    </row>
    <row r="990">
      <c r="A990" s="127"/>
      <c r="B990" s="127"/>
      <c r="AF990" s="163"/>
    </row>
    <row r="991">
      <c r="A991" s="127"/>
      <c r="B991" s="127"/>
      <c r="AF991" s="163"/>
    </row>
    <row r="992">
      <c r="A992" s="127"/>
      <c r="B992" s="127"/>
      <c r="AF992" s="163"/>
    </row>
    <row r="993">
      <c r="A993" s="127"/>
      <c r="B993" s="127"/>
      <c r="AF993" s="163"/>
    </row>
    <row r="994">
      <c r="A994" s="127"/>
      <c r="B994" s="127"/>
      <c r="AF994" s="163"/>
    </row>
    <row r="995">
      <c r="A995" s="127"/>
      <c r="B995" s="127"/>
      <c r="AF995" s="163"/>
    </row>
    <row r="996">
      <c r="A996" s="127"/>
      <c r="B996" s="127"/>
      <c r="AF996" s="163"/>
    </row>
    <row r="997">
      <c r="A997" s="127"/>
      <c r="B997" s="127"/>
      <c r="AF997" s="163"/>
    </row>
    <row r="998">
      <c r="A998" s="127"/>
      <c r="B998" s="127"/>
      <c r="AF998" s="163"/>
    </row>
    <row r="999">
      <c r="A999" s="127"/>
      <c r="B999" s="127"/>
      <c r="AF999" s="163"/>
    </row>
    <row r="1000">
      <c r="A1000" s="127"/>
      <c r="B1000" s="127"/>
      <c r="AF1000" s="163"/>
    </row>
    <row r="1001">
      <c r="A1001" s="127"/>
      <c r="B1001" s="127"/>
      <c r="AF1001" s="163"/>
    </row>
    <row r="1002">
      <c r="A1002" s="127"/>
      <c r="B1002" s="127"/>
      <c r="AF1002" s="163"/>
    </row>
    <row r="1003">
      <c r="A1003" s="127"/>
      <c r="B1003" s="127"/>
      <c r="AF1003" s="163"/>
    </row>
    <row r="1004">
      <c r="A1004" s="127"/>
      <c r="B1004" s="127"/>
      <c r="AF1004" s="163"/>
    </row>
    <row r="1005">
      <c r="A1005" s="127"/>
      <c r="B1005" s="127"/>
      <c r="AF1005" s="163"/>
    </row>
    <row r="1006">
      <c r="A1006" s="127"/>
      <c r="B1006" s="127"/>
      <c r="AF1006" s="163"/>
    </row>
    <row r="1007">
      <c r="A1007" s="127"/>
      <c r="B1007" s="127"/>
      <c r="AF1007" s="163"/>
    </row>
    <row r="1008">
      <c r="A1008" s="127"/>
      <c r="B1008" s="127"/>
      <c r="AF1008" s="163"/>
    </row>
    <row r="1009">
      <c r="A1009" s="127"/>
      <c r="B1009" s="127"/>
      <c r="AF1009" s="163"/>
    </row>
    <row r="1010">
      <c r="A1010" s="127"/>
      <c r="B1010" s="127"/>
      <c r="AF1010" s="163"/>
    </row>
    <row r="1011">
      <c r="A1011" s="127"/>
      <c r="B1011" s="127"/>
      <c r="AF1011" s="163"/>
    </row>
    <row r="1012">
      <c r="A1012" s="127"/>
      <c r="B1012" s="127"/>
      <c r="AF1012" s="163"/>
    </row>
    <row r="1013">
      <c r="A1013" s="127"/>
      <c r="B1013" s="127"/>
      <c r="AF1013" s="163"/>
    </row>
    <row r="1014">
      <c r="A1014" s="127"/>
      <c r="B1014" s="127"/>
      <c r="AF1014" s="163"/>
    </row>
    <row r="1015">
      <c r="A1015" s="127"/>
      <c r="B1015" s="127"/>
      <c r="AF1015" s="163"/>
    </row>
    <row r="1016">
      <c r="A1016" s="127"/>
      <c r="B1016" s="127"/>
      <c r="AF1016" s="163"/>
    </row>
    <row r="1017">
      <c r="A1017" s="127"/>
      <c r="B1017" s="127"/>
      <c r="AF1017" s="163"/>
    </row>
    <row r="1018">
      <c r="A1018" s="127"/>
      <c r="B1018" s="127"/>
      <c r="AF1018" s="163"/>
    </row>
    <row r="1019">
      <c r="A1019" s="127"/>
      <c r="B1019" s="127"/>
      <c r="AF1019" s="163"/>
    </row>
    <row r="1020">
      <c r="A1020" s="127"/>
      <c r="B1020" s="127"/>
      <c r="AF1020" s="163"/>
    </row>
    <row r="1021">
      <c r="A1021" s="127"/>
      <c r="B1021" s="127"/>
      <c r="AF1021" s="163"/>
    </row>
    <row r="1022">
      <c r="A1022" s="127"/>
      <c r="B1022" s="127"/>
      <c r="AF1022" s="163"/>
    </row>
    <row r="1023">
      <c r="A1023" s="127"/>
      <c r="B1023" s="127"/>
      <c r="AF1023" s="163"/>
    </row>
    <row r="1024">
      <c r="A1024" s="127"/>
      <c r="B1024" s="127"/>
      <c r="AF1024" s="163"/>
    </row>
    <row r="1025">
      <c r="A1025" s="127"/>
      <c r="B1025" s="127"/>
      <c r="AF1025" s="163"/>
    </row>
    <row r="1026">
      <c r="A1026" s="127"/>
      <c r="B1026" s="127"/>
      <c r="AF1026" s="163"/>
    </row>
    <row r="1027">
      <c r="A1027" s="127"/>
      <c r="B1027" s="127"/>
      <c r="AF1027" s="163"/>
    </row>
    <row r="1028">
      <c r="A1028" s="127"/>
      <c r="B1028" s="127"/>
      <c r="AF1028" s="163"/>
    </row>
    <row r="1029">
      <c r="A1029" s="127"/>
      <c r="B1029" s="127"/>
      <c r="AF1029" s="163"/>
    </row>
    <row r="1030">
      <c r="A1030" s="127"/>
      <c r="B1030" s="127"/>
      <c r="AF1030" s="163"/>
    </row>
    <row r="1031">
      <c r="A1031" s="127"/>
      <c r="B1031" s="127"/>
      <c r="AF1031" s="163"/>
    </row>
    <row r="1032">
      <c r="A1032" s="127"/>
      <c r="B1032" s="127"/>
      <c r="AF1032" s="163"/>
    </row>
    <row r="1033">
      <c r="A1033" s="127"/>
      <c r="B1033" s="127"/>
      <c r="AF1033" s="163"/>
    </row>
    <row r="1034">
      <c r="A1034" s="127"/>
      <c r="B1034" s="127"/>
      <c r="AF1034" s="163"/>
    </row>
    <row r="1035">
      <c r="A1035" s="127"/>
      <c r="B1035" s="127"/>
      <c r="AF1035" s="163"/>
    </row>
    <row r="1036">
      <c r="A1036" s="127"/>
      <c r="B1036" s="127"/>
      <c r="AF1036" s="163"/>
    </row>
    <row r="1037">
      <c r="A1037" s="127"/>
      <c r="B1037" s="127"/>
      <c r="AF1037" s="163"/>
    </row>
    <row r="1038">
      <c r="A1038" s="127"/>
      <c r="B1038" s="127"/>
      <c r="AF1038" s="163"/>
    </row>
    <row r="1039">
      <c r="A1039" s="127"/>
      <c r="B1039" s="127"/>
      <c r="AF1039" s="163"/>
    </row>
    <row r="1040">
      <c r="A1040" s="127"/>
      <c r="B1040" s="127"/>
      <c r="AF1040" s="163"/>
    </row>
    <row r="1041">
      <c r="A1041" s="127"/>
      <c r="B1041" s="127"/>
      <c r="AF1041" s="163"/>
    </row>
    <row r="1042">
      <c r="A1042" s="127"/>
      <c r="B1042" s="127"/>
      <c r="AF1042" s="163"/>
    </row>
    <row r="1043">
      <c r="A1043" s="127"/>
      <c r="B1043" s="127"/>
      <c r="AF1043" s="163"/>
    </row>
    <row r="1044">
      <c r="A1044" s="127"/>
      <c r="B1044" s="127"/>
      <c r="AF1044" s="163"/>
    </row>
    <row r="1045">
      <c r="A1045" s="127"/>
      <c r="B1045" s="127"/>
      <c r="AF1045" s="163"/>
    </row>
    <row r="1046">
      <c r="A1046" s="127"/>
      <c r="B1046" s="127"/>
      <c r="AF1046" s="163"/>
    </row>
    <row r="1047">
      <c r="A1047" s="127"/>
      <c r="B1047" s="127"/>
      <c r="AF1047" s="163"/>
    </row>
    <row r="1048">
      <c r="A1048" s="127"/>
      <c r="B1048" s="127"/>
      <c r="AF1048" s="163"/>
    </row>
    <row r="1049">
      <c r="A1049" s="127"/>
      <c r="B1049" s="127"/>
      <c r="AF1049" s="163"/>
    </row>
    <row r="1050">
      <c r="A1050" s="127"/>
      <c r="B1050" s="127"/>
      <c r="AF1050" s="163"/>
    </row>
    <row r="1051">
      <c r="A1051" s="127"/>
      <c r="B1051" s="127"/>
      <c r="AF1051" s="163"/>
    </row>
    <row r="1052">
      <c r="A1052" s="127"/>
      <c r="B1052" s="127"/>
      <c r="AF1052" s="163"/>
    </row>
    <row r="1053">
      <c r="A1053" s="127"/>
      <c r="B1053" s="127"/>
      <c r="AF1053" s="163"/>
    </row>
    <row r="1054">
      <c r="A1054" s="127"/>
      <c r="B1054" s="127"/>
      <c r="AF1054" s="163"/>
    </row>
    <row r="1055">
      <c r="A1055" s="127"/>
      <c r="B1055" s="127"/>
      <c r="AF1055" s="163"/>
    </row>
    <row r="1056">
      <c r="A1056" s="127"/>
      <c r="B1056" s="127"/>
      <c r="AF1056" s="163"/>
    </row>
    <row r="1057">
      <c r="A1057" s="127"/>
      <c r="B1057" s="127"/>
      <c r="AF1057" s="163"/>
    </row>
    <row r="1058">
      <c r="A1058" s="127"/>
      <c r="B1058" s="127"/>
      <c r="AF1058" s="163"/>
    </row>
    <row r="1059">
      <c r="A1059" s="127"/>
      <c r="B1059" s="127"/>
      <c r="AF1059" s="163"/>
    </row>
    <row r="1060">
      <c r="A1060" s="127"/>
      <c r="B1060" s="127"/>
      <c r="AF1060" s="163"/>
    </row>
    <row r="1061">
      <c r="A1061" s="127"/>
      <c r="B1061" s="127"/>
      <c r="AF1061" s="163"/>
    </row>
    <row r="1062">
      <c r="A1062" s="127"/>
      <c r="B1062" s="127"/>
      <c r="AF1062" s="163"/>
    </row>
    <row r="1063">
      <c r="A1063" s="127"/>
      <c r="B1063" s="127"/>
      <c r="AF1063" s="163"/>
    </row>
    <row r="1064">
      <c r="A1064" s="127"/>
      <c r="B1064" s="127"/>
      <c r="AF1064" s="163"/>
    </row>
    <row r="1065">
      <c r="A1065" s="127"/>
      <c r="B1065" s="127"/>
      <c r="AF1065" s="163"/>
    </row>
    <row r="1066">
      <c r="A1066" s="127"/>
      <c r="B1066" s="127"/>
      <c r="AF1066" s="163"/>
    </row>
    <row r="1067">
      <c r="A1067" s="127"/>
      <c r="B1067" s="127"/>
      <c r="AF1067" s="163"/>
    </row>
    <row r="1068">
      <c r="A1068" s="127"/>
      <c r="B1068" s="127"/>
      <c r="AF1068" s="163"/>
    </row>
    <row r="1069">
      <c r="A1069" s="127"/>
      <c r="B1069" s="127"/>
      <c r="AF1069" s="163"/>
    </row>
    <row r="1070">
      <c r="A1070" s="127"/>
      <c r="B1070" s="127"/>
      <c r="AF1070" s="163"/>
    </row>
    <row r="1071">
      <c r="A1071" s="127"/>
      <c r="B1071" s="127"/>
      <c r="AF1071" s="163"/>
    </row>
    <row r="1072">
      <c r="A1072" s="127"/>
      <c r="B1072" s="127"/>
      <c r="AF1072" s="163"/>
    </row>
    <row r="1073">
      <c r="A1073" s="127"/>
      <c r="B1073" s="127"/>
      <c r="AF1073" s="163"/>
    </row>
    <row r="1074">
      <c r="A1074" s="127"/>
      <c r="B1074" s="127"/>
      <c r="AF1074" s="163"/>
    </row>
    <row r="1075">
      <c r="A1075" s="127"/>
      <c r="B1075" s="127"/>
      <c r="AF1075" s="163"/>
    </row>
    <row r="1076">
      <c r="A1076" s="127"/>
      <c r="B1076" s="127"/>
      <c r="AF1076" s="163"/>
    </row>
    <row r="1077">
      <c r="A1077" s="127"/>
      <c r="B1077" s="127"/>
      <c r="AF1077" s="163"/>
    </row>
    <row r="1078">
      <c r="A1078" s="127"/>
      <c r="B1078" s="127"/>
      <c r="AF1078" s="163"/>
    </row>
    <row r="1079">
      <c r="A1079" s="127"/>
      <c r="B1079" s="127"/>
      <c r="AF1079" s="163"/>
    </row>
    <row r="1080">
      <c r="A1080" s="127"/>
      <c r="B1080" s="127"/>
      <c r="AF1080" s="163"/>
    </row>
    <row r="1081">
      <c r="A1081" s="127"/>
      <c r="B1081" s="127"/>
      <c r="AF1081" s="163"/>
    </row>
    <row r="1082">
      <c r="A1082" s="127"/>
      <c r="B1082" s="127"/>
      <c r="AF1082" s="163"/>
    </row>
    <row r="1083">
      <c r="A1083" s="127"/>
      <c r="B1083" s="127"/>
      <c r="AF1083" s="163"/>
    </row>
    <row r="1084">
      <c r="A1084" s="127"/>
      <c r="B1084" s="127"/>
      <c r="AF1084" s="163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45657.0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7"/>
      <c r="AG2" s="127"/>
      <c r="AH2" s="127"/>
      <c r="AI2" s="127"/>
      <c r="AJ2" s="127"/>
    </row>
    <row r="3" ht="22.5" customHeight="1">
      <c r="A3" s="1" t="s">
        <v>2</v>
      </c>
      <c r="B3" s="1"/>
      <c r="C3" s="154">
        <f>'R6.11'!AC3</f>
        <v>0</v>
      </c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110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54">
        <f>'R6.11'!AC4</f>
        <v>0</v>
      </c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54">
        <f>'R6.11'!AC5</f>
        <v>0</v>
      </c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54">
        <f>'R6.11'!AC6</f>
        <v>0</v>
      </c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54">
        <f>'R6.11'!AC7</f>
        <v>140000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44000.0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4000.0</v>
      </c>
      <c r="T7" s="143"/>
      <c r="U7" s="143"/>
      <c r="V7" s="143"/>
      <c r="W7" s="135">
        <f t="shared" si="1"/>
        <v>110000</v>
      </c>
      <c r="X7" s="129"/>
      <c r="Y7" s="144"/>
      <c r="Z7" s="137">
        <f t="shared" si="2"/>
        <v>110000</v>
      </c>
      <c r="AA7" s="138">
        <v>110000.0</v>
      </c>
      <c r="AB7" s="139" t="s">
        <v>125</v>
      </c>
      <c r="AC7" s="140">
        <f t="shared" si="3"/>
        <v>130000</v>
      </c>
      <c r="AD7" s="139">
        <v>120000.0</v>
      </c>
      <c r="AE7" s="145">
        <f>AD7-Z7</f>
        <v>10000</v>
      </c>
      <c r="AF7" s="165">
        <v>45703.0</v>
      </c>
    </row>
    <row r="8" ht="22.5" customHeight="1">
      <c r="A8" s="1" t="s">
        <v>11</v>
      </c>
      <c r="B8" s="2"/>
      <c r="C8" s="154">
        <f>'R6.11'!AC8</f>
        <v>0</v>
      </c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si="1"/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54">
        <f>'R6.11'!AC9</f>
        <v>0</v>
      </c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1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54">
        <f>'R6.11'!AC10</f>
        <v>0</v>
      </c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1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>
        <f>'R6.11'!AC11</f>
        <v>0</v>
      </c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1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54">
        <f>'R6.11'!AC12</f>
        <v>0</v>
      </c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1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54">
        <f>'R6.11'!AC13</f>
        <v>0</v>
      </c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1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54">
        <f>'R6.11'!AC14</f>
        <v>0</v>
      </c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1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54">
        <f>'R6.11'!AC15</f>
        <v>0</v>
      </c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1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54">
        <f>'R6.11'!AC16</f>
        <v>0</v>
      </c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1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54">
        <f>'R6.11'!AC17</f>
        <v>0</v>
      </c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1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54">
        <f>'R6.11'!AC18</f>
        <v>0</v>
      </c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1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54">
        <f>'R6.11'!AC19</f>
        <v>0</v>
      </c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1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54">
        <f>'R6.11'!AC20</f>
        <v>0</v>
      </c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1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54">
        <f>'R6.11'!AC21</f>
        <v>0</v>
      </c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1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54">
        <f>'R6.11'!AC22</f>
        <v>0</v>
      </c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1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54">
        <f>'R6.11'!AC23</f>
        <v>0</v>
      </c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1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54">
        <f>'R6.11'!AC24</f>
        <v>0</v>
      </c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1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54">
        <f>'R6.11'!AC25</f>
        <v>0</v>
      </c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1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54">
        <f>'R6.11'!AC26</f>
        <v>0</v>
      </c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1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54">
        <f>'R6.11'!AC27</f>
        <v>0</v>
      </c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1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54">
        <f>'R6.11'!AC28</f>
        <v>0</v>
      </c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1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54">
        <f>'R6.11'!AC29</f>
        <v>0</v>
      </c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1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54">
        <f>'R6.11'!AC30</f>
        <v>0</v>
      </c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1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54">
        <f>'R6.11'!AC31</f>
        <v>0</v>
      </c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1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54">
        <f>'R6.11'!AC32</f>
        <v>0</v>
      </c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1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54">
        <f>'R6.11'!AC33</f>
        <v>0</v>
      </c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1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54">
        <f>'R6.11'!AC34</f>
        <v>0</v>
      </c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1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54">
        <f>'R6.11'!AC35</f>
        <v>0</v>
      </c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1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54">
        <f>'R6.11'!AC36</f>
        <v>0</v>
      </c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1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54">
        <f>'R6.11'!AC37</f>
        <v>0</v>
      </c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1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54">
        <f>'R6.11'!AC38</f>
        <v>0</v>
      </c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1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54">
        <f>'R6.11'!AC39</f>
        <v>0</v>
      </c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1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54">
        <f>'R6.11'!AC40</f>
        <v>0</v>
      </c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1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54">
        <f>'R6.11'!AC41</f>
        <v>0</v>
      </c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1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54">
        <f>'R6.11'!AC42</f>
        <v>0</v>
      </c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1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54">
        <f>'R6.11'!AC43</f>
        <v>0</v>
      </c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1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54">
        <f>'R6.11'!AC44</f>
        <v>0</v>
      </c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1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54">
        <f>'R6.11'!AC45</f>
        <v>0</v>
      </c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1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54">
        <f>'R6.11'!AC46</f>
        <v>0</v>
      </c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1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54">
        <f>'R6.11'!AC47</f>
        <v>0</v>
      </c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1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54">
        <f>'R6.11'!AC48</f>
        <v>0</v>
      </c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1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54">
        <f>'R6.11'!AC49</f>
        <v>0</v>
      </c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1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54">
        <f>'R6.11'!AC50</f>
        <v>0</v>
      </c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1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54">
        <f>'R6.11'!AC51</f>
        <v>0</v>
      </c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1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54">
        <f>'R6.11'!AC52</f>
        <v>0</v>
      </c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1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54">
        <f>'R6.11'!AC53</f>
        <v>0</v>
      </c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1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54">
        <f>'R6.11'!AC54</f>
        <v>0</v>
      </c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1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54">
        <f>'R6.11'!AC55</f>
        <v>0</v>
      </c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1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54">
        <f>'R6.11'!AC56</f>
        <v>0</v>
      </c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1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54">
        <f>'R6.11'!AC57</f>
        <v>0</v>
      </c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1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54">
        <f>'R6.11'!AC58</f>
        <v>0</v>
      </c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1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54">
        <f>'R6.11'!AC59</f>
        <v>0</v>
      </c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1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54">
        <f>'R6.11'!AC60</f>
        <v>0</v>
      </c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1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54">
        <f>'R6.11'!AC61</f>
        <v>0</v>
      </c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1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54">
        <f>'R6.11'!AC62</f>
        <v>0</v>
      </c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1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54">
        <f>'R6.11'!AC63</f>
        <v>0</v>
      </c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1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54">
        <f>'R6.11'!AC64</f>
        <v>0</v>
      </c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1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54">
        <f>'R6.11'!AC65</f>
        <v>0</v>
      </c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1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54">
        <f>'R6.11'!AC66</f>
        <v>0</v>
      </c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1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54">
        <f>'R6.11'!AC67</f>
        <v>0</v>
      </c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1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54">
        <f>'R6.11'!AC68</f>
        <v>0</v>
      </c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1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54">
        <f>'R6.11'!AC69</f>
        <v>0</v>
      </c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1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54">
        <f>'R6.11'!AC70</f>
        <v>0</v>
      </c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1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54">
        <f>'R6.11'!AC71</f>
        <v>0</v>
      </c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1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54">
        <f>'R6.11'!AC72</f>
        <v>0</v>
      </c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1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54">
        <f>'R6.11'!AC73</f>
        <v>0</v>
      </c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1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54">
        <f>'R6.11'!AC74</f>
        <v>0</v>
      </c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1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54">
        <f>'R6.11'!AC75</f>
        <v>0</v>
      </c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1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54">
        <f>'R6.11'!AC76</f>
        <v>0</v>
      </c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1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54">
        <f>'R6.11'!AC77</f>
        <v>0</v>
      </c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1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54">
        <f>'R6.11'!AC78</f>
        <v>0</v>
      </c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1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54">
        <f>'R6.11'!AC79</f>
        <v>0</v>
      </c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1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54">
        <f>'R6.11'!AC80</f>
        <v>0</v>
      </c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1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54">
        <f>'R6.11'!AC81</f>
        <v>0</v>
      </c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1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54">
        <f>'R6.11'!AC82</f>
        <v>0</v>
      </c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1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54">
        <f>'R6.11'!AC83</f>
        <v>0</v>
      </c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1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54">
        <f>'R6.11'!AC84</f>
        <v>0</v>
      </c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1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54">
        <f>'R6.11'!AC85</f>
        <v>0</v>
      </c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1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54">
        <f>'R6.11'!AC86</f>
        <v>0</v>
      </c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1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54">
        <f>'R6.11'!AC87</f>
        <v>0</v>
      </c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1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54">
        <f>'R6.11'!AC88</f>
        <v>0</v>
      </c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1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54">
        <f>'R6.11'!AC89</f>
        <v>0</v>
      </c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1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54">
        <f>'R6.11'!AC90</f>
        <v>0</v>
      </c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1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54">
        <f>'R6.11'!AC91</f>
        <v>0</v>
      </c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1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54">
        <f>'R6.11'!AC92</f>
        <v>0</v>
      </c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1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54">
        <f>'R6.11'!AC93</f>
        <v>0</v>
      </c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1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54">
        <f>'R6.11'!AC94</f>
        <v>0</v>
      </c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1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54">
        <f>'R6.11'!AC95</f>
        <v>0</v>
      </c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1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54">
        <f>'R6.11'!AC96</f>
        <v>0</v>
      </c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1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54">
        <f>'R6.11'!AC97</f>
        <v>0</v>
      </c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1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54">
        <f>'R6.11'!AC98</f>
        <v>0</v>
      </c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1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54">
        <f>'R6.11'!AC99</f>
        <v>0</v>
      </c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1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54">
        <f>'R6.11'!AC100</f>
        <v>0</v>
      </c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1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54">
        <f>'R6.11'!AC101</f>
        <v>0</v>
      </c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1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54">
        <f>'R6.11'!AC102</f>
        <v>0</v>
      </c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1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54">
        <f>'R6.11'!AC103</f>
        <v>0</v>
      </c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1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54">
        <f>'R6.11'!AC104</f>
        <v>0</v>
      </c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1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54">
        <f>'R6.11'!AC105</f>
        <v>0</v>
      </c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1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54">
        <f>'R6.11'!AC106</f>
        <v>0</v>
      </c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1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54">
        <f>'R6.11'!AC107</f>
        <v>0</v>
      </c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1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54">
        <f>'R6.11'!AC108</f>
        <v>0</v>
      </c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1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54">
        <f>'R6.11'!AC109</f>
        <v>0</v>
      </c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1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4">SUM(D3:D109)</f>
        <v>40000</v>
      </c>
      <c r="E110" s="133">
        <f t="shared" si="4"/>
        <v>5000</v>
      </c>
      <c r="F110" s="133">
        <f t="shared" si="4"/>
        <v>5000</v>
      </c>
      <c r="G110" s="133">
        <f t="shared" si="4"/>
        <v>2000</v>
      </c>
      <c r="H110" s="133">
        <f t="shared" si="4"/>
        <v>0</v>
      </c>
      <c r="I110" s="133">
        <f t="shared" si="4"/>
        <v>44000</v>
      </c>
      <c r="J110" s="155">
        <f t="shared" si="4"/>
        <v>0</v>
      </c>
      <c r="K110" s="133">
        <f t="shared" si="4"/>
        <v>0</v>
      </c>
      <c r="L110" s="133">
        <f t="shared" si="4"/>
        <v>0</v>
      </c>
      <c r="M110" s="133">
        <f t="shared" si="4"/>
        <v>10000</v>
      </c>
      <c r="N110" s="133">
        <f t="shared" si="4"/>
        <v>0</v>
      </c>
      <c r="O110" s="133">
        <f t="shared" si="4"/>
        <v>0</v>
      </c>
      <c r="P110" s="133">
        <f t="shared" si="4"/>
        <v>0</v>
      </c>
      <c r="Q110" s="133">
        <f t="shared" si="4"/>
        <v>0</v>
      </c>
      <c r="R110" s="133">
        <f t="shared" si="4"/>
        <v>0</v>
      </c>
      <c r="S110" s="133">
        <f t="shared" si="4"/>
        <v>4000</v>
      </c>
      <c r="T110" s="133">
        <f t="shared" si="4"/>
        <v>0</v>
      </c>
      <c r="U110" s="133">
        <f t="shared" si="4"/>
        <v>0</v>
      </c>
      <c r="V110" s="133">
        <f t="shared" si="4"/>
        <v>0</v>
      </c>
      <c r="W110" s="135">
        <f t="shared" si="1"/>
        <v>110000</v>
      </c>
      <c r="X110" s="133">
        <f t="shared" ref="X110:Y110" si="5">SUM(X3:X109)</f>
        <v>0</v>
      </c>
      <c r="Y110" s="133">
        <f t="shared" si="5"/>
        <v>0</v>
      </c>
      <c r="Z110" s="137">
        <f t="shared" si="2"/>
        <v>110000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>
      <c r="A1" s="117">
        <v>45626.0</v>
      </c>
      <c r="C1" s="118" t="s">
        <v>72</v>
      </c>
      <c r="D1" s="119" t="s">
        <v>73</v>
      </c>
      <c r="E1" s="119" t="s">
        <v>74</v>
      </c>
      <c r="F1" s="119" t="s">
        <v>75</v>
      </c>
      <c r="G1" s="119" t="s">
        <v>76</v>
      </c>
      <c r="H1" s="119" t="s">
        <v>77</v>
      </c>
      <c r="I1" s="119" t="s">
        <v>78</v>
      </c>
      <c r="J1" s="119" t="s">
        <v>79</v>
      </c>
      <c r="K1" s="119" t="s">
        <v>80</v>
      </c>
      <c r="L1" s="119" t="s">
        <v>81</v>
      </c>
      <c r="M1" s="119" t="s">
        <v>82</v>
      </c>
      <c r="N1" s="119" t="s">
        <v>83</v>
      </c>
      <c r="O1" s="119" t="s">
        <v>84</v>
      </c>
      <c r="P1" s="119" t="s">
        <v>85</v>
      </c>
      <c r="Q1" s="119" t="s">
        <v>86</v>
      </c>
      <c r="R1" s="119" t="s">
        <v>87</v>
      </c>
      <c r="S1" s="119" t="s">
        <v>88</v>
      </c>
      <c r="T1" s="119" t="s">
        <v>89</v>
      </c>
      <c r="U1" s="119" t="s">
        <v>90</v>
      </c>
      <c r="V1" s="119" t="s">
        <v>91</v>
      </c>
      <c r="W1" s="119" t="s">
        <v>92</v>
      </c>
      <c r="X1" s="119" t="s">
        <v>93</v>
      </c>
      <c r="Y1" s="119" t="s">
        <v>94</v>
      </c>
      <c r="Z1" s="119" t="s">
        <v>95</v>
      </c>
      <c r="AA1" s="119" t="s">
        <v>96</v>
      </c>
      <c r="AB1" s="119" t="s">
        <v>97</v>
      </c>
    </row>
    <row r="2" ht="22.5" customHeight="1">
      <c r="A2" s="1" t="s">
        <v>0</v>
      </c>
      <c r="B2" s="1" t="s">
        <v>1</v>
      </c>
      <c r="C2" s="4" t="s">
        <v>98</v>
      </c>
      <c r="D2" s="121" t="s">
        <v>99</v>
      </c>
      <c r="E2" s="121" t="s">
        <v>100</v>
      </c>
      <c r="F2" s="121" t="s">
        <v>101</v>
      </c>
      <c r="G2" s="121" t="s">
        <v>102</v>
      </c>
      <c r="H2" s="122" t="s">
        <v>103</v>
      </c>
      <c r="I2" s="122" t="s">
        <v>104</v>
      </c>
      <c r="J2" s="123" t="s">
        <v>105</v>
      </c>
      <c r="K2" s="122" t="s">
        <v>106</v>
      </c>
      <c r="L2" s="122" t="s">
        <v>107</v>
      </c>
      <c r="M2" s="122" t="s">
        <v>108</v>
      </c>
      <c r="N2" s="122" t="s">
        <v>109</v>
      </c>
      <c r="O2" s="122" t="s">
        <v>110</v>
      </c>
      <c r="P2" s="121" t="s">
        <v>111</v>
      </c>
      <c r="Q2" s="121" t="s">
        <v>112</v>
      </c>
      <c r="R2" s="121" t="s">
        <v>113</v>
      </c>
      <c r="S2" s="121" t="s">
        <v>114</v>
      </c>
      <c r="T2" s="121" t="s">
        <v>115</v>
      </c>
      <c r="U2" s="121"/>
      <c r="V2" s="121"/>
      <c r="W2" s="124" t="s">
        <v>116</v>
      </c>
      <c r="X2" s="4" t="s">
        <v>117</v>
      </c>
      <c r="Y2" s="4" t="s">
        <v>118</v>
      </c>
      <c r="Z2" s="125" t="s">
        <v>119</v>
      </c>
      <c r="AA2" s="126" t="s">
        <v>35</v>
      </c>
      <c r="AB2" s="126" t="s">
        <v>120</v>
      </c>
      <c r="AC2" s="1" t="s">
        <v>121</v>
      </c>
      <c r="AD2" s="126" t="s">
        <v>122</v>
      </c>
      <c r="AE2" s="126" t="s">
        <v>123</v>
      </c>
      <c r="AF2" s="126" t="s">
        <v>130</v>
      </c>
      <c r="AG2" s="127"/>
      <c r="AH2" s="127"/>
      <c r="AI2" s="127"/>
      <c r="AJ2" s="127"/>
    </row>
    <row r="3" ht="22.5" customHeight="1">
      <c r="A3" s="1" t="s">
        <v>2</v>
      </c>
      <c r="B3" s="1"/>
      <c r="C3" s="154"/>
      <c r="D3" s="129"/>
      <c r="E3" s="129"/>
      <c r="F3" s="129"/>
      <c r="G3" s="129"/>
      <c r="H3" s="130"/>
      <c r="I3" s="131"/>
      <c r="J3" s="132"/>
      <c r="K3" s="130"/>
      <c r="L3" s="130"/>
      <c r="M3" s="133"/>
      <c r="N3" s="130"/>
      <c r="O3" s="130"/>
      <c r="P3" s="130"/>
      <c r="Q3" s="130"/>
      <c r="R3" s="132"/>
      <c r="S3" s="132"/>
      <c r="T3" s="132"/>
      <c r="U3" s="132"/>
      <c r="V3" s="132"/>
      <c r="W3" s="135">
        <f t="shared" ref="W3:W110" si="1">SUM(D3:V3)</f>
        <v>0</v>
      </c>
      <c r="X3" s="136"/>
      <c r="Y3" s="136"/>
      <c r="Z3" s="137">
        <f t="shared" ref="Z3:Z110" si="2">SUM(W3:Y3)</f>
        <v>0</v>
      </c>
      <c r="AA3" s="147"/>
      <c r="AB3" s="139" t="s">
        <v>125</v>
      </c>
      <c r="AC3" s="140">
        <f t="shared" ref="AC3:AC109" si="3">C3-M3</f>
        <v>0</v>
      </c>
      <c r="AF3" s="163"/>
    </row>
    <row r="4" ht="22.5" customHeight="1">
      <c r="A4" s="1" t="s">
        <v>4</v>
      </c>
      <c r="B4" s="1"/>
      <c r="C4" s="167"/>
      <c r="D4" s="129"/>
      <c r="E4" s="129"/>
      <c r="F4" s="129"/>
      <c r="G4" s="129"/>
      <c r="H4" s="130"/>
      <c r="I4" s="131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5">
        <f t="shared" si="1"/>
        <v>0</v>
      </c>
      <c r="X4" s="136"/>
      <c r="Y4" s="136"/>
      <c r="Z4" s="137">
        <f t="shared" si="2"/>
        <v>0</v>
      </c>
      <c r="AA4" s="138" t="s">
        <v>126</v>
      </c>
      <c r="AB4" s="119" t="s">
        <v>125</v>
      </c>
      <c r="AC4" s="140">
        <f t="shared" si="3"/>
        <v>0</v>
      </c>
      <c r="AF4" s="163"/>
    </row>
    <row r="5" ht="22.5" customHeight="1">
      <c r="A5" s="1" t="s">
        <v>6</v>
      </c>
      <c r="B5" s="1"/>
      <c r="C5" s="167"/>
      <c r="D5" s="129"/>
      <c r="E5" s="129"/>
      <c r="F5" s="129"/>
      <c r="G5" s="129"/>
      <c r="H5" s="130"/>
      <c r="I5" s="130"/>
      <c r="J5" s="14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5">
        <f t="shared" si="1"/>
        <v>0</v>
      </c>
      <c r="X5" s="136"/>
      <c r="Y5" s="136"/>
      <c r="Z5" s="137">
        <f t="shared" si="2"/>
        <v>0</v>
      </c>
      <c r="AA5" s="138">
        <v>110000.0</v>
      </c>
      <c r="AB5" s="139" t="s">
        <v>125</v>
      </c>
      <c r="AC5" s="140">
        <f t="shared" si="3"/>
        <v>0</v>
      </c>
      <c r="AF5" s="163"/>
    </row>
    <row r="6" ht="22.5" customHeight="1">
      <c r="A6" s="1" t="s">
        <v>7</v>
      </c>
      <c r="B6" s="1"/>
      <c r="C6" s="167"/>
      <c r="D6" s="129"/>
      <c r="E6" s="129"/>
      <c r="F6" s="129"/>
      <c r="G6" s="129"/>
      <c r="H6" s="130"/>
      <c r="I6" s="130"/>
      <c r="J6" s="132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5">
        <f t="shared" si="1"/>
        <v>0</v>
      </c>
      <c r="X6" s="136"/>
      <c r="Y6" s="136"/>
      <c r="Z6" s="137">
        <f t="shared" si="2"/>
        <v>0</v>
      </c>
      <c r="AA6" s="138" t="s">
        <v>126</v>
      </c>
      <c r="AB6" s="139" t="s">
        <v>125</v>
      </c>
      <c r="AC6" s="140">
        <f t="shared" si="3"/>
        <v>0</v>
      </c>
      <c r="AF6" s="163"/>
    </row>
    <row r="7" ht="22.5" customHeight="1">
      <c r="A7" s="1" t="s">
        <v>9</v>
      </c>
      <c r="B7" s="1" t="s">
        <v>10</v>
      </c>
      <c r="C7" s="162">
        <v>150000.0</v>
      </c>
      <c r="D7" s="129">
        <v>40000.0</v>
      </c>
      <c r="E7" s="129">
        <v>5000.0</v>
      </c>
      <c r="F7" s="129">
        <v>5000.0</v>
      </c>
      <c r="G7" s="129">
        <v>2000.0</v>
      </c>
      <c r="H7" s="130">
        <v>0.0</v>
      </c>
      <c r="I7" s="130">
        <v>44000.0</v>
      </c>
      <c r="J7" s="142"/>
      <c r="K7" s="130"/>
      <c r="L7" s="130"/>
      <c r="M7" s="130">
        <v>10000.0</v>
      </c>
      <c r="N7" s="130"/>
      <c r="O7" s="130"/>
      <c r="P7" s="130"/>
      <c r="Q7" s="130"/>
      <c r="R7" s="143"/>
      <c r="S7" s="130">
        <v>4000.0</v>
      </c>
      <c r="T7" s="143"/>
      <c r="U7" s="143"/>
      <c r="V7" s="143"/>
      <c r="W7" s="135">
        <f t="shared" si="1"/>
        <v>110000</v>
      </c>
      <c r="X7" s="129"/>
      <c r="Y7" s="144"/>
      <c r="Z7" s="137">
        <f t="shared" si="2"/>
        <v>110000</v>
      </c>
      <c r="AA7" s="138">
        <v>110000.0</v>
      </c>
      <c r="AB7" s="139" t="s">
        <v>125</v>
      </c>
      <c r="AC7" s="140">
        <f t="shared" si="3"/>
        <v>140000</v>
      </c>
      <c r="AD7" s="139">
        <v>110000.0</v>
      </c>
      <c r="AE7" s="145">
        <f>AD7-Z7</f>
        <v>0</v>
      </c>
      <c r="AF7" s="165">
        <v>45630.0</v>
      </c>
    </row>
    <row r="8" ht="22.5" customHeight="1">
      <c r="A8" s="1" t="s">
        <v>11</v>
      </c>
      <c r="B8" s="2"/>
      <c r="C8" s="167"/>
      <c r="D8" s="129"/>
      <c r="E8" s="129"/>
      <c r="F8" s="129"/>
      <c r="G8" s="129"/>
      <c r="H8" s="130"/>
      <c r="I8" s="130"/>
      <c r="J8" s="132"/>
      <c r="K8" s="130"/>
      <c r="L8" s="130"/>
      <c r="M8" s="130"/>
      <c r="N8" s="130"/>
      <c r="O8" s="130"/>
      <c r="P8" s="130"/>
      <c r="Q8" s="130"/>
      <c r="R8" s="143"/>
      <c r="S8" s="143"/>
      <c r="T8" s="143"/>
      <c r="U8" s="143"/>
      <c r="V8" s="143"/>
      <c r="W8" s="135">
        <f t="shared" si="1"/>
        <v>0</v>
      </c>
      <c r="X8" s="129"/>
      <c r="Y8" s="129"/>
      <c r="Z8" s="137">
        <f t="shared" si="2"/>
        <v>0</v>
      </c>
      <c r="AA8" s="147"/>
      <c r="AB8" s="139" t="s">
        <v>125</v>
      </c>
      <c r="AC8" s="140">
        <f t="shared" si="3"/>
        <v>0</v>
      </c>
      <c r="AF8" s="163"/>
    </row>
    <row r="9" ht="22.5" customHeight="1">
      <c r="A9" s="1" t="s">
        <v>12</v>
      </c>
      <c r="B9" s="1"/>
      <c r="C9" s="167"/>
      <c r="D9" s="129"/>
      <c r="E9" s="129"/>
      <c r="F9" s="129"/>
      <c r="G9" s="129"/>
      <c r="H9" s="130"/>
      <c r="I9" s="130"/>
      <c r="J9" s="13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5">
        <f t="shared" si="1"/>
        <v>0</v>
      </c>
      <c r="X9" s="136"/>
      <c r="Y9" s="136"/>
      <c r="Z9" s="137">
        <f t="shared" si="2"/>
        <v>0</v>
      </c>
      <c r="AA9" s="138" t="s">
        <v>126</v>
      </c>
      <c r="AB9" s="139" t="s">
        <v>125</v>
      </c>
      <c r="AC9" s="140">
        <f t="shared" si="3"/>
        <v>0</v>
      </c>
      <c r="AF9" s="163"/>
    </row>
    <row r="10" ht="22.5" customHeight="1">
      <c r="A10" s="1" t="s">
        <v>14</v>
      </c>
      <c r="B10" s="1"/>
      <c r="C10" s="162"/>
      <c r="D10" s="129"/>
      <c r="E10" s="129"/>
      <c r="F10" s="129"/>
      <c r="G10" s="129"/>
      <c r="H10" s="130"/>
      <c r="I10" s="130"/>
      <c r="J10" s="132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5">
        <f t="shared" si="1"/>
        <v>0</v>
      </c>
      <c r="X10" s="148"/>
      <c r="Y10" s="148"/>
      <c r="Z10" s="137">
        <f t="shared" si="2"/>
        <v>0</v>
      </c>
      <c r="AA10" s="138" t="s">
        <v>126</v>
      </c>
      <c r="AB10" s="139" t="s">
        <v>125</v>
      </c>
      <c r="AC10" s="140">
        <f t="shared" si="3"/>
        <v>0</v>
      </c>
      <c r="AF10" s="163"/>
    </row>
    <row r="11" ht="22.5" customHeight="1">
      <c r="A11" s="1" t="s">
        <v>16</v>
      </c>
      <c r="B11" s="1"/>
      <c r="C11" s="154"/>
      <c r="D11" s="129"/>
      <c r="E11" s="129"/>
      <c r="F11" s="129"/>
      <c r="G11" s="129"/>
      <c r="H11" s="130"/>
      <c r="I11" s="130"/>
      <c r="J11" s="132"/>
      <c r="K11" s="130"/>
      <c r="L11" s="130"/>
      <c r="M11" s="149"/>
      <c r="N11" s="130"/>
      <c r="O11" s="130"/>
      <c r="P11" s="130"/>
      <c r="Q11" s="130"/>
      <c r="R11" s="130"/>
      <c r="S11" s="133"/>
      <c r="T11" s="130"/>
      <c r="U11" s="130"/>
      <c r="V11" s="130"/>
      <c r="W11" s="135">
        <f t="shared" si="1"/>
        <v>0</v>
      </c>
      <c r="X11" s="136"/>
      <c r="Y11" s="136"/>
      <c r="Z11" s="137">
        <f t="shared" si="2"/>
        <v>0</v>
      </c>
      <c r="AA11" s="150"/>
      <c r="AB11" s="139" t="s">
        <v>125</v>
      </c>
      <c r="AC11" s="140">
        <f t="shared" si="3"/>
        <v>0</v>
      </c>
      <c r="AF11" s="163"/>
    </row>
    <row r="12" ht="22.5" customHeight="1">
      <c r="A12" s="1" t="s">
        <v>18</v>
      </c>
      <c r="B12" s="1"/>
      <c r="C12" s="162"/>
      <c r="D12" s="129"/>
      <c r="E12" s="129"/>
      <c r="F12" s="129"/>
      <c r="G12" s="129"/>
      <c r="H12" s="130"/>
      <c r="I12" s="130"/>
      <c r="J12" s="132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5">
        <f t="shared" si="1"/>
        <v>0</v>
      </c>
      <c r="X12" s="148"/>
      <c r="Y12" s="148"/>
      <c r="Z12" s="137">
        <f t="shared" si="2"/>
        <v>0</v>
      </c>
      <c r="AA12" s="138" t="s">
        <v>126</v>
      </c>
      <c r="AB12" s="139" t="s">
        <v>125</v>
      </c>
      <c r="AC12" s="140">
        <f t="shared" si="3"/>
        <v>0</v>
      </c>
      <c r="AF12" s="163"/>
    </row>
    <row r="13" ht="22.5" customHeight="1">
      <c r="A13" s="1"/>
      <c r="B13" s="4"/>
      <c r="C13" s="162"/>
      <c r="D13" s="129"/>
      <c r="E13" s="129"/>
      <c r="F13" s="129"/>
      <c r="G13" s="129"/>
      <c r="H13" s="130"/>
      <c r="I13" s="130"/>
      <c r="J13" s="132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5">
        <f t="shared" si="1"/>
        <v>0</v>
      </c>
      <c r="X13" s="148"/>
      <c r="Y13" s="148"/>
      <c r="Z13" s="137">
        <f t="shared" si="2"/>
        <v>0</v>
      </c>
      <c r="AA13" s="147"/>
      <c r="AB13" s="139" t="s">
        <v>125</v>
      </c>
      <c r="AC13" s="140">
        <f t="shared" si="3"/>
        <v>0</v>
      </c>
      <c r="AF13" s="163"/>
    </row>
    <row r="14" ht="22.5" customHeight="1">
      <c r="A14" s="1"/>
      <c r="B14" s="4"/>
      <c r="C14" s="162"/>
      <c r="D14" s="130"/>
      <c r="E14" s="130"/>
      <c r="F14" s="130"/>
      <c r="G14" s="130"/>
      <c r="H14" s="130"/>
      <c r="I14" s="130"/>
      <c r="J14" s="132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5">
        <f t="shared" si="1"/>
        <v>0</v>
      </c>
      <c r="X14" s="130"/>
      <c r="Y14" s="130"/>
      <c r="Z14" s="137">
        <f t="shared" si="2"/>
        <v>0</v>
      </c>
      <c r="AA14" s="151"/>
      <c r="AB14" s="152"/>
      <c r="AC14" s="140">
        <f t="shared" si="3"/>
        <v>0</v>
      </c>
      <c r="AD14" s="152"/>
      <c r="AF14" s="166"/>
      <c r="AG14" s="152"/>
      <c r="AH14" s="152"/>
      <c r="AI14" s="152"/>
      <c r="AJ14" s="152"/>
    </row>
    <row r="15" ht="22.5" customHeight="1">
      <c r="A15" s="1"/>
      <c r="B15" s="4"/>
      <c r="C15" s="162"/>
      <c r="D15" s="130"/>
      <c r="E15" s="130"/>
      <c r="F15" s="130"/>
      <c r="G15" s="130"/>
      <c r="H15" s="130"/>
      <c r="I15" s="130"/>
      <c r="J15" s="132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5">
        <f t="shared" si="1"/>
        <v>0</v>
      </c>
      <c r="X15" s="130"/>
      <c r="Y15" s="130"/>
      <c r="Z15" s="137">
        <f t="shared" si="2"/>
        <v>0</v>
      </c>
      <c r="AA15" s="151"/>
      <c r="AB15" s="152"/>
      <c r="AC15" s="140">
        <f t="shared" si="3"/>
        <v>0</v>
      </c>
      <c r="AD15" s="152"/>
      <c r="AF15" s="166"/>
      <c r="AG15" s="152"/>
      <c r="AH15" s="152"/>
      <c r="AI15" s="152"/>
      <c r="AJ15" s="152"/>
    </row>
    <row r="16" ht="22.5" customHeight="1">
      <c r="A16" s="1"/>
      <c r="B16" s="4"/>
      <c r="C16" s="162"/>
      <c r="D16" s="130"/>
      <c r="E16" s="130"/>
      <c r="F16" s="130"/>
      <c r="G16" s="130"/>
      <c r="H16" s="130"/>
      <c r="I16" s="130"/>
      <c r="J16" s="132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5">
        <f t="shared" si="1"/>
        <v>0</v>
      </c>
      <c r="X16" s="130"/>
      <c r="Y16" s="130"/>
      <c r="Z16" s="137">
        <f t="shared" si="2"/>
        <v>0</v>
      </c>
      <c r="AA16" s="151"/>
      <c r="AB16" s="152"/>
      <c r="AC16" s="140">
        <f t="shared" si="3"/>
        <v>0</v>
      </c>
      <c r="AD16" s="152"/>
      <c r="AF16" s="166"/>
      <c r="AG16" s="152"/>
      <c r="AH16" s="152"/>
      <c r="AI16" s="152"/>
      <c r="AJ16" s="152"/>
    </row>
    <row r="17" ht="22.5" customHeight="1">
      <c r="A17" s="4"/>
      <c r="B17" s="4"/>
      <c r="C17" s="162"/>
      <c r="D17" s="130"/>
      <c r="E17" s="130"/>
      <c r="F17" s="130"/>
      <c r="G17" s="130"/>
      <c r="H17" s="130"/>
      <c r="I17" s="130"/>
      <c r="J17" s="132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5">
        <f t="shared" si="1"/>
        <v>0</v>
      </c>
      <c r="X17" s="130"/>
      <c r="Y17" s="130"/>
      <c r="Z17" s="137">
        <f t="shared" si="2"/>
        <v>0</v>
      </c>
      <c r="AA17" s="151"/>
      <c r="AB17" s="152"/>
      <c r="AC17" s="140">
        <f t="shared" si="3"/>
        <v>0</v>
      </c>
      <c r="AD17" s="152"/>
      <c r="AF17" s="166"/>
      <c r="AG17" s="152"/>
      <c r="AH17" s="152"/>
      <c r="AI17" s="152"/>
      <c r="AJ17" s="152"/>
    </row>
    <row r="18" ht="22.5" customHeight="1">
      <c r="A18" s="4"/>
      <c r="B18" s="4"/>
      <c r="C18" s="162"/>
      <c r="D18" s="130"/>
      <c r="E18" s="130"/>
      <c r="F18" s="130"/>
      <c r="G18" s="130"/>
      <c r="H18" s="130"/>
      <c r="I18" s="130"/>
      <c r="J18" s="132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5">
        <f t="shared" si="1"/>
        <v>0</v>
      </c>
      <c r="X18" s="130"/>
      <c r="Y18" s="130"/>
      <c r="Z18" s="137">
        <f t="shared" si="2"/>
        <v>0</v>
      </c>
      <c r="AA18" s="151"/>
      <c r="AB18" s="152"/>
      <c r="AC18" s="140">
        <f t="shared" si="3"/>
        <v>0</v>
      </c>
      <c r="AD18" s="152"/>
      <c r="AF18" s="166"/>
      <c r="AG18" s="152"/>
      <c r="AH18" s="152"/>
      <c r="AI18" s="152"/>
      <c r="AJ18" s="152"/>
    </row>
    <row r="19" ht="22.5" customHeight="1">
      <c r="A19" s="4"/>
      <c r="B19" s="4"/>
      <c r="C19" s="162"/>
      <c r="D19" s="130"/>
      <c r="E19" s="130"/>
      <c r="F19" s="130"/>
      <c r="G19" s="130"/>
      <c r="H19" s="130"/>
      <c r="I19" s="130"/>
      <c r="J19" s="132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5">
        <f t="shared" si="1"/>
        <v>0</v>
      </c>
      <c r="X19" s="130"/>
      <c r="Y19" s="130"/>
      <c r="Z19" s="137">
        <f t="shared" si="2"/>
        <v>0</v>
      </c>
      <c r="AA19" s="151"/>
      <c r="AB19" s="152"/>
      <c r="AC19" s="140">
        <f t="shared" si="3"/>
        <v>0</v>
      </c>
      <c r="AD19" s="152"/>
      <c r="AF19" s="166"/>
      <c r="AG19" s="152"/>
      <c r="AH19" s="152"/>
      <c r="AI19" s="152"/>
      <c r="AJ19" s="152"/>
    </row>
    <row r="20" ht="22.5" customHeight="1">
      <c r="A20" s="4"/>
      <c r="B20" s="4"/>
      <c r="C20" s="162"/>
      <c r="D20" s="130"/>
      <c r="E20" s="130"/>
      <c r="F20" s="130"/>
      <c r="G20" s="130"/>
      <c r="H20" s="130"/>
      <c r="I20" s="130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5">
        <f t="shared" si="1"/>
        <v>0</v>
      </c>
      <c r="X20" s="130"/>
      <c r="Y20" s="130"/>
      <c r="Z20" s="137">
        <f t="shared" si="2"/>
        <v>0</v>
      </c>
      <c r="AA20" s="151"/>
      <c r="AB20" s="152"/>
      <c r="AC20" s="140">
        <f t="shared" si="3"/>
        <v>0</v>
      </c>
      <c r="AD20" s="152"/>
      <c r="AF20" s="166"/>
      <c r="AG20" s="152"/>
      <c r="AH20" s="152"/>
      <c r="AI20" s="152"/>
      <c r="AJ20" s="152"/>
    </row>
    <row r="21" ht="22.5" customHeight="1">
      <c r="A21" s="4"/>
      <c r="B21" s="4"/>
      <c r="C21" s="162"/>
      <c r="D21" s="130"/>
      <c r="E21" s="130"/>
      <c r="F21" s="130"/>
      <c r="G21" s="130"/>
      <c r="H21" s="130"/>
      <c r="I21" s="130"/>
      <c r="J21" s="132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5">
        <f t="shared" si="1"/>
        <v>0</v>
      </c>
      <c r="X21" s="130"/>
      <c r="Y21" s="130"/>
      <c r="Z21" s="137">
        <f t="shared" si="2"/>
        <v>0</v>
      </c>
      <c r="AA21" s="151"/>
      <c r="AB21" s="152"/>
      <c r="AC21" s="140">
        <f t="shared" si="3"/>
        <v>0</v>
      </c>
      <c r="AD21" s="152"/>
      <c r="AF21" s="166"/>
      <c r="AG21" s="152"/>
      <c r="AH21" s="152"/>
      <c r="AI21" s="152"/>
      <c r="AJ21" s="152"/>
    </row>
    <row r="22" ht="22.5" hidden="1" customHeight="1">
      <c r="A22" s="4"/>
      <c r="B22" s="4"/>
      <c r="C22" s="162"/>
      <c r="D22" s="130"/>
      <c r="E22" s="130"/>
      <c r="F22" s="130"/>
      <c r="G22" s="130"/>
      <c r="H22" s="130"/>
      <c r="I22" s="130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5">
        <f t="shared" si="1"/>
        <v>0</v>
      </c>
      <c r="X22" s="130"/>
      <c r="Y22" s="130"/>
      <c r="Z22" s="137">
        <f t="shared" si="2"/>
        <v>0</v>
      </c>
      <c r="AA22" s="151"/>
      <c r="AB22" s="152"/>
      <c r="AC22" s="140">
        <f t="shared" si="3"/>
        <v>0</v>
      </c>
      <c r="AD22" s="152"/>
      <c r="AF22" s="166"/>
      <c r="AG22" s="152"/>
      <c r="AH22" s="152"/>
      <c r="AI22" s="152"/>
      <c r="AJ22" s="152"/>
    </row>
    <row r="23" ht="22.5" hidden="1" customHeight="1">
      <c r="A23" s="4"/>
      <c r="B23" s="4"/>
      <c r="C23" s="162"/>
      <c r="D23" s="130"/>
      <c r="E23" s="130"/>
      <c r="F23" s="130"/>
      <c r="G23" s="130"/>
      <c r="H23" s="130"/>
      <c r="I23" s="130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5">
        <f t="shared" si="1"/>
        <v>0</v>
      </c>
      <c r="X23" s="130"/>
      <c r="Y23" s="130"/>
      <c r="Z23" s="137">
        <f t="shared" si="2"/>
        <v>0</v>
      </c>
      <c r="AA23" s="151"/>
      <c r="AB23" s="152"/>
      <c r="AC23" s="140">
        <f t="shared" si="3"/>
        <v>0</v>
      </c>
      <c r="AD23" s="152"/>
      <c r="AF23" s="166"/>
      <c r="AG23" s="152"/>
      <c r="AH23" s="152"/>
      <c r="AI23" s="152"/>
      <c r="AJ23" s="152"/>
    </row>
    <row r="24" ht="22.5" hidden="1" customHeight="1">
      <c r="A24" s="4"/>
      <c r="B24" s="4"/>
      <c r="C24" s="162"/>
      <c r="D24" s="130"/>
      <c r="E24" s="130"/>
      <c r="F24" s="130"/>
      <c r="G24" s="130"/>
      <c r="H24" s="130"/>
      <c r="I24" s="130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5">
        <f t="shared" si="1"/>
        <v>0</v>
      </c>
      <c r="X24" s="130"/>
      <c r="Y24" s="130"/>
      <c r="Z24" s="137">
        <f t="shared" si="2"/>
        <v>0</v>
      </c>
      <c r="AA24" s="151"/>
      <c r="AB24" s="152"/>
      <c r="AC24" s="140">
        <f t="shared" si="3"/>
        <v>0</v>
      </c>
      <c r="AD24" s="152"/>
      <c r="AF24" s="166"/>
      <c r="AG24" s="152"/>
      <c r="AH24" s="152"/>
      <c r="AI24" s="152"/>
      <c r="AJ24" s="152"/>
    </row>
    <row r="25" ht="22.5" hidden="1" customHeight="1">
      <c r="A25" s="4"/>
      <c r="B25" s="4"/>
      <c r="C25" s="162"/>
      <c r="D25" s="130"/>
      <c r="E25" s="130"/>
      <c r="F25" s="130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5">
        <f t="shared" si="1"/>
        <v>0</v>
      </c>
      <c r="X25" s="130"/>
      <c r="Y25" s="130"/>
      <c r="Z25" s="137">
        <f t="shared" si="2"/>
        <v>0</v>
      </c>
      <c r="AA25" s="151"/>
      <c r="AB25" s="152"/>
      <c r="AC25" s="140">
        <f t="shared" si="3"/>
        <v>0</v>
      </c>
      <c r="AD25" s="152"/>
      <c r="AF25" s="166"/>
      <c r="AG25" s="152"/>
      <c r="AH25" s="152"/>
      <c r="AI25" s="152"/>
      <c r="AJ25" s="152"/>
    </row>
    <row r="26" ht="22.5" hidden="1" customHeight="1">
      <c r="A26" s="4"/>
      <c r="B26" s="4"/>
      <c r="C26" s="162"/>
      <c r="D26" s="130"/>
      <c r="E26" s="130"/>
      <c r="F26" s="130"/>
      <c r="G26" s="130"/>
      <c r="H26" s="130"/>
      <c r="I26" s="130"/>
      <c r="J26" s="132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5">
        <f t="shared" si="1"/>
        <v>0</v>
      </c>
      <c r="X26" s="130"/>
      <c r="Y26" s="130"/>
      <c r="Z26" s="137">
        <f t="shared" si="2"/>
        <v>0</v>
      </c>
      <c r="AA26" s="151"/>
      <c r="AB26" s="152"/>
      <c r="AC26" s="140">
        <f t="shared" si="3"/>
        <v>0</v>
      </c>
      <c r="AD26" s="152"/>
      <c r="AF26" s="166"/>
      <c r="AG26" s="152"/>
      <c r="AH26" s="152"/>
      <c r="AI26" s="152"/>
      <c r="AJ26" s="152"/>
    </row>
    <row r="27" ht="22.5" hidden="1" customHeight="1">
      <c r="A27" s="4"/>
      <c r="B27" s="4"/>
      <c r="C27" s="162"/>
      <c r="D27" s="130"/>
      <c r="E27" s="130"/>
      <c r="F27" s="130"/>
      <c r="G27" s="130"/>
      <c r="H27" s="130"/>
      <c r="I27" s="130"/>
      <c r="J27" s="132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5">
        <f t="shared" si="1"/>
        <v>0</v>
      </c>
      <c r="X27" s="130"/>
      <c r="Y27" s="130"/>
      <c r="Z27" s="137">
        <f t="shared" si="2"/>
        <v>0</v>
      </c>
      <c r="AA27" s="151"/>
      <c r="AB27" s="152"/>
      <c r="AC27" s="140">
        <f t="shared" si="3"/>
        <v>0</v>
      </c>
      <c r="AD27" s="152"/>
      <c r="AF27" s="166"/>
      <c r="AG27" s="152"/>
      <c r="AH27" s="152"/>
      <c r="AI27" s="152"/>
      <c r="AJ27" s="152"/>
    </row>
    <row r="28" ht="22.5" hidden="1" customHeight="1">
      <c r="A28" s="4"/>
      <c r="B28" s="4"/>
      <c r="C28" s="162"/>
      <c r="D28" s="130"/>
      <c r="E28" s="130"/>
      <c r="F28" s="130"/>
      <c r="G28" s="130"/>
      <c r="H28" s="130"/>
      <c r="I28" s="130"/>
      <c r="J28" s="132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5">
        <f t="shared" si="1"/>
        <v>0</v>
      </c>
      <c r="X28" s="130"/>
      <c r="Y28" s="130"/>
      <c r="Z28" s="137">
        <f t="shared" si="2"/>
        <v>0</v>
      </c>
      <c r="AA28" s="151"/>
      <c r="AB28" s="152"/>
      <c r="AC28" s="140">
        <f t="shared" si="3"/>
        <v>0</v>
      </c>
      <c r="AD28" s="152"/>
      <c r="AF28" s="166"/>
      <c r="AG28" s="152"/>
      <c r="AH28" s="152"/>
      <c r="AI28" s="152"/>
      <c r="AJ28" s="152"/>
    </row>
    <row r="29" ht="22.5" hidden="1" customHeight="1">
      <c r="A29" s="4"/>
      <c r="B29" s="4"/>
      <c r="C29" s="162"/>
      <c r="D29" s="130"/>
      <c r="E29" s="130"/>
      <c r="F29" s="130"/>
      <c r="G29" s="130"/>
      <c r="H29" s="130"/>
      <c r="I29" s="130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5">
        <f t="shared" si="1"/>
        <v>0</v>
      </c>
      <c r="X29" s="130"/>
      <c r="Y29" s="130"/>
      <c r="Z29" s="137">
        <f t="shared" si="2"/>
        <v>0</v>
      </c>
      <c r="AA29" s="151"/>
      <c r="AB29" s="152"/>
      <c r="AC29" s="140">
        <f t="shared" si="3"/>
        <v>0</v>
      </c>
      <c r="AD29" s="152"/>
      <c r="AF29" s="166"/>
      <c r="AG29" s="152"/>
      <c r="AH29" s="152"/>
      <c r="AI29" s="152"/>
      <c r="AJ29" s="152"/>
    </row>
    <row r="30" ht="22.5" hidden="1" customHeight="1">
      <c r="A30" s="4"/>
      <c r="B30" s="4"/>
      <c r="C30" s="162"/>
      <c r="D30" s="130"/>
      <c r="E30" s="130"/>
      <c r="F30" s="130"/>
      <c r="G30" s="130"/>
      <c r="H30" s="130"/>
      <c r="I30" s="130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5">
        <f t="shared" si="1"/>
        <v>0</v>
      </c>
      <c r="X30" s="130"/>
      <c r="Y30" s="130"/>
      <c r="Z30" s="137">
        <f t="shared" si="2"/>
        <v>0</v>
      </c>
      <c r="AA30" s="151"/>
      <c r="AB30" s="152"/>
      <c r="AC30" s="140">
        <f t="shared" si="3"/>
        <v>0</v>
      </c>
      <c r="AD30" s="152"/>
      <c r="AF30" s="166"/>
      <c r="AG30" s="152"/>
      <c r="AH30" s="152"/>
      <c r="AI30" s="152"/>
      <c r="AJ30" s="152"/>
    </row>
    <row r="31" ht="22.5" hidden="1" customHeight="1">
      <c r="A31" s="4"/>
      <c r="B31" s="4"/>
      <c r="C31" s="162"/>
      <c r="D31" s="130"/>
      <c r="E31" s="130"/>
      <c r="F31" s="130"/>
      <c r="G31" s="130"/>
      <c r="H31" s="130"/>
      <c r="I31" s="130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5">
        <f t="shared" si="1"/>
        <v>0</v>
      </c>
      <c r="X31" s="130"/>
      <c r="Y31" s="130"/>
      <c r="Z31" s="137">
        <f t="shared" si="2"/>
        <v>0</v>
      </c>
      <c r="AA31" s="151"/>
      <c r="AB31" s="152"/>
      <c r="AC31" s="140">
        <f t="shared" si="3"/>
        <v>0</v>
      </c>
      <c r="AD31" s="152"/>
      <c r="AF31" s="166"/>
      <c r="AG31" s="152"/>
      <c r="AH31" s="152"/>
      <c r="AI31" s="152"/>
      <c r="AJ31" s="152"/>
    </row>
    <row r="32" ht="22.5" hidden="1" customHeight="1">
      <c r="A32" s="4"/>
      <c r="B32" s="4"/>
      <c r="C32" s="162"/>
      <c r="D32" s="130"/>
      <c r="E32" s="130"/>
      <c r="F32" s="130"/>
      <c r="G32" s="130"/>
      <c r="H32" s="130"/>
      <c r="I32" s="130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5">
        <f t="shared" si="1"/>
        <v>0</v>
      </c>
      <c r="X32" s="130"/>
      <c r="Y32" s="130"/>
      <c r="Z32" s="137">
        <f t="shared" si="2"/>
        <v>0</v>
      </c>
      <c r="AA32" s="151"/>
      <c r="AB32" s="152"/>
      <c r="AC32" s="140">
        <f t="shared" si="3"/>
        <v>0</v>
      </c>
      <c r="AD32" s="152"/>
      <c r="AF32" s="166"/>
      <c r="AG32" s="152"/>
      <c r="AH32" s="152"/>
      <c r="AI32" s="152"/>
      <c r="AJ32" s="152"/>
    </row>
    <row r="33" ht="22.5" hidden="1" customHeight="1">
      <c r="A33" s="4"/>
      <c r="B33" s="4"/>
      <c r="C33" s="162"/>
      <c r="D33" s="130"/>
      <c r="E33" s="130"/>
      <c r="F33" s="130"/>
      <c r="G33" s="130"/>
      <c r="H33" s="130"/>
      <c r="I33" s="130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5">
        <f t="shared" si="1"/>
        <v>0</v>
      </c>
      <c r="X33" s="130"/>
      <c r="Y33" s="130"/>
      <c r="Z33" s="137">
        <f t="shared" si="2"/>
        <v>0</v>
      </c>
      <c r="AA33" s="151"/>
      <c r="AB33" s="152"/>
      <c r="AC33" s="140">
        <f t="shared" si="3"/>
        <v>0</v>
      </c>
      <c r="AD33" s="152"/>
      <c r="AF33" s="166"/>
      <c r="AG33" s="152"/>
      <c r="AH33" s="152"/>
      <c r="AI33" s="152"/>
      <c r="AJ33" s="152"/>
    </row>
    <row r="34" ht="22.5" hidden="1" customHeight="1">
      <c r="A34" s="4"/>
      <c r="B34" s="4"/>
      <c r="C34" s="162"/>
      <c r="D34" s="130"/>
      <c r="E34" s="130"/>
      <c r="F34" s="130"/>
      <c r="G34" s="130"/>
      <c r="H34" s="130"/>
      <c r="I34" s="130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5">
        <f t="shared" si="1"/>
        <v>0</v>
      </c>
      <c r="X34" s="130"/>
      <c r="Y34" s="130"/>
      <c r="Z34" s="137">
        <f t="shared" si="2"/>
        <v>0</v>
      </c>
      <c r="AA34" s="151"/>
      <c r="AB34" s="152"/>
      <c r="AC34" s="140">
        <f t="shared" si="3"/>
        <v>0</v>
      </c>
      <c r="AD34" s="152"/>
      <c r="AF34" s="166"/>
      <c r="AG34" s="152"/>
      <c r="AH34" s="152"/>
      <c r="AI34" s="152"/>
      <c r="AJ34" s="152"/>
    </row>
    <row r="35" ht="22.5" hidden="1" customHeight="1">
      <c r="A35" s="4"/>
      <c r="B35" s="4"/>
      <c r="C35" s="162"/>
      <c r="D35" s="130"/>
      <c r="E35" s="130"/>
      <c r="F35" s="130"/>
      <c r="G35" s="130"/>
      <c r="H35" s="130"/>
      <c r="I35" s="130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5">
        <f t="shared" si="1"/>
        <v>0</v>
      </c>
      <c r="X35" s="130"/>
      <c r="Y35" s="130"/>
      <c r="Z35" s="137">
        <f t="shared" si="2"/>
        <v>0</v>
      </c>
      <c r="AA35" s="151"/>
      <c r="AB35" s="152"/>
      <c r="AC35" s="140">
        <f t="shared" si="3"/>
        <v>0</v>
      </c>
      <c r="AD35" s="152"/>
      <c r="AF35" s="166"/>
      <c r="AG35" s="152"/>
      <c r="AH35" s="152"/>
      <c r="AI35" s="152"/>
      <c r="AJ35" s="152"/>
    </row>
    <row r="36" ht="22.5" hidden="1" customHeight="1">
      <c r="A36" s="4"/>
      <c r="B36" s="4"/>
      <c r="C36" s="162"/>
      <c r="D36" s="130"/>
      <c r="E36" s="130"/>
      <c r="F36" s="130"/>
      <c r="G36" s="130"/>
      <c r="H36" s="130"/>
      <c r="I36" s="130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5">
        <f t="shared" si="1"/>
        <v>0</v>
      </c>
      <c r="X36" s="130"/>
      <c r="Y36" s="130"/>
      <c r="Z36" s="137">
        <f t="shared" si="2"/>
        <v>0</v>
      </c>
      <c r="AA36" s="151"/>
      <c r="AB36" s="152"/>
      <c r="AC36" s="140">
        <f t="shared" si="3"/>
        <v>0</v>
      </c>
      <c r="AD36" s="152"/>
      <c r="AF36" s="166"/>
      <c r="AG36" s="152"/>
      <c r="AH36" s="152"/>
      <c r="AI36" s="152"/>
      <c r="AJ36" s="152"/>
    </row>
    <row r="37" ht="22.5" hidden="1" customHeight="1">
      <c r="A37" s="4"/>
      <c r="B37" s="4"/>
      <c r="C37" s="162"/>
      <c r="D37" s="130"/>
      <c r="E37" s="130"/>
      <c r="F37" s="130"/>
      <c r="G37" s="130"/>
      <c r="H37" s="130"/>
      <c r="I37" s="130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5">
        <f t="shared" si="1"/>
        <v>0</v>
      </c>
      <c r="X37" s="130"/>
      <c r="Y37" s="130"/>
      <c r="Z37" s="137">
        <f t="shared" si="2"/>
        <v>0</v>
      </c>
      <c r="AA37" s="151"/>
      <c r="AB37" s="152"/>
      <c r="AC37" s="140">
        <f t="shared" si="3"/>
        <v>0</v>
      </c>
      <c r="AD37" s="152"/>
      <c r="AF37" s="166"/>
      <c r="AG37" s="152"/>
      <c r="AH37" s="152"/>
      <c r="AI37" s="152"/>
      <c r="AJ37" s="152"/>
    </row>
    <row r="38" ht="22.5" hidden="1" customHeight="1">
      <c r="A38" s="4"/>
      <c r="B38" s="4"/>
      <c r="C38" s="162"/>
      <c r="D38" s="130"/>
      <c r="E38" s="130"/>
      <c r="F38" s="130"/>
      <c r="G38" s="130"/>
      <c r="H38" s="130"/>
      <c r="I38" s="130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5">
        <f t="shared" si="1"/>
        <v>0</v>
      </c>
      <c r="X38" s="130"/>
      <c r="Y38" s="130"/>
      <c r="Z38" s="137">
        <f t="shared" si="2"/>
        <v>0</v>
      </c>
      <c r="AA38" s="151"/>
      <c r="AB38" s="152"/>
      <c r="AC38" s="140">
        <f t="shared" si="3"/>
        <v>0</v>
      </c>
      <c r="AD38" s="152"/>
      <c r="AF38" s="166"/>
      <c r="AG38" s="152"/>
      <c r="AH38" s="152"/>
      <c r="AI38" s="152"/>
      <c r="AJ38" s="152"/>
    </row>
    <row r="39" ht="22.5" hidden="1" customHeight="1">
      <c r="A39" s="4"/>
      <c r="B39" s="4"/>
      <c r="C39" s="162"/>
      <c r="D39" s="130"/>
      <c r="E39" s="130"/>
      <c r="F39" s="130"/>
      <c r="G39" s="130"/>
      <c r="H39" s="130"/>
      <c r="I39" s="130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5">
        <f t="shared" si="1"/>
        <v>0</v>
      </c>
      <c r="X39" s="130"/>
      <c r="Y39" s="130"/>
      <c r="Z39" s="137">
        <f t="shared" si="2"/>
        <v>0</v>
      </c>
      <c r="AA39" s="151"/>
      <c r="AB39" s="152"/>
      <c r="AC39" s="140">
        <f t="shared" si="3"/>
        <v>0</v>
      </c>
      <c r="AD39" s="152"/>
      <c r="AF39" s="166"/>
      <c r="AG39" s="152"/>
      <c r="AH39" s="152"/>
      <c r="AI39" s="152"/>
      <c r="AJ39" s="152"/>
    </row>
    <row r="40" ht="22.5" hidden="1" customHeight="1">
      <c r="A40" s="4"/>
      <c r="B40" s="4"/>
      <c r="C40" s="162"/>
      <c r="D40" s="130"/>
      <c r="E40" s="130"/>
      <c r="F40" s="130"/>
      <c r="G40" s="130"/>
      <c r="H40" s="130"/>
      <c r="I40" s="130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5">
        <f t="shared" si="1"/>
        <v>0</v>
      </c>
      <c r="X40" s="130"/>
      <c r="Y40" s="130"/>
      <c r="Z40" s="137">
        <f t="shared" si="2"/>
        <v>0</v>
      </c>
      <c r="AA40" s="151"/>
      <c r="AB40" s="152"/>
      <c r="AC40" s="140">
        <f t="shared" si="3"/>
        <v>0</v>
      </c>
      <c r="AD40" s="152"/>
      <c r="AF40" s="166"/>
      <c r="AG40" s="152"/>
      <c r="AH40" s="152"/>
      <c r="AI40" s="152"/>
      <c r="AJ40" s="152"/>
    </row>
    <row r="41" ht="22.5" hidden="1" customHeight="1">
      <c r="A41" s="4"/>
      <c r="B41" s="4"/>
      <c r="C41" s="162"/>
      <c r="D41" s="130"/>
      <c r="E41" s="130"/>
      <c r="F41" s="130"/>
      <c r="G41" s="130"/>
      <c r="H41" s="130"/>
      <c r="I41" s="130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5">
        <f t="shared" si="1"/>
        <v>0</v>
      </c>
      <c r="X41" s="130"/>
      <c r="Y41" s="130"/>
      <c r="Z41" s="137">
        <f t="shared" si="2"/>
        <v>0</v>
      </c>
      <c r="AA41" s="151"/>
      <c r="AB41" s="152"/>
      <c r="AC41" s="140">
        <f t="shared" si="3"/>
        <v>0</v>
      </c>
      <c r="AD41" s="152"/>
      <c r="AF41" s="166"/>
      <c r="AG41" s="152"/>
      <c r="AH41" s="152"/>
      <c r="AI41" s="152"/>
      <c r="AJ41" s="152"/>
    </row>
    <row r="42" ht="22.5" hidden="1" customHeight="1">
      <c r="A42" s="4"/>
      <c r="B42" s="4"/>
      <c r="C42" s="162"/>
      <c r="D42" s="130"/>
      <c r="E42" s="130"/>
      <c r="F42" s="130"/>
      <c r="G42" s="130"/>
      <c r="H42" s="130"/>
      <c r="I42" s="130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5">
        <f t="shared" si="1"/>
        <v>0</v>
      </c>
      <c r="X42" s="130"/>
      <c r="Y42" s="130"/>
      <c r="Z42" s="137">
        <f t="shared" si="2"/>
        <v>0</v>
      </c>
      <c r="AA42" s="151"/>
      <c r="AB42" s="152"/>
      <c r="AC42" s="140">
        <f t="shared" si="3"/>
        <v>0</v>
      </c>
      <c r="AD42" s="152"/>
      <c r="AF42" s="166"/>
      <c r="AG42" s="152"/>
      <c r="AH42" s="152"/>
      <c r="AI42" s="152"/>
      <c r="AJ42" s="152"/>
    </row>
    <row r="43" ht="22.5" hidden="1" customHeight="1">
      <c r="A43" s="4"/>
      <c r="B43" s="4"/>
      <c r="C43" s="162"/>
      <c r="D43" s="130"/>
      <c r="E43" s="130"/>
      <c r="F43" s="130"/>
      <c r="G43" s="130"/>
      <c r="H43" s="130"/>
      <c r="I43" s="130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5">
        <f t="shared" si="1"/>
        <v>0</v>
      </c>
      <c r="X43" s="130"/>
      <c r="Y43" s="130"/>
      <c r="Z43" s="137">
        <f t="shared" si="2"/>
        <v>0</v>
      </c>
      <c r="AA43" s="151"/>
      <c r="AB43" s="152"/>
      <c r="AC43" s="140">
        <f t="shared" si="3"/>
        <v>0</v>
      </c>
      <c r="AD43" s="152"/>
      <c r="AF43" s="166"/>
      <c r="AG43" s="152"/>
      <c r="AH43" s="152"/>
      <c r="AI43" s="152"/>
      <c r="AJ43" s="152"/>
    </row>
    <row r="44" ht="22.5" hidden="1" customHeight="1">
      <c r="A44" s="4"/>
      <c r="B44" s="4"/>
      <c r="C44" s="162"/>
      <c r="D44" s="130"/>
      <c r="E44" s="130"/>
      <c r="F44" s="130"/>
      <c r="G44" s="130"/>
      <c r="H44" s="130"/>
      <c r="I44" s="130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5">
        <f t="shared" si="1"/>
        <v>0</v>
      </c>
      <c r="X44" s="130"/>
      <c r="Y44" s="130"/>
      <c r="Z44" s="137">
        <f t="shared" si="2"/>
        <v>0</v>
      </c>
      <c r="AA44" s="151"/>
      <c r="AB44" s="152"/>
      <c r="AC44" s="140">
        <f t="shared" si="3"/>
        <v>0</v>
      </c>
      <c r="AD44" s="152"/>
      <c r="AF44" s="166"/>
      <c r="AG44" s="152"/>
      <c r="AH44" s="152"/>
      <c r="AI44" s="152"/>
      <c r="AJ44" s="152"/>
    </row>
    <row r="45" ht="22.5" hidden="1" customHeight="1">
      <c r="A45" s="4"/>
      <c r="B45" s="4"/>
      <c r="C45" s="162"/>
      <c r="D45" s="130"/>
      <c r="E45" s="130"/>
      <c r="F45" s="130"/>
      <c r="G45" s="130"/>
      <c r="H45" s="130"/>
      <c r="I45" s="130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5">
        <f t="shared" si="1"/>
        <v>0</v>
      </c>
      <c r="X45" s="130"/>
      <c r="Y45" s="130"/>
      <c r="Z45" s="137">
        <f t="shared" si="2"/>
        <v>0</v>
      </c>
      <c r="AA45" s="151"/>
      <c r="AB45" s="152"/>
      <c r="AC45" s="140">
        <f t="shared" si="3"/>
        <v>0</v>
      </c>
      <c r="AD45" s="152"/>
      <c r="AF45" s="166"/>
      <c r="AG45" s="152"/>
      <c r="AH45" s="152"/>
      <c r="AI45" s="152"/>
      <c r="AJ45" s="152"/>
    </row>
    <row r="46" ht="22.5" hidden="1" customHeight="1">
      <c r="A46" s="4"/>
      <c r="B46" s="4"/>
      <c r="C46" s="162"/>
      <c r="D46" s="130"/>
      <c r="E46" s="130"/>
      <c r="F46" s="130"/>
      <c r="G46" s="130"/>
      <c r="H46" s="130"/>
      <c r="I46" s="130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5">
        <f t="shared" si="1"/>
        <v>0</v>
      </c>
      <c r="X46" s="130"/>
      <c r="Y46" s="130"/>
      <c r="Z46" s="137">
        <f t="shared" si="2"/>
        <v>0</v>
      </c>
      <c r="AA46" s="151"/>
      <c r="AB46" s="152"/>
      <c r="AC46" s="140">
        <f t="shared" si="3"/>
        <v>0</v>
      </c>
      <c r="AD46" s="152"/>
      <c r="AF46" s="166"/>
      <c r="AG46" s="152"/>
      <c r="AH46" s="152"/>
      <c r="AI46" s="152"/>
      <c r="AJ46" s="152"/>
    </row>
    <row r="47" ht="22.5" hidden="1" customHeight="1">
      <c r="A47" s="4"/>
      <c r="B47" s="4"/>
      <c r="C47" s="162"/>
      <c r="D47" s="130"/>
      <c r="E47" s="130"/>
      <c r="F47" s="130"/>
      <c r="G47" s="130"/>
      <c r="H47" s="130"/>
      <c r="I47" s="130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5">
        <f t="shared" si="1"/>
        <v>0</v>
      </c>
      <c r="X47" s="130"/>
      <c r="Y47" s="130"/>
      <c r="Z47" s="137">
        <f t="shared" si="2"/>
        <v>0</v>
      </c>
      <c r="AA47" s="151"/>
      <c r="AB47" s="152"/>
      <c r="AC47" s="140">
        <f t="shared" si="3"/>
        <v>0</v>
      </c>
      <c r="AD47" s="152"/>
      <c r="AF47" s="166"/>
      <c r="AG47" s="152"/>
      <c r="AH47" s="152"/>
      <c r="AI47" s="152"/>
      <c r="AJ47" s="152"/>
    </row>
    <row r="48" ht="22.5" hidden="1" customHeight="1">
      <c r="A48" s="4"/>
      <c r="B48" s="4"/>
      <c r="C48" s="162"/>
      <c r="D48" s="130"/>
      <c r="E48" s="130"/>
      <c r="F48" s="130"/>
      <c r="G48" s="130"/>
      <c r="H48" s="130"/>
      <c r="I48" s="130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5">
        <f t="shared" si="1"/>
        <v>0</v>
      </c>
      <c r="X48" s="130"/>
      <c r="Y48" s="130"/>
      <c r="Z48" s="137">
        <f t="shared" si="2"/>
        <v>0</v>
      </c>
      <c r="AA48" s="151"/>
      <c r="AB48" s="152"/>
      <c r="AC48" s="140">
        <f t="shared" si="3"/>
        <v>0</v>
      </c>
      <c r="AD48" s="152"/>
      <c r="AF48" s="166"/>
      <c r="AG48" s="152"/>
      <c r="AH48" s="152"/>
      <c r="AI48" s="152"/>
      <c r="AJ48" s="152"/>
    </row>
    <row r="49" ht="22.5" hidden="1" customHeight="1">
      <c r="A49" s="4"/>
      <c r="B49" s="4"/>
      <c r="C49" s="162"/>
      <c r="D49" s="130"/>
      <c r="E49" s="130"/>
      <c r="F49" s="130"/>
      <c r="G49" s="130"/>
      <c r="H49" s="130"/>
      <c r="I49" s="130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5">
        <f t="shared" si="1"/>
        <v>0</v>
      </c>
      <c r="X49" s="130"/>
      <c r="Y49" s="130"/>
      <c r="Z49" s="137">
        <f t="shared" si="2"/>
        <v>0</v>
      </c>
      <c r="AA49" s="151"/>
      <c r="AB49" s="152"/>
      <c r="AC49" s="140">
        <f t="shared" si="3"/>
        <v>0</v>
      </c>
      <c r="AD49" s="152"/>
      <c r="AF49" s="166"/>
      <c r="AG49" s="152"/>
      <c r="AH49" s="152"/>
      <c r="AI49" s="152"/>
      <c r="AJ49" s="152"/>
    </row>
    <row r="50" ht="22.5" hidden="1" customHeight="1">
      <c r="A50" s="4"/>
      <c r="B50" s="4"/>
      <c r="C50" s="162"/>
      <c r="D50" s="130"/>
      <c r="E50" s="130"/>
      <c r="F50" s="130"/>
      <c r="G50" s="130"/>
      <c r="H50" s="130"/>
      <c r="I50" s="130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5">
        <f t="shared" si="1"/>
        <v>0</v>
      </c>
      <c r="X50" s="130"/>
      <c r="Y50" s="130"/>
      <c r="Z50" s="137">
        <f t="shared" si="2"/>
        <v>0</v>
      </c>
      <c r="AA50" s="151"/>
      <c r="AB50" s="152"/>
      <c r="AC50" s="140">
        <f t="shared" si="3"/>
        <v>0</v>
      </c>
      <c r="AD50" s="152"/>
      <c r="AF50" s="166"/>
      <c r="AG50" s="152"/>
      <c r="AH50" s="152"/>
      <c r="AI50" s="152"/>
      <c r="AJ50" s="152"/>
    </row>
    <row r="51" ht="22.5" hidden="1" customHeight="1">
      <c r="A51" s="4"/>
      <c r="B51" s="4"/>
      <c r="C51" s="162"/>
      <c r="D51" s="130"/>
      <c r="E51" s="130"/>
      <c r="F51" s="130"/>
      <c r="G51" s="130"/>
      <c r="H51" s="130"/>
      <c r="I51" s="130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5">
        <f t="shared" si="1"/>
        <v>0</v>
      </c>
      <c r="X51" s="130"/>
      <c r="Y51" s="130"/>
      <c r="Z51" s="137">
        <f t="shared" si="2"/>
        <v>0</v>
      </c>
      <c r="AA51" s="151"/>
      <c r="AB51" s="152"/>
      <c r="AC51" s="140">
        <f t="shared" si="3"/>
        <v>0</v>
      </c>
      <c r="AD51" s="152"/>
      <c r="AF51" s="166"/>
      <c r="AG51" s="152"/>
      <c r="AH51" s="152"/>
      <c r="AI51" s="152"/>
      <c r="AJ51" s="152"/>
    </row>
    <row r="52" ht="22.5" hidden="1" customHeight="1">
      <c r="A52" s="4"/>
      <c r="B52" s="4"/>
      <c r="C52" s="162"/>
      <c r="D52" s="130"/>
      <c r="E52" s="130"/>
      <c r="F52" s="130"/>
      <c r="G52" s="130"/>
      <c r="H52" s="130"/>
      <c r="I52" s="130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5">
        <f t="shared" si="1"/>
        <v>0</v>
      </c>
      <c r="X52" s="130"/>
      <c r="Y52" s="130"/>
      <c r="Z52" s="137">
        <f t="shared" si="2"/>
        <v>0</v>
      </c>
      <c r="AA52" s="151"/>
      <c r="AB52" s="152"/>
      <c r="AC52" s="140">
        <f t="shared" si="3"/>
        <v>0</v>
      </c>
      <c r="AD52" s="152"/>
      <c r="AF52" s="166"/>
      <c r="AG52" s="152"/>
      <c r="AH52" s="152"/>
      <c r="AI52" s="152"/>
      <c r="AJ52" s="152"/>
    </row>
    <row r="53" ht="22.5" hidden="1" customHeight="1">
      <c r="A53" s="4"/>
      <c r="B53" s="4"/>
      <c r="C53" s="162"/>
      <c r="D53" s="130"/>
      <c r="E53" s="130"/>
      <c r="F53" s="130"/>
      <c r="G53" s="130"/>
      <c r="H53" s="130"/>
      <c r="I53" s="130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5">
        <f t="shared" si="1"/>
        <v>0</v>
      </c>
      <c r="X53" s="130"/>
      <c r="Y53" s="130"/>
      <c r="Z53" s="137">
        <f t="shared" si="2"/>
        <v>0</v>
      </c>
      <c r="AA53" s="151"/>
      <c r="AB53" s="152"/>
      <c r="AC53" s="140">
        <f t="shared" si="3"/>
        <v>0</v>
      </c>
      <c r="AD53" s="152"/>
      <c r="AF53" s="166"/>
      <c r="AG53" s="152"/>
      <c r="AH53" s="152"/>
      <c r="AI53" s="152"/>
      <c r="AJ53" s="152"/>
    </row>
    <row r="54" ht="22.5" hidden="1" customHeight="1">
      <c r="A54" s="4"/>
      <c r="B54" s="4"/>
      <c r="C54" s="162"/>
      <c r="D54" s="130"/>
      <c r="E54" s="130"/>
      <c r="F54" s="130"/>
      <c r="G54" s="130"/>
      <c r="H54" s="130"/>
      <c r="I54" s="130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5">
        <f t="shared" si="1"/>
        <v>0</v>
      </c>
      <c r="X54" s="130"/>
      <c r="Y54" s="130"/>
      <c r="Z54" s="137">
        <f t="shared" si="2"/>
        <v>0</v>
      </c>
      <c r="AA54" s="151"/>
      <c r="AB54" s="152"/>
      <c r="AC54" s="140">
        <f t="shared" si="3"/>
        <v>0</v>
      </c>
      <c r="AD54" s="152"/>
      <c r="AF54" s="166"/>
      <c r="AG54" s="152"/>
      <c r="AH54" s="152"/>
      <c r="AI54" s="152"/>
      <c r="AJ54" s="152"/>
    </row>
    <row r="55" ht="22.5" hidden="1" customHeight="1">
      <c r="A55" s="4"/>
      <c r="B55" s="4"/>
      <c r="C55" s="162"/>
      <c r="D55" s="130"/>
      <c r="E55" s="130"/>
      <c r="F55" s="130"/>
      <c r="G55" s="130"/>
      <c r="H55" s="130"/>
      <c r="I55" s="130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5">
        <f t="shared" si="1"/>
        <v>0</v>
      </c>
      <c r="X55" s="130"/>
      <c r="Y55" s="130"/>
      <c r="Z55" s="137">
        <f t="shared" si="2"/>
        <v>0</v>
      </c>
      <c r="AA55" s="151"/>
      <c r="AB55" s="152"/>
      <c r="AC55" s="140">
        <f t="shared" si="3"/>
        <v>0</v>
      </c>
      <c r="AD55" s="152"/>
      <c r="AF55" s="166"/>
      <c r="AG55" s="152"/>
      <c r="AH55" s="152"/>
      <c r="AI55" s="152"/>
      <c r="AJ55" s="152"/>
    </row>
    <row r="56" ht="22.5" hidden="1" customHeight="1">
      <c r="A56" s="4"/>
      <c r="B56" s="4"/>
      <c r="C56" s="162"/>
      <c r="D56" s="130"/>
      <c r="E56" s="130"/>
      <c r="F56" s="130"/>
      <c r="G56" s="130"/>
      <c r="H56" s="130"/>
      <c r="I56" s="130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5">
        <f t="shared" si="1"/>
        <v>0</v>
      </c>
      <c r="X56" s="130"/>
      <c r="Y56" s="130"/>
      <c r="Z56" s="137">
        <f t="shared" si="2"/>
        <v>0</v>
      </c>
      <c r="AA56" s="151"/>
      <c r="AB56" s="152"/>
      <c r="AC56" s="140">
        <f t="shared" si="3"/>
        <v>0</v>
      </c>
      <c r="AD56" s="152"/>
      <c r="AF56" s="166"/>
      <c r="AG56" s="152"/>
      <c r="AH56" s="152"/>
      <c r="AI56" s="152"/>
      <c r="AJ56" s="152"/>
    </row>
    <row r="57" ht="22.5" hidden="1" customHeight="1">
      <c r="A57" s="4"/>
      <c r="B57" s="4"/>
      <c r="C57" s="162"/>
      <c r="D57" s="130"/>
      <c r="E57" s="130"/>
      <c r="F57" s="130"/>
      <c r="G57" s="130"/>
      <c r="H57" s="130"/>
      <c r="I57" s="130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5">
        <f t="shared" si="1"/>
        <v>0</v>
      </c>
      <c r="X57" s="130"/>
      <c r="Y57" s="130"/>
      <c r="Z57" s="137">
        <f t="shared" si="2"/>
        <v>0</v>
      </c>
      <c r="AA57" s="151"/>
      <c r="AB57" s="152"/>
      <c r="AC57" s="140">
        <f t="shared" si="3"/>
        <v>0</v>
      </c>
      <c r="AD57" s="152"/>
      <c r="AF57" s="166"/>
      <c r="AG57" s="152"/>
      <c r="AH57" s="152"/>
      <c r="AI57" s="152"/>
      <c r="AJ57" s="152"/>
    </row>
    <row r="58" ht="22.5" hidden="1" customHeight="1">
      <c r="A58" s="4"/>
      <c r="B58" s="4"/>
      <c r="C58" s="162"/>
      <c r="D58" s="130"/>
      <c r="E58" s="130"/>
      <c r="F58" s="130"/>
      <c r="G58" s="130"/>
      <c r="H58" s="130"/>
      <c r="I58" s="130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5">
        <f t="shared" si="1"/>
        <v>0</v>
      </c>
      <c r="X58" s="130"/>
      <c r="Y58" s="130"/>
      <c r="Z58" s="137">
        <f t="shared" si="2"/>
        <v>0</v>
      </c>
      <c r="AA58" s="151"/>
      <c r="AB58" s="152"/>
      <c r="AC58" s="140">
        <f t="shared" si="3"/>
        <v>0</v>
      </c>
      <c r="AD58" s="152"/>
      <c r="AF58" s="166"/>
      <c r="AG58" s="152"/>
      <c r="AH58" s="152"/>
      <c r="AI58" s="152"/>
      <c r="AJ58" s="152"/>
    </row>
    <row r="59" ht="22.5" hidden="1" customHeight="1">
      <c r="A59" s="4"/>
      <c r="B59" s="4"/>
      <c r="C59" s="162"/>
      <c r="D59" s="130"/>
      <c r="E59" s="130"/>
      <c r="F59" s="130"/>
      <c r="G59" s="130"/>
      <c r="H59" s="130"/>
      <c r="I59" s="130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5">
        <f t="shared" si="1"/>
        <v>0</v>
      </c>
      <c r="X59" s="130"/>
      <c r="Y59" s="130"/>
      <c r="Z59" s="137">
        <f t="shared" si="2"/>
        <v>0</v>
      </c>
      <c r="AA59" s="151"/>
      <c r="AB59" s="152"/>
      <c r="AC59" s="140">
        <f t="shared" si="3"/>
        <v>0</v>
      </c>
      <c r="AD59" s="152"/>
      <c r="AF59" s="166"/>
      <c r="AG59" s="152"/>
      <c r="AH59" s="152"/>
      <c r="AI59" s="152"/>
      <c r="AJ59" s="152"/>
    </row>
    <row r="60" ht="22.5" hidden="1" customHeight="1">
      <c r="A60" s="4"/>
      <c r="B60" s="4"/>
      <c r="C60" s="162"/>
      <c r="D60" s="130"/>
      <c r="E60" s="130"/>
      <c r="F60" s="130"/>
      <c r="G60" s="130"/>
      <c r="H60" s="130"/>
      <c r="I60" s="130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5">
        <f t="shared" si="1"/>
        <v>0</v>
      </c>
      <c r="X60" s="130"/>
      <c r="Y60" s="130"/>
      <c r="Z60" s="137">
        <f t="shared" si="2"/>
        <v>0</v>
      </c>
      <c r="AA60" s="151"/>
      <c r="AB60" s="152"/>
      <c r="AC60" s="140">
        <f t="shared" si="3"/>
        <v>0</v>
      </c>
      <c r="AD60" s="152"/>
      <c r="AF60" s="166"/>
      <c r="AG60" s="152"/>
      <c r="AH60" s="152"/>
      <c r="AI60" s="152"/>
      <c r="AJ60" s="152"/>
    </row>
    <row r="61" ht="22.5" hidden="1" customHeight="1">
      <c r="A61" s="4"/>
      <c r="B61" s="4"/>
      <c r="C61" s="162"/>
      <c r="D61" s="130"/>
      <c r="E61" s="130"/>
      <c r="F61" s="130"/>
      <c r="G61" s="130"/>
      <c r="H61" s="130"/>
      <c r="I61" s="130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5">
        <f t="shared" si="1"/>
        <v>0</v>
      </c>
      <c r="X61" s="130"/>
      <c r="Y61" s="130"/>
      <c r="Z61" s="137">
        <f t="shared" si="2"/>
        <v>0</v>
      </c>
      <c r="AA61" s="151"/>
      <c r="AB61" s="152"/>
      <c r="AC61" s="140">
        <f t="shared" si="3"/>
        <v>0</v>
      </c>
      <c r="AD61" s="152"/>
      <c r="AF61" s="166"/>
      <c r="AG61" s="152"/>
      <c r="AH61" s="152"/>
      <c r="AI61" s="152"/>
      <c r="AJ61" s="152"/>
    </row>
    <row r="62" ht="22.5" hidden="1" customHeight="1">
      <c r="A62" s="4"/>
      <c r="B62" s="4"/>
      <c r="C62" s="162"/>
      <c r="D62" s="130"/>
      <c r="E62" s="130"/>
      <c r="F62" s="130"/>
      <c r="G62" s="130"/>
      <c r="H62" s="130"/>
      <c r="I62" s="130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5">
        <f t="shared" si="1"/>
        <v>0</v>
      </c>
      <c r="X62" s="130"/>
      <c r="Y62" s="130"/>
      <c r="Z62" s="137">
        <f t="shared" si="2"/>
        <v>0</v>
      </c>
      <c r="AA62" s="151"/>
      <c r="AB62" s="152"/>
      <c r="AC62" s="140">
        <f t="shared" si="3"/>
        <v>0</v>
      </c>
      <c r="AD62" s="152"/>
      <c r="AF62" s="166"/>
      <c r="AG62" s="152"/>
      <c r="AH62" s="152"/>
      <c r="AI62" s="152"/>
      <c r="AJ62" s="152"/>
    </row>
    <row r="63" ht="22.5" hidden="1" customHeight="1">
      <c r="A63" s="4"/>
      <c r="B63" s="4"/>
      <c r="C63" s="162"/>
      <c r="D63" s="130"/>
      <c r="E63" s="130"/>
      <c r="F63" s="130"/>
      <c r="G63" s="130"/>
      <c r="H63" s="130"/>
      <c r="I63" s="130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5">
        <f t="shared" si="1"/>
        <v>0</v>
      </c>
      <c r="X63" s="130"/>
      <c r="Y63" s="130"/>
      <c r="Z63" s="137">
        <f t="shared" si="2"/>
        <v>0</v>
      </c>
      <c r="AA63" s="151"/>
      <c r="AB63" s="152"/>
      <c r="AC63" s="140">
        <f t="shared" si="3"/>
        <v>0</v>
      </c>
      <c r="AD63" s="152"/>
      <c r="AF63" s="166"/>
      <c r="AG63" s="152"/>
      <c r="AH63" s="152"/>
      <c r="AI63" s="152"/>
      <c r="AJ63" s="152"/>
    </row>
    <row r="64" ht="22.5" hidden="1" customHeight="1">
      <c r="A64" s="4"/>
      <c r="B64" s="4"/>
      <c r="C64" s="162"/>
      <c r="D64" s="130"/>
      <c r="E64" s="130"/>
      <c r="F64" s="130"/>
      <c r="G64" s="130"/>
      <c r="H64" s="130"/>
      <c r="I64" s="130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5">
        <f t="shared" si="1"/>
        <v>0</v>
      </c>
      <c r="X64" s="130"/>
      <c r="Y64" s="130"/>
      <c r="Z64" s="137">
        <f t="shared" si="2"/>
        <v>0</v>
      </c>
      <c r="AA64" s="151"/>
      <c r="AB64" s="152"/>
      <c r="AC64" s="140">
        <f t="shared" si="3"/>
        <v>0</v>
      </c>
      <c r="AD64" s="152"/>
      <c r="AF64" s="166"/>
      <c r="AG64" s="152"/>
      <c r="AH64" s="152"/>
      <c r="AI64" s="152"/>
      <c r="AJ64" s="152"/>
    </row>
    <row r="65" ht="22.5" hidden="1" customHeight="1">
      <c r="A65" s="4"/>
      <c r="B65" s="4"/>
      <c r="C65" s="162"/>
      <c r="D65" s="130"/>
      <c r="E65" s="130"/>
      <c r="F65" s="130"/>
      <c r="G65" s="130"/>
      <c r="H65" s="130"/>
      <c r="I65" s="130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5">
        <f t="shared" si="1"/>
        <v>0</v>
      </c>
      <c r="X65" s="130"/>
      <c r="Y65" s="130"/>
      <c r="Z65" s="137">
        <f t="shared" si="2"/>
        <v>0</v>
      </c>
      <c r="AA65" s="151"/>
      <c r="AB65" s="152"/>
      <c r="AC65" s="140">
        <f t="shared" si="3"/>
        <v>0</v>
      </c>
      <c r="AD65" s="152"/>
      <c r="AF65" s="166"/>
      <c r="AG65" s="152"/>
      <c r="AH65" s="152"/>
      <c r="AI65" s="152"/>
      <c r="AJ65" s="152"/>
    </row>
    <row r="66" ht="22.5" hidden="1" customHeight="1">
      <c r="A66" s="4"/>
      <c r="B66" s="4"/>
      <c r="C66" s="162"/>
      <c r="D66" s="130"/>
      <c r="E66" s="130"/>
      <c r="F66" s="130"/>
      <c r="G66" s="130"/>
      <c r="H66" s="130"/>
      <c r="I66" s="130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5">
        <f t="shared" si="1"/>
        <v>0</v>
      </c>
      <c r="X66" s="130"/>
      <c r="Y66" s="130"/>
      <c r="Z66" s="137">
        <f t="shared" si="2"/>
        <v>0</v>
      </c>
      <c r="AA66" s="151"/>
      <c r="AB66" s="152"/>
      <c r="AC66" s="140">
        <f t="shared" si="3"/>
        <v>0</v>
      </c>
      <c r="AD66" s="152"/>
      <c r="AF66" s="166"/>
      <c r="AG66" s="152"/>
      <c r="AH66" s="152"/>
      <c r="AI66" s="152"/>
      <c r="AJ66" s="152"/>
    </row>
    <row r="67" ht="22.5" hidden="1" customHeight="1">
      <c r="A67" s="4"/>
      <c r="B67" s="4"/>
      <c r="C67" s="162"/>
      <c r="D67" s="130"/>
      <c r="E67" s="130"/>
      <c r="F67" s="130"/>
      <c r="G67" s="130"/>
      <c r="H67" s="130"/>
      <c r="I67" s="130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5">
        <f t="shared" si="1"/>
        <v>0</v>
      </c>
      <c r="X67" s="130"/>
      <c r="Y67" s="130"/>
      <c r="Z67" s="137">
        <f t="shared" si="2"/>
        <v>0</v>
      </c>
      <c r="AA67" s="151"/>
      <c r="AB67" s="152"/>
      <c r="AC67" s="140">
        <f t="shared" si="3"/>
        <v>0</v>
      </c>
      <c r="AD67" s="152"/>
      <c r="AF67" s="166"/>
      <c r="AG67" s="152"/>
      <c r="AH67" s="152"/>
      <c r="AI67" s="152"/>
      <c r="AJ67" s="152"/>
    </row>
    <row r="68" ht="22.5" hidden="1" customHeight="1">
      <c r="A68" s="4"/>
      <c r="B68" s="4"/>
      <c r="C68" s="162"/>
      <c r="D68" s="130"/>
      <c r="E68" s="130"/>
      <c r="F68" s="130"/>
      <c r="G68" s="130"/>
      <c r="H68" s="130"/>
      <c r="I68" s="130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5">
        <f t="shared" si="1"/>
        <v>0</v>
      </c>
      <c r="X68" s="130"/>
      <c r="Y68" s="130"/>
      <c r="Z68" s="137">
        <f t="shared" si="2"/>
        <v>0</v>
      </c>
      <c r="AA68" s="151"/>
      <c r="AB68" s="152"/>
      <c r="AC68" s="140">
        <f t="shared" si="3"/>
        <v>0</v>
      </c>
      <c r="AD68" s="152"/>
      <c r="AF68" s="166"/>
      <c r="AG68" s="152"/>
      <c r="AH68" s="152"/>
      <c r="AI68" s="152"/>
      <c r="AJ68" s="152"/>
    </row>
    <row r="69" ht="22.5" hidden="1" customHeight="1">
      <c r="A69" s="4"/>
      <c r="B69" s="4"/>
      <c r="C69" s="162"/>
      <c r="D69" s="130"/>
      <c r="E69" s="130"/>
      <c r="F69" s="130"/>
      <c r="G69" s="130"/>
      <c r="H69" s="130"/>
      <c r="I69" s="130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5">
        <f t="shared" si="1"/>
        <v>0</v>
      </c>
      <c r="X69" s="130"/>
      <c r="Y69" s="130"/>
      <c r="Z69" s="137">
        <f t="shared" si="2"/>
        <v>0</v>
      </c>
      <c r="AA69" s="151"/>
      <c r="AB69" s="152"/>
      <c r="AC69" s="140">
        <f t="shared" si="3"/>
        <v>0</v>
      </c>
      <c r="AD69" s="152"/>
      <c r="AF69" s="166"/>
      <c r="AG69" s="152"/>
      <c r="AH69" s="152"/>
      <c r="AI69" s="152"/>
      <c r="AJ69" s="152"/>
    </row>
    <row r="70" ht="22.5" hidden="1" customHeight="1">
      <c r="A70" s="4"/>
      <c r="B70" s="4"/>
      <c r="C70" s="162"/>
      <c r="D70" s="130"/>
      <c r="E70" s="130"/>
      <c r="F70" s="130"/>
      <c r="G70" s="130"/>
      <c r="H70" s="130"/>
      <c r="I70" s="130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5">
        <f t="shared" si="1"/>
        <v>0</v>
      </c>
      <c r="X70" s="130"/>
      <c r="Y70" s="130"/>
      <c r="Z70" s="137">
        <f t="shared" si="2"/>
        <v>0</v>
      </c>
      <c r="AA70" s="151"/>
      <c r="AB70" s="152"/>
      <c r="AC70" s="140">
        <f t="shared" si="3"/>
        <v>0</v>
      </c>
      <c r="AD70" s="152"/>
      <c r="AF70" s="166"/>
      <c r="AG70" s="152"/>
      <c r="AH70" s="152"/>
      <c r="AI70" s="152"/>
      <c r="AJ70" s="152"/>
    </row>
    <row r="71" ht="22.5" hidden="1" customHeight="1">
      <c r="A71" s="4"/>
      <c r="B71" s="4"/>
      <c r="C71" s="162"/>
      <c r="D71" s="130"/>
      <c r="E71" s="130"/>
      <c r="F71" s="130"/>
      <c r="G71" s="130"/>
      <c r="H71" s="130"/>
      <c r="I71" s="130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5">
        <f t="shared" si="1"/>
        <v>0</v>
      </c>
      <c r="X71" s="130"/>
      <c r="Y71" s="130"/>
      <c r="Z71" s="137">
        <f t="shared" si="2"/>
        <v>0</v>
      </c>
      <c r="AA71" s="151"/>
      <c r="AB71" s="152"/>
      <c r="AC71" s="140">
        <f t="shared" si="3"/>
        <v>0</v>
      </c>
      <c r="AD71" s="152"/>
      <c r="AF71" s="166"/>
      <c r="AG71" s="152"/>
      <c r="AH71" s="152"/>
      <c r="AI71" s="152"/>
      <c r="AJ71" s="152"/>
    </row>
    <row r="72" ht="22.5" hidden="1" customHeight="1">
      <c r="A72" s="4"/>
      <c r="B72" s="4"/>
      <c r="C72" s="162"/>
      <c r="D72" s="130"/>
      <c r="E72" s="130"/>
      <c r="F72" s="130"/>
      <c r="G72" s="130"/>
      <c r="H72" s="130"/>
      <c r="I72" s="130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5">
        <f t="shared" si="1"/>
        <v>0</v>
      </c>
      <c r="X72" s="130"/>
      <c r="Y72" s="130"/>
      <c r="Z72" s="137">
        <f t="shared" si="2"/>
        <v>0</v>
      </c>
      <c r="AA72" s="151"/>
      <c r="AB72" s="152"/>
      <c r="AC72" s="140">
        <f t="shared" si="3"/>
        <v>0</v>
      </c>
      <c r="AD72" s="152"/>
      <c r="AF72" s="166"/>
      <c r="AG72" s="152"/>
      <c r="AH72" s="152"/>
      <c r="AI72" s="152"/>
      <c r="AJ72" s="152"/>
    </row>
    <row r="73" ht="22.5" hidden="1" customHeight="1">
      <c r="A73" s="4"/>
      <c r="B73" s="4"/>
      <c r="C73" s="162"/>
      <c r="D73" s="130"/>
      <c r="E73" s="130"/>
      <c r="F73" s="130"/>
      <c r="G73" s="130"/>
      <c r="H73" s="130"/>
      <c r="I73" s="130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5">
        <f t="shared" si="1"/>
        <v>0</v>
      </c>
      <c r="X73" s="130"/>
      <c r="Y73" s="130"/>
      <c r="Z73" s="137">
        <f t="shared" si="2"/>
        <v>0</v>
      </c>
      <c r="AA73" s="151"/>
      <c r="AB73" s="152"/>
      <c r="AC73" s="140">
        <f t="shared" si="3"/>
        <v>0</v>
      </c>
      <c r="AD73" s="152"/>
      <c r="AF73" s="166"/>
      <c r="AG73" s="152"/>
      <c r="AH73" s="152"/>
      <c r="AI73" s="152"/>
      <c r="AJ73" s="152"/>
    </row>
    <row r="74" ht="22.5" hidden="1" customHeight="1">
      <c r="A74" s="4"/>
      <c r="B74" s="4"/>
      <c r="C74" s="162"/>
      <c r="D74" s="130"/>
      <c r="E74" s="130"/>
      <c r="F74" s="130"/>
      <c r="G74" s="130"/>
      <c r="H74" s="130"/>
      <c r="I74" s="130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5">
        <f t="shared" si="1"/>
        <v>0</v>
      </c>
      <c r="X74" s="130"/>
      <c r="Y74" s="130"/>
      <c r="Z74" s="137">
        <f t="shared" si="2"/>
        <v>0</v>
      </c>
      <c r="AA74" s="151"/>
      <c r="AB74" s="152"/>
      <c r="AC74" s="140">
        <f t="shared" si="3"/>
        <v>0</v>
      </c>
      <c r="AD74" s="152"/>
      <c r="AF74" s="166"/>
      <c r="AG74" s="152"/>
      <c r="AH74" s="152"/>
      <c r="AI74" s="152"/>
      <c r="AJ74" s="152"/>
    </row>
    <row r="75" ht="22.5" hidden="1" customHeight="1">
      <c r="A75" s="4"/>
      <c r="B75" s="4"/>
      <c r="C75" s="162"/>
      <c r="D75" s="130"/>
      <c r="E75" s="130"/>
      <c r="F75" s="130"/>
      <c r="G75" s="130"/>
      <c r="H75" s="130"/>
      <c r="I75" s="130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5">
        <f t="shared" si="1"/>
        <v>0</v>
      </c>
      <c r="X75" s="130"/>
      <c r="Y75" s="130"/>
      <c r="Z75" s="137">
        <f t="shared" si="2"/>
        <v>0</v>
      </c>
      <c r="AA75" s="151"/>
      <c r="AB75" s="152"/>
      <c r="AC75" s="140">
        <f t="shared" si="3"/>
        <v>0</v>
      </c>
      <c r="AD75" s="152"/>
      <c r="AF75" s="166"/>
      <c r="AG75" s="152"/>
      <c r="AH75" s="152"/>
      <c r="AI75" s="152"/>
      <c r="AJ75" s="152"/>
    </row>
    <row r="76" ht="22.5" hidden="1" customHeight="1">
      <c r="A76" s="4"/>
      <c r="B76" s="4"/>
      <c r="C76" s="162"/>
      <c r="D76" s="130"/>
      <c r="E76" s="130"/>
      <c r="F76" s="130"/>
      <c r="G76" s="130"/>
      <c r="H76" s="130"/>
      <c r="I76" s="130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5">
        <f t="shared" si="1"/>
        <v>0</v>
      </c>
      <c r="X76" s="130"/>
      <c r="Y76" s="130"/>
      <c r="Z76" s="137">
        <f t="shared" si="2"/>
        <v>0</v>
      </c>
      <c r="AA76" s="151"/>
      <c r="AB76" s="152"/>
      <c r="AC76" s="140">
        <f t="shared" si="3"/>
        <v>0</v>
      </c>
      <c r="AD76" s="152"/>
      <c r="AF76" s="166"/>
      <c r="AG76" s="152"/>
      <c r="AH76" s="152"/>
      <c r="AI76" s="152"/>
      <c r="AJ76" s="152"/>
    </row>
    <row r="77" ht="22.5" hidden="1" customHeight="1">
      <c r="A77" s="4"/>
      <c r="B77" s="4"/>
      <c r="C77" s="162"/>
      <c r="D77" s="130"/>
      <c r="E77" s="130"/>
      <c r="F77" s="130"/>
      <c r="G77" s="130"/>
      <c r="H77" s="130"/>
      <c r="I77" s="130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5">
        <f t="shared" si="1"/>
        <v>0</v>
      </c>
      <c r="X77" s="130"/>
      <c r="Y77" s="130"/>
      <c r="Z77" s="137">
        <f t="shared" si="2"/>
        <v>0</v>
      </c>
      <c r="AA77" s="151"/>
      <c r="AB77" s="152"/>
      <c r="AC77" s="140">
        <f t="shared" si="3"/>
        <v>0</v>
      </c>
      <c r="AD77" s="152"/>
      <c r="AF77" s="166"/>
      <c r="AG77" s="152"/>
      <c r="AH77" s="152"/>
      <c r="AI77" s="152"/>
      <c r="AJ77" s="152"/>
    </row>
    <row r="78" ht="22.5" hidden="1" customHeight="1">
      <c r="A78" s="4"/>
      <c r="B78" s="4"/>
      <c r="C78" s="162"/>
      <c r="D78" s="130"/>
      <c r="E78" s="130"/>
      <c r="F78" s="130"/>
      <c r="G78" s="130"/>
      <c r="H78" s="130"/>
      <c r="I78" s="130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5">
        <f t="shared" si="1"/>
        <v>0</v>
      </c>
      <c r="X78" s="130"/>
      <c r="Y78" s="130"/>
      <c r="Z78" s="137">
        <f t="shared" si="2"/>
        <v>0</v>
      </c>
      <c r="AA78" s="151"/>
      <c r="AB78" s="152"/>
      <c r="AC78" s="140">
        <f t="shared" si="3"/>
        <v>0</v>
      </c>
      <c r="AD78" s="152"/>
      <c r="AF78" s="166"/>
      <c r="AG78" s="152"/>
      <c r="AH78" s="152"/>
      <c r="AI78" s="152"/>
      <c r="AJ78" s="152"/>
    </row>
    <row r="79" ht="22.5" hidden="1" customHeight="1">
      <c r="A79" s="4"/>
      <c r="B79" s="4"/>
      <c r="C79" s="162"/>
      <c r="D79" s="130"/>
      <c r="E79" s="130"/>
      <c r="F79" s="130"/>
      <c r="G79" s="130"/>
      <c r="H79" s="130"/>
      <c r="I79" s="130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5">
        <f t="shared" si="1"/>
        <v>0</v>
      </c>
      <c r="X79" s="130"/>
      <c r="Y79" s="130"/>
      <c r="Z79" s="137">
        <f t="shared" si="2"/>
        <v>0</v>
      </c>
      <c r="AA79" s="151"/>
      <c r="AB79" s="152"/>
      <c r="AC79" s="140">
        <f t="shared" si="3"/>
        <v>0</v>
      </c>
      <c r="AD79" s="152"/>
      <c r="AF79" s="166"/>
      <c r="AG79" s="152"/>
      <c r="AH79" s="152"/>
      <c r="AI79" s="152"/>
      <c r="AJ79" s="152"/>
    </row>
    <row r="80" ht="22.5" hidden="1" customHeight="1">
      <c r="A80" s="4"/>
      <c r="B80" s="4"/>
      <c r="C80" s="162"/>
      <c r="D80" s="130"/>
      <c r="E80" s="130"/>
      <c r="F80" s="130"/>
      <c r="G80" s="130"/>
      <c r="H80" s="130"/>
      <c r="I80" s="130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5">
        <f t="shared" si="1"/>
        <v>0</v>
      </c>
      <c r="X80" s="130"/>
      <c r="Y80" s="130"/>
      <c r="Z80" s="137">
        <f t="shared" si="2"/>
        <v>0</v>
      </c>
      <c r="AA80" s="151"/>
      <c r="AB80" s="152"/>
      <c r="AC80" s="140">
        <f t="shared" si="3"/>
        <v>0</v>
      </c>
      <c r="AD80" s="152"/>
      <c r="AF80" s="166"/>
      <c r="AG80" s="152"/>
      <c r="AH80" s="152"/>
      <c r="AI80" s="152"/>
      <c r="AJ80" s="152"/>
    </row>
    <row r="81" ht="22.5" hidden="1" customHeight="1">
      <c r="A81" s="4"/>
      <c r="B81" s="4"/>
      <c r="C81" s="162"/>
      <c r="D81" s="130"/>
      <c r="E81" s="130"/>
      <c r="F81" s="130"/>
      <c r="G81" s="130"/>
      <c r="H81" s="130"/>
      <c r="I81" s="130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5">
        <f t="shared" si="1"/>
        <v>0</v>
      </c>
      <c r="X81" s="130"/>
      <c r="Y81" s="130"/>
      <c r="Z81" s="137">
        <f t="shared" si="2"/>
        <v>0</v>
      </c>
      <c r="AA81" s="151"/>
      <c r="AB81" s="152"/>
      <c r="AC81" s="140">
        <f t="shared" si="3"/>
        <v>0</v>
      </c>
      <c r="AD81" s="152"/>
      <c r="AF81" s="166"/>
      <c r="AG81" s="152"/>
      <c r="AH81" s="152"/>
      <c r="AI81" s="152"/>
      <c r="AJ81" s="152"/>
    </row>
    <row r="82" ht="22.5" hidden="1" customHeight="1">
      <c r="A82" s="4"/>
      <c r="B82" s="4"/>
      <c r="C82" s="162"/>
      <c r="D82" s="130"/>
      <c r="E82" s="130"/>
      <c r="F82" s="130"/>
      <c r="G82" s="130"/>
      <c r="H82" s="130"/>
      <c r="I82" s="130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5">
        <f t="shared" si="1"/>
        <v>0</v>
      </c>
      <c r="X82" s="130"/>
      <c r="Y82" s="130"/>
      <c r="Z82" s="137">
        <f t="shared" si="2"/>
        <v>0</v>
      </c>
      <c r="AA82" s="151"/>
      <c r="AB82" s="152"/>
      <c r="AC82" s="140">
        <f t="shared" si="3"/>
        <v>0</v>
      </c>
      <c r="AD82" s="152"/>
      <c r="AF82" s="166"/>
      <c r="AG82" s="152"/>
      <c r="AH82" s="152"/>
      <c r="AI82" s="152"/>
      <c r="AJ82" s="152"/>
    </row>
    <row r="83" ht="22.5" hidden="1" customHeight="1">
      <c r="A83" s="4"/>
      <c r="B83" s="4"/>
      <c r="C83" s="162"/>
      <c r="D83" s="130"/>
      <c r="E83" s="130"/>
      <c r="F83" s="130"/>
      <c r="G83" s="130"/>
      <c r="H83" s="130"/>
      <c r="I83" s="130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5">
        <f t="shared" si="1"/>
        <v>0</v>
      </c>
      <c r="X83" s="130"/>
      <c r="Y83" s="130"/>
      <c r="Z83" s="137">
        <f t="shared" si="2"/>
        <v>0</v>
      </c>
      <c r="AA83" s="151"/>
      <c r="AB83" s="152"/>
      <c r="AC83" s="140">
        <f t="shared" si="3"/>
        <v>0</v>
      </c>
      <c r="AD83" s="152"/>
      <c r="AF83" s="166"/>
      <c r="AG83" s="152"/>
      <c r="AH83" s="152"/>
      <c r="AI83" s="152"/>
      <c r="AJ83" s="152"/>
    </row>
    <row r="84" ht="22.5" hidden="1" customHeight="1">
      <c r="A84" s="4"/>
      <c r="B84" s="4"/>
      <c r="C84" s="162"/>
      <c r="D84" s="130"/>
      <c r="E84" s="130"/>
      <c r="F84" s="130"/>
      <c r="G84" s="130"/>
      <c r="H84" s="130"/>
      <c r="I84" s="130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5">
        <f t="shared" si="1"/>
        <v>0</v>
      </c>
      <c r="X84" s="130"/>
      <c r="Y84" s="130"/>
      <c r="Z84" s="137">
        <f t="shared" si="2"/>
        <v>0</v>
      </c>
      <c r="AA84" s="151"/>
      <c r="AB84" s="152"/>
      <c r="AC84" s="140">
        <f t="shared" si="3"/>
        <v>0</v>
      </c>
      <c r="AD84" s="152"/>
      <c r="AF84" s="166"/>
      <c r="AG84" s="152"/>
      <c r="AH84" s="152"/>
      <c r="AI84" s="152"/>
      <c r="AJ84" s="152"/>
    </row>
    <row r="85" ht="22.5" hidden="1" customHeight="1">
      <c r="A85" s="4"/>
      <c r="B85" s="4"/>
      <c r="C85" s="162"/>
      <c r="D85" s="130"/>
      <c r="E85" s="130"/>
      <c r="F85" s="130"/>
      <c r="G85" s="130"/>
      <c r="H85" s="130"/>
      <c r="I85" s="130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5">
        <f t="shared" si="1"/>
        <v>0</v>
      </c>
      <c r="X85" s="130"/>
      <c r="Y85" s="130"/>
      <c r="Z85" s="137">
        <f t="shared" si="2"/>
        <v>0</v>
      </c>
      <c r="AA85" s="151"/>
      <c r="AB85" s="152"/>
      <c r="AC85" s="140">
        <f t="shared" si="3"/>
        <v>0</v>
      </c>
      <c r="AD85" s="152"/>
      <c r="AF85" s="166"/>
      <c r="AG85" s="152"/>
      <c r="AH85" s="152"/>
      <c r="AI85" s="152"/>
      <c r="AJ85" s="152"/>
    </row>
    <row r="86" ht="22.5" hidden="1" customHeight="1">
      <c r="A86" s="4"/>
      <c r="B86" s="4"/>
      <c r="C86" s="162"/>
      <c r="D86" s="130"/>
      <c r="E86" s="130"/>
      <c r="F86" s="130"/>
      <c r="G86" s="130"/>
      <c r="H86" s="130"/>
      <c r="I86" s="130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5">
        <f t="shared" si="1"/>
        <v>0</v>
      </c>
      <c r="X86" s="130"/>
      <c r="Y86" s="130"/>
      <c r="Z86" s="137">
        <f t="shared" si="2"/>
        <v>0</v>
      </c>
      <c r="AA86" s="151"/>
      <c r="AB86" s="152"/>
      <c r="AC86" s="140">
        <f t="shared" si="3"/>
        <v>0</v>
      </c>
      <c r="AD86" s="152"/>
      <c r="AF86" s="166"/>
      <c r="AG86" s="152"/>
      <c r="AH86" s="152"/>
      <c r="AI86" s="152"/>
      <c r="AJ86" s="152"/>
    </row>
    <row r="87" ht="22.5" hidden="1" customHeight="1">
      <c r="A87" s="4"/>
      <c r="B87" s="4"/>
      <c r="C87" s="162"/>
      <c r="D87" s="130"/>
      <c r="E87" s="130"/>
      <c r="F87" s="130"/>
      <c r="G87" s="130"/>
      <c r="H87" s="130"/>
      <c r="I87" s="130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5">
        <f t="shared" si="1"/>
        <v>0</v>
      </c>
      <c r="X87" s="130"/>
      <c r="Y87" s="130"/>
      <c r="Z87" s="137">
        <f t="shared" si="2"/>
        <v>0</v>
      </c>
      <c r="AA87" s="151"/>
      <c r="AB87" s="152"/>
      <c r="AC87" s="140">
        <f t="shared" si="3"/>
        <v>0</v>
      </c>
      <c r="AD87" s="152"/>
      <c r="AF87" s="166"/>
      <c r="AG87" s="152"/>
      <c r="AH87" s="152"/>
      <c r="AI87" s="152"/>
      <c r="AJ87" s="152"/>
    </row>
    <row r="88" ht="22.5" hidden="1" customHeight="1">
      <c r="A88" s="4"/>
      <c r="B88" s="4"/>
      <c r="C88" s="162"/>
      <c r="D88" s="130"/>
      <c r="E88" s="130"/>
      <c r="F88" s="130"/>
      <c r="G88" s="130"/>
      <c r="H88" s="130"/>
      <c r="I88" s="130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5">
        <f t="shared" si="1"/>
        <v>0</v>
      </c>
      <c r="X88" s="130"/>
      <c r="Y88" s="130"/>
      <c r="Z88" s="137">
        <f t="shared" si="2"/>
        <v>0</v>
      </c>
      <c r="AA88" s="151"/>
      <c r="AB88" s="152"/>
      <c r="AC88" s="140">
        <f t="shared" si="3"/>
        <v>0</v>
      </c>
      <c r="AD88" s="152"/>
      <c r="AF88" s="166"/>
      <c r="AG88" s="152"/>
      <c r="AH88" s="152"/>
      <c r="AI88" s="152"/>
      <c r="AJ88" s="152"/>
    </row>
    <row r="89" ht="22.5" hidden="1" customHeight="1">
      <c r="A89" s="4"/>
      <c r="B89" s="4"/>
      <c r="C89" s="162"/>
      <c r="D89" s="130"/>
      <c r="E89" s="130"/>
      <c r="F89" s="130"/>
      <c r="G89" s="130"/>
      <c r="H89" s="130"/>
      <c r="I89" s="130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5">
        <f t="shared" si="1"/>
        <v>0</v>
      </c>
      <c r="X89" s="130"/>
      <c r="Y89" s="130"/>
      <c r="Z89" s="137">
        <f t="shared" si="2"/>
        <v>0</v>
      </c>
      <c r="AA89" s="151"/>
      <c r="AB89" s="152"/>
      <c r="AC89" s="140">
        <f t="shared" si="3"/>
        <v>0</v>
      </c>
      <c r="AD89" s="152"/>
      <c r="AF89" s="166"/>
      <c r="AG89" s="152"/>
      <c r="AH89" s="152"/>
      <c r="AI89" s="152"/>
      <c r="AJ89" s="152"/>
    </row>
    <row r="90" ht="22.5" hidden="1" customHeight="1">
      <c r="A90" s="4"/>
      <c r="B90" s="4"/>
      <c r="C90" s="162"/>
      <c r="D90" s="130"/>
      <c r="E90" s="130"/>
      <c r="F90" s="130"/>
      <c r="G90" s="130"/>
      <c r="H90" s="130"/>
      <c r="I90" s="130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5">
        <f t="shared" si="1"/>
        <v>0</v>
      </c>
      <c r="X90" s="130"/>
      <c r="Y90" s="130"/>
      <c r="Z90" s="137">
        <f t="shared" si="2"/>
        <v>0</v>
      </c>
      <c r="AA90" s="151"/>
      <c r="AB90" s="152"/>
      <c r="AC90" s="140">
        <f t="shared" si="3"/>
        <v>0</v>
      </c>
      <c r="AD90" s="152"/>
      <c r="AF90" s="166"/>
      <c r="AG90" s="152"/>
      <c r="AH90" s="152"/>
      <c r="AI90" s="152"/>
      <c r="AJ90" s="152"/>
    </row>
    <row r="91" ht="22.5" hidden="1" customHeight="1">
      <c r="A91" s="4"/>
      <c r="B91" s="4"/>
      <c r="C91" s="162"/>
      <c r="D91" s="130"/>
      <c r="E91" s="130"/>
      <c r="F91" s="130"/>
      <c r="G91" s="130"/>
      <c r="H91" s="130"/>
      <c r="I91" s="130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5">
        <f t="shared" si="1"/>
        <v>0</v>
      </c>
      <c r="X91" s="130"/>
      <c r="Y91" s="130"/>
      <c r="Z91" s="137">
        <f t="shared" si="2"/>
        <v>0</v>
      </c>
      <c r="AA91" s="151"/>
      <c r="AB91" s="152"/>
      <c r="AC91" s="140">
        <f t="shared" si="3"/>
        <v>0</v>
      </c>
      <c r="AD91" s="152"/>
      <c r="AF91" s="166"/>
      <c r="AG91" s="152"/>
      <c r="AH91" s="152"/>
      <c r="AI91" s="152"/>
      <c r="AJ91" s="152"/>
    </row>
    <row r="92" ht="22.5" hidden="1" customHeight="1">
      <c r="A92" s="4"/>
      <c r="B92" s="4"/>
      <c r="C92" s="162"/>
      <c r="D92" s="130"/>
      <c r="E92" s="130"/>
      <c r="F92" s="130"/>
      <c r="G92" s="130"/>
      <c r="H92" s="130"/>
      <c r="I92" s="130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5">
        <f t="shared" si="1"/>
        <v>0</v>
      </c>
      <c r="X92" s="130"/>
      <c r="Y92" s="130"/>
      <c r="Z92" s="137">
        <f t="shared" si="2"/>
        <v>0</v>
      </c>
      <c r="AA92" s="151"/>
      <c r="AB92" s="152"/>
      <c r="AC92" s="140">
        <f t="shared" si="3"/>
        <v>0</v>
      </c>
      <c r="AD92" s="152"/>
      <c r="AF92" s="166"/>
      <c r="AG92" s="152"/>
      <c r="AH92" s="152"/>
      <c r="AI92" s="152"/>
      <c r="AJ92" s="152"/>
    </row>
    <row r="93" ht="22.5" hidden="1" customHeight="1">
      <c r="A93" s="4"/>
      <c r="B93" s="4"/>
      <c r="C93" s="162"/>
      <c r="D93" s="130"/>
      <c r="E93" s="130"/>
      <c r="F93" s="130"/>
      <c r="G93" s="130"/>
      <c r="H93" s="130"/>
      <c r="I93" s="130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5">
        <f t="shared" si="1"/>
        <v>0</v>
      </c>
      <c r="X93" s="130"/>
      <c r="Y93" s="130"/>
      <c r="Z93" s="137">
        <f t="shared" si="2"/>
        <v>0</v>
      </c>
      <c r="AA93" s="151"/>
      <c r="AB93" s="152"/>
      <c r="AC93" s="140">
        <f t="shared" si="3"/>
        <v>0</v>
      </c>
      <c r="AD93" s="152"/>
      <c r="AF93" s="166"/>
      <c r="AG93" s="152"/>
      <c r="AH93" s="152"/>
      <c r="AI93" s="152"/>
      <c r="AJ93" s="152"/>
    </row>
    <row r="94" ht="22.5" hidden="1" customHeight="1">
      <c r="A94" s="4"/>
      <c r="B94" s="4"/>
      <c r="C94" s="162"/>
      <c r="D94" s="130"/>
      <c r="E94" s="130"/>
      <c r="F94" s="130"/>
      <c r="G94" s="130"/>
      <c r="H94" s="130"/>
      <c r="I94" s="130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5">
        <f t="shared" si="1"/>
        <v>0</v>
      </c>
      <c r="X94" s="130"/>
      <c r="Y94" s="130"/>
      <c r="Z94" s="137">
        <f t="shared" si="2"/>
        <v>0</v>
      </c>
      <c r="AA94" s="151"/>
      <c r="AB94" s="152"/>
      <c r="AC94" s="140">
        <f t="shared" si="3"/>
        <v>0</v>
      </c>
      <c r="AD94" s="152"/>
      <c r="AF94" s="166"/>
      <c r="AG94" s="152"/>
      <c r="AH94" s="152"/>
      <c r="AI94" s="152"/>
      <c r="AJ94" s="152"/>
    </row>
    <row r="95" ht="22.5" hidden="1" customHeight="1">
      <c r="A95" s="4"/>
      <c r="B95" s="4"/>
      <c r="C95" s="162"/>
      <c r="D95" s="130"/>
      <c r="E95" s="130"/>
      <c r="F95" s="130"/>
      <c r="G95" s="130"/>
      <c r="H95" s="130"/>
      <c r="I95" s="130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5">
        <f t="shared" si="1"/>
        <v>0</v>
      </c>
      <c r="X95" s="130"/>
      <c r="Y95" s="130"/>
      <c r="Z95" s="137">
        <f t="shared" si="2"/>
        <v>0</v>
      </c>
      <c r="AA95" s="151"/>
      <c r="AB95" s="152"/>
      <c r="AC95" s="140">
        <f t="shared" si="3"/>
        <v>0</v>
      </c>
      <c r="AD95" s="152"/>
      <c r="AF95" s="166"/>
      <c r="AG95" s="152"/>
      <c r="AH95" s="152"/>
      <c r="AI95" s="152"/>
      <c r="AJ95" s="152"/>
    </row>
    <row r="96" ht="22.5" hidden="1" customHeight="1">
      <c r="A96" s="4"/>
      <c r="B96" s="4"/>
      <c r="C96" s="162"/>
      <c r="D96" s="130"/>
      <c r="E96" s="130"/>
      <c r="F96" s="130"/>
      <c r="G96" s="130"/>
      <c r="H96" s="130"/>
      <c r="I96" s="130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5">
        <f t="shared" si="1"/>
        <v>0</v>
      </c>
      <c r="X96" s="130"/>
      <c r="Y96" s="130"/>
      <c r="Z96" s="137">
        <f t="shared" si="2"/>
        <v>0</v>
      </c>
      <c r="AA96" s="151"/>
      <c r="AB96" s="152"/>
      <c r="AC96" s="140">
        <f t="shared" si="3"/>
        <v>0</v>
      </c>
      <c r="AD96" s="152"/>
      <c r="AF96" s="166"/>
      <c r="AG96" s="152"/>
      <c r="AH96" s="152"/>
      <c r="AI96" s="152"/>
      <c r="AJ96" s="152"/>
    </row>
    <row r="97" ht="22.5" hidden="1" customHeight="1">
      <c r="A97" s="4"/>
      <c r="B97" s="4"/>
      <c r="C97" s="162"/>
      <c r="D97" s="130"/>
      <c r="E97" s="130"/>
      <c r="F97" s="130"/>
      <c r="G97" s="130"/>
      <c r="H97" s="130"/>
      <c r="I97" s="130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5">
        <f t="shared" si="1"/>
        <v>0</v>
      </c>
      <c r="X97" s="130"/>
      <c r="Y97" s="130"/>
      <c r="Z97" s="137">
        <f t="shared" si="2"/>
        <v>0</v>
      </c>
      <c r="AA97" s="151"/>
      <c r="AB97" s="152"/>
      <c r="AC97" s="140">
        <f t="shared" si="3"/>
        <v>0</v>
      </c>
      <c r="AD97" s="152"/>
      <c r="AF97" s="166"/>
      <c r="AG97" s="152"/>
      <c r="AH97" s="152"/>
      <c r="AI97" s="152"/>
      <c r="AJ97" s="152"/>
    </row>
    <row r="98" ht="22.5" hidden="1" customHeight="1">
      <c r="A98" s="4"/>
      <c r="B98" s="4"/>
      <c r="C98" s="162"/>
      <c r="D98" s="130"/>
      <c r="E98" s="130"/>
      <c r="F98" s="130"/>
      <c r="G98" s="130"/>
      <c r="H98" s="130"/>
      <c r="I98" s="130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5">
        <f t="shared" si="1"/>
        <v>0</v>
      </c>
      <c r="X98" s="130"/>
      <c r="Y98" s="130"/>
      <c r="Z98" s="137">
        <f t="shared" si="2"/>
        <v>0</v>
      </c>
      <c r="AA98" s="151"/>
      <c r="AB98" s="152"/>
      <c r="AC98" s="140">
        <f t="shared" si="3"/>
        <v>0</v>
      </c>
      <c r="AD98" s="152"/>
      <c r="AF98" s="166"/>
      <c r="AG98" s="152"/>
      <c r="AH98" s="152"/>
      <c r="AI98" s="152"/>
      <c r="AJ98" s="152"/>
    </row>
    <row r="99" ht="22.5" hidden="1" customHeight="1">
      <c r="A99" s="4"/>
      <c r="B99" s="4"/>
      <c r="C99" s="162"/>
      <c r="D99" s="130"/>
      <c r="E99" s="130"/>
      <c r="F99" s="130"/>
      <c r="G99" s="130"/>
      <c r="H99" s="130"/>
      <c r="I99" s="130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5">
        <f t="shared" si="1"/>
        <v>0</v>
      </c>
      <c r="X99" s="130"/>
      <c r="Y99" s="130"/>
      <c r="Z99" s="137">
        <f t="shared" si="2"/>
        <v>0</v>
      </c>
      <c r="AA99" s="151"/>
      <c r="AB99" s="152"/>
      <c r="AC99" s="140">
        <f t="shared" si="3"/>
        <v>0</v>
      </c>
      <c r="AD99" s="152"/>
      <c r="AF99" s="166"/>
      <c r="AG99" s="152"/>
      <c r="AH99" s="152"/>
      <c r="AI99" s="152"/>
      <c r="AJ99" s="152"/>
    </row>
    <row r="100" ht="22.5" hidden="1" customHeight="1">
      <c r="A100" s="4"/>
      <c r="B100" s="4"/>
      <c r="C100" s="162"/>
      <c r="D100" s="130"/>
      <c r="E100" s="130"/>
      <c r="F100" s="130"/>
      <c r="G100" s="130"/>
      <c r="H100" s="130"/>
      <c r="I100" s="130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5">
        <f t="shared" si="1"/>
        <v>0</v>
      </c>
      <c r="X100" s="130"/>
      <c r="Y100" s="130"/>
      <c r="Z100" s="137">
        <f t="shared" si="2"/>
        <v>0</v>
      </c>
      <c r="AA100" s="151"/>
      <c r="AB100" s="152"/>
      <c r="AC100" s="140">
        <f t="shared" si="3"/>
        <v>0</v>
      </c>
      <c r="AD100" s="152"/>
      <c r="AF100" s="166"/>
      <c r="AG100" s="152"/>
      <c r="AH100" s="152"/>
      <c r="AI100" s="152"/>
      <c r="AJ100" s="152"/>
    </row>
    <row r="101" ht="22.5" hidden="1" customHeight="1">
      <c r="A101" s="4"/>
      <c r="B101" s="4"/>
      <c r="C101" s="162"/>
      <c r="D101" s="130"/>
      <c r="E101" s="130"/>
      <c r="F101" s="130"/>
      <c r="G101" s="130"/>
      <c r="H101" s="130"/>
      <c r="I101" s="130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5">
        <f t="shared" si="1"/>
        <v>0</v>
      </c>
      <c r="X101" s="130"/>
      <c r="Y101" s="130"/>
      <c r="Z101" s="137">
        <f t="shared" si="2"/>
        <v>0</v>
      </c>
      <c r="AA101" s="151"/>
      <c r="AB101" s="152"/>
      <c r="AC101" s="140">
        <f t="shared" si="3"/>
        <v>0</v>
      </c>
      <c r="AD101" s="152"/>
      <c r="AF101" s="166"/>
      <c r="AG101" s="152"/>
      <c r="AH101" s="152"/>
      <c r="AI101" s="152"/>
      <c r="AJ101" s="152"/>
    </row>
    <row r="102" ht="22.5" hidden="1" customHeight="1">
      <c r="A102" s="4"/>
      <c r="B102" s="4"/>
      <c r="C102" s="162"/>
      <c r="D102" s="130"/>
      <c r="E102" s="130"/>
      <c r="F102" s="130"/>
      <c r="G102" s="130"/>
      <c r="H102" s="130"/>
      <c r="I102" s="130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5">
        <f t="shared" si="1"/>
        <v>0</v>
      </c>
      <c r="X102" s="130"/>
      <c r="Y102" s="130"/>
      <c r="Z102" s="137">
        <f t="shared" si="2"/>
        <v>0</v>
      </c>
      <c r="AA102" s="151"/>
      <c r="AB102" s="152"/>
      <c r="AC102" s="140">
        <f t="shared" si="3"/>
        <v>0</v>
      </c>
      <c r="AD102" s="152"/>
      <c r="AF102" s="166"/>
      <c r="AG102" s="152"/>
      <c r="AH102" s="152"/>
      <c r="AI102" s="152"/>
      <c r="AJ102" s="152"/>
    </row>
    <row r="103" ht="22.5" hidden="1" customHeight="1">
      <c r="A103" s="4"/>
      <c r="B103" s="4"/>
      <c r="C103" s="162"/>
      <c r="D103" s="130"/>
      <c r="E103" s="130"/>
      <c r="F103" s="130"/>
      <c r="G103" s="130"/>
      <c r="H103" s="130"/>
      <c r="I103" s="130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5">
        <f t="shared" si="1"/>
        <v>0</v>
      </c>
      <c r="X103" s="130"/>
      <c r="Y103" s="130"/>
      <c r="Z103" s="137">
        <f t="shared" si="2"/>
        <v>0</v>
      </c>
      <c r="AA103" s="151"/>
      <c r="AB103" s="152"/>
      <c r="AC103" s="140">
        <f t="shared" si="3"/>
        <v>0</v>
      </c>
      <c r="AD103" s="152"/>
      <c r="AF103" s="166"/>
      <c r="AG103" s="152"/>
      <c r="AH103" s="152"/>
      <c r="AI103" s="152"/>
      <c r="AJ103" s="152"/>
    </row>
    <row r="104" ht="22.5" hidden="1" customHeight="1">
      <c r="A104" s="4"/>
      <c r="B104" s="4"/>
      <c r="C104" s="162"/>
      <c r="D104" s="130"/>
      <c r="E104" s="130"/>
      <c r="F104" s="130"/>
      <c r="G104" s="130"/>
      <c r="H104" s="130"/>
      <c r="I104" s="130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5">
        <f t="shared" si="1"/>
        <v>0</v>
      </c>
      <c r="X104" s="130"/>
      <c r="Y104" s="130"/>
      <c r="Z104" s="137">
        <f t="shared" si="2"/>
        <v>0</v>
      </c>
      <c r="AA104" s="151"/>
      <c r="AB104" s="152"/>
      <c r="AC104" s="140">
        <f t="shared" si="3"/>
        <v>0</v>
      </c>
      <c r="AD104" s="152"/>
      <c r="AF104" s="166"/>
      <c r="AG104" s="152"/>
      <c r="AH104" s="152"/>
      <c r="AI104" s="152"/>
      <c r="AJ104" s="152"/>
    </row>
    <row r="105" ht="22.5" hidden="1" customHeight="1">
      <c r="A105" s="4"/>
      <c r="B105" s="4"/>
      <c r="C105" s="162"/>
      <c r="D105" s="130"/>
      <c r="E105" s="130"/>
      <c r="F105" s="130"/>
      <c r="G105" s="130"/>
      <c r="H105" s="130"/>
      <c r="I105" s="130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5">
        <f t="shared" si="1"/>
        <v>0</v>
      </c>
      <c r="X105" s="130"/>
      <c r="Y105" s="130"/>
      <c r="Z105" s="137">
        <f t="shared" si="2"/>
        <v>0</v>
      </c>
      <c r="AA105" s="151"/>
      <c r="AB105" s="152"/>
      <c r="AC105" s="140">
        <f t="shared" si="3"/>
        <v>0</v>
      </c>
      <c r="AD105" s="152"/>
      <c r="AF105" s="166"/>
      <c r="AG105" s="152"/>
      <c r="AH105" s="152"/>
      <c r="AI105" s="152"/>
      <c r="AJ105" s="152"/>
    </row>
    <row r="106" ht="22.5" hidden="1" customHeight="1">
      <c r="A106" s="4"/>
      <c r="B106" s="4"/>
      <c r="C106" s="162"/>
      <c r="D106" s="130"/>
      <c r="E106" s="130"/>
      <c r="F106" s="130"/>
      <c r="G106" s="130"/>
      <c r="H106" s="130"/>
      <c r="I106" s="130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5">
        <f t="shared" si="1"/>
        <v>0</v>
      </c>
      <c r="X106" s="130"/>
      <c r="Y106" s="130"/>
      <c r="Z106" s="137">
        <f t="shared" si="2"/>
        <v>0</v>
      </c>
      <c r="AA106" s="151"/>
      <c r="AB106" s="152"/>
      <c r="AC106" s="140">
        <f t="shared" si="3"/>
        <v>0</v>
      </c>
      <c r="AD106" s="152"/>
      <c r="AF106" s="166"/>
      <c r="AG106" s="152"/>
      <c r="AH106" s="152"/>
      <c r="AI106" s="152"/>
      <c r="AJ106" s="152"/>
    </row>
    <row r="107" ht="22.5" hidden="1" customHeight="1">
      <c r="A107" s="4"/>
      <c r="B107" s="4"/>
      <c r="C107" s="162"/>
      <c r="D107" s="130"/>
      <c r="E107" s="130"/>
      <c r="F107" s="130"/>
      <c r="G107" s="130"/>
      <c r="H107" s="130"/>
      <c r="I107" s="130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5">
        <f t="shared" si="1"/>
        <v>0</v>
      </c>
      <c r="X107" s="130"/>
      <c r="Y107" s="130"/>
      <c r="Z107" s="137">
        <f t="shared" si="2"/>
        <v>0</v>
      </c>
      <c r="AA107" s="151"/>
      <c r="AB107" s="152"/>
      <c r="AC107" s="140">
        <f t="shared" si="3"/>
        <v>0</v>
      </c>
      <c r="AD107" s="152"/>
      <c r="AF107" s="166"/>
      <c r="AG107" s="152"/>
      <c r="AH107" s="152"/>
      <c r="AI107" s="152"/>
      <c r="AJ107" s="152"/>
    </row>
    <row r="108" ht="22.5" hidden="1" customHeight="1">
      <c r="A108" s="4"/>
      <c r="B108" s="4"/>
      <c r="C108" s="162"/>
      <c r="D108" s="130"/>
      <c r="E108" s="130"/>
      <c r="F108" s="130"/>
      <c r="G108" s="130"/>
      <c r="H108" s="130"/>
      <c r="I108" s="130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5">
        <f t="shared" si="1"/>
        <v>0</v>
      </c>
      <c r="X108" s="130"/>
      <c r="Y108" s="130"/>
      <c r="Z108" s="137">
        <f t="shared" si="2"/>
        <v>0</v>
      </c>
      <c r="AA108" s="151"/>
      <c r="AB108" s="152"/>
      <c r="AC108" s="140">
        <f t="shared" si="3"/>
        <v>0</v>
      </c>
      <c r="AD108" s="152"/>
      <c r="AF108" s="166"/>
      <c r="AG108" s="152"/>
      <c r="AH108" s="152"/>
      <c r="AI108" s="152"/>
      <c r="AJ108" s="152"/>
    </row>
    <row r="109" ht="22.5" customHeight="1">
      <c r="A109" s="4"/>
      <c r="B109" s="4"/>
      <c r="C109" s="162"/>
      <c r="D109" s="130"/>
      <c r="E109" s="130"/>
      <c r="F109" s="130"/>
      <c r="G109" s="130"/>
      <c r="H109" s="130"/>
      <c r="I109" s="130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5">
        <f t="shared" si="1"/>
        <v>0</v>
      </c>
      <c r="X109" s="130"/>
      <c r="Y109" s="130"/>
      <c r="Z109" s="137">
        <f t="shared" si="2"/>
        <v>0</v>
      </c>
      <c r="AA109" s="151"/>
      <c r="AB109" s="152"/>
      <c r="AC109" s="140">
        <f t="shared" si="3"/>
        <v>0</v>
      </c>
      <c r="AD109" s="152"/>
      <c r="AF109" s="166"/>
      <c r="AG109" s="152"/>
      <c r="AH109" s="152"/>
      <c r="AI109" s="152"/>
      <c r="AJ109" s="152"/>
    </row>
    <row r="110" ht="22.5" customHeight="1">
      <c r="A110" s="125" t="s">
        <v>119</v>
      </c>
      <c r="B110" s="153"/>
      <c r="C110" s="133"/>
      <c r="D110" s="133">
        <f t="shared" ref="D110:V110" si="4">SUM(D3:D109)</f>
        <v>40000</v>
      </c>
      <c r="E110" s="133">
        <f t="shared" si="4"/>
        <v>5000</v>
      </c>
      <c r="F110" s="133">
        <f t="shared" si="4"/>
        <v>5000</v>
      </c>
      <c r="G110" s="133">
        <f t="shared" si="4"/>
        <v>2000</v>
      </c>
      <c r="H110" s="133">
        <f t="shared" si="4"/>
        <v>0</v>
      </c>
      <c r="I110" s="133">
        <f t="shared" si="4"/>
        <v>44000</v>
      </c>
      <c r="J110" s="155">
        <f t="shared" si="4"/>
        <v>0</v>
      </c>
      <c r="K110" s="133">
        <f t="shared" si="4"/>
        <v>0</v>
      </c>
      <c r="L110" s="133">
        <f t="shared" si="4"/>
        <v>0</v>
      </c>
      <c r="M110" s="133">
        <f t="shared" si="4"/>
        <v>10000</v>
      </c>
      <c r="N110" s="133">
        <f t="shared" si="4"/>
        <v>0</v>
      </c>
      <c r="O110" s="133">
        <f t="shared" si="4"/>
        <v>0</v>
      </c>
      <c r="P110" s="133">
        <f t="shared" si="4"/>
        <v>0</v>
      </c>
      <c r="Q110" s="133">
        <f t="shared" si="4"/>
        <v>0</v>
      </c>
      <c r="R110" s="133">
        <f t="shared" si="4"/>
        <v>0</v>
      </c>
      <c r="S110" s="133">
        <f t="shared" si="4"/>
        <v>4000</v>
      </c>
      <c r="T110" s="133">
        <f t="shared" si="4"/>
        <v>0</v>
      </c>
      <c r="U110" s="133">
        <f t="shared" si="4"/>
        <v>0</v>
      </c>
      <c r="V110" s="133">
        <f t="shared" si="4"/>
        <v>0</v>
      </c>
      <c r="W110" s="135">
        <f t="shared" si="1"/>
        <v>110000</v>
      </c>
      <c r="X110" s="133">
        <f t="shared" ref="X110:Y110" si="5">SUM(X3:X109)</f>
        <v>0</v>
      </c>
      <c r="Y110" s="133">
        <f t="shared" si="5"/>
        <v>0</v>
      </c>
      <c r="Z110" s="137">
        <f t="shared" si="2"/>
        <v>110000</v>
      </c>
      <c r="AA110" s="147"/>
      <c r="AC110" s="156"/>
    </row>
    <row r="111">
      <c r="A111" s="127"/>
      <c r="B111" s="127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AE111" s="157" t="s">
        <v>127</v>
      </c>
    </row>
    <row r="112">
      <c r="A112" s="127"/>
      <c r="B112" s="127"/>
      <c r="C112" s="145"/>
      <c r="D112" s="158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>
      <c r="A113" s="127"/>
      <c r="B113" s="127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>
      <c r="A114" s="127"/>
      <c r="B114" s="127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>
      <c r="A115" s="127"/>
      <c r="B115" s="127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>
      <c r="A116" s="127"/>
      <c r="B116" s="127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>
      <c r="A117" s="127"/>
      <c r="B117" s="127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>
      <c r="A118" s="127"/>
      <c r="B118" s="127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>
      <c r="A119" s="127"/>
      <c r="B119" s="127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>
      <c r="A120" s="127"/>
      <c r="B120" s="127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>
      <c r="A121" s="127"/>
      <c r="B121" s="127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>
      <c r="A122" s="127"/>
      <c r="B122" s="127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>
      <c r="A123" s="127"/>
      <c r="B123" s="127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>
      <c r="A124" s="127"/>
      <c r="B124" s="127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>
      <c r="A125" s="127"/>
      <c r="B125" s="127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>
      <c r="A126" s="127"/>
      <c r="B126" s="127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  <row r="1002">
      <c r="A1002" s="127"/>
      <c r="B1002" s="127"/>
    </row>
    <row r="1003">
      <c r="A1003" s="127"/>
      <c r="B1003" s="127"/>
    </row>
    <row r="1004">
      <c r="A1004" s="127"/>
      <c r="B1004" s="127"/>
    </row>
    <row r="1005">
      <c r="A1005" s="127"/>
      <c r="B1005" s="127"/>
    </row>
    <row r="1006">
      <c r="A1006" s="127"/>
      <c r="B1006" s="127"/>
    </row>
    <row r="1007">
      <c r="A1007" s="127"/>
      <c r="B1007" s="127"/>
    </row>
    <row r="1008">
      <c r="A1008" s="127"/>
      <c r="B1008" s="127"/>
    </row>
    <row r="1009">
      <c r="A1009" s="127"/>
      <c r="B1009" s="127"/>
    </row>
    <row r="1010">
      <c r="A1010" s="127"/>
      <c r="B1010" s="127"/>
    </row>
    <row r="1011">
      <c r="A1011" s="127"/>
      <c r="B1011" s="127"/>
    </row>
    <row r="1012">
      <c r="A1012" s="127"/>
      <c r="B1012" s="127"/>
    </row>
    <row r="1013">
      <c r="A1013" s="127"/>
      <c r="B1013" s="127"/>
    </row>
    <row r="1014">
      <c r="A1014" s="127"/>
      <c r="B1014" s="127"/>
    </row>
    <row r="1015">
      <c r="A1015" s="127"/>
      <c r="B1015" s="127"/>
    </row>
    <row r="1016">
      <c r="A1016" s="127"/>
      <c r="B1016" s="127"/>
    </row>
    <row r="1017">
      <c r="A1017" s="127"/>
      <c r="B1017" s="127"/>
    </row>
    <row r="1018">
      <c r="A1018" s="127"/>
      <c r="B1018" s="127"/>
    </row>
    <row r="1019">
      <c r="A1019" s="127"/>
      <c r="B1019" s="127"/>
    </row>
    <row r="1020">
      <c r="A1020" s="127"/>
      <c r="B1020" s="127"/>
    </row>
    <row r="1021">
      <c r="A1021" s="127"/>
      <c r="B1021" s="127"/>
    </row>
    <row r="1022">
      <c r="A1022" s="127"/>
      <c r="B1022" s="127"/>
    </row>
    <row r="1023">
      <c r="A1023" s="127"/>
      <c r="B1023" s="127"/>
    </row>
    <row r="1024">
      <c r="A1024" s="127"/>
      <c r="B1024" s="127"/>
    </row>
    <row r="1025">
      <c r="A1025" s="127"/>
      <c r="B1025" s="127"/>
    </row>
    <row r="1026">
      <c r="A1026" s="127"/>
      <c r="B1026" s="127"/>
    </row>
    <row r="1027">
      <c r="A1027" s="127"/>
      <c r="B1027" s="127"/>
    </row>
    <row r="1028">
      <c r="A1028" s="127"/>
      <c r="B1028" s="127"/>
    </row>
    <row r="1029">
      <c r="A1029" s="127"/>
      <c r="B1029" s="127"/>
    </row>
    <row r="1030">
      <c r="A1030" s="127"/>
      <c r="B1030" s="127"/>
    </row>
    <row r="1031">
      <c r="A1031" s="127"/>
      <c r="B1031" s="127"/>
    </row>
    <row r="1032">
      <c r="A1032" s="127"/>
      <c r="B1032" s="127"/>
    </row>
    <row r="1033">
      <c r="A1033" s="127"/>
      <c r="B1033" s="127"/>
    </row>
    <row r="1034">
      <c r="A1034" s="127"/>
      <c r="B1034" s="127"/>
    </row>
    <row r="1035">
      <c r="A1035" s="127"/>
      <c r="B1035" s="127"/>
    </row>
    <row r="1036">
      <c r="A1036" s="127"/>
      <c r="B1036" s="127"/>
    </row>
    <row r="1037">
      <c r="A1037" s="127"/>
      <c r="B1037" s="127"/>
    </row>
    <row r="1038">
      <c r="A1038" s="127"/>
      <c r="B1038" s="127"/>
    </row>
    <row r="1039">
      <c r="A1039" s="127"/>
      <c r="B1039" s="127"/>
    </row>
    <row r="1040">
      <c r="A1040" s="127"/>
      <c r="B1040" s="127"/>
    </row>
    <row r="1041">
      <c r="A1041" s="127"/>
      <c r="B1041" s="127"/>
    </row>
    <row r="1042">
      <c r="A1042" s="127"/>
      <c r="B1042" s="127"/>
    </row>
    <row r="1043">
      <c r="A1043" s="127"/>
      <c r="B1043" s="127"/>
    </row>
    <row r="1044">
      <c r="A1044" s="127"/>
      <c r="B1044" s="127"/>
    </row>
    <row r="1045">
      <c r="A1045" s="127"/>
      <c r="B1045" s="127"/>
    </row>
    <row r="1046">
      <c r="A1046" s="127"/>
      <c r="B1046" s="127"/>
    </row>
    <row r="1047">
      <c r="A1047" s="127"/>
      <c r="B1047" s="127"/>
    </row>
    <row r="1048">
      <c r="A1048" s="127"/>
      <c r="B1048" s="127"/>
    </row>
    <row r="1049">
      <c r="A1049" s="127"/>
      <c r="B1049" s="127"/>
    </row>
    <row r="1050">
      <c r="A1050" s="127"/>
      <c r="B1050" s="127"/>
    </row>
    <row r="1051">
      <c r="A1051" s="127"/>
      <c r="B1051" s="127"/>
    </row>
    <row r="1052">
      <c r="A1052" s="127"/>
      <c r="B1052" s="127"/>
    </row>
    <row r="1053">
      <c r="A1053" s="127"/>
      <c r="B1053" s="127"/>
    </row>
    <row r="1054">
      <c r="A1054" s="127"/>
      <c r="B1054" s="127"/>
    </row>
    <row r="1055">
      <c r="A1055" s="127"/>
      <c r="B1055" s="127"/>
    </row>
    <row r="1056">
      <c r="A1056" s="127"/>
      <c r="B1056" s="127"/>
    </row>
    <row r="1057">
      <c r="A1057" s="127"/>
      <c r="B1057" s="127"/>
    </row>
    <row r="1058">
      <c r="A1058" s="127"/>
      <c r="B1058" s="127"/>
    </row>
    <row r="1059">
      <c r="A1059" s="127"/>
      <c r="B1059" s="127"/>
    </row>
    <row r="1060">
      <c r="A1060" s="127"/>
      <c r="B1060" s="127"/>
    </row>
    <row r="1061">
      <c r="A1061" s="127"/>
      <c r="B1061" s="127"/>
    </row>
    <row r="1062">
      <c r="A1062" s="127"/>
      <c r="B1062" s="127"/>
    </row>
    <row r="1063">
      <c r="A1063" s="127"/>
      <c r="B1063" s="127"/>
    </row>
    <row r="1064">
      <c r="A1064" s="127"/>
      <c r="B1064" s="127"/>
    </row>
    <row r="1065">
      <c r="A1065" s="127"/>
      <c r="B1065" s="127"/>
    </row>
    <row r="1066">
      <c r="A1066" s="127"/>
      <c r="B1066" s="127"/>
    </row>
    <row r="1067">
      <c r="A1067" s="127"/>
      <c r="B1067" s="127"/>
    </row>
    <row r="1068">
      <c r="A1068" s="127"/>
      <c r="B1068" s="127"/>
    </row>
    <row r="1069">
      <c r="A1069" s="127"/>
      <c r="B1069" s="127"/>
    </row>
    <row r="1070">
      <c r="A1070" s="127"/>
      <c r="B1070" s="127"/>
    </row>
    <row r="1071">
      <c r="A1071" s="127"/>
      <c r="B1071" s="127"/>
    </row>
    <row r="1072">
      <c r="A1072" s="127"/>
      <c r="B1072" s="127"/>
    </row>
    <row r="1073">
      <c r="A1073" s="127"/>
      <c r="B1073" s="127"/>
    </row>
    <row r="1074">
      <c r="A1074" s="127"/>
      <c r="B1074" s="127"/>
    </row>
    <row r="1075">
      <c r="A1075" s="127"/>
      <c r="B1075" s="127"/>
    </row>
    <row r="1076">
      <c r="A1076" s="127"/>
      <c r="B1076" s="127"/>
    </row>
    <row r="1077">
      <c r="A1077" s="127"/>
      <c r="B1077" s="127"/>
    </row>
    <row r="1078">
      <c r="A1078" s="127"/>
      <c r="B1078" s="127"/>
    </row>
    <row r="1079">
      <c r="A1079" s="127"/>
      <c r="B1079" s="127"/>
    </row>
    <row r="1080">
      <c r="A1080" s="127"/>
      <c r="B1080" s="127"/>
    </row>
    <row r="1081">
      <c r="A1081" s="127"/>
      <c r="B1081" s="127"/>
    </row>
    <row r="1082">
      <c r="A1082" s="127"/>
      <c r="B1082" s="127"/>
    </row>
    <row r="1083">
      <c r="A1083" s="127"/>
      <c r="B1083" s="127"/>
    </row>
    <row r="1084">
      <c r="A1084" s="127"/>
      <c r="B1084" s="127"/>
    </row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2" width="10.75"/>
    <col customWidth="1" min="23" max="23" width="8.0"/>
    <col customWidth="1" min="24" max="24" width="13.63"/>
  </cols>
  <sheetData>
    <row r="1">
      <c r="A1" s="117">
        <v>45869.0</v>
      </c>
      <c r="C1" s="118" t="s">
        <v>72</v>
      </c>
      <c r="D1" s="119"/>
      <c r="U1" s="168" t="s">
        <v>131</v>
      </c>
    </row>
    <row r="2" ht="22.5" customHeight="1">
      <c r="A2" s="1" t="s">
        <v>0</v>
      </c>
      <c r="B2" s="1" t="s">
        <v>1</v>
      </c>
      <c r="C2" s="4" t="s">
        <v>132</v>
      </c>
      <c r="D2" s="121" t="s">
        <v>133</v>
      </c>
      <c r="E2" s="121" t="s">
        <v>134</v>
      </c>
      <c r="F2" s="121" t="s">
        <v>135</v>
      </c>
      <c r="G2" s="121" t="s">
        <v>136</v>
      </c>
      <c r="H2" s="4" t="s">
        <v>103</v>
      </c>
      <c r="I2" s="1" t="s">
        <v>104</v>
      </c>
      <c r="J2" s="1" t="s">
        <v>106</v>
      </c>
      <c r="K2" s="1" t="s">
        <v>107</v>
      </c>
      <c r="L2" s="1" t="s">
        <v>111</v>
      </c>
      <c r="M2" s="1" t="s">
        <v>137</v>
      </c>
      <c r="N2" s="1" t="s">
        <v>138</v>
      </c>
      <c r="O2" s="1" t="s">
        <v>139</v>
      </c>
      <c r="P2" s="1" t="s">
        <v>108</v>
      </c>
      <c r="Q2" s="169" t="s">
        <v>114</v>
      </c>
      <c r="R2" s="169" t="s">
        <v>109</v>
      </c>
      <c r="S2" s="169" t="s">
        <v>140</v>
      </c>
      <c r="T2" s="121" t="s">
        <v>141</v>
      </c>
      <c r="U2" s="169" t="s">
        <v>115</v>
      </c>
      <c r="V2" s="125" t="s">
        <v>119</v>
      </c>
      <c r="W2" s="126" t="s">
        <v>35</v>
      </c>
      <c r="X2" s="170" t="s">
        <v>120</v>
      </c>
      <c r="Y2" s="127"/>
      <c r="Z2" s="127"/>
      <c r="AA2" s="127"/>
      <c r="AB2" s="127"/>
      <c r="AC2" s="127"/>
      <c r="AD2" s="127"/>
      <c r="AE2" s="127"/>
      <c r="AF2" s="127"/>
      <c r="AG2" s="127"/>
      <c r="AH2" s="127"/>
    </row>
    <row r="3" ht="22.5" customHeight="1">
      <c r="A3" s="1" t="s">
        <v>2</v>
      </c>
      <c r="B3" s="1" t="s">
        <v>3</v>
      </c>
      <c r="C3" s="130"/>
      <c r="D3" s="130">
        <v>40000.0</v>
      </c>
      <c r="E3" s="130">
        <v>5000.0</v>
      </c>
      <c r="F3" s="130">
        <v>5000.0</v>
      </c>
      <c r="G3" s="130">
        <v>2000.0</v>
      </c>
      <c r="H3" s="130">
        <v>0.0</v>
      </c>
      <c r="I3" s="130">
        <v>5390.0</v>
      </c>
      <c r="J3" s="130">
        <v>0.0</v>
      </c>
      <c r="K3" s="130">
        <v>0.0</v>
      </c>
      <c r="L3" s="130">
        <v>0.0</v>
      </c>
      <c r="M3" s="130">
        <v>0.0</v>
      </c>
      <c r="N3" s="130">
        <v>0.0</v>
      </c>
      <c r="O3" s="130">
        <v>0.0</v>
      </c>
      <c r="P3" s="130">
        <v>0.0</v>
      </c>
      <c r="Q3" s="130">
        <v>0.0</v>
      </c>
      <c r="R3" s="130">
        <v>0.0</v>
      </c>
      <c r="S3" s="130">
        <v>0.0</v>
      </c>
      <c r="T3" s="148">
        <v>0.0</v>
      </c>
      <c r="U3" s="171"/>
      <c r="V3" s="137">
        <f t="shared" ref="V3:V14" si="1">SUM(D3:U3)</f>
        <v>57390</v>
      </c>
      <c r="W3" s="147"/>
      <c r="X3" s="139" t="s">
        <v>142</v>
      </c>
      <c r="Y3" s="172" t="s">
        <v>143</v>
      </c>
    </row>
    <row r="4" ht="22.5" customHeight="1">
      <c r="A4" s="1" t="s">
        <v>4</v>
      </c>
      <c r="B4" s="1" t="s">
        <v>5</v>
      </c>
      <c r="C4" s="130"/>
      <c r="D4" s="129">
        <v>40000.0</v>
      </c>
      <c r="E4" s="129">
        <v>5000.0</v>
      </c>
      <c r="F4" s="129">
        <v>5000.0</v>
      </c>
      <c r="G4" s="129">
        <v>2000.0</v>
      </c>
      <c r="H4" s="129">
        <v>10000.0</v>
      </c>
      <c r="I4" s="129">
        <v>17050.0</v>
      </c>
      <c r="J4" s="148">
        <v>0.0</v>
      </c>
      <c r="K4" s="148">
        <v>0.0</v>
      </c>
      <c r="L4" s="148">
        <v>0.0</v>
      </c>
      <c r="M4" s="148">
        <v>0.0</v>
      </c>
      <c r="N4" s="148">
        <v>0.0</v>
      </c>
      <c r="O4" s="148">
        <v>0.0</v>
      </c>
      <c r="P4" s="173">
        <v>0.0</v>
      </c>
      <c r="Q4" s="148">
        <v>0.0</v>
      </c>
      <c r="R4" s="148">
        <v>0.0</v>
      </c>
      <c r="S4" s="129">
        <v>0.0</v>
      </c>
      <c r="T4" s="148">
        <v>0.0</v>
      </c>
      <c r="U4" s="171"/>
      <c r="V4" s="137">
        <f t="shared" si="1"/>
        <v>79050</v>
      </c>
      <c r="W4" s="138" t="s">
        <v>126</v>
      </c>
      <c r="X4" s="139" t="s">
        <v>142</v>
      </c>
    </row>
    <row r="5" ht="22.5" customHeight="1">
      <c r="A5" s="1" t="s">
        <v>6</v>
      </c>
      <c r="B5" s="1" t="s">
        <v>129</v>
      </c>
      <c r="C5" s="130"/>
      <c r="D5" s="129">
        <v>40000.0</v>
      </c>
      <c r="E5" s="129">
        <v>5000.0</v>
      </c>
      <c r="F5" s="129">
        <v>5000.0</v>
      </c>
      <c r="G5" s="129">
        <v>2000.0</v>
      </c>
      <c r="H5" s="148">
        <v>0.0</v>
      </c>
      <c r="I5" s="144">
        <v>26521.0</v>
      </c>
      <c r="J5" s="148">
        <v>0.0</v>
      </c>
      <c r="K5" s="148">
        <v>0.0</v>
      </c>
      <c r="L5" s="148">
        <v>0.0</v>
      </c>
      <c r="M5" s="148">
        <v>0.0</v>
      </c>
      <c r="N5" s="148">
        <v>0.0</v>
      </c>
      <c r="O5" s="148">
        <v>0.0</v>
      </c>
      <c r="P5" s="129">
        <v>10000.0</v>
      </c>
      <c r="Q5" s="129">
        <v>0.0</v>
      </c>
      <c r="R5" s="136">
        <v>1500.0</v>
      </c>
      <c r="S5" s="148">
        <v>0.0</v>
      </c>
      <c r="T5" s="129">
        <v>19979.0</v>
      </c>
      <c r="U5" s="171"/>
      <c r="V5" s="137">
        <f t="shared" si="1"/>
        <v>110000</v>
      </c>
      <c r="W5" s="138">
        <v>110000.0</v>
      </c>
      <c r="X5" s="119" t="s">
        <v>142</v>
      </c>
      <c r="Y5" s="139" t="s">
        <v>96</v>
      </c>
    </row>
    <row r="6" ht="22.5" customHeight="1">
      <c r="A6" s="1" t="s">
        <v>7</v>
      </c>
      <c r="B6" s="1" t="s">
        <v>8</v>
      </c>
      <c r="C6" s="130"/>
      <c r="D6" s="129">
        <v>40000.0</v>
      </c>
      <c r="E6" s="129">
        <v>5000.0</v>
      </c>
      <c r="F6" s="129">
        <v>5000.0</v>
      </c>
      <c r="G6" s="129">
        <v>2000.0</v>
      </c>
      <c r="H6" s="129">
        <v>10000.0</v>
      </c>
      <c r="I6" s="148">
        <v>0.0</v>
      </c>
      <c r="J6" s="148">
        <v>0.0</v>
      </c>
      <c r="K6" s="129">
        <f>73*31</f>
        <v>2263</v>
      </c>
      <c r="L6" s="148">
        <v>0.0</v>
      </c>
      <c r="M6" s="148">
        <v>0.0</v>
      </c>
      <c r="N6" s="148">
        <v>0.0</v>
      </c>
      <c r="O6" s="148">
        <v>0.0</v>
      </c>
      <c r="P6" s="148">
        <v>0.0</v>
      </c>
      <c r="Q6" s="148">
        <v>0.0</v>
      </c>
      <c r="R6" s="136">
        <v>1500.0</v>
      </c>
      <c r="S6" s="148">
        <v>0.0</v>
      </c>
      <c r="T6" s="148">
        <v>0.0</v>
      </c>
      <c r="U6" s="171"/>
      <c r="V6" s="137">
        <f t="shared" si="1"/>
        <v>65763</v>
      </c>
      <c r="W6" s="138" t="s">
        <v>126</v>
      </c>
      <c r="X6" s="139" t="s">
        <v>142</v>
      </c>
      <c r="Y6" s="172" t="s">
        <v>144</v>
      </c>
    </row>
    <row r="7" ht="22.5" customHeight="1">
      <c r="A7" s="1" t="s">
        <v>9</v>
      </c>
      <c r="B7" s="1" t="s">
        <v>10</v>
      </c>
      <c r="C7" s="130"/>
      <c r="D7" s="129">
        <v>40000.0</v>
      </c>
      <c r="E7" s="129">
        <v>5000.0</v>
      </c>
      <c r="F7" s="129">
        <v>5000.0</v>
      </c>
      <c r="G7" s="129">
        <v>2000.0</v>
      </c>
      <c r="H7" s="148">
        <v>0.0</v>
      </c>
      <c r="I7" s="144">
        <v>21793.0</v>
      </c>
      <c r="J7" s="148">
        <v>0.0</v>
      </c>
      <c r="K7" s="148">
        <v>0.0</v>
      </c>
      <c r="L7" s="148">
        <v>0.0</v>
      </c>
      <c r="M7" s="148">
        <v>0.0</v>
      </c>
      <c r="N7" s="148">
        <v>0.0</v>
      </c>
      <c r="O7" s="148">
        <v>0.0</v>
      </c>
      <c r="P7" s="129">
        <v>10000.0</v>
      </c>
      <c r="Q7" s="129">
        <v>0.0</v>
      </c>
      <c r="R7" s="148">
        <v>0.0</v>
      </c>
      <c r="S7" s="148">
        <v>0.0</v>
      </c>
      <c r="T7" s="129">
        <v>26207.0</v>
      </c>
      <c r="U7" s="171"/>
      <c r="V7" s="137">
        <f t="shared" si="1"/>
        <v>110000</v>
      </c>
      <c r="W7" s="138">
        <v>110000.0</v>
      </c>
      <c r="X7" s="119" t="s">
        <v>142</v>
      </c>
    </row>
    <row r="8" ht="22.5" customHeight="1">
      <c r="A8" s="1" t="s">
        <v>11</v>
      </c>
      <c r="B8" s="2"/>
      <c r="C8" s="130"/>
      <c r="D8" s="148">
        <v>0.0</v>
      </c>
      <c r="E8" s="148">
        <v>0.0</v>
      </c>
      <c r="F8" s="148">
        <v>0.0</v>
      </c>
      <c r="G8" s="148">
        <v>0.0</v>
      </c>
      <c r="H8" s="148">
        <v>0.0</v>
      </c>
      <c r="I8" s="148">
        <v>0.0</v>
      </c>
      <c r="J8" s="148">
        <v>0.0</v>
      </c>
      <c r="K8" s="148">
        <v>0.0</v>
      </c>
      <c r="L8" s="148">
        <v>0.0</v>
      </c>
      <c r="M8" s="148">
        <v>0.0</v>
      </c>
      <c r="N8" s="148">
        <v>0.0</v>
      </c>
      <c r="O8" s="148">
        <v>0.0</v>
      </c>
      <c r="P8" s="148">
        <v>0.0</v>
      </c>
      <c r="Q8" s="148">
        <v>0.0</v>
      </c>
      <c r="R8" s="148">
        <v>0.0</v>
      </c>
      <c r="S8" s="148">
        <v>0.0</v>
      </c>
      <c r="T8" s="171"/>
      <c r="U8" s="171"/>
      <c r="V8" s="137">
        <f t="shared" si="1"/>
        <v>0</v>
      </c>
      <c r="W8" s="147"/>
      <c r="X8" s="174"/>
    </row>
    <row r="9" ht="22.5" customHeight="1">
      <c r="A9" s="1" t="s">
        <v>12</v>
      </c>
      <c r="B9" s="1" t="s">
        <v>13</v>
      </c>
      <c r="C9" s="130"/>
      <c r="D9" s="129">
        <v>40000.0</v>
      </c>
      <c r="E9" s="129">
        <v>5000.0</v>
      </c>
      <c r="F9" s="129">
        <v>5000.0</v>
      </c>
      <c r="G9" s="129">
        <v>2000.0</v>
      </c>
      <c r="H9" s="148">
        <v>0.0</v>
      </c>
      <c r="I9" s="129">
        <v>16500.0</v>
      </c>
      <c r="J9" s="148">
        <v>0.0</v>
      </c>
      <c r="K9" s="148">
        <v>0.0</v>
      </c>
      <c r="L9" s="148">
        <v>0.0</v>
      </c>
      <c r="M9" s="148">
        <v>0.0</v>
      </c>
      <c r="N9" s="148">
        <v>0.0</v>
      </c>
      <c r="O9" s="148">
        <v>0.0</v>
      </c>
      <c r="P9" s="148">
        <v>0.0</v>
      </c>
      <c r="Q9" s="129">
        <v>19670.0</v>
      </c>
      <c r="R9" s="148">
        <v>0.0</v>
      </c>
      <c r="S9" s="148">
        <v>0.0</v>
      </c>
      <c r="T9" s="148">
        <v>0.0</v>
      </c>
      <c r="U9" s="171"/>
      <c r="V9" s="137">
        <f t="shared" si="1"/>
        <v>88170</v>
      </c>
      <c r="W9" s="138" t="s">
        <v>126</v>
      </c>
      <c r="X9" s="139" t="s">
        <v>142</v>
      </c>
      <c r="Y9" s="139" t="s">
        <v>143</v>
      </c>
    </row>
    <row r="10" ht="22.5" customHeight="1">
      <c r="A10" s="1" t="s">
        <v>14</v>
      </c>
      <c r="B10" s="1" t="s">
        <v>15</v>
      </c>
      <c r="C10" s="130"/>
      <c r="D10" s="129">
        <v>40000.0</v>
      </c>
      <c r="E10" s="129">
        <v>5000.0</v>
      </c>
      <c r="F10" s="129">
        <v>5000.0</v>
      </c>
      <c r="G10" s="129">
        <v>2000.0</v>
      </c>
      <c r="H10" s="148">
        <v>0.0</v>
      </c>
      <c r="I10" s="129">
        <v>44330.0</v>
      </c>
      <c r="J10" s="148">
        <v>0.0</v>
      </c>
      <c r="K10" s="148">
        <v>0.0</v>
      </c>
      <c r="L10" s="148">
        <v>0.0</v>
      </c>
      <c r="M10" s="148">
        <v>0.0</v>
      </c>
      <c r="N10" s="148">
        <v>0.0</v>
      </c>
      <c r="O10" s="148">
        <v>0.0</v>
      </c>
      <c r="P10" s="129">
        <v>20000.0</v>
      </c>
      <c r="Q10" s="148">
        <v>0.0</v>
      </c>
      <c r="R10" s="148">
        <v>0.0</v>
      </c>
      <c r="S10" s="148">
        <v>0.0</v>
      </c>
      <c r="T10" s="148">
        <v>0.0</v>
      </c>
      <c r="U10" s="171"/>
      <c r="V10" s="137">
        <f t="shared" si="1"/>
        <v>116330</v>
      </c>
      <c r="W10" s="138" t="s">
        <v>126</v>
      </c>
      <c r="X10" s="139" t="s">
        <v>142</v>
      </c>
    </row>
    <row r="11" ht="22.5" customHeight="1">
      <c r="A11" s="1" t="s">
        <v>16</v>
      </c>
      <c r="B11" s="1" t="s">
        <v>17</v>
      </c>
      <c r="C11" s="130"/>
      <c r="D11" s="130">
        <v>40000.0</v>
      </c>
      <c r="E11" s="130">
        <v>5000.0</v>
      </c>
      <c r="F11" s="130">
        <v>5000.0</v>
      </c>
      <c r="G11" s="130">
        <v>2000.0</v>
      </c>
      <c r="H11" s="130">
        <v>0.0</v>
      </c>
      <c r="I11" s="130">
        <v>4840.0</v>
      </c>
      <c r="J11" s="130">
        <v>0.0</v>
      </c>
      <c r="K11" s="130">
        <v>0.0</v>
      </c>
      <c r="L11" s="130">
        <v>0.0</v>
      </c>
      <c r="M11" s="130">
        <v>0.0</v>
      </c>
      <c r="N11" s="130">
        <v>0.0</v>
      </c>
      <c r="O11" s="130">
        <v>0.0</v>
      </c>
      <c r="P11" s="130">
        <v>0.0</v>
      </c>
      <c r="Q11" s="130">
        <v>0.0</v>
      </c>
      <c r="R11" s="130">
        <v>0.0</v>
      </c>
      <c r="S11" s="130">
        <v>0.0</v>
      </c>
      <c r="T11" s="171"/>
      <c r="U11" s="171"/>
      <c r="V11" s="137">
        <f t="shared" si="1"/>
        <v>56840</v>
      </c>
      <c r="W11" s="147"/>
      <c r="X11" s="139" t="s">
        <v>142</v>
      </c>
    </row>
    <row r="12" ht="22.5" customHeight="1">
      <c r="A12" s="1" t="s">
        <v>18</v>
      </c>
      <c r="B12" s="1" t="s">
        <v>19</v>
      </c>
      <c r="C12" s="130"/>
      <c r="D12" s="129">
        <v>40000.0</v>
      </c>
      <c r="E12" s="129">
        <v>5000.0</v>
      </c>
      <c r="F12" s="129">
        <v>5000.0</v>
      </c>
      <c r="G12" s="129">
        <v>2000.0</v>
      </c>
      <c r="H12" s="129">
        <v>10000.0</v>
      </c>
      <c r="I12" s="148">
        <v>0.0</v>
      </c>
      <c r="J12" s="129">
        <f>242*31</f>
        <v>7502</v>
      </c>
      <c r="K12" s="148">
        <v>0.0</v>
      </c>
      <c r="L12" s="148">
        <v>0.0</v>
      </c>
      <c r="M12" s="148">
        <v>0.0</v>
      </c>
      <c r="N12" s="175" t="s">
        <v>145</v>
      </c>
      <c r="O12" s="175" t="s">
        <v>145</v>
      </c>
      <c r="P12" s="148">
        <v>0.0</v>
      </c>
      <c r="Q12" s="148">
        <v>0.0</v>
      </c>
      <c r="R12" s="136">
        <v>1500.0</v>
      </c>
      <c r="S12" s="148">
        <v>0.0</v>
      </c>
      <c r="T12" s="129">
        <v>16380.0</v>
      </c>
      <c r="U12" s="129">
        <v>14000.0</v>
      </c>
      <c r="V12" s="137">
        <f t="shared" si="1"/>
        <v>101382</v>
      </c>
      <c r="W12" s="138" t="s">
        <v>126</v>
      </c>
      <c r="X12" s="139" t="s">
        <v>142</v>
      </c>
    </row>
    <row r="13" ht="22.5" customHeight="1">
      <c r="A13" s="2"/>
      <c r="B13" s="2"/>
      <c r="C13" s="130"/>
      <c r="D13" s="148">
        <v>0.0</v>
      </c>
      <c r="E13" s="148">
        <v>0.0</v>
      </c>
      <c r="F13" s="148">
        <v>0.0</v>
      </c>
      <c r="G13" s="148">
        <v>0.0</v>
      </c>
      <c r="H13" s="148">
        <v>0.0</v>
      </c>
      <c r="I13" s="148">
        <v>0.0</v>
      </c>
      <c r="J13" s="148">
        <v>0.0</v>
      </c>
      <c r="K13" s="148">
        <v>0.0</v>
      </c>
      <c r="L13" s="148">
        <v>0.0</v>
      </c>
      <c r="M13" s="148">
        <v>0.0</v>
      </c>
      <c r="N13" s="148">
        <v>0.0</v>
      </c>
      <c r="O13" s="148">
        <v>0.0</v>
      </c>
      <c r="P13" s="148">
        <v>0.0</v>
      </c>
      <c r="Q13" s="148">
        <v>0.0</v>
      </c>
      <c r="R13" s="148">
        <v>0.0</v>
      </c>
      <c r="S13" s="148">
        <v>0.0</v>
      </c>
      <c r="T13" s="171"/>
      <c r="U13" s="171"/>
      <c r="V13" s="137">
        <f t="shared" si="1"/>
        <v>0</v>
      </c>
      <c r="W13" s="147"/>
      <c r="X13" s="174"/>
    </row>
    <row r="14" ht="22.5" customHeight="1">
      <c r="A14" s="125" t="s">
        <v>119</v>
      </c>
      <c r="B14" s="153"/>
      <c r="C14" s="133"/>
      <c r="D14" s="133">
        <f t="shared" ref="D14:U14" si="2">SUM(D3:D13)</f>
        <v>360000</v>
      </c>
      <c r="E14" s="133">
        <f t="shared" si="2"/>
        <v>45000</v>
      </c>
      <c r="F14" s="133">
        <f t="shared" si="2"/>
        <v>45000</v>
      </c>
      <c r="G14" s="133">
        <f t="shared" si="2"/>
        <v>18000</v>
      </c>
      <c r="H14" s="133">
        <f t="shared" si="2"/>
        <v>30000</v>
      </c>
      <c r="I14" s="133">
        <f t="shared" si="2"/>
        <v>136424</v>
      </c>
      <c r="J14" s="133">
        <f t="shared" si="2"/>
        <v>7502</v>
      </c>
      <c r="K14" s="133">
        <f t="shared" si="2"/>
        <v>2263</v>
      </c>
      <c r="L14" s="133">
        <f t="shared" si="2"/>
        <v>0</v>
      </c>
      <c r="M14" s="133">
        <f t="shared" si="2"/>
        <v>0</v>
      </c>
      <c r="N14" s="133">
        <f t="shared" si="2"/>
        <v>0</v>
      </c>
      <c r="O14" s="133">
        <f t="shared" si="2"/>
        <v>0</v>
      </c>
      <c r="P14" s="133">
        <f t="shared" si="2"/>
        <v>40000</v>
      </c>
      <c r="Q14" s="133">
        <f t="shared" si="2"/>
        <v>19670</v>
      </c>
      <c r="R14" s="133">
        <f t="shared" si="2"/>
        <v>4500</v>
      </c>
      <c r="S14" s="133">
        <f t="shared" si="2"/>
        <v>0</v>
      </c>
      <c r="T14" s="133">
        <f t="shared" si="2"/>
        <v>62566</v>
      </c>
      <c r="U14" s="133">
        <f t="shared" si="2"/>
        <v>14000</v>
      </c>
      <c r="V14" s="137">
        <f t="shared" si="1"/>
        <v>784925</v>
      </c>
      <c r="W14" s="147"/>
    </row>
    <row r="15">
      <c r="A15" s="127"/>
      <c r="B15" s="127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</row>
    <row r="16">
      <c r="A16" s="127"/>
      <c r="B16" s="127"/>
      <c r="C16" s="145"/>
      <c r="D16" s="176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</row>
    <row r="17">
      <c r="A17" s="127"/>
      <c r="B17" s="127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</row>
    <row r="18">
      <c r="A18" s="127"/>
      <c r="B18" s="127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</row>
    <row r="19">
      <c r="A19" s="127"/>
      <c r="B19" s="127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</row>
    <row r="20">
      <c r="A20" s="127"/>
      <c r="B20" s="127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</row>
    <row r="21">
      <c r="A21" s="127"/>
      <c r="B21" s="127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</row>
    <row r="22">
      <c r="A22" s="127"/>
      <c r="B22" s="127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</row>
    <row r="23">
      <c r="A23" s="127"/>
      <c r="B23" s="127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</row>
    <row r="24">
      <c r="A24" s="127"/>
      <c r="B24" s="127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</row>
    <row r="25">
      <c r="A25" s="127"/>
      <c r="B25" s="127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</row>
    <row r="26">
      <c r="A26" s="127"/>
      <c r="B26" s="127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</row>
    <row r="27">
      <c r="A27" s="127"/>
      <c r="B27" s="127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</row>
    <row r="28">
      <c r="A28" s="127"/>
      <c r="B28" s="127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</row>
    <row r="29">
      <c r="A29" s="127"/>
      <c r="B29" s="127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</row>
    <row r="30">
      <c r="A30" s="127"/>
      <c r="B30" s="127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</row>
    <row r="31">
      <c r="A31" s="127"/>
      <c r="B31" s="127"/>
    </row>
    <row r="32">
      <c r="A32" s="127"/>
      <c r="B32" s="127"/>
    </row>
    <row r="33">
      <c r="A33" s="127"/>
      <c r="B33" s="127"/>
    </row>
    <row r="34">
      <c r="A34" s="127"/>
      <c r="B34" s="127"/>
    </row>
    <row r="35">
      <c r="A35" s="127"/>
      <c r="B35" s="127"/>
    </row>
    <row r="36">
      <c r="A36" s="127"/>
      <c r="B36" s="127"/>
    </row>
    <row r="37">
      <c r="A37" s="127"/>
      <c r="B37" s="127"/>
    </row>
    <row r="38">
      <c r="A38" s="127"/>
      <c r="B38" s="127"/>
    </row>
    <row r="39">
      <c r="A39" s="127"/>
      <c r="B39" s="127"/>
    </row>
    <row r="40">
      <c r="A40" s="127"/>
      <c r="B40" s="127"/>
    </row>
    <row r="41">
      <c r="A41" s="127"/>
      <c r="B41" s="127"/>
    </row>
    <row r="42">
      <c r="A42" s="127"/>
      <c r="B42" s="127"/>
    </row>
    <row r="43">
      <c r="A43" s="127"/>
      <c r="B43" s="127"/>
    </row>
    <row r="44">
      <c r="A44" s="127"/>
      <c r="B44" s="127"/>
    </row>
    <row r="45">
      <c r="A45" s="127"/>
      <c r="B45" s="127"/>
    </row>
    <row r="46">
      <c r="A46" s="127"/>
      <c r="B46" s="127"/>
    </row>
    <row r="47">
      <c r="A47" s="127"/>
      <c r="B47" s="127"/>
    </row>
    <row r="48">
      <c r="A48" s="127"/>
      <c r="B48" s="127"/>
    </row>
    <row r="49">
      <c r="A49" s="127"/>
      <c r="B49" s="127"/>
    </row>
    <row r="50">
      <c r="A50" s="127"/>
      <c r="B50" s="127"/>
    </row>
    <row r="51">
      <c r="A51" s="127"/>
      <c r="B51" s="127"/>
    </row>
    <row r="52">
      <c r="A52" s="127"/>
      <c r="B52" s="127"/>
    </row>
    <row r="53">
      <c r="A53" s="127"/>
      <c r="B53" s="127"/>
    </row>
    <row r="54">
      <c r="A54" s="127"/>
      <c r="B54" s="127"/>
    </row>
    <row r="55">
      <c r="A55" s="127"/>
      <c r="B55" s="127"/>
    </row>
    <row r="56">
      <c r="A56" s="127"/>
      <c r="B56" s="127"/>
    </row>
    <row r="57">
      <c r="A57" s="127"/>
      <c r="B57" s="127"/>
    </row>
    <row r="58">
      <c r="A58" s="127"/>
      <c r="B58" s="127"/>
    </row>
    <row r="59">
      <c r="A59" s="127"/>
      <c r="B59" s="127"/>
    </row>
    <row r="60">
      <c r="A60" s="127"/>
      <c r="B60" s="127"/>
    </row>
    <row r="61">
      <c r="A61" s="127"/>
      <c r="B61" s="127"/>
    </row>
    <row r="62">
      <c r="A62" s="127"/>
      <c r="B62" s="127"/>
    </row>
    <row r="63">
      <c r="A63" s="127"/>
      <c r="B63" s="127"/>
    </row>
    <row r="64">
      <c r="A64" s="127"/>
      <c r="B64" s="127"/>
    </row>
    <row r="65">
      <c r="A65" s="127"/>
      <c r="B65" s="127"/>
    </row>
    <row r="66">
      <c r="A66" s="127"/>
      <c r="B66" s="127"/>
    </row>
    <row r="67">
      <c r="A67" s="127"/>
      <c r="B67" s="127"/>
    </row>
    <row r="68">
      <c r="A68" s="127"/>
      <c r="B68" s="127"/>
    </row>
    <row r="69">
      <c r="A69" s="127"/>
      <c r="B69" s="127"/>
    </row>
    <row r="70">
      <c r="A70" s="127"/>
      <c r="B70" s="127"/>
    </row>
    <row r="71">
      <c r="A71" s="127"/>
      <c r="B71" s="127"/>
    </row>
    <row r="72">
      <c r="A72" s="127"/>
      <c r="B72" s="127"/>
    </row>
    <row r="73">
      <c r="A73" s="127"/>
      <c r="B73" s="127"/>
    </row>
    <row r="74">
      <c r="A74" s="127"/>
      <c r="B74" s="127"/>
    </row>
    <row r="75">
      <c r="A75" s="127"/>
      <c r="B75" s="127"/>
    </row>
    <row r="76">
      <c r="A76" s="127"/>
      <c r="B76" s="127"/>
    </row>
    <row r="77">
      <c r="A77" s="127"/>
      <c r="B77" s="127"/>
    </row>
    <row r="78">
      <c r="A78" s="127"/>
      <c r="B78" s="127"/>
    </row>
    <row r="79">
      <c r="A79" s="127"/>
      <c r="B79" s="127"/>
    </row>
    <row r="80">
      <c r="A80" s="127"/>
      <c r="B80" s="127"/>
    </row>
    <row r="81">
      <c r="A81" s="127"/>
      <c r="B81" s="127"/>
    </row>
    <row r="82">
      <c r="A82" s="127"/>
      <c r="B82" s="127"/>
    </row>
    <row r="83">
      <c r="A83" s="127"/>
      <c r="B83" s="127"/>
    </row>
    <row r="84">
      <c r="A84" s="127"/>
      <c r="B84" s="127"/>
    </row>
    <row r="85">
      <c r="A85" s="127"/>
      <c r="B85" s="127"/>
    </row>
    <row r="86">
      <c r="A86" s="127"/>
      <c r="B86" s="127"/>
    </row>
    <row r="87">
      <c r="A87" s="127"/>
      <c r="B87" s="127"/>
    </row>
    <row r="88">
      <c r="A88" s="127"/>
      <c r="B88" s="127"/>
    </row>
    <row r="89">
      <c r="A89" s="127"/>
      <c r="B89" s="127"/>
    </row>
    <row r="90">
      <c r="A90" s="127"/>
      <c r="B90" s="127"/>
    </row>
    <row r="91">
      <c r="A91" s="127"/>
      <c r="B91" s="127"/>
    </row>
    <row r="92">
      <c r="A92" s="127"/>
      <c r="B92" s="127"/>
    </row>
    <row r="93">
      <c r="A93" s="127"/>
      <c r="B93" s="127"/>
    </row>
    <row r="94">
      <c r="A94" s="127"/>
      <c r="B94" s="127"/>
    </row>
    <row r="95">
      <c r="A95" s="127"/>
      <c r="B95" s="127"/>
    </row>
    <row r="96">
      <c r="A96" s="127"/>
      <c r="B96" s="127"/>
    </row>
    <row r="97">
      <c r="A97" s="127"/>
      <c r="B97" s="127"/>
    </row>
    <row r="98">
      <c r="A98" s="127"/>
      <c r="B98" s="127"/>
    </row>
    <row r="99">
      <c r="A99" s="127"/>
      <c r="B99" s="127"/>
    </row>
    <row r="100">
      <c r="A100" s="127"/>
      <c r="B100" s="127"/>
    </row>
    <row r="101">
      <c r="A101" s="127"/>
      <c r="B101" s="127"/>
    </row>
    <row r="102">
      <c r="A102" s="127"/>
      <c r="B102" s="127"/>
    </row>
    <row r="103">
      <c r="A103" s="127"/>
      <c r="B103" s="127"/>
    </row>
    <row r="104">
      <c r="A104" s="127"/>
      <c r="B104" s="127"/>
    </row>
    <row r="105">
      <c r="A105" s="127"/>
      <c r="B105" s="127"/>
    </row>
    <row r="106">
      <c r="A106" s="127"/>
      <c r="B106" s="127"/>
    </row>
    <row r="107">
      <c r="A107" s="127"/>
      <c r="B107" s="127"/>
    </row>
    <row r="108">
      <c r="A108" s="127"/>
      <c r="B108" s="127"/>
    </row>
    <row r="109">
      <c r="A109" s="127"/>
      <c r="B109" s="127"/>
    </row>
    <row r="110">
      <c r="A110" s="127"/>
      <c r="B110" s="127"/>
    </row>
    <row r="111">
      <c r="A111" s="127"/>
      <c r="B111" s="127"/>
    </row>
    <row r="112">
      <c r="A112" s="127"/>
      <c r="B112" s="127"/>
    </row>
    <row r="113">
      <c r="A113" s="127"/>
      <c r="B113" s="127"/>
    </row>
    <row r="114">
      <c r="A114" s="127"/>
      <c r="B114" s="127"/>
    </row>
    <row r="115">
      <c r="A115" s="127"/>
      <c r="B115" s="127"/>
    </row>
    <row r="116">
      <c r="A116" s="127"/>
      <c r="B116" s="127"/>
    </row>
    <row r="117">
      <c r="A117" s="127"/>
      <c r="B117" s="127"/>
    </row>
    <row r="118">
      <c r="A118" s="127"/>
      <c r="B118" s="127"/>
    </row>
    <row r="119">
      <c r="A119" s="127"/>
      <c r="B119" s="127"/>
    </row>
    <row r="120">
      <c r="A120" s="127"/>
      <c r="B120" s="127"/>
    </row>
    <row r="121">
      <c r="A121" s="127"/>
      <c r="B121" s="127"/>
    </row>
    <row r="122">
      <c r="A122" s="127"/>
      <c r="B122" s="127"/>
    </row>
    <row r="123">
      <c r="A123" s="127"/>
      <c r="B123" s="127"/>
    </row>
    <row r="124">
      <c r="A124" s="127"/>
      <c r="B124" s="127"/>
    </row>
    <row r="125">
      <c r="A125" s="127"/>
      <c r="B125" s="127"/>
    </row>
    <row r="126">
      <c r="A126" s="127"/>
      <c r="B126" s="127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</sheetData>
  <mergeCells count="2">
    <mergeCell ref="A1:B1"/>
    <mergeCell ref="U1:V1"/>
  </mergeCells>
  <dataValidations>
    <dataValidation type="list" allowBlank="1" showErrorMessage="1" sqref="X3:X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>
      <c r="A1" s="117">
        <v>45838.0</v>
      </c>
      <c r="C1" s="118" t="s">
        <v>72</v>
      </c>
      <c r="D1" s="139"/>
    </row>
    <row r="2">
      <c r="A2" s="1" t="s">
        <v>0</v>
      </c>
      <c r="B2" s="1" t="s">
        <v>1</v>
      </c>
      <c r="C2" s="4" t="s">
        <v>132</v>
      </c>
      <c r="D2" s="121" t="s">
        <v>99</v>
      </c>
      <c r="E2" s="121" t="s">
        <v>100</v>
      </c>
      <c r="F2" s="121" t="s">
        <v>101</v>
      </c>
      <c r="G2" s="121" t="s">
        <v>102</v>
      </c>
      <c r="H2" s="4" t="s">
        <v>103</v>
      </c>
      <c r="I2" s="1" t="s">
        <v>104</v>
      </c>
      <c r="J2" s="1" t="s">
        <v>106</v>
      </c>
      <c r="K2" s="1" t="s">
        <v>107</v>
      </c>
      <c r="L2" s="1" t="s">
        <v>111</v>
      </c>
      <c r="M2" s="1" t="s">
        <v>137</v>
      </c>
      <c r="N2" s="1" t="s">
        <v>138</v>
      </c>
      <c r="O2" s="1" t="s">
        <v>139</v>
      </c>
      <c r="P2" s="1" t="s">
        <v>108</v>
      </c>
      <c r="Q2" s="169" t="s">
        <v>114</v>
      </c>
      <c r="R2" s="169" t="s">
        <v>109</v>
      </c>
      <c r="S2" s="169" t="s">
        <v>140</v>
      </c>
      <c r="T2" s="169" t="s">
        <v>115</v>
      </c>
      <c r="U2" s="125" t="s">
        <v>119</v>
      </c>
      <c r="V2" s="126" t="s">
        <v>35</v>
      </c>
      <c r="W2" s="126" t="s">
        <v>146</v>
      </c>
      <c r="X2" s="127"/>
      <c r="Y2" s="127"/>
      <c r="Z2" s="127"/>
      <c r="AA2" s="127"/>
      <c r="AB2" s="127"/>
      <c r="AC2" s="127"/>
      <c r="AD2" s="127"/>
      <c r="AE2" s="127"/>
      <c r="AF2" s="127"/>
      <c r="AG2" s="127"/>
    </row>
    <row r="3">
      <c r="A3" s="1">
        <v>108.0</v>
      </c>
      <c r="B3" s="1" t="s">
        <v>147</v>
      </c>
      <c r="C3" s="129"/>
      <c r="D3" s="129">
        <v>40000.0</v>
      </c>
      <c r="E3" s="129">
        <v>5000.0</v>
      </c>
      <c r="F3" s="129">
        <v>5000.0</v>
      </c>
      <c r="G3" s="129">
        <v>2000.0</v>
      </c>
      <c r="H3" s="148">
        <v>0.0</v>
      </c>
      <c r="I3" s="129">
        <v>28000.0</v>
      </c>
      <c r="J3" s="148">
        <v>0.0</v>
      </c>
      <c r="K3" s="148">
        <v>0.0</v>
      </c>
      <c r="L3" s="148">
        <v>0.0</v>
      </c>
      <c r="M3" s="148">
        <v>0.0</v>
      </c>
      <c r="N3" s="148">
        <v>0.0</v>
      </c>
      <c r="O3" s="148">
        <v>0.0</v>
      </c>
      <c r="P3" s="148">
        <v>0.0</v>
      </c>
      <c r="Q3" s="136">
        <v>0.0</v>
      </c>
      <c r="R3" s="148">
        <v>0.0</v>
      </c>
      <c r="S3" s="148">
        <v>0.0</v>
      </c>
      <c r="T3" s="136">
        <v>0.0</v>
      </c>
      <c r="U3" s="137">
        <f t="shared" ref="U3:U27" si="1">SUM(D3:T3)</f>
        <v>80000</v>
      </c>
      <c r="V3" s="138">
        <v>80000.0</v>
      </c>
    </row>
    <row r="4">
      <c r="A4" s="1">
        <v>206.0</v>
      </c>
      <c r="B4" s="1" t="s">
        <v>148</v>
      </c>
      <c r="C4" s="129"/>
      <c r="D4" s="129">
        <v>40000.0</v>
      </c>
      <c r="E4" s="129">
        <v>5000.0</v>
      </c>
      <c r="F4" s="129">
        <v>5000.0</v>
      </c>
      <c r="G4" s="129">
        <v>2000.0</v>
      </c>
      <c r="H4" s="148">
        <v>0.0</v>
      </c>
      <c r="I4" s="129">
        <v>40150.0</v>
      </c>
      <c r="J4" s="148">
        <v>0.0</v>
      </c>
      <c r="K4" s="148">
        <v>0.0</v>
      </c>
      <c r="L4" s="148">
        <v>0.0</v>
      </c>
      <c r="M4" s="148">
        <v>0.0</v>
      </c>
      <c r="N4" s="148">
        <v>0.0</v>
      </c>
      <c r="O4" s="148">
        <v>0.0</v>
      </c>
      <c r="P4" s="148">
        <v>0.0</v>
      </c>
      <c r="Q4" s="136">
        <v>7850.0</v>
      </c>
      <c r="R4" s="148">
        <v>0.0</v>
      </c>
      <c r="S4" s="148">
        <v>0.0</v>
      </c>
      <c r="T4" s="136">
        <v>0.0</v>
      </c>
      <c r="U4" s="137">
        <f t="shared" si="1"/>
        <v>100000</v>
      </c>
      <c r="V4" s="138">
        <v>100000.0</v>
      </c>
    </row>
    <row r="5">
      <c r="A5" s="1">
        <v>210.0</v>
      </c>
      <c r="B5" s="1" t="s">
        <v>149</v>
      </c>
      <c r="C5" s="129"/>
      <c r="D5" s="129">
        <v>40000.0</v>
      </c>
      <c r="E5" s="129">
        <v>5000.0</v>
      </c>
      <c r="F5" s="129">
        <v>5000.0</v>
      </c>
      <c r="G5" s="129">
        <v>2000.0</v>
      </c>
      <c r="H5" s="148">
        <v>0.0</v>
      </c>
      <c r="I5" s="129">
        <v>42900.0</v>
      </c>
      <c r="J5" s="148">
        <v>0.0</v>
      </c>
      <c r="K5" s="148">
        <v>0.0</v>
      </c>
      <c r="L5" s="148">
        <v>0.0</v>
      </c>
      <c r="M5" s="148">
        <v>0.0</v>
      </c>
      <c r="N5" s="148">
        <v>0.0</v>
      </c>
      <c r="O5" s="148">
        <v>0.0</v>
      </c>
      <c r="P5" s="148">
        <v>0.0</v>
      </c>
      <c r="Q5" s="129">
        <v>5100.0</v>
      </c>
      <c r="R5" s="148">
        <v>0.0</v>
      </c>
      <c r="S5" s="148">
        <v>0.0</v>
      </c>
      <c r="T5" s="136">
        <v>0.0</v>
      </c>
      <c r="U5" s="137">
        <f t="shared" si="1"/>
        <v>100000</v>
      </c>
      <c r="V5" s="138">
        <v>100000.0</v>
      </c>
    </row>
    <row r="6">
      <c r="A6" s="1">
        <v>211.0</v>
      </c>
      <c r="B6" s="1" t="s">
        <v>150</v>
      </c>
      <c r="C6" s="129"/>
      <c r="D6" s="129">
        <v>40000.0</v>
      </c>
      <c r="E6" s="129">
        <v>5000.0</v>
      </c>
      <c r="F6" s="129">
        <v>5000.0</v>
      </c>
      <c r="G6" s="129">
        <v>2000.0</v>
      </c>
      <c r="H6" s="148">
        <v>0.0</v>
      </c>
      <c r="I6" s="129">
        <v>42900.0</v>
      </c>
      <c r="J6" s="148">
        <v>0.0</v>
      </c>
      <c r="K6" s="148">
        <v>0.0</v>
      </c>
      <c r="L6" s="148">
        <v>0.0</v>
      </c>
      <c r="M6" s="148">
        <v>0.0</v>
      </c>
      <c r="N6" s="148">
        <v>0.0</v>
      </c>
      <c r="O6" s="148">
        <v>0.0</v>
      </c>
      <c r="P6" s="148">
        <v>0.0</v>
      </c>
      <c r="Q6" s="129">
        <f>105000-94900</f>
        <v>10100</v>
      </c>
      <c r="R6" s="148">
        <v>0.0</v>
      </c>
      <c r="S6" s="148">
        <v>0.0</v>
      </c>
      <c r="T6" s="136">
        <v>0.0</v>
      </c>
      <c r="U6" s="137">
        <f t="shared" si="1"/>
        <v>105000</v>
      </c>
      <c r="V6" s="138">
        <v>105000.0</v>
      </c>
    </row>
    <row r="7">
      <c r="A7" s="1">
        <v>212.0</v>
      </c>
      <c r="B7" s="1" t="s">
        <v>151</v>
      </c>
      <c r="C7" s="129"/>
      <c r="D7" s="129">
        <v>40000.0</v>
      </c>
      <c r="E7" s="129">
        <v>5000.0</v>
      </c>
      <c r="F7" s="129">
        <v>5000.0</v>
      </c>
      <c r="G7" s="129">
        <v>2000.0</v>
      </c>
      <c r="H7" s="129">
        <v>10000.0</v>
      </c>
      <c r="I7" s="129">
        <v>40700.0</v>
      </c>
      <c r="J7" s="129">
        <f>363*30</f>
        <v>10890</v>
      </c>
      <c r="K7" s="129">
        <f t="shared" ref="K7:K8" si="2">73*30</f>
        <v>2190</v>
      </c>
      <c r="L7" s="148">
        <v>0.0</v>
      </c>
      <c r="M7" s="148">
        <v>0.0</v>
      </c>
      <c r="N7" s="148">
        <v>0.0</v>
      </c>
      <c r="O7" s="148">
        <v>0.0</v>
      </c>
      <c r="P7" s="148">
        <v>0.0</v>
      </c>
      <c r="Q7" s="148">
        <v>0.0</v>
      </c>
      <c r="R7" s="136">
        <v>1500.0</v>
      </c>
      <c r="S7" s="148">
        <v>0.0</v>
      </c>
      <c r="T7" s="171"/>
      <c r="U7" s="137">
        <f t="shared" si="1"/>
        <v>117280</v>
      </c>
      <c r="V7" s="138" t="s">
        <v>126</v>
      </c>
    </row>
    <row r="8">
      <c r="A8" s="1">
        <v>303.0</v>
      </c>
      <c r="B8" s="1" t="s">
        <v>152</v>
      </c>
      <c r="C8" s="129"/>
      <c r="D8" s="129">
        <v>40000.0</v>
      </c>
      <c r="E8" s="129">
        <v>5000.0</v>
      </c>
      <c r="F8" s="129">
        <v>5000.0</v>
      </c>
      <c r="G8" s="129">
        <v>2000.0</v>
      </c>
      <c r="H8" s="129">
        <v>10000.0</v>
      </c>
      <c r="I8" s="129">
        <v>42900.0</v>
      </c>
      <c r="J8" s="136">
        <f>242*30</f>
        <v>7260</v>
      </c>
      <c r="K8" s="129">
        <f t="shared" si="2"/>
        <v>2190</v>
      </c>
      <c r="L8" s="148">
        <v>0.0</v>
      </c>
      <c r="M8" s="148">
        <v>0.0</v>
      </c>
      <c r="N8" s="175" t="s">
        <v>145</v>
      </c>
      <c r="O8" s="175" t="s">
        <v>145</v>
      </c>
      <c r="P8" s="148">
        <v>0.0</v>
      </c>
      <c r="Q8" s="148">
        <v>0.0</v>
      </c>
      <c r="R8" s="136">
        <v>1500.0</v>
      </c>
      <c r="S8" s="171"/>
      <c r="T8" s="171"/>
      <c r="U8" s="137">
        <f t="shared" si="1"/>
        <v>115850</v>
      </c>
      <c r="V8" s="138">
        <v>100000.0</v>
      </c>
    </row>
    <row r="9">
      <c r="A9" s="1">
        <v>403.0</v>
      </c>
      <c r="B9" s="1" t="s">
        <v>153</v>
      </c>
      <c r="C9" s="129"/>
      <c r="D9" s="129">
        <v>40000.0</v>
      </c>
      <c r="E9" s="129">
        <v>5000.0</v>
      </c>
      <c r="F9" s="129">
        <v>5000.0</v>
      </c>
      <c r="G9" s="129">
        <v>2000.0</v>
      </c>
      <c r="H9" s="148">
        <v>0.0</v>
      </c>
      <c r="I9" s="129">
        <v>38000.0</v>
      </c>
      <c r="J9" s="148">
        <v>0.0</v>
      </c>
      <c r="K9" s="148">
        <v>0.0</v>
      </c>
      <c r="L9" s="148">
        <v>0.0</v>
      </c>
      <c r="M9" s="148">
        <v>0.0</v>
      </c>
      <c r="N9" s="148">
        <v>0.0</v>
      </c>
      <c r="O9" s="148">
        <v>0.0</v>
      </c>
      <c r="P9" s="129">
        <v>10000.0</v>
      </c>
      <c r="Q9" s="129">
        <v>0.0</v>
      </c>
      <c r="R9" s="148">
        <v>0.0</v>
      </c>
      <c r="S9" s="148">
        <v>0.0</v>
      </c>
      <c r="T9" s="136">
        <v>0.0</v>
      </c>
      <c r="U9" s="137">
        <f t="shared" si="1"/>
        <v>100000</v>
      </c>
      <c r="V9" s="138">
        <v>100000.0</v>
      </c>
    </row>
    <row r="10">
      <c r="A10" s="1"/>
      <c r="B10" s="1"/>
      <c r="C10" s="130"/>
      <c r="D10" s="148">
        <v>0.0</v>
      </c>
      <c r="E10" s="148">
        <v>0.0</v>
      </c>
      <c r="F10" s="148">
        <v>0.0</v>
      </c>
      <c r="G10" s="148">
        <v>0.0</v>
      </c>
      <c r="H10" s="148">
        <v>0.0</v>
      </c>
      <c r="I10" s="148">
        <v>0.0</v>
      </c>
      <c r="J10" s="148">
        <v>0.0</v>
      </c>
      <c r="K10" s="148">
        <v>0.0</v>
      </c>
      <c r="L10" s="148">
        <v>0.0</v>
      </c>
      <c r="M10" s="148">
        <v>0.0</v>
      </c>
      <c r="N10" s="148">
        <v>0.0</v>
      </c>
      <c r="O10" s="148">
        <v>0.0</v>
      </c>
      <c r="P10" s="148">
        <v>0.0</v>
      </c>
      <c r="Q10" s="148">
        <v>0.0</v>
      </c>
      <c r="R10" s="148">
        <v>0.0</v>
      </c>
      <c r="S10" s="171"/>
      <c r="T10" s="171"/>
      <c r="U10" s="137">
        <f t="shared" si="1"/>
        <v>0</v>
      </c>
      <c r="V10" s="147"/>
    </row>
    <row r="11">
      <c r="A11" s="1">
        <v>703.0</v>
      </c>
      <c r="B11" s="1" t="s">
        <v>154</v>
      </c>
      <c r="C11" s="130"/>
      <c r="D11" s="129">
        <v>40000.0</v>
      </c>
      <c r="E11" s="129">
        <v>5000.0</v>
      </c>
      <c r="F11" s="129">
        <v>5000.0</v>
      </c>
      <c r="G11" s="129">
        <v>2000.0</v>
      </c>
      <c r="H11" s="148">
        <v>0.0</v>
      </c>
      <c r="I11" s="129">
        <v>42900.0</v>
      </c>
      <c r="J11" s="148">
        <v>0.0</v>
      </c>
      <c r="K11" s="148">
        <v>0.0</v>
      </c>
      <c r="L11" s="148">
        <v>0.0</v>
      </c>
      <c r="M11" s="148">
        <v>0.0</v>
      </c>
      <c r="N11" s="148">
        <v>0.0</v>
      </c>
      <c r="O11" s="148">
        <v>0.0</v>
      </c>
      <c r="P11" s="148">
        <v>0.0</v>
      </c>
      <c r="Q11" s="129">
        <v>5100.0</v>
      </c>
      <c r="R11" s="148">
        <v>0.0</v>
      </c>
      <c r="S11" s="148">
        <v>0.0</v>
      </c>
      <c r="T11" s="136">
        <v>0.0</v>
      </c>
      <c r="U11" s="137">
        <f t="shared" si="1"/>
        <v>100000</v>
      </c>
      <c r="V11" s="138">
        <v>100000.0</v>
      </c>
    </row>
    <row r="12">
      <c r="A12" s="1">
        <v>715.0</v>
      </c>
      <c r="B12" s="1" t="s">
        <v>155</v>
      </c>
      <c r="C12" s="130"/>
      <c r="D12" s="129">
        <v>40000.0</v>
      </c>
      <c r="E12" s="129">
        <v>5000.0</v>
      </c>
      <c r="F12" s="129">
        <v>5000.0</v>
      </c>
      <c r="G12" s="129">
        <v>2000.0</v>
      </c>
      <c r="H12" s="129">
        <v>10000.0</v>
      </c>
      <c r="I12" s="129">
        <v>42900.0</v>
      </c>
      <c r="J12" s="148">
        <v>0.0</v>
      </c>
      <c r="K12" s="148">
        <v>0.0</v>
      </c>
      <c r="L12" s="148">
        <v>0.0</v>
      </c>
      <c r="M12" s="148">
        <v>0.0</v>
      </c>
      <c r="N12" s="148">
        <v>0.0</v>
      </c>
      <c r="O12" s="148">
        <v>0.0</v>
      </c>
      <c r="P12" s="148">
        <v>0.0</v>
      </c>
      <c r="Q12" s="129">
        <v>11100.0</v>
      </c>
      <c r="R12" s="148">
        <v>0.0</v>
      </c>
      <c r="S12" s="148">
        <v>0.0</v>
      </c>
      <c r="T12" s="136">
        <v>0.0</v>
      </c>
      <c r="U12" s="137">
        <f t="shared" si="1"/>
        <v>116000</v>
      </c>
      <c r="V12" s="138">
        <v>116000.0</v>
      </c>
    </row>
    <row r="13">
      <c r="A13" s="1">
        <v>716.0</v>
      </c>
      <c r="B13" s="1" t="s">
        <v>156</v>
      </c>
      <c r="C13" s="130"/>
      <c r="D13" s="129">
        <v>40000.0</v>
      </c>
      <c r="E13" s="129">
        <v>5000.0</v>
      </c>
      <c r="F13" s="129">
        <v>5000.0</v>
      </c>
      <c r="G13" s="129">
        <v>2000.0</v>
      </c>
      <c r="H13" s="148">
        <v>0.0</v>
      </c>
      <c r="I13" s="148">
        <v>0.0</v>
      </c>
      <c r="J13" s="148">
        <v>0.0</v>
      </c>
      <c r="K13" s="148">
        <v>0.0</v>
      </c>
      <c r="L13" s="148">
        <v>0.0</v>
      </c>
      <c r="M13" s="148">
        <v>0.0</v>
      </c>
      <c r="N13" s="148">
        <v>0.0</v>
      </c>
      <c r="O13" s="148">
        <v>0.0</v>
      </c>
      <c r="P13" s="148">
        <v>0.0</v>
      </c>
      <c r="Q13" s="148">
        <v>0.0</v>
      </c>
      <c r="R13" s="148">
        <v>0.0</v>
      </c>
      <c r="S13" s="148">
        <v>0.0</v>
      </c>
      <c r="T13" s="129">
        <v>500.0</v>
      </c>
      <c r="U13" s="137">
        <f t="shared" si="1"/>
        <v>52500</v>
      </c>
      <c r="V13" s="138" t="s">
        <v>126</v>
      </c>
    </row>
    <row r="14">
      <c r="A14" s="2"/>
      <c r="B14" s="2"/>
      <c r="C14" s="130"/>
      <c r="D14" s="148">
        <v>0.0</v>
      </c>
      <c r="E14" s="148">
        <v>0.0</v>
      </c>
      <c r="F14" s="148">
        <v>0.0</v>
      </c>
      <c r="G14" s="148">
        <v>0.0</v>
      </c>
      <c r="H14" s="148">
        <v>0.0</v>
      </c>
      <c r="I14" s="148">
        <v>0.0</v>
      </c>
      <c r="J14" s="148">
        <v>0.0</v>
      </c>
      <c r="K14" s="148">
        <v>0.0</v>
      </c>
      <c r="L14" s="148">
        <v>0.0</v>
      </c>
      <c r="M14" s="148">
        <v>0.0</v>
      </c>
      <c r="N14" s="148">
        <v>0.0</v>
      </c>
      <c r="O14" s="148">
        <v>0.0</v>
      </c>
      <c r="P14" s="148">
        <v>0.0</v>
      </c>
      <c r="Q14" s="148">
        <v>0.0</v>
      </c>
      <c r="R14" s="148">
        <v>0.0</v>
      </c>
      <c r="S14" s="148">
        <v>0.0</v>
      </c>
      <c r="T14" s="171"/>
      <c r="U14" s="137">
        <f t="shared" si="1"/>
        <v>0</v>
      </c>
      <c r="V14" s="147"/>
    </row>
    <row r="15">
      <c r="A15" s="2"/>
      <c r="B15" s="2"/>
      <c r="C15" s="130"/>
      <c r="D15" s="148">
        <v>0.0</v>
      </c>
      <c r="E15" s="148">
        <v>0.0</v>
      </c>
      <c r="F15" s="148">
        <v>0.0</v>
      </c>
      <c r="G15" s="148">
        <v>0.0</v>
      </c>
      <c r="H15" s="148">
        <v>0.0</v>
      </c>
      <c r="I15" s="148">
        <v>0.0</v>
      </c>
      <c r="J15" s="148">
        <v>0.0</v>
      </c>
      <c r="K15" s="148">
        <v>0.0</v>
      </c>
      <c r="L15" s="148">
        <v>0.0</v>
      </c>
      <c r="M15" s="148">
        <v>0.0</v>
      </c>
      <c r="N15" s="148">
        <v>0.0</v>
      </c>
      <c r="O15" s="148">
        <v>0.0</v>
      </c>
      <c r="P15" s="148">
        <v>0.0</v>
      </c>
      <c r="Q15" s="148">
        <v>0.0</v>
      </c>
      <c r="R15" s="148">
        <v>0.0</v>
      </c>
      <c r="S15" s="148">
        <v>0.0</v>
      </c>
      <c r="T15" s="171"/>
      <c r="U15" s="137">
        <f t="shared" si="1"/>
        <v>0</v>
      </c>
      <c r="V15" s="147"/>
    </row>
    <row r="16">
      <c r="A16" s="1" t="s">
        <v>2</v>
      </c>
      <c r="B16" s="2"/>
      <c r="C16" s="130"/>
      <c r="D16" s="148">
        <v>0.0</v>
      </c>
      <c r="E16" s="148">
        <v>0.0</v>
      </c>
      <c r="F16" s="148">
        <v>0.0</v>
      </c>
      <c r="G16" s="148">
        <v>0.0</v>
      </c>
      <c r="H16" s="148">
        <v>0.0</v>
      </c>
      <c r="I16" s="148">
        <v>0.0</v>
      </c>
      <c r="J16" s="148">
        <v>0.0</v>
      </c>
      <c r="K16" s="148">
        <v>0.0</v>
      </c>
      <c r="L16" s="148">
        <v>0.0</v>
      </c>
      <c r="M16" s="148">
        <v>0.0</v>
      </c>
      <c r="N16" s="148">
        <v>0.0</v>
      </c>
      <c r="O16" s="148">
        <v>0.0</v>
      </c>
      <c r="P16" s="148">
        <v>0.0</v>
      </c>
      <c r="Q16" s="148">
        <v>0.0</v>
      </c>
      <c r="R16" s="148">
        <v>0.0</v>
      </c>
      <c r="S16" s="148">
        <v>0.0</v>
      </c>
      <c r="T16" s="171"/>
      <c r="U16" s="137">
        <f t="shared" si="1"/>
        <v>0</v>
      </c>
      <c r="V16" s="147"/>
    </row>
    <row r="17">
      <c r="A17" s="1" t="s">
        <v>4</v>
      </c>
      <c r="B17" s="1" t="s">
        <v>5</v>
      </c>
      <c r="C17" s="130"/>
      <c r="D17" s="129">
        <v>40000.0</v>
      </c>
      <c r="E17" s="129">
        <v>5000.0</v>
      </c>
      <c r="F17" s="129">
        <v>5000.0</v>
      </c>
      <c r="G17" s="129">
        <v>2000.0</v>
      </c>
      <c r="H17" s="129">
        <v>10000.0</v>
      </c>
      <c r="I17" s="129">
        <v>16500.0</v>
      </c>
      <c r="J17" s="148">
        <v>0.0</v>
      </c>
      <c r="K17" s="148">
        <v>0.0</v>
      </c>
      <c r="L17" s="148">
        <v>0.0</v>
      </c>
      <c r="M17" s="148">
        <v>0.0</v>
      </c>
      <c r="N17" s="148">
        <v>0.0</v>
      </c>
      <c r="O17" s="148">
        <v>0.0</v>
      </c>
      <c r="P17" s="130">
        <v>6250.0</v>
      </c>
      <c r="Q17" s="148">
        <v>0.0</v>
      </c>
      <c r="R17" s="148">
        <v>0.0</v>
      </c>
      <c r="S17" s="171"/>
      <c r="T17" s="171"/>
      <c r="U17" s="137">
        <f t="shared" si="1"/>
        <v>84750</v>
      </c>
      <c r="V17" s="138" t="s">
        <v>126</v>
      </c>
    </row>
    <row r="18">
      <c r="A18" s="1" t="s">
        <v>6</v>
      </c>
      <c r="B18" s="1" t="s">
        <v>129</v>
      </c>
      <c r="C18" s="130"/>
      <c r="D18" s="129">
        <v>40000.0</v>
      </c>
      <c r="E18" s="129">
        <v>5000.0</v>
      </c>
      <c r="F18" s="129">
        <v>5000.0</v>
      </c>
      <c r="G18" s="129">
        <v>2000.0</v>
      </c>
      <c r="H18" s="148">
        <v>0.0</v>
      </c>
      <c r="I18" s="129">
        <v>33550.0</v>
      </c>
      <c r="J18" s="148">
        <v>0.0</v>
      </c>
      <c r="K18" s="148">
        <v>0.0</v>
      </c>
      <c r="L18" s="148">
        <v>0.0</v>
      </c>
      <c r="M18" s="148">
        <v>0.0</v>
      </c>
      <c r="N18" s="148">
        <v>0.0</v>
      </c>
      <c r="O18" s="148">
        <v>0.0</v>
      </c>
      <c r="P18" s="129">
        <v>10000.0</v>
      </c>
      <c r="Q18" s="129">
        <v>14450.0</v>
      </c>
      <c r="R18" s="177"/>
      <c r="S18" s="148">
        <v>0.0</v>
      </c>
      <c r="T18" s="171"/>
      <c r="U18" s="137">
        <f t="shared" si="1"/>
        <v>110000</v>
      </c>
      <c r="V18" s="138">
        <v>110000.0</v>
      </c>
    </row>
    <row r="19">
      <c r="A19" s="1" t="s">
        <v>7</v>
      </c>
      <c r="B19" s="1" t="s">
        <v>8</v>
      </c>
      <c r="C19" s="130"/>
      <c r="D19" s="129">
        <v>40000.0</v>
      </c>
      <c r="E19" s="129">
        <v>5000.0</v>
      </c>
      <c r="F19" s="129">
        <v>5000.0</v>
      </c>
      <c r="G19" s="129">
        <v>2000.0</v>
      </c>
      <c r="H19" s="129">
        <v>10000.0</v>
      </c>
      <c r="I19" s="148">
        <v>0.0</v>
      </c>
      <c r="J19" s="148">
        <v>0.0</v>
      </c>
      <c r="K19" s="129">
        <f>73*30</f>
        <v>2190</v>
      </c>
      <c r="L19" s="148">
        <v>0.0</v>
      </c>
      <c r="M19" s="148">
        <v>0.0</v>
      </c>
      <c r="N19" s="148">
        <v>0.0</v>
      </c>
      <c r="O19" s="148">
        <v>0.0</v>
      </c>
      <c r="P19" s="148">
        <v>0.0</v>
      </c>
      <c r="Q19" s="148">
        <v>0.0</v>
      </c>
      <c r="R19" s="136">
        <v>1500.0</v>
      </c>
      <c r="S19" s="148">
        <v>0.0</v>
      </c>
      <c r="T19" s="171"/>
      <c r="U19" s="137">
        <f t="shared" si="1"/>
        <v>65690</v>
      </c>
      <c r="V19" s="138" t="s">
        <v>126</v>
      </c>
    </row>
    <row r="20">
      <c r="A20" s="1" t="s">
        <v>9</v>
      </c>
      <c r="B20" s="1" t="s">
        <v>10</v>
      </c>
      <c r="C20" s="130"/>
      <c r="D20" s="129">
        <v>40000.0</v>
      </c>
      <c r="E20" s="129">
        <v>5000.0</v>
      </c>
      <c r="F20" s="129">
        <v>5000.0</v>
      </c>
      <c r="G20" s="129">
        <v>2000.0</v>
      </c>
      <c r="H20" s="148">
        <v>0.0</v>
      </c>
      <c r="I20" s="129">
        <v>40700.0</v>
      </c>
      <c r="J20" s="148">
        <v>0.0</v>
      </c>
      <c r="K20" s="148">
        <v>0.0</v>
      </c>
      <c r="L20" s="148">
        <v>0.0</v>
      </c>
      <c r="M20" s="148">
        <v>0.0</v>
      </c>
      <c r="N20" s="148">
        <v>0.0</v>
      </c>
      <c r="O20" s="148">
        <v>0.0</v>
      </c>
      <c r="P20" s="129">
        <v>10000.0</v>
      </c>
      <c r="Q20" s="129">
        <v>7300.0</v>
      </c>
      <c r="R20" s="148">
        <v>0.0</v>
      </c>
      <c r="S20" s="148">
        <v>0.0</v>
      </c>
      <c r="T20" s="171"/>
      <c r="U20" s="137">
        <f t="shared" si="1"/>
        <v>110000</v>
      </c>
      <c r="V20" s="138">
        <v>110000.0</v>
      </c>
    </row>
    <row r="21">
      <c r="A21" s="1" t="s">
        <v>11</v>
      </c>
      <c r="B21" s="2"/>
      <c r="C21" s="130"/>
      <c r="D21" s="148">
        <v>0.0</v>
      </c>
      <c r="E21" s="148">
        <v>0.0</v>
      </c>
      <c r="F21" s="148">
        <v>0.0</v>
      </c>
      <c r="G21" s="148">
        <v>0.0</v>
      </c>
      <c r="H21" s="148">
        <v>0.0</v>
      </c>
      <c r="I21" s="148">
        <v>0.0</v>
      </c>
      <c r="J21" s="148">
        <v>0.0</v>
      </c>
      <c r="K21" s="148">
        <v>0.0</v>
      </c>
      <c r="L21" s="148">
        <v>0.0</v>
      </c>
      <c r="M21" s="148">
        <v>0.0</v>
      </c>
      <c r="N21" s="148">
        <v>0.0</v>
      </c>
      <c r="O21" s="148">
        <v>0.0</v>
      </c>
      <c r="P21" s="148">
        <v>0.0</v>
      </c>
      <c r="Q21" s="148">
        <v>0.0</v>
      </c>
      <c r="R21" s="148">
        <v>0.0</v>
      </c>
      <c r="S21" s="148">
        <v>0.0</v>
      </c>
      <c r="T21" s="171"/>
      <c r="U21" s="137">
        <f t="shared" si="1"/>
        <v>0</v>
      </c>
      <c r="V21" s="147"/>
    </row>
    <row r="22">
      <c r="A22" s="1" t="s">
        <v>12</v>
      </c>
      <c r="B22" s="1" t="s">
        <v>13</v>
      </c>
      <c r="C22" s="130"/>
      <c r="D22" s="129">
        <v>40000.0</v>
      </c>
      <c r="E22" s="129">
        <v>5000.0</v>
      </c>
      <c r="F22" s="129">
        <v>5000.0</v>
      </c>
      <c r="G22" s="129">
        <v>2000.0</v>
      </c>
      <c r="H22" s="148">
        <v>0.0</v>
      </c>
      <c r="I22" s="129">
        <v>16500.0</v>
      </c>
      <c r="J22" s="148">
        <v>0.0</v>
      </c>
      <c r="K22" s="148">
        <v>0.0</v>
      </c>
      <c r="L22" s="148">
        <v>0.0</v>
      </c>
      <c r="M22" s="148">
        <v>0.0</v>
      </c>
      <c r="N22" s="148">
        <v>0.0</v>
      </c>
      <c r="O22" s="148">
        <v>0.0</v>
      </c>
      <c r="P22" s="148">
        <v>0.0</v>
      </c>
      <c r="Q22" s="129">
        <v>19670.0</v>
      </c>
      <c r="R22" s="148">
        <v>0.0</v>
      </c>
      <c r="S22" s="148">
        <v>0.0</v>
      </c>
      <c r="T22" s="171"/>
      <c r="U22" s="137">
        <f t="shared" si="1"/>
        <v>88170</v>
      </c>
      <c r="V22" s="138" t="s">
        <v>126</v>
      </c>
    </row>
    <row r="23">
      <c r="A23" s="1" t="s">
        <v>14</v>
      </c>
      <c r="B23" s="1" t="s">
        <v>15</v>
      </c>
      <c r="C23" s="130"/>
      <c r="D23" s="129">
        <v>40000.0</v>
      </c>
      <c r="E23" s="129">
        <v>5000.0</v>
      </c>
      <c r="F23" s="129">
        <v>5000.0</v>
      </c>
      <c r="G23" s="129">
        <v>2000.0</v>
      </c>
      <c r="H23" s="148">
        <v>0.0</v>
      </c>
      <c r="I23" s="129">
        <v>42900.0</v>
      </c>
      <c r="J23" s="148">
        <v>0.0</v>
      </c>
      <c r="K23" s="148">
        <v>0.0</v>
      </c>
      <c r="L23" s="148">
        <v>0.0</v>
      </c>
      <c r="M23" s="148">
        <v>0.0</v>
      </c>
      <c r="N23" s="148">
        <v>0.0</v>
      </c>
      <c r="O23" s="148">
        <v>0.0</v>
      </c>
      <c r="P23" s="129">
        <v>20000.0</v>
      </c>
      <c r="Q23" s="148">
        <v>0.0</v>
      </c>
      <c r="R23" s="148">
        <v>0.0</v>
      </c>
      <c r="S23" s="148">
        <v>0.0</v>
      </c>
      <c r="T23" s="171"/>
      <c r="U23" s="137">
        <f t="shared" si="1"/>
        <v>114900</v>
      </c>
      <c r="V23" s="138" t="s">
        <v>126</v>
      </c>
    </row>
    <row r="24">
      <c r="A24" s="1" t="s">
        <v>16</v>
      </c>
      <c r="B24" s="2"/>
      <c r="C24" s="130"/>
      <c r="D24" s="148">
        <v>0.0</v>
      </c>
      <c r="E24" s="148">
        <v>0.0</v>
      </c>
      <c r="F24" s="148">
        <v>0.0</v>
      </c>
      <c r="G24" s="148">
        <v>0.0</v>
      </c>
      <c r="H24" s="148">
        <v>0.0</v>
      </c>
      <c r="I24" s="148">
        <v>0.0</v>
      </c>
      <c r="J24" s="148">
        <v>0.0</v>
      </c>
      <c r="K24" s="148">
        <v>0.0</v>
      </c>
      <c r="L24" s="148">
        <v>0.0</v>
      </c>
      <c r="M24" s="148">
        <v>0.0</v>
      </c>
      <c r="N24" s="148">
        <v>0.0</v>
      </c>
      <c r="O24" s="148">
        <v>0.0</v>
      </c>
      <c r="P24" s="148">
        <v>0.0</v>
      </c>
      <c r="Q24" s="148">
        <v>0.0</v>
      </c>
      <c r="R24" s="148">
        <v>0.0</v>
      </c>
      <c r="S24" s="148">
        <v>0.0</v>
      </c>
      <c r="T24" s="171"/>
      <c r="U24" s="137">
        <f t="shared" si="1"/>
        <v>0</v>
      </c>
      <c r="V24" s="147"/>
    </row>
    <row r="25">
      <c r="A25" s="1" t="s">
        <v>18</v>
      </c>
      <c r="B25" s="1" t="s">
        <v>19</v>
      </c>
      <c r="C25" s="130"/>
      <c r="D25" s="129">
        <v>40000.0</v>
      </c>
      <c r="E25" s="129">
        <v>5000.0</v>
      </c>
      <c r="F25" s="129">
        <v>5000.0</v>
      </c>
      <c r="G25" s="129">
        <v>2000.0</v>
      </c>
      <c r="H25" s="129">
        <v>10000.0</v>
      </c>
      <c r="I25" s="148">
        <v>0.0</v>
      </c>
      <c r="J25" s="129">
        <f>242*22</f>
        <v>5324</v>
      </c>
      <c r="K25" s="148">
        <v>0.0</v>
      </c>
      <c r="L25" s="148">
        <v>0.0</v>
      </c>
      <c r="M25" s="148">
        <v>0.0</v>
      </c>
      <c r="N25" s="175" t="s">
        <v>145</v>
      </c>
      <c r="O25" s="175" t="s">
        <v>145</v>
      </c>
      <c r="P25" s="148">
        <v>0.0</v>
      </c>
      <c r="Q25" s="148">
        <v>0.0</v>
      </c>
      <c r="R25" s="136">
        <v>1500.0</v>
      </c>
      <c r="S25" s="148">
        <v>0.0</v>
      </c>
      <c r="T25" s="129">
        <v>14000.0</v>
      </c>
      <c r="U25" s="137">
        <f t="shared" si="1"/>
        <v>82824</v>
      </c>
      <c r="V25" s="138" t="s">
        <v>126</v>
      </c>
    </row>
    <row r="26">
      <c r="A26" s="2"/>
      <c r="B26" s="2"/>
      <c r="C26" s="130"/>
      <c r="D26" s="148">
        <v>0.0</v>
      </c>
      <c r="E26" s="148">
        <v>0.0</v>
      </c>
      <c r="F26" s="148">
        <v>0.0</v>
      </c>
      <c r="G26" s="148">
        <v>0.0</v>
      </c>
      <c r="H26" s="148">
        <v>0.0</v>
      </c>
      <c r="I26" s="148">
        <v>0.0</v>
      </c>
      <c r="J26" s="148">
        <v>0.0</v>
      </c>
      <c r="K26" s="148">
        <v>0.0</v>
      </c>
      <c r="L26" s="148">
        <v>0.0</v>
      </c>
      <c r="M26" s="148">
        <v>0.0</v>
      </c>
      <c r="N26" s="148">
        <v>0.0</v>
      </c>
      <c r="O26" s="148">
        <v>0.0</v>
      </c>
      <c r="P26" s="148">
        <v>0.0</v>
      </c>
      <c r="Q26" s="148">
        <v>0.0</v>
      </c>
      <c r="R26" s="148">
        <v>0.0</v>
      </c>
      <c r="S26" s="148">
        <v>0.0</v>
      </c>
      <c r="T26" s="171"/>
      <c r="U26" s="137">
        <f t="shared" si="1"/>
        <v>0</v>
      </c>
      <c r="V26" s="147"/>
    </row>
    <row r="27">
      <c r="A27" s="125" t="s">
        <v>119</v>
      </c>
      <c r="B27" s="153"/>
      <c r="C27" s="133"/>
      <c r="D27" s="133">
        <f t="shared" ref="D27:T27" si="3">SUM(D3:D26)</f>
        <v>680000</v>
      </c>
      <c r="E27" s="133">
        <f t="shared" si="3"/>
        <v>85000</v>
      </c>
      <c r="F27" s="133">
        <f t="shared" si="3"/>
        <v>85000</v>
      </c>
      <c r="G27" s="133">
        <f t="shared" si="3"/>
        <v>34000</v>
      </c>
      <c r="H27" s="133">
        <f t="shared" si="3"/>
        <v>60000</v>
      </c>
      <c r="I27" s="133">
        <f t="shared" si="3"/>
        <v>511500</v>
      </c>
      <c r="J27" s="133">
        <f t="shared" si="3"/>
        <v>23474</v>
      </c>
      <c r="K27" s="133">
        <f t="shared" si="3"/>
        <v>6570</v>
      </c>
      <c r="L27" s="133">
        <f t="shared" si="3"/>
        <v>0</v>
      </c>
      <c r="M27" s="133">
        <f t="shared" si="3"/>
        <v>0</v>
      </c>
      <c r="N27" s="133">
        <f t="shared" si="3"/>
        <v>0</v>
      </c>
      <c r="O27" s="133">
        <f t="shared" si="3"/>
        <v>0</v>
      </c>
      <c r="P27" s="133">
        <f t="shared" si="3"/>
        <v>56250</v>
      </c>
      <c r="Q27" s="133">
        <f t="shared" si="3"/>
        <v>80670</v>
      </c>
      <c r="R27" s="133">
        <f t="shared" si="3"/>
        <v>6000</v>
      </c>
      <c r="S27" s="133">
        <f t="shared" si="3"/>
        <v>0</v>
      </c>
      <c r="T27" s="133">
        <f t="shared" si="3"/>
        <v>14500</v>
      </c>
      <c r="U27" s="137">
        <f t="shared" si="1"/>
        <v>1642964</v>
      </c>
      <c r="V27" s="147"/>
    </row>
    <row r="28">
      <c r="A28" s="127"/>
      <c r="B28" s="127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>
      <c r="A29" s="127"/>
      <c r="B29" s="127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</row>
    <row r="30">
      <c r="A30" s="127"/>
      <c r="B30" s="127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</row>
    <row r="31">
      <c r="A31" s="127"/>
      <c r="B31" s="127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>
      <c r="A32" s="127"/>
      <c r="B32" s="127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</row>
    <row r="33">
      <c r="A33" s="127"/>
      <c r="B33" s="127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</row>
    <row r="34">
      <c r="A34" s="127"/>
      <c r="B34" s="127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</row>
    <row r="35">
      <c r="A35" s="127"/>
      <c r="B35" s="127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</row>
    <row r="36">
      <c r="A36" s="127"/>
      <c r="B36" s="127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</row>
    <row r="37">
      <c r="A37" s="127"/>
      <c r="B37" s="127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</row>
    <row r="38">
      <c r="A38" s="127"/>
      <c r="B38" s="127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</row>
    <row r="39">
      <c r="A39" s="127"/>
      <c r="B39" s="127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</row>
    <row r="40">
      <c r="A40" s="127"/>
      <c r="B40" s="127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</row>
    <row r="41">
      <c r="A41" s="127"/>
      <c r="B41" s="127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</row>
    <row r="42">
      <c r="A42" s="127"/>
      <c r="B42" s="127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</row>
    <row r="43">
      <c r="A43" s="127"/>
      <c r="B43" s="127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</row>
    <row r="44">
      <c r="A44" s="127"/>
      <c r="B44" s="127"/>
    </row>
    <row r="45">
      <c r="A45" s="127"/>
      <c r="B45" s="127"/>
    </row>
    <row r="46">
      <c r="A46" s="127"/>
      <c r="B46" s="127"/>
    </row>
    <row r="47">
      <c r="A47" s="127"/>
      <c r="B47" s="127"/>
    </row>
    <row r="48">
      <c r="A48" s="127"/>
      <c r="B48" s="127"/>
    </row>
    <row r="49">
      <c r="A49" s="127"/>
      <c r="B49" s="127"/>
    </row>
    <row r="50">
      <c r="A50" s="127"/>
      <c r="B50" s="127"/>
    </row>
    <row r="51">
      <c r="A51" s="127"/>
      <c r="B51" s="127"/>
    </row>
    <row r="52">
      <c r="A52" s="127"/>
      <c r="B52" s="127"/>
    </row>
    <row r="53">
      <c r="A53" s="127"/>
      <c r="B53" s="127"/>
    </row>
    <row r="54">
      <c r="A54" s="127"/>
      <c r="B54" s="127"/>
    </row>
    <row r="55">
      <c r="A55" s="127"/>
      <c r="B55" s="127"/>
    </row>
    <row r="56">
      <c r="A56" s="127"/>
      <c r="B56" s="127"/>
    </row>
    <row r="57">
      <c r="A57" s="127"/>
      <c r="B57" s="127"/>
    </row>
    <row r="58">
      <c r="A58" s="127"/>
      <c r="B58" s="127"/>
    </row>
    <row r="59">
      <c r="A59" s="127"/>
      <c r="B59" s="127"/>
    </row>
    <row r="60">
      <c r="A60" s="127"/>
      <c r="B60" s="127"/>
    </row>
    <row r="61">
      <c r="A61" s="127"/>
      <c r="B61" s="127"/>
    </row>
    <row r="62">
      <c r="A62" s="127"/>
      <c r="B62" s="127"/>
    </row>
    <row r="63">
      <c r="A63" s="127"/>
      <c r="B63" s="127"/>
    </row>
    <row r="64">
      <c r="A64" s="127"/>
      <c r="B64" s="127"/>
    </row>
    <row r="65">
      <c r="A65" s="127"/>
      <c r="B65" s="127"/>
    </row>
    <row r="66">
      <c r="A66" s="127"/>
      <c r="B66" s="127"/>
    </row>
    <row r="67">
      <c r="A67" s="127"/>
      <c r="B67" s="127"/>
    </row>
    <row r="68">
      <c r="A68" s="127"/>
      <c r="B68" s="127"/>
    </row>
    <row r="69">
      <c r="A69" s="127"/>
      <c r="B69" s="127"/>
    </row>
    <row r="70">
      <c r="A70" s="127"/>
      <c r="B70" s="127"/>
    </row>
    <row r="71">
      <c r="A71" s="127"/>
      <c r="B71" s="127"/>
    </row>
    <row r="72">
      <c r="A72" s="127"/>
      <c r="B72" s="127"/>
    </row>
    <row r="73">
      <c r="A73" s="127"/>
      <c r="B73" s="127"/>
    </row>
    <row r="74">
      <c r="A74" s="127"/>
      <c r="B74" s="127"/>
    </row>
    <row r="75">
      <c r="A75" s="127"/>
      <c r="B75" s="127"/>
    </row>
    <row r="76">
      <c r="A76" s="127"/>
      <c r="B76" s="127"/>
    </row>
    <row r="77">
      <c r="A77" s="127"/>
      <c r="B77" s="127"/>
    </row>
    <row r="78">
      <c r="A78" s="127"/>
      <c r="B78" s="127"/>
    </row>
    <row r="79">
      <c r="A79" s="127"/>
      <c r="B79" s="127"/>
    </row>
    <row r="80">
      <c r="A80" s="127"/>
      <c r="B80" s="127"/>
    </row>
    <row r="81">
      <c r="A81" s="127"/>
      <c r="B81" s="127"/>
    </row>
    <row r="82">
      <c r="A82" s="127"/>
      <c r="B82" s="127"/>
    </row>
    <row r="83">
      <c r="A83" s="127"/>
      <c r="B83" s="127"/>
    </row>
    <row r="84">
      <c r="A84" s="127"/>
      <c r="B84" s="127"/>
    </row>
    <row r="85">
      <c r="A85" s="127"/>
      <c r="B85" s="127"/>
    </row>
    <row r="86">
      <c r="A86" s="127"/>
      <c r="B86" s="127"/>
    </row>
    <row r="87">
      <c r="A87" s="127"/>
      <c r="B87" s="127"/>
    </row>
    <row r="88">
      <c r="A88" s="127"/>
      <c r="B88" s="127"/>
    </row>
    <row r="89">
      <c r="A89" s="127"/>
      <c r="B89" s="127"/>
    </row>
    <row r="90">
      <c r="A90" s="127"/>
      <c r="B90" s="127"/>
    </row>
    <row r="91">
      <c r="A91" s="127"/>
      <c r="B91" s="127"/>
    </row>
    <row r="92">
      <c r="A92" s="127"/>
      <c r="B92" s="127"/>
    </row>
    <row r="93">
      <c r="A93" s="127"/>
      <c r="B93" s="127"/>
    </row>
    <row r="94">
      <c r="A94" s="127"/>
      <c r="B94" s="127"/>
    </row>
    <row r="95">
      <c r="A95" s="127"/>
      <c r="B95" s="127"/>
    </row>
    <row r="96">
      <c r="A96" s="127"/>
      <c r="B96" s="127"/>
    </row>
    <row r="97">
      <c r="A97" s="127"/>
      <c r="B97" s="127"/>
    </row>
    <row r="98">
      <c r="A98" s="127"/>
      <c r="B98" s="127"/>
    </row>
    <row r="99">
      <c r="A99" s="127"/>
      <c r="B99" s="127"/>
    </row>
    <row r="100">
      <c r="A100" s="127"/>
      <c r="B100" s="127"/>
    </row>
    <row r="101">
      <c r="A101" s="127"/>
      <c r="B101" s="127"/>
    </row>
    <row r="102">
      <c r="A102" s="127"/>
      <c r="B102" s="127"/>
    </row>
    <row r="103">
      <c r="A103" s="127"/>
      <c r="B103" s="127"/>
    </row>
    <row r="104">
      <c r="A104" s="127"/>
      <c r="B104" s="127"/>
    </row>
    <row r="105">
      <c r="A105" s="127"/>
      <c r="B105" s="127"/>
    </row>
    <row r="106">
      <c r="A106" s="127"/>
      <c r="B106" s="127"/>
    </row>
    <row r="107">
      <c r="A107" s="127"/>
      <c r="B107" s="127"/>
    </row>
    <row r="108">
      <c r="A108" s="127"/>
      <c r="B108" s="127"/>
    </row>
    <row r="109">
      <c r="A109" s="127"/>
      <c r="B109" s="127"/>
    </row>
    <row r="110">
      <c r="A110" s="127"/>
      <c r="B110" s="127"/>
    </row>
    <row r="111">
      <c r="A111" s="127"/>
      <c r="B111" s="127"/>
    </row>
    <row r="112">
      <c r="A112" s="127"/>
      <c r="B112" s="127"/>
    </row>
    <row r="113">
      <c r="A113" s="127"/>
      <c r="B113" s="127"/>
    </row>
    <row r="114">
      <c r="A114" s="127"/>
      <c r="B114" s="127"/>
    </row>
    <row r="115">
      <c r="A115" s="127"/>
      <c r="B115" s="127"/>
    </row>
    <row r="116">
      <c r="A116" s="127"/>
      <c r="B116" s="127"/>
    </row>
    <row r="117">
      <c r="A117" s="127"/>
      <c r="B117" s="127"/>
    </row>
    <row r="118">
      <c r="A118" s="127"/>
      <c r="B118" s="127"/>
    </row>
    <row r="119">
      <c r="A119" s="127"/>
      <c r="B119" s="127"/>
    </row>
    <row r="120">
      <c r="A120" s="127"/>
      <c r="B120" s="127"/>
    </row>
    <row r="121">
      <c r="A121" s="127"/>
      <c r="B121" s="127"/>
    </row>
    <row r="122">
      <c r="A122" s="127"/>
      <c r="B122" s="127"/>
    </row>
    <row r="123">
      <c r="A123" s="127"/>
      <c r="B123" s="127"/>
    </row>
    <row r="124">
      <c r="A124" s="127"/>
      <c r="B124" s="127"/>
    </row>
    <row r="125">
      <c r="A125" s="127"/>
      <c r="B125" s="127"/>
    </row>
    <row r="126">
      <c r="A126" s="127"/>
      <c r="B126" s="127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>
      <c r="A1" s="117">
        <v>45808.0</v>
      </c>
      <c r="C1" s="118" t="s">
        <v>72</v>
      </c>
      <c r="D1" s="139"/>
    </row>
    <row r="2">
      <c r="A2" s="1" t="s">
        <v>0</v>
      </c>
      <c r="B2" s="1" t="s">
        <v>1</v>
      </c>
      <c r="C2" s="4" t="s">
        <v>132</v>
      </c>
      <c r="D2" s="121" t="s">
        <v>99</v>
      </c>
      <c r="E2" s="121" t="s">
        <v>100</v>
      </c>
      <c r="F2" s="121" t="s">
        <v>101</v>
      </c>
      <c r="G2" s="121" t="s">
        <v>102</v>
      </c>
      <c r="H2" s="4" t="s">
        <v>103</v>
      </c>
      <c r="I2" s="1" t="s">
        <v>104</v>
      </c>
      <c r="J2" s="1" t="s">
        <v>106</v>
      </c>
      <c r="K2" s="1" t="s">
        <v>107</v>
      </c>
      <c r="L2" s="1" t="s">
        <v>111</v>
      </c>
      <c r="M2" s="1" t="s">
        <v>137</v>
      </c>
      <c r="N2" s="1" t="s">
        <v>138</v>
      </c>
      <c r="O2" s="1" t="s">
        <v>139</v>
      </c>
      <c r="P2" s="1" t="s">
        <v>108</v>
      </c>
      <c r="Q2" s="169" t="s">
        <v>114</v>
      </c>
      <c r="R2" s="169" t="s">
        <v>109</v>
      </c>
      <c r="S2" s="169" t="s">
        <v>140</v>
      </c>
      <c r="T2" s="169" t="s">
        <v>115</v>
      </c>
      <c r="U2" s="125" t="s">
        <v>119</v>
      </c>
      <c r="V2" s="126" t="s">
        <v>35</v>
      </c>
      <c r="W2" s="126" t="s">
        <v>146</v>
      </c>
      <c r="X2" s="127"/>
      <c r="Y2" s="127"/>
      <c r="Z2" s="127"/>
      <c r="AA2" s="127"/>
      <c r="AB2" s="127"/>
      <c r="AC2" s="127"/>
      <c r="AD2" s="127"/>
      <c r="AE2" s="127"/>
      <c r="AF2" s="127"/>
      <c r="AG2" s="127"/>
    </row>
    <row r="3">
      <c r="A3" s="1">
        <v>108.0</v>
      </c>
      <c r="B3" s="1" t="s">
        <v>147</v>
      </c>
      <c r="C3" s="129"/>
      <c r="D3" s="129">
        <v>40000.0</v>
      </c>
      <c r="E3" s="129">
        <v>5000.0</v>
      </c>
      <c r="F3" s="129">
        <v>5000.0</v>
      </c>
      <c r="G3" s="129">
        <v>2000.0</v>
      </c>
      <c r="H3" s="148">
        <v>0.0</v>
      </c>
      <c r="I3" s="129">
        <v>28000.0</v>
      </c>
      <c r="J3" s="148">
        <v>0.0</v>
      </c>
      <c r="K3" s="148">
        <v>0.0</v>
      </c>
      <c r="L3" s="148">
        <v>0.0</v>
      </c>
      <c r="M3" s="148">
        <v>0.0</v>
      </c>
      <c r="N3" s="148">
        <v>0.0</v>
      </c>
      <c r="O3" s="148">
        <v>0.0</v>
      </c>
      <c r="P3" s="148">
        <v>0.0</v>
      </c>
      <c r="Q3" s="136">
        <v>0.0</v>
      </c>
      <c r="R3" s="148">
        <v>0.0</v>
      </c>
      <c r="S3" s="148">
        <v>0.0</v>
      </c>
      <c r="T3" s="177"/>
      <c r="U3" s="137">
        <f t="shared" ref="U3:U27" si="1">SUM(D3:T3)</f>
        <v>80000</v>
      </c>
      <c r="V3" s="138">
        <v>80000.0</v>
      </c>
    </row>
    <row r="4">
      <c r="A4" s="1">
        <v>206.0</v>
      </c>
      <c r="B4" s="1" t="s">
        <v>148</v>
      </c>
      <c r="C4" s="129"/>
      <c r="D4" s="129">
        <v>40000.0</v>
      </c>
      <c r="E4" s="129">
        <v>5000.0</v>
      </c>
      <c r="F4" s="129">
        <v>5000.0</v>
      </c>
      <c r="G4" s="129">
        <v>2000.0</v>
      </c>
      <c r="H4" s="148">
        <v>0.0</v>
      </c>
      <c r="I4" s="129">
        <v>41580.0</v>
      </c>
      <c r="J4" s="148">
        <v>0.0</v>
      </c>
      <c r="K4" s="148">
        <v>0.0</v>
      </c>
      <c r="L4" s="148">
        <v>0.0</v>
      </c>
      <c r="M4" s="148">
        <v>0.0</v>
      </c>
      <c r="N4" s="148">
        <v>0.0</v>
      </c>
      <c r="O4" s="148">
        <v>0.0</v>
      </c>
      <c r="P4" s="148">
        <v>0.0</v>
      </c>
      <c r="Q4" s="136">
        <v>6420.0</v>
      </c>
      <c r="R4" s="148">
        <v>0.0</v>
      </c>
      <c r="S4" s="148">
        <v>0.0</v>
      </c>
      <c r="T4" s="171"/>
      <c r="U4" s="137">
        <f t="shared" si="1"/>
        <v>100000</v>
      </c>
      <c r="V4" s="138">
        <v>100000.0</v>
      </c>
    </row>
    <row r="5">
      <c r="A5" s="1">
        <v>210.0</v>
      </c>
      <c r="B5" s="1" t="s">
        <v>149</v>
      </c>
      <c r="C5" s="129"/>
      <c r="D5" s="129">
        <v>40000.0</v>
      </c>
      <c r="E5" s="129">
        <v>5000.0</v>
      </c>
      <c r="F5" s="129">
        <v>5000.0</v>
      </c>
      <c r="G5" s="129">
        <v>2000.0</v>
      </c>
      <c r="H5" s="148">
        <v>0.0</v>
      </c>
      <c r="I5" s="129">
        <v>44330.0</v>
      </c>
      <c r="J5" s="148">
        <v>0.0</v>
      </c>
      <c r="K5" s="148">
        <v>0.0</v>
      </c>
      <c r="L5" s="148">
        <v>0.0</v>
      </c>
      <c r="M5" s="148">
        <v>0.0</v>
      </c>
      <c r="N5" s="148">
        <v>0.0</v>
      </c>
      <c r="O5" s="148">
        <v>0.0</v>
      </c>
      <c r="P5" s="148">
        <v>0.0</v>
      </c>
      <c r="Q5" s="129">
        <v>3670.0</v>
      </c>
      <c r="R5" s="148">
        <v>0.0</v>
      </c>
      <c r="S5" s="148">
        <v>0.0</v>
      </c>
      <c r="T5" s="171"/>
      <c r="U5" s="137">
        <f t="shared" si="1"/>
        <v>100000</v>
      </c>
      <c r="V5" s="138">
        <v>100000.0</v>
      </c>
    </row>
    <row r="6">
      <c r="A6" s="1">
        <v>211.0</v>
      </c>
      <c r="B6" s="1" t="s">
        <v>150</v>
      </c>
      <c r="C6" s="129"/>
      <c r="D6" s="129">
        <v>40000.0</v>
      </c>
      <c r="E6" s="129">
        <v>5000.0</v>
      </c>
      <c r="F6" s="129">
        <v>5000.0</v>
      </c>
      <c r="G6" s="129">
        <v>2000.0</v>
      </c>
      <c r="H6" s="148">
        <v>0.0</v>
      </c>
      <c r="I6" s="129">
        <v>44330.0</v>
      </c>
      <c r="J6" s="148">
        <v>0.0</v>
      </c>
      <c r="K6" s="148">
        <v>0.0</v>
      </c>
      <c r="L6" s="148">
        <v>0.0</v>
      </c>
      <c r="M6" s="148">
        <v>0.0</v>
      </c>
      <c r="N6" s="148">
        <v>0.0</v>
      </c>
      <c r="O6" s="148">
        <v>0.0</v>
      </c>
      <c r="P6" s="148">
        <v>0.0</v>
      </c>
      <c r="Q6" s="129">
        <v>8670.0</v>
      </c>
      <c r="R6" s="148">
        <v>0.0</v>
      </c>
      <c r="S6" s="148">
        <v>0.0</v>
      </c>
      <c r="T6" s="171"/>
      <c r="U6" s="137">
        <f t="shared" si="1"/>
        <v>105000</v>
      </c>
      <c r="V6" s="138">
        <v>105000.0</v>
      </c>
    </row>
    <row r="7">
      <c r="A7" s="1">
        <v>212.0</v>
      </c>
      <c r="B7" s="1" t="s">
        <v>151</v>
      </c>
      <c r="C7" s="129"/>
      <c r="D7" s="129">
        <v>40000.0</v>
      </c>
      <c r="E7" s="129">
        <v>5000.0</v>
      </c>
      <c r="F7" s="129">
        <v>5000.0</v>
      </c>
      <c r="G7" s="129">
        <v>2000.0</v>
      </c>
      <c r="H7" s="129">
        <v>10000.0</v>
      </c>
      <c r="I7" s="129">
        <v>42130.0</v>
      </c>
      <c r="J7" s="129">
        <v>11253.0</v>
      </c>
      <c r="K7" s="129">
        <v>2263.0</v>
      </c>
      <c r="L7" s="148">
        <v>0.0</v>
      </c>
      <c r="M7" s="148">
        <v>0.0</v>
      </c>
      <c r="N7" s="148">
        <v>0.0</v>
      </c>
      <c r="O7" s="148">
        <v>0.0</v>
      </c>
      <c r="P7" s="148">
        <v>0.0</v>
      </c>
      <c r="Q7" s="148">
        <v>0.0</v>
      </c>
      <c r="R7" s="136">
        <v>1500.0</v>
      </c>
      <c r="S7" s="148">
        <v>0.0</v>
      </c>
      <c r="T7" s="171"/>
      <c r="U7" s="137">
        <f t="shared" si="1"/>
        <v>119146</v>
      </c>
      <c r="V7" s="138" t="s">
        <v>126</v>
      </c>
    </row>
    <row r="8">
      <c r="A8" s="1">
        <v>303.0</v>
      </c>
      <c r="B8" s="1" t="s">
        <v>152</v>
      </c>
      <c r="C8" s="129"/>
      <c r="D8" s="129">
        <v>40000.0</v>
      </c>
      <c r="E8" s="129">
        <v>5000.0</v>
      </c>
      <c r="F8" s="129">
        <v>5000.0</v>
      </c>
      <c r="G8" s="129">
        <v>2000.0</v>
      </c>
      <c r="H8" s="129">
        <v>10000.0</v>
      </c>
      <c r="I8" s="129">
        <v>43450.0</v>
      </c>
      <c r="J8" s="136">
        <v>7502.0</v>
      </c>
      <c r="K8" s="129">
        <v>2263.0</v>
      </c>
      <c r="L8" s="148">
        <v>0.0</v>
      </c>
      <c r="M8" s="148">
        <v>0.0</v>
      </c>
      <c r="N8" s="175" t="s">
        <v>145</v>
      </c>
      <c r="O8" s="175" t="s">
        <v>145</v>
      </c>
      <c r="P8" s="148">
        <v>0.0</v>
      </c>
      <c r="Q8" s="148">
        <v>0.0</v>
      </c>
      <c r="R8" s="136">
        <v>1500.0</v>
      </c>
      <c r="S8" s="171"/>
      <c r="T8" s="171"/>
      <c r="U8" s="137">
        <f t="shared" si="1"/>
        <v>116715</v>
      </c>
      <c r="V8" s="138">
        <v>100000.0</v>
      </c>
    </row>
    <row r="9">
      <c r="A9" s="1">
        <v>403.0</v>
      </c>
      <c r="B9" s="1" t="s">
        <v>153</v>
      </c>
      <c r="C9" s="129"/>
      <c r="D9" s="129">
        <v>40000.0</v>
      </c>
      <c r="E9" s="129">
        <v>5000.0</v>
      </c>
      <c r="F9" s="129">
        <v>5000.0</v>
      </c>
      <c r="G9" s="129">
        <v>2000.0</v>
      </c>
      <c r="H9" s="148">
        <v>0.0</v>
      </c>
      <c r="I9" s="129">
        <v>38000.0</v>
      </c>
      <c r="J9" s="148">
        <v>0.0</v>
      </c>
      <c r="K9" s="148">
        <v>0.0</v>
      </c>
      <c r="L9" s="148">
        <v>0.0</v>
      </c>
      <c r="M9" s="148">
        <v>0.0</v>
      </c>
      <c r="N9" s="148">
        <v>0.0</v>
      </c>
      <c r="O9" s="148">
        <v>0.0</v>
      </c>
      <c r="P9" s="129">
        <v>10000.0</v>
      </c>
      <c r="Q9" s="171"/>
      <c r="R9" s="148">
        <v>0.0</v>
      </c>
      <c r="S9" s="148">
        <v>0.0</v>
      </c>
      <c r="T9" s="171"/>
      <c r="U9" s="137">
        <f t="shared" si="1"/>
        <v>100000</v>
      </c>
      <c r="V9" s="138">
        <v>100000.0</v>
      </c>
    </row>
    <row r="10">
      <c r="A10" s="1"/>
      <c r="B10" s="1"/>
      <c r="C10" s="130"/>
      <c r="D10" s="148">
        <v>0.0</v>
      </c>
      <c r="E10" s="148">
        <v>0.0</v>
      </c>
      <c r="F10" s="148">
        <v>0.0</v>
      </c>
      <c r="G10" s="148">
        <v>0.0</v>
      </c>
      <c r="H10" s="148">
        <v>0.0</v>
      </c>
      <c r="I10" s="148">
        <v>0.0</v>
      </c>
      <c r="J10" s="148">
        <v>0.0</v>
      </c>
      <c r="K10" s="148">
        <v>0.0</v>
      </c>
      <c r="L10" s="148">
        <v>0.0</v>
      </c>
      <c r="M10" s="148">
        <v>0.0</v>
      </c>
      <c r="N10" s="148">
        <v>0.0</v>
      </c>
      <c r="O10" s="148">
        <v>0.0</v>
      </c>
      <c r="P10" s="148">
        <v>0.0</v>
      </c>
      <c r="Q10" s="148">
        <v>0.0</v>
      </c>
      <c r="R10" s="148">
        <v>0.0</v>
      </c>
      <c r="S10" s="171"/>
      <c r="T10" s="171"/>
      <c r="U10" s="137">
        <f t="shared" si="1"/>
        <v>0</v>
      </c>
      <c r="V10" s="147"/>
    </row>
    <row r="11">
      <c r="A11" s="1">
        <v>703.0</v>
      </c>
      <c r="B11" s="1" t="s">
        <v>154</v>
      </c>
      <c r="C11" s="130"/>
      <c r="D11" s="129">
        <v>40000.0</v>
      </c>
      <c r="E11" s="129">
        <v>5000.0</v>
      </c>
      <c r="F11" s="129">
        <v>5000.0</v>
      </c>
      <c r="G11" s="129">
        <v>2000.0</v>
      </c>
      <c r="H11" s="148">
        <v>0.0</v>
      </c>
      <c r="I11" s="129">
        <v>44330.0</v>
      </c>
      <c r="J11" s="148">
        <v>0.0</v>
      </c>
      <c r="K11" s="148">
        <v>0.0</v>
      </c>
      <c r="L11" s="148">
        <v>0.0</v>
      </c>
      <c r="M11" s="148">
        <v>0.0</v>
      </c>
      <c r="N11" s="148">
        <v>0.0</v>
      </c>
      <c r="O11" s="148">
        <v>0.0</v>
      </c>
      <c r="P11" s="148">
        <v>0.0</v>
      </c>
      <c r="Q11" s="129">
        <v>3670.0</v>
      </c>
      <c r="R11" s="148">
        <v>0.0</v>
      </c>
      <c r="S11" s="148">
        <v>0.0</v>
      </c>
      <c r="T11" s="171"/>
      <c r="U11" s="137">
        <f t="shared" si="1"/>
        <v>100000</v>
      </c>
      <c r="V11" s="138">
        <v>100000.0</v>
      </c>
    </row>
    <row r="12">
      <c r="A12" s="1">
        <v>715.0</v>
      </c>
      <c r="B12" s="1" t="s">
        <v>155</v>
      </c>
      <c r="C12" s="130"/>
      <c r="D12" s="129">
        <v>40000.0</v>
      </c>
      <c r="E12" s="129">
        <v>5000.0</v>
      </c>
      <c r="F12" s="129">
        <v>5000.0</v>
      </c>
      <c r="G12" s="129">
        <v>2000.0</v>
      </c>
      <c r="H12" s="129">
        <v>10000.0</v>
      </c>
      <c r="I12" s="129">
        <v>44330.0</v>
      </c>
      <c r="J12" s="148">
        <v>0.0</v>
      </c>
      <c r="K12" s="148">
        <v>0.0</v>
      </c>
      <c r="L12" s="148">
        <v>0.0</v>
      </c>
      <c r="M12" s="148">
        <v>0.0</v>
      </c>
      <c r="N12" s="148">
        <v>0.0</v>
      </c>
      <c r="O12" s="148">
        <v>0.0</v>
      </c>
      <c r="P12" s="148">
        <v>0.0</v>
      </c>
      <c r="Q12" s="129">
        <v>9670.0</v>
      </c>
      <c r="R12" s="148">
        <v>0.0</v>
      </c>
      <c r="S12" s="148">
        <v>0.0</v>
      </c>
      <c r="T12" s="171"/>
      <c r="U12" s="137">
        <f t="shared" si="1"/>
        <v>116000</v>
      </c>
      <c r="V12" s="138">
        <v>116000.0</v>
      </c>
    </row>
    <row r="13">
      <c r="A13" s="1">
        <v>716.0</v>
      </c>
      <c r="B13" s="1" t="s">
        <v>156</v>
      </c>
      <c r="C13" s="130"/>
      <c r="D13" s="129">
        <v>40000.0</v>
      </c>
      <c r="E13" s="129">
        <v>5000.0</v>
      </c>
      <c r="F13" s="129">
        <v>5000.0</v>
      </c>
      <c r="G13" s="129">
        <v>2000.0</v>
      </c>
      <c r="H13" s="148">
        <v>0.0</v>
      </c>
      <c r="I13" s="129">
        <v>12100.0</v>
      </c>
      <c r="J13" s="148">
        <v>0.0</v>
      </c>
      <c r="K13" s="148">
        <v>0.0</v>
      </c>
      <c r="L13" s="148">
        <v>0.0</v>
      </c>
      <c r="M13" s="148">
        <v>0.0</v>
      </c>
      <c r="N13" s="148">
        <v>0.0</v>
      </c>
      <c r="O13" s="148">
        <v>0.0</v>
      </c>
      <c r="P13" s="148">
        <v>0.0</v>
      </c>
      <c r="Q13" s="148">
        <v>0.0</v>
      </c>
      <c r="R13" s="148">
        <v>0.0</v>
      </c>
      <c r="S13" s="148">
        <v>0.0</v>
      </c>
      <c r="T13" s="129">
        <v>500.0</v>
      </c>
      <c r="U13" s="137">
        <f t="shared" si="1"/>
        <v>64600</v>
      </c>
      <c r="V13" s="138" t="s">
        <v>126</v>
      </c>
    </row>
    <row r="14">
      <c r="A14" s="2"/>
      <c r="B14" s="2"/>
      <c r="C14" s="130"/>
      <c r="D14" s="148">
        <v>0.0</v>
      </c>
      <c r="E14" s="148">
        <v>0.0</v>
      </c>
      <c r="F14" s="148">
        <v>0.0</v>
      </c>
      <c r="G14" s="148">
        <v>0.0</v>
      </c>
      <c r="H14" s="148">
        <v>0.0</v>
      </c>
      <c r="I14" s="148">
        <v>0.0</v>
      </c>
      <c r="J14" s="148">
        <v>0.0</v>
      </c>
      <c r="K14" s="148">
        <v>0.0</v>
      </c>
      <c r="L14" s="148">
        <v>0.0</v>
      </c>
      <c r="M14" s="148">
        <v>0.0</v>
      </c>
      <c r="N14" s="148">
        <v>0.0</v>
      </c>
      <c r="O14" s="148">
        <v>0.0</v>
      </c>
      <c r="P14" s="148">
        <v>0.0</v>
      </c>
      <c r="Q14" s="148">
        <v>0.0</v>
      </c>
      <c r="R14" s="148">
        <v>0.0</v>
      </c>
      <c r="S14" s="148">
        <v>0.0</v>
      </c>
      <c r="T14" s="171"/>
      <c r="U14" s="137">
        <f t="shared" si="1"/>
        <v>0</v>
      </c>
      <c r="V14" s="147"/>
    </row>
    <row r="15">
      <c r="A15" s="2"/>
      <c r="B15" s="2"/>
      <c r="C15" s="130"/>
      <c r="D15" s="148">
        <v>0.0</v>
      </c>
      <c r="E15" s="148">
        <v>0.0</v>
      </c>
      <c r="F15" s="148">
        <v>0.0</v>
      </c>
      <c r="G15" s="148">
        <v>0.0</v>
      </c>
      <c r="H15" s="148">
        <v>0.0</v>
      </c>
      <c r="I15" s="148">
        <v>0.0</v>
      </c>
      <c r="J15" s="148">
        <v>0.0</v>
      </c>
      <c r="K15" s="148">
        <v>0.0</v>
      </c>
      <c r="L15" s="148">
        <v>0.0</v>
      </c>
      <c r="M15" s="148">
        <v>0.0</v>
      </c>
      <c r="N15" s="148">
        <v>0.0</v>
      </c>
      <c r="O15" s="148">
        <v>0.0</v>
      </c>
      <c r="P15" s="148">
        <v>0.0</v>
      </c>
      <c r="Q15" s="148">
        <v>0.0</v>
      </c>
      <c r="R15" s="148">
        <v>0.0</v>
      </c>
      <c r="S15" s="148">
        <v>0.0</v>
      </c>
      <c r="T15" s="171"/>
      <c r="U15" s="137">
        <f t="shared" si="1"/>
        <v>0</v>
      </c>
      <c r="V15" s="147"/>
    </row>
    <row r="16">
      <c r="A16" s="1" t="s">
        <v>2</v>
      </c>
      <c r="B16" s="2"/>
      <c r="C16" s="130"/>
      <c r="D16" s="148">
        <v>0.0</v>
      </c>
      <c r="E16" s="148">
        <v>0.0</v>
      </c>
      <c r="F16" s="148">
        <v>0.0</v>
      </c>
      <c r="G16" s="148">
        <v>0.0</v>
      </c>
      <c r="H16" s="148">
        <v>0.0</v>
      </c>
      <c r="I16" s="148">
        <v>0.0</v>
      </c>
      <c r="J16" s="148">
        <v>0.0</v>
      </c>
      <c r="K16" s="148">
        <v>0.0</v>
      </c>
      <c r="L16" s="148">
        <v>0.0</v>
      </c>
      <c r="M16" s="148">
        <v>0.0</v>
      </c>
      <c r="N16" s="148">
        <v>0.0</v>
      </c>
      <c r="O16" s="148">
        <v>0.0</v>
      </c>
      <c r="P16" s="148">
        <v>0.0</v>
      </c>
      <c r="Q16" s="148">
        <v>0.0</v>
      </c>
      <c r="R16" s="148">
        <v>0.0</v>
      </c>
      <c r="S16" s="148">
        <v>0.0</v>
      </c>
      <c r="T16" s="171"/>
      <c r="U16" s="137">
        <f t="shared" si="1"/>
        <v>0</v>
      </c>
      <c r="V16" s="147"/>
    </row>
    <row r="17">
      <c r="A17" s="1" t="s">
        <v>4</v>
      </c>
      <c r="B17" s="1" t="s">
        <v>5</v>
      </c>
      <c r="C17" s="130"/>
      <c r="D17" s="129">
        <v>40000.0</v>
      </c>
      <c r="E17" s="129">
        <v>5000.0</v>
      </c>
      <c r="F17" s="129">
        <v>5000.0</v>
      </c>
      <c r="G17" s="129">
        <v>2000.0</v>
      </c>
      <c r="H17" s="129">
        <v>10000.0</v>
      </c>
      <c r="I17" s="129">
        <v>17050.0</v>
      </c>
      <c r="J17" s="148">
        <v>0.0</v>
      </c>
      <c r="K17" s="148">
        <v>0.0</v>
      </c>
      <c r="L17" s="148">
        <v>0.0</v>
      </c>
      <c r="M17" s="148">
        <v>0.0</v>
      </c>
      <c r="N17" s="148">
        <v>0.0</v>
      </c>
      <c r="O17" s="148">
        <v>0.0</v>
      </c>
      <c r="P17" s="178">
        <v>0.0</v>
      </c>
      <c r="Q17" s="148">
        <v>0.0</v>
      </c>
      <c r="R17" s="148">
        <v>0.0</v>
      </c>
      <c r="S17" s="171"/>
      <c r="T17" s="171"/>
      <c r="U17" s="137">
        <f t="shared" si="1"/>
        <v>79050</v>
      </c>
      <c r="V17" s="138" t="s">
        <v>126</v>
      </c>
    </row>
    <row r="18">
      <c r="A18" s="1" t="s">
        <v>6</v>
      </c>
      <c r="B18" s="1" t="s">
        <v>129</v>
      </c>
      <c r="C18" s="130"/>
      <c r="D18" s="129">
        <v>40000.0</v>
      </c>
      <c r="E18" s="129">
        <v>5000.0</v>
      </c>
      <c r="F18" s="129">
        <v>5000.0</v>
      </c>
      <c r="G18" s="129">
        <v>2000.0</v>
      </c>
      <c r="H18" s="148">
        <v>0.0</v>
      </c>
      <c r="I18" s="129">
        <v>44330.0</v>
      </c>
      <c r="J18" s="148">
        <v>0.0</v>
      </c>
      <c r="K18" s="148">
        <v>0.0</v>
      </c>
      <c r="L18" s="148">
        <v>0.0</v>
      </c>
      <c r="M18" s="148">
        <v>0.0</v>
      </c>
      <c r="N18" s="148">
        <v>0.0</v>
      </c>
      <c r="O18" s="148">
        <v>0.0</v>
      </c>
      <c r="P18" s="129">
        <v>10000.0</v>
      </c>
      <c r="Q18" s="129">
        <v>3670.0</v>
      </c>
      <c r="R18" s="177"/>
      <c r="S18" s="148">
        <v>0.0</v>
      </c>
      <c r="T18" s="171"/>
      <c r="U18" s="137">
        <f t="shared" si="1"/>
        <v>110000</v>
      </c>
      <c r="V18" s="138">
        <v>110000.0</v>
      </c>
    </row>
    <row r="19">
      <c r="A19" s="1" t="s">
        <v>7</v>
      </c>
      <c r="B19" s="1" t="s">
        <v>8</v>
      </c>
      <c r="C19" s="130"/>
      <c r="D19" s="129">
        <v>40000.0</v>
      </c>
      <c r="E19" s="129">
        <v>5000.0</v>
      </c>
      <c r="F19" s="129">
        <v>5000.0</v>
      </c>
      <c r="G19" s="129">
        <v>2000.0</v>
      </c>
      <c r="H19" s="129">
        <v>10000.0</v>
      </c>
      <c r="I19" s="148">
        <v>0.0</v>
      </c>
      <c r="J19" s="148">
        <v>0.0</v>
      </c>
      <c r="K19" s="129">
        <v>2263.0</v>
      </c>
      <c r="L19" s="148">
        <v>0.0</v>
      </c>
      <c r="M19" s="148">
        <v>0.0</v>
      </c>
      <c r="N19" s="148">
        <v>0.0</v>
      </c>
      <c r="O19" s="148">
        <v>0.0</v>
      </c>
      <c r="P19" s="148">
        <v>0.0</v>
      </c>
      <c r="Q19" s="148">
        <v>0.0</v>
      </c>
      <c r="R19" s="136">
        <v>1500.0</v>
      </c>
      <c r="S19" s="148">
        <v>0.0</v>
      </c>
      <c r="T19" s="171"/>
      <c r="U19" s="137">
        <f t="shared" si="1"/>
        <v>65763</v>
      </c>
      <c r="V19" s="138" t="s">
        <v>126</v>
      </c>
    </row>
    <row r="20">
      <c r="A20" s="1" t="s">
        <v>9</v>
      </c>
      <c r="B20" s="1" t="s">
        <v>10</v>
      </c>
      <c r="C20" s="130"/>
      <c r="D20" s="129">
        <v>40000.0</v>
      </c>
      <c r="E20" s="129">
        <v>5000.0</v>
      </c>
      <c r="F20" s="129">
        <v>5000.0</v>
      </c>
      <c r="G20" s="129">
        <v>2000.0</v>
      </c>
      <c r="H20" s="148">
        <v>0.0</v>
      </c>
      <c r="I20" s="129">
        <v>42130.0</v>
      </c>
      <c r="J20" s="148">
        <v>0.0</v>
      </c>
      <c r="K20" s="148">
        <v>0.0</v>
      </c>
      <c r="L20" s="148">
        <v>0.0</v>
      </c>
      <c r="M20" s="148">
        <v>0.0</v>
      </c>
      <c r="N20" s="148">
        <v>0.0</v>
      </c>
      <c r="O20" s="148">
        <v>0.0</v>
      </c>
      <c r="P20" s="129">
        <v>10000.0</v>
      </c>
      <c r="Q20" s="129">
        <v>5870.0</v>
      </c>
      <c r="R20" s="148">
        <v>0.0</v>
      </c>
      <c r="S20" s="148">
        <v>0.0</v>
      </c>
      <c r="T20" s="171"/>
      <c r="U20" s="137">
        <f t="shared" si="1"/>
        <v>110000</v>
      </c>
      <c r="V20" s="138">
        <v>110000.0</v>
      </c>
    </row>
    <row r="21">
      <c r="A21" s="1" t="s">
        <v>11</v>
      </c>
      <c r="B21" s="2"/>
      <c r="C21" s="130"/>
      <c r="D21" s="148">
        <v>0.0</v>
      </c>
      <c r="E21" s="148">
        <v>0.0</v>
      </c>
      <c r="F21" s="148">
        <v>0.0</v>
      </c>
      <c r="G21" s="148">
        <v>0.0</v>
      </c>
      <c r="H21" s="148">
        <v>0.0</v>
      </c>
      <c r="I21" s="148">
        <v>0.0</v>
      </c>
      <c r="J21" s="148">
        <v>0.0</v>
      </c>
      <c r="K21" s="148">
        <v>0.0</v>
      </c>
      <c r="L21" s="148">
        <v>0.0</v>
      </c>
      <c r="M21" s="148">
        <v>0.0</v>
      </c>
      <c r="N21" s="148">
        <v>0.0</v>
      </c>
      <c r="O21" s="148">
        <v>0.0</v>
      </c>
      <c r="P21" s="148">
        <v>0.0</v>
      </c>
      <c r="Q21" s="148">
        <v>0.0</v>
      </c>
      <c r="R21" s="148">
        <v>0.0</v>
      </c>
      <c r="S21" s="148">
        <v>0.0</v>
      </c>
      <c r="T21" s="171"/>
      <c r="U21" s="137">
        <f t="shared" si="1"/>
        <v>0</v>
      </c>
      <c r="V21" s="147"/>
    </row>
    <row r="22">
      <c r="A22" s="1" t="s">
        <v>12</v>
      </c>
      <c r="B22" s="1" t="s">
        <v>13</v>
      </c>
      <c r="C22" s="130"/>
      <c r="D22" s="129">
        <v>40000.0</v>
      </c>
      <c r="E22" s="129">
        <v>5000.0</v>
      </c>
      <c r="F22" s="129">
        <v>5000.0</v>
      </c>
      <c r="G22" s="129">
        <v>2000.0</v>
      </c>
      <c r="H22" s="148">
        <v>0.0</v>
      </c>
      <c r="I22" s="129">
        <v>34100.0</v>
      </c>
      <c r="J22" s="148">
        <v>0.0</v>
      </c>
      <c r="K22" s="148">
        <v>0.0</v>
      </c>
      <c r="L22" s="148">
        <v>0.0</v>
      </c>
      <c r="M22" s="148">
        <v>0.0</v>
      </c>
      <c r="N22" s="148">
        <v>0.0</v>
      </c>
      <c r="O22" s="148">
        <v>0.0</v>
      </c>
      <c r="P22" s="148">
        <v>0.0</v>
      </c>
      <c r="Q22" s="129">
        <v>19670.0</v>
      </c>
      <c r="R22" s="148">
        <v>0.0</v>
      </c>
      <c r="S22" s="148">
        <v>0.0</v>
      </c>
      <c r="T22" s="171"/>
      <c r="U22" s="137">
        <f t="shared" si="1"/>
        <v>105770</v>
      </c>
      <c r="V22" s="138" t="s">
        <v>126</v>
      </c>
    </row>
    <row r="23">
      <c r="A23" s="1" t="s">
        <v>14</v>
      </c>
      <c r="B23" s="1" t="s">
        <v>15</v>
      </c>
      <c r="C23" s="130"/>
      <c r="D23" s="129">
        <v>40000.0</v>
      </c>
      <c r="E23" s="129">
        <v>5000.0</v>
      </c>
      <c r="F23" s="129">
        <v>5000.0</v>
      </c>
      <c r="G23" s="129">
        <v>2000.0</v>
      </c>
      <c r="H23" s="148">
        <v>0.0</v>
      </c>
      <c r="I23" s="129">
        <v>44330.0</v>
      </c>
      <c r="J23" s="148">
        <v>0.0</v>
      </c>
      <c r="K23" s="148">
        <v>0.0</v>
      </c>
      <c r="L23" s="148">
        <v>0.0</v>
      </c>
      <c r="M23" s="148">
        <v>0.0</v>
      </c>
      <c r="N23" s="148">
        <v>0.0</v>
      </c>
      <c r="O23" s="148">
        <v>0.0</v>
      </c>
      <c r="P23" s="129">
        <v>20000.0</v>
      </c>
      <c r="Q23" s="148">
        <v>0.0</v>
      </c>
      <c r="R23" s="148">
        <v>0.0</v>
      </c>
      <c r="S23" s="148">
        <v>0.0</v>
      </c>
      <c r="T23" s="171"/>
      <c r="U23" s="137">
        <f t="shared" si="1"/>
        <v>116330</v>
      </c>
      <c r="V23" s="138" t="s">
        <v>126</v>
      </c>
    </row>
    <row r="24">
      <c r="A24" s="1" t="s">
        <v>16</v>
      </c>
      <c r="B24" s="2"/>
      <c r="C24" s="130"/>
      <c r="D24" s="148">
        <v>0.0</v>
      </c>
      <c r="E24" s="148">
        <v>0.0</v>
      </c>
      <c r="F24" s="148">
        <v>0.0</v>
      </c>
      <c r="G24" s="148">
        <v>0.0</v>
      </c>
      <c r="H24" s="148">
        <v>0.0</v>
      </c>
      <c r="I24" s="148">
        <v>0.0</v>
      </c>
      <c r="J24" s="148">
        <v>0.0</v>
      </c>
      <c r="K24" s="148">
        <v>0.0</v>
      </c>
      <c r="L24" s="148">
        <v>0.0</v>
      </c>
      <c r="M24" s="148">
        <v>0.0</v>
      </c>
      <c r="N24" s="148">
        <v>0.0</v>
      </c>
      <c r="O24" s="148">
        <v>0.0</v>
      </c>
      <c r="P24" s="148">
        <v>0.0</v>
      </c>
      <c r="Q24" s="148">
        <v>0.0</v>
      </c>
      <c r="R24" s="148">
        <v>0.0</v>
      </c>
      <c r="S24" s="148">
        <v>0.0</v>
      </c>
      <c r="T24" s="171"/>
      <c r="U24" s="137">
        <f t="shared" si="1"/>
        <v>0</v>
      </c>
      <c r="V24" s="147"/>
    </row>
    <row r="25">
      <c r="A25" s="1" t="s">
        <v>18</v>
      </c>
      <c r="B25" s="1" t="s">
        <v>19</v>
      </c>
      <c r="C25" s="130"/>
      <c r="D25" s="129">
        <v>40000.0</v>
      </c>
      <c r="E25" s="129">
        <v>5000.0</v>
      </c>
      <c r="F25" s="129">
        <v>5000.0</v>
      </c>
      <c r="G25" s="129">
        <v>2000.0</v>
      </c>
      <c r="H25" s="129">
        <v>10000.0</v>
      </c>
      <c r="I25" s="148">
        <v>0.0</v>
      </c>
      <c r="J25" s="129">
        <v>7502.0</v>
      </c>
      <c r="K25" s="148">
        <v>0.0</v>
      </c>
      <c r="L25" s="148">
        <v>0.0</v>
      </c>
      <c r="M25" s="148">
        <v>0.0</v>
      </c>
      <c r="N25" s="175" t="s">
        <v>145</v>
      </c>
      <c r="O25" s="175" t="s">
        <v>145</v>
      </c>
      <c r="P25" s="148">
        <v>0.0</v>
      </c>
      <c r="Q25" s="148">
        <v>0.0</v>
      </c>
      <c r="R25" s="136">
        <v>1500.0</v>
      </c>
      <c r="S25" s="148">
        <v>0.0</v>
      </c>
      <c r="T25" s="171"/>
      <c r="U25" s="137">
        <f t="shared" si="1"/>
        <v>71002</v>
      </c>
      <c r="V25" s="138" t="s">
        <v>126</v>
      </c>
    </row>
    <row r="26">
      <c r="A26" s="2"/>
      <c r="B26" s="2"/>
      <c r="C26" s="130"/>
      <c r="D26" s="148">
        <v>0.0</v>
      </c>
      <c r="E26" s="148">
        <v>0.0</v>
      </c>
      <c r="F26" s="148">
        <v>0.0</v>
      </c>
      <c r="G26" s="148">
        <v>0.0</v>
      </c>
      <c r="H26" s="148">
        <v>0.0</v>
      </c>
      <c r="I26" s="148">
        <v>0.0</v>
      </c>
      <c r="J26" s="148">
        <v>0.0</v>
      </c>
      <c r="K26" s="148">
        <v>0.0</v>
      </c>
      <c r="L26" s="148">
        <v>0.0</v>
      </c>
      <c r="M26" s="148">
        <v>0.0</v>
      </c>
      <c r="N26" s="148">
        <v>0.0</v>
      </c>
      <c r="O26" s="148">
        <v>0.0</v>
      </c>
      <c r="P26" s="148">
        <v>0.0</v>
      </c>
      <c r="Q26" s="148">
        <v>0.0</v>
      </c>
      <c r="R26" s="148">
        <v>0.0</v>
      </c>
      <c r="S26" s="148">
        <v>0.0</v>
      </c>
      <c r="T26" s="171"/>
      <c r="U26" s="137">
        <f t="shared" si="1"/>
        <v>0</v>
      </c>
      <c r="V26" s="147"/>
    </row>
    <row r="27">
      <c r="A27" s="125" t="s">
        <v>119</v>
      </c>
      <c r="B27" s="153"/>
      <c r="C27" s="133"/>
      <c r="D27" s="133">
        <f t="shared" ref="D27:T27" si="2">SUM(D3:D26)</f>
        <v>680000</v>
      </c>
      <c r="E27" s="133">
        <f t="shared" si="2"/>
        <v>85000</v>
      </c>
      <c r="F27" s="133">
        <f t="shared" si="2"/>
        <v>85000</v>
      </c>
      <c r="G27" s="133">
        <f t="shared" si="2"/>
        <v>34000</v>
      </c>
      <c r="H27" s="133">
        <f t="shared" si="2"/>
        <v>60000</v>
      </c>
      <c r="I27" s="133">
        <f t="shared" si="2"/>
        <v>564520</v>
      </c>
      <c r="J27" s="133">
        <f t="shared" si="2"/>
        <v>26257</v>
      </c>
      <c r="K27" s="133">
        <f t="shared" si="2"/>
        <v>6789</v>
      </c>
      <c r="L27" s="133">
        <f t="shared" si="2"/>
        <v>0</v>
      </c>
      <c r="M27" s="133">
        <f t="shared" si="2"/>
        <v>0</v>
      </c>
      <c r="N27" s="133">
        <f t="shared" si="2"/>
        <v>0</v>
      </c>
      <c r="O27" s="133">
        <f t="shared" si="2"/>
        <v>0</v>
      </c>
      <c r="P27" s="133">
        <f t="shared" si="2"/>
        <v>50000</v>
      </c>
      <c r="Q27" s="133">
        <f t="shared" si="2"/>
        <v>61310</v>
      </c>
      <c r="R27" s="133">
        <f t="shared" si="2"/>
        <v>6000</v>
      </c>
      <c r="S27" s="133">
        <f t="shared" si="2"/>
        <v>0</v>
      </c>
      <c r="T27" s="133">
        <f t="shared" si="2"/>
        <v>500</v>
      </c>
      <c r="U27" s="137">
        <f t="shared" si="1"/>
        <v>1659376</v>
      </c>
      <c r="V27" s="147"/>
    </row>
    <row r="28">
      <c r="A28" s="127"/>
      <c r="B28" s="127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>
      <c r="A29" s="127"/>
      <c r="B29" s="127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</row>
    <row r="30">
      <c r="A30" s="127"/>
      <c r="B30" s="127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</row>
    <row r="31">
      <c r="A31" s="127"/>
      <c r="B31" s="127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>
      <c r="A32" s="127"/>
      <c r="B32" s="127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</row>
    <row r="33">
      <c r="A33" s="127"/>
      <c r="B33" s="127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</row>
    <row r="34">
      <c r="A34" s="127"/>
      <c r="B34" s="127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</row>
    <row r="35">
      <c r="A35" s="127"/>
      <c r="B35" s="127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</row>
    <row r="36">
      <c r="A36" s="127"/>
      <c r="B36" s="127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</row>
    <row r="37">
      <c r="A37" s="127"/>
      <c r="B37" s="127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</row>
    <row r="38">
      <c r="A38" s="127"/>
      <c r="B38" s="127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</row>
    <row r="39">
      <c r="A39" s="127"/>
      <c r="B39" s="127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</row>
    <row r="40">
      <c r="A40" s="127"/>
      <c r="B40" s="127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</row>
    <row r="41">
      <c r="A41" s="127"/>
      <c r="B41" s="127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</row>
    <row r="42">
      <c r="A42" s="127"/>
      <c r="B42" s="127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</row>
    <row r="43">
      <c r="A43" s="127"/>
      <c r="B43" s="127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</row>
    <row r="44">
      <c r="A44" s="127"/>
      <c r="B44" s="127"/>
    </row>
    <row r="45">
      <c r="A45" s="127"/>
      <c r="B45" s="127"/>
    </row>
    <row r="46">
      <c r="A46" s="127"/>
      <c r="B46" s="127"/>
    </row>
    <row r="47">
      <c r="A47" s="127"/>
      <c r="B47" s="127"/>
    </row>
    <row r="48">
      <c r="A48" s="127"/>
      <c r="B48" s="127"/>
    </row>
    <row r="49">
      <c r="A49" s="127"/>
      <c r="B49" s="127"/>
    </row>
    <row r="50">
      <c r="A50" s="127"/>
      <c r="B50" s="127"/>
    </row>
    <row r="51">
      <c r="A51" s="127"/>
      <c r="B51" s="127"/>
    </row>
    <row r="52">
      <c r="A52" s="127"/>
      <c r="B52" s="127"/>
    </row>
    <row r="53">
      <c r="A53" s="127"/>
      <c r="B53" s="127"/>
    </row>
    <row r="54">
      <c r="A54" s="127"/>
      <c r="B54" s="127"/>
    </row>
    <row r="55">
      <c r="A55" s="127"/>
      <c r="B55" s="127"/>
    </row>
    <row r="56">
      <c r="A56" s="127"/>
      <c r="B56" s="127"/>
    </row>
    <row r="57">
      <c r="A57" s="127"/>
      <c r="B57" s="127"/>
    </row>
    <row r="58">
      <c r="A58" s="127"/>
      <c r="B58" s="127"/>
    </row>
    <row r="59">
      <c r="A59" s="127"/>
      <c r="B59" s="127"/>
    </row>
    <row r="60">
      <c r="A60" s="127"/>
      <c r="B60" s="127"/>
    </row>
    <row r="61">
      <c r="A61" s="127"/>
      <c r="B61" s="127"/>
    </row>
    <row r="62">
      <c r="A62" s="127"/>
      <c r="B62" s="127"/>
    </row>
    <row r="63">
      <c r="A63" s="127"/>
      <c r="B63" s="127"/>
    </row>
    <row r="64">
      <c r="A64" s="127"/>
      <c r="B64" s="127"/>
    </row>
    <row r="65">
      <c r="A65" s="127"/>
      <c r="B65" s="127"/>
    </row>
    <row r="66">
      <c r="A66" s="127"/>
      <c r="B66" s="127"/>
    </row>
    <row r="67">
      <c r="A67" s="127"/>
      <c r="B67" s="127"/>
    </row>
    <row r="68">
      <c r="A68" s="127"/>
      <c r="B68" s="127"/>
    </row>
    <row r="69">
      <c r="A69" s="127"/>
      <c r="B69" s="127"/>
    </row>
    <row r="70">
      <c r="A70" s="127"/>
      <c r="B70" s="127"/>
    </row>
    <row r="71">
      <c r="A71" s="127"/>
      <c r="B71" s="127"/>
    </row>
    <row r="72">
      <c r="A72" s="127"/>
      <c r="B72" s="127"/>
    </row>
    <row r="73">
      <c r="A73" s="127"/>
      <c r="B73" s="127"/>
    </row>
    <row r="74">
      <c r="A74" s="127"/>
      <c r="B74" s="127"/>
    </row>
    <row r="75">
      <c r="A75" s="127"/>
      <c r="B75" s="127"/>
    </row>
    <row r="76">
      <c r="A76" s="127"/>
      <c r="B76" s="127"/>
    </row>
    <row r="77">
      <c r="A77" s="127"/>
      <c r="B77" s="127"/>
    </row>
    <row r="78">
      <c r="A78" s="127"/>
      <c r="B78" s="127"/>
    </row>
    <row r="79">
      <c r="A79" s="127"/>
      <c r="B79" s="127"/>
    </row>
    <row r="80">
      <c r="A80" s="127"/>
      <c r="B80" s="127"/>
    </row>
    <row r="81">
      <c r="A81" s="127"/>
      <c r="B81" s="127"/>
    </row>
    <row r="82">
      <c r="A82" s="127"/>
      <c r="B82" s="127"/>
    </row>
    <row r="83">
      <c r="A83" s="127"/>
      <c r="B83" s="127"/>
    </row>
    <row r="84">
      <c r="A84" s="127"/>
      <c r="B84" s="127"/>
    </row>
    <row r="85">
      <c r="A85" s="127"/>
      <c r="B85" s="127"/>
    </row>
    <row r="86">
      <c r="A86" s="127"/>
      <c r="B86" s="127"/>
    </row>
    <row r="87">
      <c r="A87" s="127"/>
      <c r="B87" s="127"/>
    </row>
    <row r="88">
      <c r="A88" s="127"/>
      <c r="B88" s="127"/>
    </row>
    <row r="89">
      <c r="A89" s="127"/>
      <c r="B89" s="127"/>
    </row>
    <row r="90">
      <c r="A90" s="127"/>
      <c r="B90" s="127"/>
    </row>
    <row r="91">
      <c r="A91" s="127"/>
      <c r="B91" s="127"/>
    </row>
    <row r="92">
      <c r="A92" s="127"/>
      <c r="B92" s="127"/>
    </row>
    <row r="93">
      <c r="A93" s="127"/>
      <c r="B93" s="127"/>
    </row>
    <row r="94">
      <c r="A94" s="127"/>
      <c r="B94" s="127"/>
    </row>
    <row r="95">
      <c r="A95" s="127"/>
      <c r="B95" s="127"/>
    </row>
    <row r="96">
      <c r="A96" s="127"/>
      <c r="B96" s="127"/>
    </row>
    <row r="97">
      <c r="A97" s="127"/>
      <c r="B97" s="127"/>
    </row>
    <row r="98">
      <c r="A98" s="127"/>
      <c r="B98" s="127"/>
    </row>
    <row r="99">
      <c r="A99" s="127"/>
      <c r="B99" s="127"/>
    </row>
    <row r="100">
      <c r="A100" s="127"/>
      <c r="B100" s="127"/>
    </row>
    <row r="101">
      <c r="A101" s="127"/>
      <c r="B101" s="127"/>
    </row>
    <row r="102">
      <c r="A102" s="127"/>
      <c r="B102" s="127"/>
    </row>
    <row r="103">
      <c r="A103" s="127"/>
      <c r="B103" s="127"/>
    </row>
    <row r="104">
      <c r="A104" s="127"/>
      <c r="B104" s="127"/>
    </row>
    <row r="105">
      <c r="A105" s="127"/>
      <c r="B105" s="127"/>
    </row>
    <row r="106">
      <c r="A106" s="127"/>
      <c r="B106" s="127"/>
    </row>
    <row r="107">
      <c r="A107" s="127"/>
      <c r="B107" s="127"/>
    </row>
    <row r="108">
      <c r="A108" s="127"/>
      <c r="B108" s="127"/>
    </row>
    <row r="109">
      <c r="A109" s="127"/>
      <c r="B109" s="127"/>
    </row>
    <row r="110">
      <c r="A110" s="127"/>
      <c r="B110" s="127"/>
    </row>
    <row r="111">
      <c r="A111" s="127"/>
      <c r="B111" s="127"/>
    </row>
    <row r="112">
      <c r="A112" s="127"/>
      <c r="B112" s="127"/>
    </row>
    <row r="113">
      <c r="A113" s="127"/>
      <c r="B113" s="127"/>
    </row>
    <row r="114">
      <c r="A114" s="127"/>
      <c r="B114" s="127"/>
    </row>
    <row r="115">
      <c r="A115" s="127"/>
      <c r="B115" s="127"/>
    </row>
    <row r="116">
      <c r="A116" s="127"/>
      <c r="B116" s="127"/>
    </row>
    <row r="117">
      <c r="A117" s="127"/>
      <c r="B117" s="127"/>
    </row>
    <row r="118">
      <c r="A118" s="127"/>
      <c r="B118" s="127"/>
    </row>
    <row r="119">
      <c r="A119" s="127"/>
      <c r="B119" s="127"/>
    </row>
    <row r="120">
      <c r="A120" s="127"/>
      <c r="B120" s="127"/>
    </row>
    <row r="121">
      <c r="A121" s="127"/>
      <c r="B121" s="127"/>
    </row>
    <row r="122">
      <c r="A122" s="127"/>
      <c r="B122" s="127"/>
    </row>
    <row r="123">
      <c r="A123" s="127"/>
      <c r="B123" s="127"/>
    </row>
    <row r="124">
      <c r="A124" s="127"/>
      <c r="B124" s="127"/>
    </row>
    <row r="125">
      <c r="A125" s="127"/>
      <c r="B125" s="127"/>
    </row>
    <row r="126">
      <c r="A126" s="127"/>
      <c r="B126" s="127"/>
    </row>
    <row r="127">
      <c r="A127" s="127"/>
      <c r="B127" s="127"/>
    </row>
    <row r="128">
      <c r="A128" s="127"/>
      <c r="B128" s="127"/>
    </row>
    <row r="129">
      <c r="A129" s="127"/>
      <c r="B129" s="127"/>
    </row>
    <row r="130">
      <c r="A130" s="127"/>
      <c r="B130" s="127"/>
    </row>
    <row r="131">
      <c r="A131" s="127"/>
      <c r="B131" s="127"/>
    </row>
    <row r="132">
      <c r="A132" s="127"/>
      <c r="B132" s="127"/>
    </row>
    <row r="133">
      <c r="A133" s="127"/>
      <c r="B133" s="127"/>
    </row>
    <row r="134">
      <c r="A134" s="127"/>
      <c r="B134" s="127"/>
    </row>
    <row r="135">
      <c r="A135" s="127"/>
      <c r="B135" s="127"/>
    </row>
    <row r="136">
      <c r="A136" s="127"/>
      <c r="B136" s="127"/>
    </row>
    <row r="137">
      <c r="A137" s="127"/>
      <c r="B137" s="127"/>
    </row>
    <row r="138">
      <c r="A138" s="127"/>
      <c r="B138" s="127"/>
    </row>
    <row r="139">
      <c r="A139" s="127"/>
      <c r="B139" s="127"/>
    </row>
    <row r="140">
      <c r="A140" s="127"/>
      <c r="B140" s="127"/>
    </row>
    <row r="141">
      <c r="A141" s="127"/>
      <c r="B141" s="127"/>
    </row>
    <row r="142">
      <c r="A142" s="127"/>
      <c r="B142" s="127"/>
    </row>
    <row r="143">
      <c r="A143" s="127"/>
      <c r="B143" s="127"/>
    </row>
    <row r="144">
      <c r="A144" s="127"/>
      <c r="B144" s="127"/>
    </row>
    <row r="145">
      <c r="A145" s="127"/>
      <c r="B145" s="127"/>
    </row>
    <row r="146">
      <c r="A146" s="127"/>
      <c r="B146" s="127"/>
    </row>
    <row r="147">
      <c r="A147" s="127"/>
      <c r="B147" s="127"/>
    </row>
    <row r="148">
      <c r="A148" s="127"/>
      <c r="B148" s="127"/>
    </row>
    <row r="149">
      <c r="A149" s="127"/>
      <c r="B149" s="127"/>
    </row>
    <row r="150">
      <c r="A150" s="127"/>
      <c r="B150" s="127"/>
    </row>
    <row r="151">
      <c r="A151" s="127"/>
      <c r="B151" s="127"/>
    </row>
    <row r="152">
      <c r="A152" s="127"/>
      <c r="B152" s="127"/>
    </row>
    <row r="153">
      <c r="A153" s="127"/>
      <c r="B153" s="127"/>
    </row>
    <row r="154">
      <c r="A154" s="127"/>
      <c r="B154" s="127"/>
    </row>
    <row r="155">
      <c r="A155" s="127"/>
      <c r="B155" s="127"/>
    </row>
    <row r="156">
      <c r="A156" s="127"/>
      <c r="B156" s="127"/>
    </row>
    <row r="157">
      <c r="A157" s="127"/>
      <c r="B157" s="127"/>
    </row>
    <row r="158">
      <c r="A158" s="127"/>
      <c r="B158" s="127"/>
    </row>
    <row r="159">
      <c r="A159" s="127"/>
      <c r="B159" s="127"/>
    </row>
    <row r="160">
      <c r="A160" s="127"/>
      <c r="B160" s="127"/>
    </row>
    <row r="161">
      <c r="A161" s="127"/>
      <c r="B161" s="127"/>
    </row>
    <row r="162">
      <c r="A162" s="127"/>
      <c r="B162" s="127"/>
    </row>
    <row r="163">
      <c r="A163" s="127"/>
      <c r="B163" s="127"/>
    </row>
    <row r="164">
      <c r="A164" s="127"/>
      <c r="B164" s="127"/>
    </row>
    <row r="165">
      <c r="A165" s="127"/>
      <c r="B165" s="127"/>
    </row>
    <row r="166">
      <c r="A166" s="127"/>
      <c r="B166" s="127"/>
    </row>
    <row r="167">
      <c r="A167" s="127"/>
      <c r="B167" s="127"/>
    </row>
    <row r="168">
      <c r="A168" s="127"/>
      <c r="B168" s="127"/>
    </row>
    <row r="169">
      <c r="A169" s="127"/>
      <c r="B169" s="127"/>
    </row>
    <row r="170">
      <c r="A170" s="127"/>
      <c r="B170" s="127"/>
    </row>
    <row r="171">
      <c r="A171" s="127"/>
      <c r="B171" s="127"/>
    </row>
    <row r="172">
      <c r="A172" s="127"/>
      <c r="B172" s="127"/>
    </row>
    <row r="173">
      <c r="A173" s="127"/>
      <c r="B173" s="127"/>
    </row>
    <row r="174">
      <c r="A174" s="127"/>
      <c r="B174" s="127"/>
    </row>
    <row r="175">
      <c r="A175" s="127"/>
      <c r="B175" s="127"/>
    </row>
    <row r="176">
      <c r="A176" s="127"/>
      <c r="B176" s="127"/>
    </row>
    <row r="177">
      <c r="A177" s="127"/>
      <c r="B177" s="127"/>
    </row>
    <row r="178">
      <c r="A178" s="127"/>
      <c r="B178" s="127"/>
    </row>
    <row r="179">
      <c r="A179" s="127"/>
      <c r="B179" s="127"/>
    </row>
    <row r="180">
      <c r="A180" s="127"/>
      <c r="B180" s="127"/>
    </row>
    <row r="181">
      <c r="A181" s="127"/>
      <c r="B181" s="127"/>
    </row>
    <row r="182">
      <c r="A182" s="127"/>
      <c r="B182" s="127"/>
    </row>
    <row r="183">
      <c r="A183" s="127"/>
      <c r="B183" s="127"/>
    </row>
    <row r="184">
      <c r="A184" s="127"/>
      <c r="B184" s="127"/>
    </row>
    <row r="185">
      <c r="A185" s="127"/>
      <c r="B185" s="127"/>
    </row>
    <row r="186">
      <c r="A186" s="127"/>
      <c r="B186" s="127"/>
    </row>
    <row r="187">
      <c r="A187" s="127"/>
      <c r="B187" s="127"/>
    </row>
    <row r="188">
      <c r="A188" s="127"/>
      <c r="B188" s="127"/>
    </row>
    <row r="189">
      <c r="A189" s="127"/>
      <c r="B189" s="127"/>
    </row>
    <row r="190">
      <c r="A190" s="127"/>
      <c r="B190" s="127"/>
    </row>
    <row r="191">
      <c r="A191" s="127"/>
      <c r="B191" s="127"/>
    </row>
    <row r="192">
      <c r="A192" s="127"/>
      <c r="B192" s="127"/>
    </row>
    <row r="193">
      <c r="A193" s="127"/>
      <c r="B193" s="127"/>
    </row>
    <row r="194">
      <c r="A194" s="127"/>
      <c r="B194" s="127"/>
    </row>
    <row r="195">
      <c r="A195" s="127"/>
      <c r="B195" s="127"/>
    </row>
    <row r="196">
      <c r="A196" s="127"/>
      <c r="B196" s="127"/>
    </row>
    <row r="197">
      <c r="A197" s="127"/>
      <c r="B197" s="127"/>
    </row>
    <row r="198">
      <c r="A198" s="127"/>
      <c r="B198" s="127"/>
    </row>
    <row r="199">
      <c r="A199" s="127"/>
      <c r="B199" s="127"/>
    </row>
    <row r="200">
      <c r="A200" s="127"/>
      <c r="B200" s="127"/>
    </row>
    <row r="201">
      <c r="A201" s="127"/>
      <c r="B201" s="127"/>
    </row>
    <row r="202">
      <c r="A202" s="127"/>
      <c r="B202" s="127"/>
    </row>
    <row r="203">
      <c r="A203" s="127"/>
      <c r="B203" s="127"/>
    </row>
    <row r="204">
      <c r="A204" s="127"/>
      <c r="B204" s="127"/>
    </row>
    <row r="205">
      <c r="A205" s="127"/>
      <c r="B205" s="127"/>
    </row>
    <row r="206">
      <c r="A206" s="127"/>
      <c r="B206" s="127"/>
    </row>
    <row r="207">
      <c r="A207" s="127"/>
      <c r="B207" s="127"/>
    </row>
    <row r="208">
      <c r="A208" s="127"/>
      <c r="B208" s="127"/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27"/>
    </row>
    <row r="215">
      <c r="A215" s="127"/>
      <c r="B215" s="127"/>
    </row>
    <row r="216">
      <c r="A216" s="127"/>
      <c r="B216" s="127"/>
    </row>
    <row r="217">
      <c r="A217" s="127"/>
      <c r="B217" s="127"/>
    </row>
    <row r="218">
      <c r="A218" s="127"/>
      <c r="B218" s="127"/>
    </row>
    <row r="219">
      <c r="A219" s="127"/>
      <c r="B219" s="127"/>
    </row>
    <row r="220">
      <c r="A220" s="127"/>
      <c r="B220" s="127"/>
    </row>
    <row r="221">
      <c r="A221" s="127"/>
      <c r="B221" s="127"/>
    </row>
    <row r="222">
      <c r="A222" s="127"/>
      <c r="B222" s="127"/>
    </row>
    <row r="223">
      <c r="A223" s="127"/>
      <c r="B223" s="127"/>
    </row>
    <row r="224">
      <c r="A224" s="127"/>
      <c r="B224" s="127"/>
    </row>
    <row r="225">
      <c r="A225" s="127"/>
      <c r="B225" s="127"/>
    </row>
    <row r="226">
      <c r="A226" s="127"/>
      <c r="B226" s="127"/>
    </row>
    <row r="227">
      <c r="A227" s="127"/>
      <c r="B227" s="127"/>
    </row>
    <row r="228">
      <c r="A228" s="127"/>
      <c r="B228" s="127"/>
    </row>
    <row r="229">
      <c r="A229" s="127"/>
      <c r="B229" s="127"/>
    </row>
    <row r="230">
      <c r="A230" s="127"/>
      <c r="B230" s="127"/>
    </row>
    <row r="231">
      <c r="A231" s="127"/>
      <c r="B231" s="127"/>
    </row>
    <row r="232">
      <c r="A232" s="127"/>
      <c r="B232" s="127"/>
    </row>
    <row r="233">
      <c r="A233" s="127"/>
      <c r="B233" s="127"/>
    </row>
    <row r="234">
      <c r="A234" s="127"/>
      <c r="B234" s="127"/>
    </row>
    <row r="235">
      <c r="A235" s="127"/>
      <c r="B235" s="127"/>
    </row>
    <row r="236">
      <c r="A236" s="127"/>
      <c r="B236" s="127"/>
    </row>
    <row r="237">
      <c r="A237" s="127"/>
      <c r="B237" s="127"/>
    </row>
    <row r="238">
      <c r="A238" s="127"/>
      <c r="B238" s="127"/>
    </row>
    <row r="239">
      <c r="A239" s="127"/>
      <c r="B239" s="127"/>
    </row>
    <row r="240">
      <c r="A240" s="127"/>
      <c r="B240" s="127"/>
    </row>
    <row r="241">
      <c r="A241" s="127"/>
      <c r="B241" s="127"/>
    </row>
    <row r="242">
      <c r="A242" s="127"/>
      <c r="B242" s="127"/>
    </row>
    <row r="243">
      <c r="A243" s="127"/>
      <c r="B243" s="127"/>
    </row>
    <row r="244">
      <c r="A244" s="127"/>
      <c r="B244" s="127"/>
    </row>
    <row r="245">
      <c r="A245" s="127"/>
      <c r="B245" s="127"/>
    </row>
    <row r="246">
      <c r="A246" s="127"/>
      <c r="B246" s="127"/>
    </row>
    <row r="247">
      <c r="A247" s="127"/>
      <c r="B247" s="127"/>
    </row>
    <row r="248">
      <c r="A248" s="127"/>
      <c r="B248" s="127"/>
    </row>
    <row r="249">
      <c r="A249" s="127"/>
      <c r="B249" s="127"/>
    </row>
    <row r="250">
      <c r="A250" s="127"/>
      <c r="B250" s="127"/>
    </row>
    <row r="251">
      <c r="A251" s="127"/>
      <c r="B251" s="127"/>
    </row>
    <row r="252">
      <c r="A252" s="127"/>
      <c r="B252" s="127"/>
    </row>
    <row r="253">
      <c r="A253" s="127"/>
      <c r="B253" s="127"/>
    </row>
    <row r="254">
      <c r="A254" s="127"/>
      <c r="B254" s="127"/>
    </row>
    <row r="255">
      <c r="A255" s="127"/>
      <c r="B255" s="127"/>
    </row>
    <row r="256">
      <c r="A256" s="127"/>
      <c r="B256" s="127"/>
    </row>
    <row r="257">
      <c r="A257" s="127"/>
      <c r="B257" s="127"/>
    </row>
    <row r="258">
      <c r="A258" s="127"/>
      <c r="B258" s="127"/>
    </row>
    <row r="259">
      <c r="A259" s="127"/>
      <c r="B259" s="127"/>
    </row>
    <row r="260">
      <c r="A260" s="127"/>
      <c r="B260" s="127"/>
    </row>
    <row r="261">
      <c r="A261" s="127"/>
      <c r="B261" s="127"/>
    </row>
    <row r="262">
      <c r="A262" s="127"/>
      <c r="B262" s="127"/>
    </row>
    <row r="263">
      <c r="A263" s="127"/>
      <c r="B263" s="127"/>
    </row>
    <row r="264">
      <c r="A264" s="127"/>
      <c r="B264" s="127"/>
    </row>
    <row r="265">
      <c r="A265" s="127"/>
      <c r="B265" s="127"/>
    </row>
    <row r="266">
      <c r="A266" s="127"/>
      <c r="B266" s="127"/>
    </row>
    <row r="267">
      <c r="A267" s="127"/>
      <c r="B267" s="127"/>
    </row>
    <row r="268">
      <c r="A268" s="127"/>
      <c r="B268" s="127"/>
    </row>
    <row r="269">
      <c r="A269" s="127"/>
      <c r="B269" s="127"/>
    </row>
    <row r="270">
      <c r="A270" s="127"/>
      <c r="B270" s="127"/>
    </row>
    <row r="271">
      <c r="A271" s="127"/>
      <c r="B271" s="127"/>
    </row>
    <row r="272">
      <c r="A272" s="127"/>
      <c r="B272" s="127"/>
    </row>
    <row r="273">
      <c r="A273" s="127"/>
      <c r="B273" s="127"/>
    </row>
    <row r="274">
      <c r="A274" s="127"/>
      <c r="B274" s="127"/>
    </row>
    <row r="275">
      <c r="A275" s="127"/>
      <c r="B275" s="127"/>
    </row>
    <row r="276">
      <c r="A276" s="127"/>
      <c r="B276" s="127"/>
    </row>
    <row r="277">
      <c r="A277" s="127"/>
      <c r="B277" s="127"/>
    </row>
    <row r="278">
      <c r="A278" s="127"/>
      <c r="B278" s="127"/>
    </row>
    <row r="279">
      <c r="A279" s="127"/>
      <c r="B279" s="127"/>
    </row>
    <row r="280">
      <c r="A280" s="127"/>
      <c r="B280" s="127"/>
    </row>
    <row r="281">
      <c r="A281" s="127"/>
      <c r="B281" s="127"/>
    </row>
    <row r="282">
      <c r="A282" s="127"/>
      <c r="B282" s="127"/>
    </row>
    <row r="283">
      <c r="A283" s="127"/>
      <c r="B283" s="127"/>
    </row>
    <row r="284">
      <c r="A284" s="127"/>
      <c r="B284" s="127"/>
    </row>
    <row r="285">
      <c r="A285" s="127"/>
      <c r="B285" s="127"/>
    </row>
    <row r="286">
      <c r="A286" s="127"/>
      <c r="B286" s="127"/>
    </row>
    <row r="287">
      <c r="A287" s="127"/>
      <c r="B287" s="127"/>
    </row>
    <row r="288">
      <c r="A288" s="127"/>
      <c r="B288" s="127"/>
    </row>
    <row r="289">
      <c r="A289" s="127"/>
      <c r="B289" s="127"/>
    </row>
    <row r="290">
      <c r="A290" s="127"/>
      <c r="B290" s="127"/>
    </row>
    <row r="291">
      <c r="A291" s="127"/>
      <c r="B291" s="127"/>
    </row>
    <row r="292">
      <c r="A292" s="127"/>
      <c r="B292" s="127"/>
    </row>
    <row r="293">
      <c r="A293" s="127"/>
      <c r="B293" s="127"/>
    </row>
    <row r="294">
      <c r="A294" s="127"/>
      <c r="B294" s="127"/>
    </row>
    <row r="295">
      <c r="A295" s="127"/>
      <c r="B295" s="127"/>
    </row>
    <row r="296">
      <c r="A296" s="127"/>
      <c r="B296" s="127"/>
    </row>
    <row r="297">
      <c r="A297" s="127"/>
      <c r="B297" s="127"/>
    </row>
    <row r="298">
      <c r="A298" s="127"/>
      <c r="B298" s="127"/>
    </row>
    <row r="299">
      <c r="A299" s="127"/>
      <c r="B299" s="127"/>
    </row>
    <row r="300">
      <c r="A300" s="127"/>
      <c r="B300" s="127"/>
    </row>
    <row r="301">
      <c r="A301" s="127"/>
      <c r="B301" s="127"/>
    </row>
    <row r="302">
      <c r="A302" s="127"/>
      <c r="B302" s="127"/>
    </row>
    <row r="303">
      <c r="A303" s="127"/>
      <c r="B303" s="127"/>
    </row>
    <row r="304">
      <c r="A304" s="127"/>
      <c r="B304" s="127"/>
    </row>
    <row r="305">
      <c r="A305" s="127"/>
      <c r="B305" s="127"/>
    </row>
    <row r="306">
      <c r="A306" s="127"/>
      <c r="B306" s="127"/>
    </row>
    <row r="307">
      <c r="A307" s="127"/>
      <c r="B307" s="127"/>
    </row>
    <row r="308">
      <c r="A308" s="127"/>
      <c r="B308" s="127"/>
    </row>
    <row r="309">
      <c r="A309" s="127"/>
      <c r="B309" s="127"/>
    </row>
    <row r="310">
      <c r="A310" s="127"/>
      <c r="B310" s="127"/>
    </row>
    <row r="311">
      <c r="A311" s="127"/>
      <c r="B311" s="127"/>
    </row>
    <row r="312">
      <c r="A312" s="127"/>
      <c r="B312" s="127"/>
    </row>
    <row r="313">
      <c r="A313" s="127"/>
      <c r="B313" s="127"/>
    </row>
    <row r="314">
      <c r="A314" s="127"/>
      <c r="B314" s="127"/>
    </row>
    <row r="315">
      <c r="A315" s="127"/>
      <c r="B315" s="127"/>
    </row>
    <row r="316">
      <c r="A316" s="127"/>
      <c r="B316" s="127"/>
    </row>
    <row r="317">
      <c r="A317" s="127"/>
      <c r="B317" s="127"/>
    </row>
    <row r="318">
      <c r="A318" s="127"/>
      <c r="B318" s="127"/>
    </row>
    <row r="319">
      <c r="A319" s="127"/>
      <c r="B319" s="127"/>
    </row>
    <row r="320">
      <c r="A320" s="127"/>
      <c r="B320" s="127"/>
    </row>
    <row r="321">
      <c r="A321" s="127"/>
      <c r="B321" s="127"/>
    </row>
    <row r="322">
      <c r="A322" s="127"/>
      <c r="B322" s="127"/>
    </row>
    <row r="323">
      <c r="A323" s="127"/>
      <c r="B323" s="127"/>
    </row>
    <row r="324">
      <c r="A324" s="127"/>
      <c r="B324" s="127"/>
    </row>
    <row r="325">
      <c r="A325" s="127"/>
      <c r="B325" s="127"/>
    </row>
    <row r="326">
      <c r="A326" s="127"/>
      <c r="B326" s="127"/>
    </row>
    <row r="327">
      <c r="A327" s="127"/>
      <c r="B327" s="127"/>
    </row>
    <row r="328">
      <c r="A328" s="127"/>
      <c r="B328" s="127"/>
    </row>
    <row r="329">
      <c r="A329" s="127"/>
      <c r="B329" s="127"/>
    </row>
    <row r="330">
      <c r="A330" s="127"/>
      <c r="B330" s="127"/>
    </row>
    <row r="331">
      <c r="A331" s="127"/>
      <c r="B331" s="127"/>
    </row>
    <row r="332">
      <c r="A332" s="127"/>
      <c r="B332" s="127"/>
    </row>
    <row r="333">
      <c r="A333" s="127"/>
      <c r="B333" s="127"/>
    </row>
    <row r="334">
      <c r="A334" s="127"/>
      <c r="B334" s="127"/>
    </row>
    <row r="335">
      <c r="A335" s="127"/>
      <c r="B335" s="127"/>
    </row>
    <row r="336">
      <c r="A336" s="127"/>
      <c r="B336" s="127"/>
    </row>
    <row r="337">
      <c r="A337" s="127"/>
      <c r="B337" s="127"/>
    </row>
    <row r="338">
      <c r="A338" s="127"/>
      <c r="B338" s="127"/>
    </row>
    <row r="339">
      <c r="A339" s="127"/>
      <c r="B339" s="127"/>
    </row>
    <row r="340">
      <c r="A340" s="127"/>
      <c r="B340" s="127"/>
    </row>
    <row r="341">
      <c r="A341" s="127"/>
      <c r="B341" s="127"/>
    </row>
    <row r="342">
      <c r="A342" s="127"/>
      <c r="B342" s="127"/>
    </row>
    <row r="343">
      <c r="A343" s="127"/>
      <c r="B343" s="127"/>
    </row>
    <row r="344">
      <c r="A344" s="127"/>
      <c r="B344" s="127"/>
    </row>
    <row r="345">
      <c r="A345" s="127"/>
      <c r="B345" s="127"/>
    </row>
    <row r="346">
      <c r="A346" s="127"/>
      <c r="B346" s="127"/>
    </row>
    <row r="347">
      <c r="A347" s="127"/>
      <c r="B347" s="127"/>
    </row>
    <row r="348">
      <c r="A348" s="127"/>
      <c r="B348" s="127"/>
    </row>
    <row r="349">
      <c r="A349" s="127"/>
      <c r="B349" s="127"/>
    </row>
    <row r="350">
      <c r="A350" s="127"/>
      <c r="B350" s="127"/>
    </row>
    <row r="351">
      <c r="A351" s="127"/>
      <c r="B351" s="127"/>
    </row>
    <row r="352">
      <c r="A352" s="127"/>
      <c r="B352" s="127"/>
    </row>
    <row r="353">
      <c r="A353" s="127"/>
      <c r="B353" s="127"/>
    </row>
    <row r="354">
      <c r="A354" s="127"/>
      <c r="B354" s="127"/>
    </row>
    <row r="355">
      <c r="A355" s="127"/>
      <c r="B355" s="127"/>
    </row>
    <row r="356">
      <c r="A356" s="127"/>
      <c r="B356" s="127"/>
    </row>
    <row r="357">
      <c r="A357" s="127"/>
      <c r="B357" s="127"/>
    </row>
    <row r="358">
      <c r="A358" s="127"/>
      <c r="B358" s="127"/>
    </row>
    <row r="359">
      <c r="A359" s="127"/>
      <c r="B359" s="127"/>
    </row>
    <row r="360">
      <c r="A360" s="127"/>
      <c r="B360" s="127"/>
    </row>
    <row r="361">
      <c r="A361" s="127"/>
      <c r="B361" s="127"/>
    </row>
    <row r="362">
      <c r="A362" s="127"/>
      <c r="B362" s="127"/>
    </row>
    <row r="363">
      <c r="A363" s="127"/>
      <c r="B363" s="127"/>
    </row>
    <row r="364">
      <c r="A364" s="127"/>
      <c r="B364" s="127"/>
    </row>
    <row r="365">
      <c r="A365" s="127"/>
      <c r="B365" s="127"/>
    </row>
    <row r="366">
      <c r="A366" s="127"/>
      <c r="B366" s="127"/>
    </row>
    <row r="367">
      <c r="A367" s="127"/>
      <c r="B367" s="127"/>
    </row>
    <row r="368">
      <c r="A368" s="127"/>
      <c r="B368" s="127"/>
    </row>
    <row r="369">
      <c r="A369" s="127"/>
      <c r="B369" s="127"/>
    </row>
    <row r="370">
      <c r="A370" s="127"/>
      <c r="B370" s="127"/>
    </row>
    <row r="371">
      <c r="A371" s="127"/>
      <c r="B371" s="127"/>
    </row>
    <row r="372">
      <c r="A372" s="127"/>
      <c r="B372" s="127"/>
    </row>
    <row r="373">
      <c r="A373" s="127"/>
      <c r="B373" s="127"/>
    </row>
    <row r="374">
      <c r="A374" s="127"/>
      <c r="B374" s="127"/>
    </row>
    <row r="375">
      <c r="A375" s="127"/>
      <c r="B375" s="127"/>
    </row>
    <row r="376">
      <c r="A376" s="127"/>
      <c r="B376" s="127"/>
    </row>
    <row r="377">
      <c r="A377" s="127"/>
      <c r="B377" s="127"/>
    </row>
    <row r="378">
      <c r="A378" s="127"/>
      <c r="B378" s="127"/>
    </row>
    <row r="379">
      <c r="A379" s="127"/>
      <c r="B379" s="127"/>
    </row>
    <row r="380">
      <c r="A380" s="127"/>
      <c r="B380" s="127"/>
    </row>
    <row r="381">
      <c r="A381" s="127"/>
      <c r="B381" s="127"/>
    </row>
    <row r="382">
      <c r="A382" s="127"/>
      <c r="B382" s="127"/>
    </row>
    <row r="383">
      <c r="A383" s="127"/>
      <c r="B383" s="127"/>
    </row>
    <row r="384">
      <c r="A384" s="127"/>
      <c r="B384" s="127"/>
    </row>
    <row r="385">
      <c r="A385" s="127"/>
      <c r="B385" s="127"/>
    </row>
    <row r="386">
      <c r="A386" s="127"/>
      <c r="B386" s="127"/>
    </row>
    <row r="387">
      <c r="A387" s="127"/>
      <c r="B387" s="127"/>
    </row>
    <row r="388">
      <c r="A388" s="127"/>
      <c r="B388" s="127"/>
    </row>
    <row r="389">
      <c r="A389" s="127"/>
      <c r="B389" s="127"/>
    </row>
    <row r="390">
      <c r="A390" s="127"/>
      <c r="B390" s="127"/>
    </row>
    <row r="391">
      <c r="A391" s="127"/>
      <c r="B391" s="127"/>
    </row>
    <row r="392">
      <c r="A392" s="127"/>
      <c r="B392" s="127"/>
    </row>
    <row r="393">
      <c r="A393" s="127"/>
      <c r="B393" s="127"/>
    </row>
    <row r="394">
      <c r="A394" s="127"/>
      <c r="B394" s="127"/>
    </row>
    <row r="395">
      <c r="A395" s="127"/>
      <c r="B395" s="127"/>
    </row>
    <row r="396">
      <c r="A396" s="127"/>
      <c r="B396" s="127"/>
    </row>
    <row r="397">
      <c r="A397" s="127"/>
      <c r="B397" s="127"/>
    </row>
    <row r="398">
      <c r="A398" s="127"/>
      <c r="B398" s="127"/>
    </row>
    <row r="399">
      <c r="A399" s="127"/>
      <c r="B399" s="127"/>
    </row>
    <row r="400">
      <c r="A400" s="127"/>
      <c r="B400" s="127"/>
    </row>
    <row r="401">
      <c r="A401" s="127"/>
      <c r="B401" s="127"/>
    </row>
    <row r="402">
      <c r="A402" s="127"/>
      <c r="B402" s="127"/>
    </row>
    <row r="403">
      <c r="A403" s="127"/>
      <c r="B403" s="127"/>
    </row>
    <row r="404">
      <c r="A404" s="127"/>
      <c r="B404" s="127"/>
    </row>
    <row r="405">
      <c r="A405" s="127"/>
      <c r="B405" s="127"/>
    </row>
    <row r="406">
      <c r="A406" s="127"/>
      <c r="B406" s="127"/>
    </row>
    <row r="407">
      <c r="A407" s="127"/>
      <c r="B407" s="127"/>
    </row>
    <row r="408">
      <c r="A408" s="127"/>
      <c r="B408" s="127"/>
    </row>
    <row r="409">
      <c r="A409" s="127"/>
      <c r="B409" s="127"/>
    </row>
    <row r="410">
      <c r="A410" s="127"/>
      <c r="B410" s="127"/>
    </row>
    <row r="411">
      <c r="A411" s="127"/>
      <c r="B411" s="127"/>
    </row>
    <row r="412">
      <c r="A412" s="127"/>
      <c r="B412" s="127"/>
    </row>
    <row r="413">
      <c r="A413" s="127"/>
      <c r="B413" s="127"/>
    </row>
    <row r="414">
      <c r="A414" s="127"/>
      <c r="B414" s="127"/>
    </row>
    <row r="415">
      <c r="A415" s="127"/>
      <c r="B415" s="127"/>
    </row>
    <row r="416">
      <c r="A416" s="127"/>
      <c r="B416" s="127"/>
    </row>
    <row r="417">
      <c r="A417" s="127"/>
      <c r="B417" s="127"/>
    </row>
    <row r="418">
      <c r="A418" s="127"/>
      <c r="B418" s="127"/>
    </row>
    <row r="419">
      <c r="A419" s="127"/>
      <c r="B419" s="127"/>
    </row>
    <row r="420">
      <c r="A420" s="127"/>
      <c r="B420" s="127"/>
    </row>
    <row r="421">
      <c r="A421" s="127"/>
      <c r="B421" s="127"/>
    </row>
    <row r="422">
      <c r="A422" s="127"/>
      <c r="B422" s="127"/>
    </row>
    <row r="423">
      <c r="A423" s="127"/>
      <c r="B423" s="127"/>
    </row>
    <row r="424">
      <c r="A424" s="127"/>
      <c r="B424" s="127"/>
    </row>
    <row r="425">
      <c r="A425" s="127"/>
      <c r="B425" s="127"/>
    </row>
    <row r="426">
      <c r="A426" s="127"/>
      <c r="B426" s="127"/>
    </row>
    <row r="427">
      <c r="A427" s="127"/>
      <c r="B427" s="127"/>
    </row>
    <row r="428">
      <c r="A428" s="127"/>
      <c r="B428" s="127"/>
    </row>
    <row r="429">
      <c r="A429" s="127"/>
      <c r="B429" s="127"/>
    </row>
    <row r="430">
      <c r="A430" s="127"/>
      <c r="B430" s="127"/>
    </row>
    <row r="431">
      <c r="A431" s="127"/>
      <c r="B431" s="127"/>
    </row>
    <row r="432">
      <c r="A432" s="127"/>
      <c r="B432" s="127"/>
    </row>
    <row r="433">
      <c r="A433" s="127"/>
      <c r="B433" s="127"/>
    </row>
    <row r="434">
      <c r="A434" s="127"/>
      <c r="B434" s="127"/>
    </row>
    <row r="435">
      <c r="A435" s="127"/>
      <c r="B435" s="127"/>
    </row>
    <row r="436">
      <c r="A436" s="127"/>
      <c r="B436" s="127"/>
    </row>
    <row r="437">
      <c r="A437" s="127"/>
      <c r="B437" s="127"/>
    </row>
    <row r="438">
      <c r="A438" s="127"/>
      <c r="B438" s="127"/>
    </row>
    <row r="439">
      <c r="A439" s="127"/>
      <c r="B439" s="127"/>
    </row>
    <row r="440">
      <c r="A440" s="127"/>
      <c r="B440" s="127"/>
    </row>
    <row r="441">
      <c r="A441" s="127"/>
      <c r="B441" s="127"/>
    </row>
    <row r="442">
      <c r="A442" s="127"/>
      <c r="B442" s="127"/>
    </row>
    <row r="443">
      <c r="A443" s="127"/>
      <c r="B443" s="127"/>
    </row>
    <row r="444">
      <c r="A444" s="127"/>
      <c r="B444" s="127"/>
    </row>
    <row r="445">
      <c r="A445" s="127"/>
      <c r="B445" s="127"/>
    </row>
    <row r="446">
      <c r="A446" s="127"/>
      <c r="B446" s="127"/>
    </row>
    <row r="447">
      <c r="A447" s="127"/>
      <c r="B447" s="127"/>
    </row>
    <row r="448">
      <c r="A448" s="127"/>
      <c r="B448" s="127"/>
    </row>
    <row r="449">
      <c r="A449" s="127"/>
      <c r="B449" s="127"/>
    </row>
    <row r="450">
      <c r="A450" s="127"/>
      <c r="B450" s="127"/>
    </row>
    <row r="451">
      <c r="A451" s="127"/>
      <c r="B451" s="127"/>
    </row>
    <row r="452">
      <c r="A452" s="127"/>
      <c r="B452" s="127"/>
    </row>
    <row r="453">
      <c r="A453" s="127"/>
      <c r="B453" s="127"/>
    </row>
    <row r="454">
      <c r="A454" s="127"/>
      <c r="B454" s="127"/>
    </row>
    <row r="455">
      <c r="A455" s="127"/>
      <c r="B455" s="127"/>
    </row>
    <row r="456">
      <c r="A456" s="127"/>
      <c r="B456" s="127"/>
    </row>
    <row r="457">
      <c r="A457" s="127"/>
      <c r="B457" s="127"/>
    </row>
    <row r="458">
      <c r="A458" s="127"/>
      <c r="B458" s="127"/>
    </row>
    <row r="459">
      <c r="A459" s="127"/>
      <c r="B459" s="127"/>
    </row>
    <row r="460">
      <c r="A460" s="127"/>
      <c r="B460" s="127"/>
    </row>
    <row r="461">
      <c r="A461" s="127"/>
      <c r="B461" s="127"/>
    </row>
    <row r="462">
      <c r="A462" s="127"/>
      <c r="B462" s="127"/>
    </row>
    <row r="463">
      <c r="A463" s="127"/>
      <c r="B463" s="127"/>
    </row>
    <row r="464">
      <c r="A464" s="127"/>
      <c r="B464" s="127"/>
    </row>
    <row r="465">
      <c r="A465" s="127"/>
      <c r="B465" s="127"/>
    </row>
    <row r="466">
      <c r="A466" s="127"/>
      <c r="B466" s="127"/>
    </row>
    <row r="467">
      <c r="A467" s="127"/>
      <c r="B467" s="127"/>
    </row>
    <row r="468">
      <c r="A468" s="127"/>
      <c r="B468" s="127"/>
    </row>
    <row r="469">
      <c r="A469" s="127"/>
      <c r="B469" s="127"/>
    </row>
    <row r="470">
      <c r="A470" s="127"/>
      <c r="B470" s="127"/>
    </row>
    <row r="471">
      <c r="A471" s="127"/>
      <c r="B471" s="127"/>
    </row>
    <row r="472">
      <c r="A472" s="127"/>
      <c r="B472" s="127"/>
    </row>
    <row r="473">
      <c r="A473" s="127"/>
      <c r="B473" s="127"/>
    </row>
    <row r="474">
      <c r="A474" s="127"/>
      <c r="B474" s="127"/>
    </row>
    <row r="475">
      <c r="A475" s="127"/>
      <c r="B475" s="127"/>
    </row>
    <row r="476">
      <c r="A476" s="127"/>
      <c r="B476" s="127"/>
    </row>
    <row r="477">
      <c r="A477" s="127"/>
      <c r="B477" s="127"/>
    </row>
    <row r="478">
      <c r="A478" s="127"/>
      <c r="B478" s="127"/>
    </row>
    <row r="479">
      <c r="A479" s="127"/>
      <c r="B479" s="127"/>
    </row>
    <row r="480">
      <c r="A480" s="127"/>
      <c r="B480" s="127"/>
    </row>
    <row r="481">
      <c r="A481" s="127"/>
      <c r="B481" s="127"/>
    </row>
    <row r="482">
      <c r="A482" s="127"/>
      <c r="B482" s="127"/>
    </row>
    <row r="483">
      <c r="A483" s="127"/>
      <c r="B483" s="127"/>
    </row>
    <row r="484">
      <c r="A484" s="127"/>
      <c r="B484" s="127"/>
    </row>
    <row r="485">
      <c r="A485" s="127"/>
      <c r="B485" s="127"/>
    </row>
    <row r="486">
      <c r="A486" s="127"/>
      <c r="B486" s="127"/>
    </row>
    <row r="487">
      <c r="A487" s="127"/>
      <c r="B487" s="127"/>
    </row>
    <row r="488">
      <c r="A488" s="127"/>
      <c r="B488" s="127"/>
    </row>
    <row r="489">
      <c r="A489" s="127"/>
      <c r="B489" s="127"/>
    </row>
    <row r="490">
      <c r="A490" s="127"/>
      <c r="B490" s="127"/>
    </row>
    <row r="491">
      <c r="A491" s="127"/>
      <c r="B491" s="127"/>
    </row>
    <row r="492">
      <c r="A492" s="127"/>
      <c r="B492" s="127"/>
    </row>
    <row r="493">
      <c r="A493" s="127"/>
      <c r="B493" s="127"/>
    </row>
    <row r="494">
      <c r="A494" s="127"/>
      <c r="B494" s="127"/>
    </row>
    <row r="495">
      <c r="A495" s="127"/>
      <c r="B495" s="127"/>
    </row>
    <row r="496">
      <c r="A496" s="127"/>
      <c r="B496" s="127"/>
    </row>
    <row r="497">
      <c r="A497" s="127"/>
      <c r="B497" s="127"/>
    </row>
    <row r="498">
      <c r="A498" s="127"/>
      <c r="B498" s="127"/>
    </row>
    <row r="499">
      <c r="A499" s="127"/>
      <c r="B499" s="127"/>
    </row>
    <row r="500">
      <c r="A500" s="127"/>
      <c r="B500" s="127"/>
    </row>
    <row r="501">
      <c r="A501" s="127"/>
      <c r="B501" s="127"/>
    </row>
    <row r="502">
      <c r="A502" s="127"/>
      <c r="B502" s="127"/>
    </row>
    <row r="503">
      <c r="A503" s="127"/>
      <c r="B503" s="127"/>
    </row>
    <row r="504">
      <c r="A504" s="127"/>
      <c r="B504" s="127"/>
    </row>
    <row r="505">
      <c r="A505" s="127"/>
      <c r="B505" s="127"/>
    </row>
    <row r="506">
      <c r="A506" s="127"/>
      <c r="B506" s="127"/>
    </row>
    <row r="507">
      <c r="A507" s="127"/>
      <c r="B507" s="127"/>
    </row>
    <row r="508">
      <c r="A508" s="127"/>
      <c r="B508" s="127"/>
    </row>
    <row r="509">
      <c r="A509" s="127"/>
      <c r="B509" s="127"/>
    </row>
    <row r="510">
      <c r="A510" s="127"/>
      <c r="B510" s="127"/>
    </row>
    <row r="511">
      <c r="A511" s="127"/>
      <c r="B511" s="127"/>
    </row>
    <row r="512">
      <c r="A512" s="127"/>
      <c r="B512" s="127"/>
    </row>
    <row r="513">
      <c r="A513" s="127"/>
      <c r="B513" s="127"/>
    </row>
    <row r="514">
      <c r="A514" s="127"/>
      <c r="B514" s="127"/>
    </row>
    <row r="515">
      <c r="A515" s="127"/>
      <c r="B515" s="127"/>
    </row>
    <row r="516">
      <c r="A516" s="127"/>
      <c r="B516" s="127"/>
    </row>
    <row r="517">
      <c r="A517" s="127"/>
      <c r="B517" s="127"/>
    </row>
    <row r="518">
      <c r="A518" s="127"/>
      <c r="B518" s="127"/>
    </row>
    <row r="519">
      <c r="A519" s="127"/>
      <c r="B519" s="127"/>
    </row>
    <row r="520">
      <c r="A520" s="127"/>
      <c r="B520" s="127"/>
    </row>
    <row r="521">
      <c r="A521" s="127"/>
      <c r="B521" s="127"/>
    </row>
    <row r="522">
      <c r="A522" s="127"/>
      <c r="B522" s="127"/>
    </row>
    <row r="523">
      <c r="A523" s="127"/>
      <c r="B523" s="127"/>
    </row>
    <row r="524">
      <c r="A524" s="127"/>
      <c r="B524" s="127"/>
    </row>
    <row r="525">
      <c r="A525" s="127"/>
      <c r="B525" s="127"/>
    </row>
    <row r="526">
      <c r="A526" s="127"/>
      <c r="B526" s="127"/>
    </row>
    <row r="527">
      <c r="A527" s="127"/>
      <c r="B527" s="127"/>
    </row>
    <row r="528">
      <c r="A528" s="127"/>
      <c r="B528" s="127"/>
    </row>
    <row r="529">
      <c r="A529" s="127"/>
      <c r="B529" s="127"/>
    </row>
    <row r="530">
      <c r="A530" s="127"/>
      <c r="B530" s="127"/>
    </row>
    <row r="531">
      <c r="A531" s="127"/>
      <c r="B531" s="127"/>
    </row>
    <row r="532">
      <c r="A532" s="127"/>
      <c r="B532" s="127"/>
    </row>
    <row r="533">
      <c r="A533" s="127"/>
      <c r="B533" s="127"/>
    </row>
    <row r="534">
      <c r="A534" s="127"/>
      <c r="B534" s="127"/>
    </row>
    <row r="535">
      <c r="A535" s="127"/>
      <c r="B535" s="127"/>
    </row>
    <row r="536">
      <c r="A536" s="127"/>
      <c r="B536" s="127"/>
    </row>
    <row r="537">
      <c r="A537" s="127"/>
      <c r="B537" s="127"/>
    </row>
    <row r="538">
      <c r="A538" s="127"/>
      <c r="B538" s="127"/>
    </row>
    <row r="539">
      <c r="A539" s="127"/>
      <c r="B539" s="127"/>
    </row>
    <row r="540">
      <c r="A540" s="127"/>
      <c r="B540" s="127"/>
    </row>
    <row r="541">
      <c r="A541" s="127"/>
      <c r="B541" s="127"/>
    </row>
    <row r="542">
      <c r="A542" s="127"/>
      <c r="B542" s="127"/>
    </row>
    <row r="543">
      <c r="A543" s="127"/>
      <c r="B543" s="127"/>
    </row>
    <row r="544">
      <c r="A544" s="127"/>
      <c r="B544" s="127"/>
    </row>
    <row r="545">
      <c r="A545" s="127"/>
      <c r="B545" s="127"/>
    </row>
    <row r="546">
      <c r="A546" s="127"/>
      <c r="B546" s="127"/>
    </row>
    <row r="547">
      <c r="A547" s="127"/>
      <c r="B547" s="127"/>
    </row>
    <row r="548">
      <c r="A548" s="127"/>
      <c r="B548" s="127"/>
    </row>
    <row r="549">
      <c r="A549" s="127"/>
      <c r="B549" s="127"/>
    </row>
    <row r="550">
      <c r="A550" s="127"/>
      <c r="B550" s="127"/>
    </row>
    <row r="551">
      <c r="A551" s="127"/>
      <c r="B551" s="127"/>
    </row>
    <row r="552">
      <c r="A552" s="127"/>
      <c r="B552" s="127"/>
    </row>
    <row r="553">
      <c r="A553" s="127"/>
      <c r="B553" s="127"/>
    </row>
    <row r="554">
      <c r="A554" s="127"/>
      <c r="B554" s="127"/>
    </row>
    <row r="555">
      <c r="A555" s="127"/>
      <c r="B555" s="127"/>
    </row>
    <row r="556">
      <c r="A556" s="127"/>
      <c r="B556" s="127"/>
    </row>
    <row r="557">
      <c r="A557" s="127"/>
      <c r="B557" s="127"/>
    </row>
    <row r="558">
      <c r="A558" s="127"/>
      <c r="B558" s="127"/>
    </row>
    <row r="559">
      <c r="A559" s="127"/>
      <c r="B559" s="127"/>
    </row>
    <row r="560">
      <c r="A560" s="127"/>
      <c r="B560" s="127"/>
    </row>
    <row r="561">
      <c r="A561" s="127"/>
      <c r="B561" s="127"/>
    </row>
    <row r="562">
      <c r="A562" s="127"/>
      <c r="B562" s="127"/>
    </row>
    <row r="563">
      <c r="A563" s="127"/>
      <c r="B563" s="127"/>
    </row>
    <row r="564">
      <c r="A564" s="127"/>
      <c r="B564" s="127"/>
    </row>
    <row r="565">
      <c r="A565" s="127"/>
      <c r="B565" s="127"/>
    </row>
    <row r="566">
      <c r="A566" s="127"/>
      <c r="B566" s="127"/>
    </row>
    <row r="567">
      <c r="A567" s="127"/>
      <c r="B567" s="127"/>
    </row>
    <row r="568">
      <c r="A568" s="127"/>
      <c r="B568" s="127"/>
    </row>
    <row r="569">
      <c r="A569" s="127"/>
      <c r="B569" s="127"/>
    </row>
    <row r="570">
      <c r="A570" s="127"/>
      <c r="B570" s="127"/>
    </row>
    <row r="571">
      <c r="A571" s="127"/>
      <c r="B571" s="127"/>
    </row>
    <row r="572">
      <c r="A572" s="127"/>
      <c r="B572" s="127"/>
    </row>
    <row r="573">
      <c r="A573" s="127"/>
      <c r="B573" s="127"/>
    </row>
    <row r="574">
      <c r="A574" s="127"/>
      <c r="B574" s="127"/>
    </row>
    <row r="575">
      <c r="A575" s="127"/>
      <c r="B575" s="127"/>
    </row>
    <row r="576">
      <c r="A576" s="127"/>
      <c r="B576" s="127"/>
    </row>
    <row r="577">
      <c r="A577" s="127"/>
      <c r="B577" s="127"/>
    </row>
    <row r="578">
      <c r="A578" s="127"/>
      <c r="B578" s="127"/>
    </row>
    <row r="579">
      <c r="A579" s="127"/>
      <c r="B579" s="127"/>
    </row>
    <row r="580">
      <c r="A580" s="127"/>
      <c r="B580" s="127"/>
    </row>
    <row r="581">
      <c r="A581" s="127"/>
      <c r="B581" s="127"/>
    </row>
    <row r="582">
      <c r="A582" s="127"/>
      <c r="B582" s="127"/>
    </row>
    <row r="583">
      <c r="A583" s="127"/>
      <c r="B583" s="127"/>
    </row>
    <row r="584">
      <c r="A584" s="127"/>
      <c r="B584" s="127"/>
    </row>
    <row r="585">
      <c r="A585" s="127"/>
      <c r="B585" s="127"/>
    </row>
    <row r="586">
      <c r="A586" s="127"/>
      <c r="B586" s="127"/>
    </row>
    <row r="587">
      <c r="A587" s="127"/>
      <c r="B587" s="127"/>
    </row>
    <row r="588">
      <c r="A588" s="127"/>
      <c r="B588" s="127"/>
    </row>
    <row r="589">
      <c r="A589" s="127"/>
      <c r="B589" s="127"/>
    </row>
    <row r="590">
      <c r="A590" s="127"/>
      <c r="B590" s="127"/>
    </row>
    <row r="591">
      <c r="A591" s="127"/>
      <c r="B591" s="127"/>
    </row>
    <row r="592">
      <c r="A592" s="127"/>
      <c r="B592" s="127"/>
    </row>
    <row r="593">
      <c r="A593" s="127"/>
      <c r="B593" s="127"/>
    </row>
    <row r="594">
      <c r="A594" s="127"/>
      <c r="B594" s="127"/>
    </row>
    <row r="595">
      <c r="A595" s="127"/>
      <c r="B595" s="127"/>
    </row>
    <row r="596">
      <c r="A596" s="127"/>
      <c r="B596" s="127"/>
    </row>
    <row r="597">
      <c r="A597" s="127"/>
      <c r="B597" s="127"/>
    </row>
    <row r="598">
      <c r="A598" s="127"/>
      <c r="B598" s="127"/>
    </row>
    <row r="599">
      <c r="A599" s="127"/>
      <c r="B599" s="127"/>
    </row>
    <row r="600">
      <c r="A600" s="127"/>
      <c r="B600" s="127"/>
    </row>
    <row r="601">
      <c r="A601" s="127"/>
      <c r="B601" s="127"/>
    </row>
    <row r="602">
      <c r="A602" s="127"/>
      <c r="B602" s="127"/>
    </row>
    <row r="603">
      <c r="A603" s="127"/>
      <c r="B603" s="127"/>
    </row>
    <row r="604">
      <c r="A604" s="127"/>
      <c r="B604" s="127"/>
    </row>
    <row r="605">
      <c r="A605" s="127"/>
      <c r="B605" s="127"/>
    </row>
    <row r="606">
      <c r="A606" s="127"/>
      <c r="B606" s="127"/>
    </row>
    <row r="607">
      <c r="A607" s="127"/>
      <c r="B607" s="127"/>
    </row>
    <row r="608">
      <c r="A608" s="127"/>
      <c r="B608" s="127"/>
    </row>
    <row r="609">
      <c r="A609" s="127"/>
      <c r="B609" s="127"/>
    </row>
    <row r="610">
      <c r="A610" s="127"/>
      <c r="B610" s="127"/>
    </row>
    <row r="611">
      <c r="A611" s="127"/>
      <c r="B611" s="127"/>
    </row>
    <row r="612">
      <c r="A612" s="127"/>
      <c r="B612" s="127"/>
    </row>
    <row r="613">
      <c r="A613" s="127"/>
      <c r="B613" s="127"/>
    </row>
    <row r="614">
      <c r="A614" s="127"/>
      <c r="B614" s="127"/>
    </row>
    <row r="615">
      <c r="A615" s="127"/>
      <c r="B615" s="127"/>
    </row>
    <row r="616">
      <c r="A616" s="127"/>
      <c r="B616" s="127"/>
    </row>
    <row r="617">
      <c r="A617" s="127"/>
      <c r="B617" s="127"/>
    </row>
    <row r="618">
      <c r="A618" s="127"/>
      <c r="B618" s="127"/>
    </row>
    <row r="619">
      <c r="A619" s="127"/>
      <c r="B619" s="127"/>
    </row>
    <row r="620">
      <c r="A620" s="127"/>
      <c r="B620" s="127"/>
    </row>
    <row r="621">
      <c r="A621" s="127"/>
      <c r="B621" s="127"/>
    </row>
    <row r="622">
      <c r="A622" s="127"/>
      <c r="B622" s="127"/>
    </row>
    <row r="623">
      <c r="A623" s="127"/>
      <c r="B623" s="127"/>
    </row>
    <row r="624">
      <c r="A624" s="127"/>
      <c r="B624" s="127"/>
    </row>
    <row r="625">
      <c r="A625" s="127"/>
      <c r="B625" s="127"/>
    </row>
    <row r="626">
      <c r="A626" s="127"/>
      <c r="B626" s="127"/>
    </row>
    <row r="627">
      <c r="A627" s="127"/>
      <c r="B627" s="127"/>
    </row>
    <row r="628">
      <c r="A628" s="127"/>
      <c r="B628" s="127"/>
    </row>
    <row r="629">
      <c r="A629" s="127"/>
      <c r="B629" s="127"/>
    </row>
    <row r="630">
      <c r="A630" s="127"/>
      <c r="B630" s="127"/>
    </row>
    <row r="631">
      <c r="A631" s="127"/>
      <c r="B631" s="127"/>
    </row>
    <row r="632">
      <c r="A632" s="127"/>
      <c r="B632" s="127"/>
    </row>
    <row r="633">
      <c r="A633" s="127"/>
      <c r="B633" s="127"/>
    </row>
    <row r="634">
      <c r="A634" s="127"/>
      <c r="B634" s="127"/>
    </row>
    <row r="635">
      <c r="A635" s="127"/>
      <c r="B635" s="127"/>
    </row>
    <row r="636">
      <c r="A636" s="127"/>
      <c r="B636" s="127"/>
    </row>
    <row r="637">
      <c r="A637" s="127"/>
      <c r="B637" s="127"/>
    </row>
    <row r="638">
      <c r="A638" s="127"/>
      <c r="B638" s="127"/>
    </row>
    <row r="639">
      <c r="A639" s="127"/>
      <c r="B639" s="127"/>
    </row>
    <row r="640">
      <c r="A640" s="127"/>
      <c r="B640" s="127"/>
    </row>
    <row r="641">
      <c r="A641" s="127"/>
      <c r="B641" s="127"/>
    </row>
    <row r="642">
      <c r="A642" s="127"/>
      <c r="B642" s="127"/>
    </row>
    <row r="643">
      <c r="A643" s="127"/>
      <c r="B643" s="127"/>
    </row>
    <row r="644">
      <c r="A644" s="127"/>
      <c r="B644" s="127"/>
    </row>
    <row r="645">
      <c r="A645" s="127"/>
      <c r="B645" s="127"/>
    </row>
    <row r="646">
      <c r="A646" s="127"/>
      <c r="B646" s="127"/>
    </row>
    <row r="647">
      <c r="A647" s="127"/>
      <c r="B647" s="127"/>
    </row>
    <row r="648">
      <c r="A648" s="127"/>
      <c r="B648" s="127"/>
    </row>
    <row r="649">
      <c r="A649" s="127"/>
      <c r="B649" s="127"/>
    </row>
    <row r="650">
      <c r="A650" s="127"/>
      <c r="B650" s="127"/>
    </row>
    <row r="651">
      <c r="A651" s="127"/>
      <c r="B651" s="127"/>
    </row>
    <row r="652">
      <c r="A652" s="127"/>
      <c r="B652" s="127"/>
    </row>
    <row r="653">
      <c r="A653" s="127"/>
      <c r="B653" s="127"/>
    </row>
    <row r="654">
      <c r="A654" s="127"/>
      <c r="B654" s="127"/>
    </row>
    <row r="655">
      <c r="A655" s="127"/>
      <c r="B655" s="127"/>
    </row>
    <row r="656">
      <c r="A656" s="127"/>
      <c r="B656" s="127"/>
    </row>
    <row r="657">
      <c r="A657" s="127"/>
      <c r="B657" s="127"/>
    </row>
    <row r="658">
      <c r="A658" s="127"/>
      <c r="B658" s="127"/>
    </row>
    <row r="659">
      <c r="A659" s="127"/>
      <c r="B659" s="127"/>
    </row>
    <row r="660">
      <c r="A660" s="127"/>
      <c r="B660" s="127"/>
    </row>
    <row r="661">
      <c r="A661" s="127"/>
      <c r="B661" s="127"/>
    </row>
    <row r="662">
      <c r="A662" s="127"/>
      <c r="B662" s="127"/>
    </row>
    <row r="663">
      <c r="A663" s="127"/>
      <c r="B663" s="127"/>
    </row>
    <row r="664">
      <c r="A664" s="127"/>
      <c r="B664" s="127"/>
    </row>
    <row r="665">
      <c r="A665" s="127"/>
      <c r="B665" s="127"/>
    </row>
    <row r="666">
      <c r="A666" s="127"/>
      <c r="B666" s="127"/>
    </row>
    <row r="667">
      <c r="A667" s="127"/>
      <c r="B667" s="127"/>
    </row>
    <row r="668">
      <c r="A668" s="127"/>
      <c r="B668" s="127"/>
    </row>
    <row r="669">
      <c r="A669" s="127"/>
      <c r="B669" s="127"/>
    </row>
    <row r="670">
      <c r="A670" s="127"/>
      <c r="B670" s="127"/>
    </row>
    <row r="671">
      <c r="A671" s="127"/>
      <c r="B671" s="127"/>
    </row>
    <row r="672">
      <c r="A672" s="127"/>
      <c r="B672" s="127"/>
    </row>
    <row r="673">
      <c r="A673" s="127"/>
      <c r="B673" s="127"/>
    </row>
    <row r="674">
      <c r="A674" s="127"/>
      <c r="B674" s="127"/>
    </row>
    <row r="675">
      <c r="A675" s="127"/>
      <c r="B675" s="127"/>
    </row>
    <row r="676">
      <c r="A676" s="127"/>
      <c r="B676" s="127"/>
    </row>
    <row r="677">
      <c r="A677" s="127"/>
      <c r="B677" s="127"/>
    </row>
    <row r="678">
      <c r="A678" s="127"/>
      <c r="B678" s="127"/>
    </row>
    <row r="679">
      <c r="A679" s="127"/>
      <c r="B679" s="127"/>
    </row>
    <row r="680">
      <c r="A680" s="127"/>
      <c r="B680" s="127"/>
    </row>
    <row r="681">
      <c r="A681" s="127"/>
      <c r="B681" s="127"/>
    </row>
    <row r="682">
      <c r="A682" s="127"/>
      <c r="B682" s="127"/>
    </row>
    <row r="683">
      <c r="A683" s="127"/>
      <c r="B683" s="127"/>
    </row>
    <row r="684">
      <c r="A684" s="127"/>
      <c r="B684" s="127"/>
    </row>
    <row r="685">
      <c r="A685" s="127"/>
      <c r="B685" s="127"/>
    </row>
    <row r="686">
      <c r="A686" s="127"/>
      <c r="B686" s="127"/>
    </row>
    <row r="687">
      <c r="A687" s="127"/>
      <c r="B687" s="127"/>
    </row>
    <row r="688">
      <c r="A688" s="127"/>
      <c r="B688" s="127"/>
    </row>
    <row r="689">
      <c r="A689" s="127"/>
      <c r="B689" s="127"/>
    </row>
    <row r="690">
      <c r="A690" s="127"/>
      <c r="B690" s="127"/>
    </row>
    <row r="691">
      <c r="A691" s="127"/>
      <c r="B691" s="127"/>
    </row>
    <row r="692">
      <c r="A692" s="127"/>
      <c r="B692" s="127"/>
    </row>
    <row r="693">
      <c r="A693" s="127"/>
      <c r="B693" s="127"/>
    </row>
    <row r="694">
      <c r="A694" s="127"/>
      <c r="B694" s="127"/>
    </row>
    <row r="695">
      <c r="A695" s="127"/>
      <c r="B695" s="127"/>
    </row>
    <row r="696">
      <c r="A696" s="127"/>
      <c r="B696" s="127"/>
    </row>
    <row r="697">
      <c r="A697" s="127"/>
      <c r="B697" s="127"/>
    </row>
    <row r="698">
      <c r="A698" s="127"/>
      <c r="B698" s="127"/>
    </row>
    <row r="699">
      <c r="A699" s="127"/>
      <c r="B699" s="127"/>
    </row>
    <row r="700">
      <c r="A700" s="127"/>
      <c r="B700" s="127"/>
    </row>
    <row r="701">
      <c r="A701" s="127"/>
      <c r="B701" s="127"/>
    </row>
    <row r="702">
      <c r="A702" s="127"/>
      <c r="B702" s="127"/>
    </row>
    <row r="703">
      <c r="A703" s="127"/>
      <c r="B703" s="127"/>
    </row>
    <row r="704">
      <c r="A704" s="127"/>
      <c r="B704" s="127"/>
    </row>
    <row r="705">
      <c r="A705" s="127"/>
      <c r="B705" s="127"/>
    </row>
    <row r="706">
      <c r="A706" s="127"/>
      <c r="B706" s="127"/>
    </row>
    <row r="707">
      <c r="A707" s="127"/>
      <c r="B707" s="127"/>
    </row>
    <row r="708">
      <c r="A708" s="127"/>
      <c r="B708" s="127"/>
    </row>
    <row r="709">
      <c r="A709" s="127"/>
      <c r="B709" s="127"/>
    </row>
    <row r="710">
      <c r="A710" s="127"/>
      <c r="B710" s="127"/>
    </row>
    <row r="711">
      <c r="A711" s="127"/>
      <c r="B711" s="127"/>
    </row>
    <row r="712">
      <c r="A712" s="127"/>
      <c r="B712" s="127"/>
    </row>
    <row r="713">
      <c r="A713" s="127"/>
      <c r="B713" s="127"/>
    </row>
    <row r="714">
      <c r="A714" s="127"/>
      <c r="B714" s="127"/>
    </row>
    <row r="715">
      <c r="A715" s="127"/>
      <c r="B715" s="127"/>
    </row>
    <row r="716">
      <c r="A716" s="127"/>
      <c r="B716" s="127"/>
    </row>
    <row r="717">
      <c r="A717" s="127"/>
      <c r="B717" s="127"/>
    </row>
    <row r="718">
      <c r="A718" s="127"/>
      <c r="B718" s="127"/>
    </row>
    <row r="719">
      <c r="A719" s="127"/>
      <c r="B719" s="127"/>
    </row>
    <row r="720">
      <c r="A720" s="127"/>
      <c r="B720" s="127"/>
    </row>
    <row r="721">
      <c r="A721" s="127"/>
      <c r="B721" s="127"/>
    </row>
    <row r="722">
      <c r="A722" s="127"/>
      <c r="B722" s="127"/>
    </row>
    <row r="723">
      <c r="A723" s="127"/>
      <c r="B723" s="127"/>
    </row>
    <row r="724">
      <c r="A724" s="127"/>
      <c r="B724" s="127"/>
    </row>
    <row r="725">
      <c r="A725" s="127"/>
      <c r="B725" s="127"/>
    </row>
    <row r="726">
      <c r="A726" s="127"/>
      <c r="B726" s="127"/>
    </row>
    <row r="727">
      <c r="A727" s="127"/>
      <c r="B727" s="127"/>
    </row>
    <row r="728">
      <c r="A728" s="127"/>
      <c r="B728" s="127"/>
    </row>
    <row r="729">
      <c r="A729" s="127"/>
      <c r="B729" s="127"/>
    </row>
    <row r="730">
      <c r="A730" s="127"/>
      <c r="B730" s="127"/>
    </row>
    <row r="731">
      <c r="A731" s="127"/>
      <c r="B731" s="127"/>
    </row>
    <row r="732">
      <c r="A732" s="127"/>
      <c r="B732" s="127"/>
    </row>
    <row r="733">
      <c r="A733" s="127"/>
      <c r="B733" s="127"/>
    </row>
    <row r="734">
      <c r="A734" s="127"/>
      <c r="B734" s="127"/>
    </row>
    <row r="735">
      <c r="A735" s="127"/>
      <c r="B735" s="127"/>
    </row>
    <row r="736">
      <c r="A736" s="127"/>
      <c r="B736" s="127"/>
    </row>
    <row r="737">
      <c r="A737" s="127"/>
      <c r="B737" s="127"/>
    </row>
    <row r="738">
      <c r="A738" s="127"/>
      <c r="B738" s="127"/>
    </row>
    <row r="739">
      <c r="A739" s="127"/>
      <c r="B739" s="127"/>
    </row>
    <row r="740">
      <c r="A740" s="127"/>
      <c r="B740" s="127"/>
    </row>
    <row r="741">
      <c r="A741" s="127"/>
      <c r="B741" s="127"/>
    </row>
    <row r="742">
      <c r="A742" s="127"/>
      <c r="B742" s="127"/>
    </row>
    <row r="743">
      <c r="A743" s="127"/>
      <c r="B743" s="127"/>
    </row>
    <row r="744">
      <c r="A744" s="127"/>
      <c r="B744" s="127"/>
    </row>
    <row r="745">
      <c r="A745" s="127"/>
      <c r="B745" s="127"/>
    </row>
    <row r="746">
      <c r="A746" s="127"/>
      <c r="B746" s="127"/>
    </row>
    <row r="747">
      <c r="A747" s="127"/>
      <c r="B747" s="127"/>
    </row>
    <row r="748">
      <c r="A748" s="127"/>
      <c r="B748" s="127"/>
    </row>
    <row r="749">
      <c r="A749" s="127"/>
      <c r="B749" s="127"/>
    </row>
    <row r="750">
      <c r="A750" s="127"/>
      <c r="B750" s="127"/>
    </row>
    <row r="751">
      <c r="A751" s="127"/>
      <c r="B751" s="127"/>
    </row>
    <row r="752">
      <c r="A752" s="127"/>
      <c r="B752" s="127"/>
    </row>
    <row r="753">
      <c r="A753" s="127"/>
      <c r="B753" s="127"/>
    </row>
    <row r="754">
      <c r="A754" s="127"/>
      <c r="B754" s="127"/>
    </row>
    <row r="755">
      <c r="A755" s="127"/>
      <c r="B755" s="127"/>
    </row>
    <row r="756">
      <c r="A756" s="127"/>
      <c r="B756" s="127"/>
    </row>
    <row r="757">
      <c r="A757" s="127"/>
      <c r="B757" s="127"/>
    </row>
    <row r="758">
      <c r="A758" s="127"/>
      <c r="B758" s="127"/>
    </row>
    <row r="759">
      <c r="A759" s="127"/>
      <c r="B759" s="127"/>
    </row>
    <row r="760">
      <c r="A760" s="127"/>
      <c r="B760" s="127"/>
    </row>
    <row r="761">
      <c r="A761" s="127"/>
      <c r="B761" s="127"/>
    </row>
    <row r="762">
      <c r="A762" s="127"/>
      <c r="B762" s="127"/>
    </row>
    <row r="763">
      <c r="A763" s="127"/>
      <c r="B763" s="127"/>
    </row>
    <row r="764">
      <c r="A764" s="127"/>
      <c r="B764" s="127"/>
    </row>
    <row r="765">
      <c r="A765" s="127"/>
      <c r="B765" s="127"/>
    </row>
    <row r="766">
      <c r="A766" s="127"/>
      <c r="B766" s="127"/>
    </row>
    <row r="767">
      <c r="A767" s="127"/>
      <c r="B767" s="127"/>
    </row>
    <row r="768">
      <c r="A768" s="127"/>
      <c r="B768" s="127"/>
    </row>
    <row r="769">
      <c r="A769" s="127"/>
      <c r="B769" s="127"/>
    </row>
    <row r="770">
      <c r="A770" s="127"/>
      <c r="B770" s="127"/>
    </row>
    <row r="771">
      <c r="A771" s="127"/>
      <c r="B771" s="127"/>
    </row>
    <row r="772">
      <c r="A772" s="127"/>
      <c r="B772" s="127"/>
    </row>
    <row r="773">
      <c r="A773" s="127"/>
      <c r="B773" s="127"/>
    </row>
    <row r="774">
      <c r="A774" s="127"/>
      <c r="B774" s="127"/>
    </row>
    <row r="775">
      <c r="A775" s="127"/>
      <c r="B775" s="127"/>
    </row>
    <row r="776">
      <c r="A776" s="127"/>
      <c r="B776" s="127"/>
    </row>
    <row r="777">
      <c r="A777" s="127"/>
      <c r="B777" s="127"/>
    </row>
    <row r="778">
      <c r="A778" s="127"/>
      <c r="B778" s="127"/>
    </row>
    <row r="779">
      <c r="A779" s="127"/>
      <c r="B779" s="127"/>
    </row>
    <row r="780">
      <c r="A780" s="127"/>
      <c r="B780" s="127"/>
    </row>
    <row r="781">
      <c r="A781" s="127"/>
      <c r="B781" s="127"/>
    </row>
    <row r="782">
      <c r="A782" s="127"/>
      <c r="B782" s="127"/>
    </row>
    <row r="783">
      <c r="A783" s="127"/>
      <c r="B783" s="127"/>
    </row>
    <row r="784">
      <c r="A784" s="127"/>
      <c r="B784" s="127"/>
    </row>
    <row r="785">
      <c r="A785" s="127"/>
      <c r="B785" s="127"/>
    </row>
    <row r="786">
      <c r="A786" s="127"/>
      <c r="B786" s="127"/>
    </row>
    <row r="787">
      <c r="A787" s="127"/>
      <c r="B787" s="127"/>
    </row>
    <row r="788">
      <c r="A788" s="127"/>
      <c r="B788" s="127"/>
    </row>
    <row r="789">
      <c r="A789" s="127"/>
      <c r="B789" s="127"/>
    </row>
    <row r="790">
      <c r="A790" s="127"/>
      <c r="B790" s="127"/>
    </row>
    <row r="791">
      <c r="A791" s="127"/>
      <c r="B791" s="127"/>
    </row>
    <row r="792">
      <c r="A792" s="127"/>
      <c r="B792" s="127"/>
    </row>
    <row r="793">
      <c r="A793" s="127"/>
      <c r="B793" s="127"/>
    </row>
    <row r="794">
      <c r="A794" s="127"/>
      <c r="B794" s="127"/>
    </row>
    <row r="795">
      <c r="A795" s="127"/>
      <c r="B795" s="127"/>
    </row>
    <row r="796">
      <c r="A796" s="127"/>
      <c r="B796" s="127"/>
    </row>
    <row r="797">
      <c r="A797" s="127"/>
      <c r="B797" s="127"/>
    </row>
    <row r="798">
      <c r="A798" s="127"/>
      <c r="B798" s="127"/>
    </row>
    <row r="799">
      <c r="A799" s="127"/>
      <c r="B799" s="127"/>
    </row>
    <row r="800">
      <c r="A800" s="127"/>
      <c r="B800" s="127"/>
    </row>
    <row r="801">
      <c r="A801" s="127"/>
      <c r="B801" s="127"/>
    </row>
    <row r="802">
      <c r="A802" s="127"/>
      <c r="B802" s="127"/>
    </row>
    <row r="803">
      <c r="A803" s="127"/>
      <c r="B803" s="127"/>
    </row>
    <row r="804">
      <c r="A804" s="127"/>
      <c r="B804" s="127"/>
    </row>
    <row r="805">
      <c r="A805" s="127"/>
      <c r="B805" s="127"/>
    </row>
    <row r="806">
      <c r="A806" s="127"/>
      <c r="B806" s="127"/>
    </row>
    <row r="807">
      <c r="A807" s="127"/>
      <c r="B807" s="127"/>
    </row>
    <row r="808">
      <c r="A808" s="127"/>
      <c r="B808" s="127"/>
    </row>
    <row r="809">
      <c r="A809" s="127"/>
      <c r="B809" s="127"/>
    </row>
    <row r="810">
      <c r="A810" s="127"/>
      <c r="B810" s="127"/>
    </row>
    <row r="811">
      <c r="A811" s="127"/>
      <c r="B811" s="127"/>
    </row>
    <row r="812">
      <c r="A812" s="127"/>
      <c r="B812" s="127"/>
    </row>
    <row r="813">
      <c r="A813" s="127"/>
      <c r="B813" s="127"/>
    </row>
    <row r="814">
      <c r="A814" s="127"/>
      <c r="B814" s="127"/>
    </row>
    <row r="815">
      <c r="A815" s="127"/>
      <c r="B815" s="127"/>
    </row>
    <row r="816">
      <c r="A816" s="127"/>
      <c r="B816" s="127"/>
    </row>
    <row r="817">
      <c r="A817" s="127"/>
      <c r="B817" s="127"/>
    </row>
    <row r="818">
      <c r="A818" s="127"/>
      <c r="B818" s="127"/>
    </row>
    <row r="819">
      <c r="A819" s="127"/>
      <c r="B819" s="127"/>
    </row>
    <row r="820">
      <c r="A820" s="127"/>
      <c r="B820" s="127"/>
    </row>
    <row r="821">
      <c r="A821" s="127"/>
      <c r="B821" s="127"/>
    </row>
    <row r="822">
      <c r="A822" s="127"/>
      <c r="B822" s="127"/>
    </row>
    <row r="823">
      <c r="A823" s="127"/>
      <c r="B823" s="127"/>
    </row>
    <row r="824">
      <c r="A824" s="127"/>
      <c r="B824" s="127"/>
    </row>
    <row r="825">
      <c r="A825" s="127"/>
      <c r="B825" s="127"/>
    </row>
    <row r="826">
      <c r="A826" s="127"/>
      <c r="B826" s="127"/>
    </row>
    <row r="827">
      <c r="A827" s="127"/>
      <c r="B827" s="127"/>
    </row>
    <row r="828">
      <c r="A828" s="127"/>
      <c r="B828" s="127"/>
    </row>
    <row r="829">
      <c r="A829" s="127"/>
      <c r="B829" s="127"/>
    </row>
    <row r="830">
      <c r="A830" s="127"/>
      <c r="B830" s="127"/>
    </row>
    <row r="831">
      <c r="A831" s="127"/>
      <c r="B831" s="127"/>
    </row>
    <row r="832">
      <c r="A832" s="127"/>
      <c r="B832" s="127"/>
    </row>
    <row r="833">
      <c r="A833" s="127"/>
      <c r="B833" s="127"/>
    </row>
    <row r="834">
      <c r="A834" s="127"/>
      <c r="B834" s="127"/>
    </row>
    <row r="835">
      <c r="A835" s="127"/>
      <c r="B835" s="127"/>
    </row>
    <row r="836">
      <c r="A836" s="127"/>
      <c r="B836" s="127"/>
    </row>
    <row r="837">
      <c r="A837" s="127"/>
      <c r="B837" s="127"/>
    </row>
    <row r="838">
      <c r="A838" s="127"/>
      <c r="B838" s="127"/>
    </row>
    <row r="839">
      <c r="A839" s="127"/>
      <c r="B839" s="127"/>
    </row>
    <row r="840">
      <c r="A840" s="127"/>
      <c r="B840" s="127"/>
    </row>
    <row r="841">
      <c r="A841" s="127"/>
      <c r="B841" s="127"/>
    </row>
    <row r="842">
      <c r="A842" s="127"/>
      <c r="B842" s="127"/>
    </row>
    <row r="843">
      <c r="A843" s="127"/>
      <c r="B843" s="127"/>
    </row>
    <row r="844">
      <c r="A844" s="127"/>
      <c r="B844" s="127"/>
    </row>
    <row r="845">
      <c r="A845" s="127"/>
      <c r="B845" s="127"/>
    </row>
    <row r="846">
      <c r="A846" s="127"/>
      <c r="B846" s="127"/>
    </row>
    <row r="847">
      <c r="A847" s="127"/>
      <c r="B847" s="127"/>
    </row>
    <row r="848">
      <c r="A848" s="127"/>
      <c r="B848" s="127"/>
    </row>
    <row r="849">
      <c r="A849" s="127"/>
      <c r="B849" s="127"/>
    </row>
    <row r="850">
      <c r="A850" s="127"/>
      <c r="B850" s="127"/>
    </row>
    <row r="851">
      <c r="A851" s="127"/>
      <c r="B851" s="127"/>
    </row>
    <row r="852">
      <c r="A852" s="127"/>
      <c r="B852" s="127"/>
    </row>
    <row r="853">
      <c r="A853" s="127"/>
      <c r="B853" s="127"/>
    </row>
    <row r="854">
      <c r="A854" s="127"/>
      <c r="B854" s="127"/>
    </row>
    <row r="855">
      <c r="A855" s="127"/>
      <c r="B855" s="127"/>
    </row>
    <row r="856">
      <c r="A856" s="127"/>
      <c r="B856" s="127"/>
    </row>
    <row r="857">
      <c r="A857" s="127"/>
      <c r="B857" s="127"/>
    </row>
    <row r="858">
      <c r="A858" s="127"/>
      <c r="B858" s="127"/>
    </row>
    <row r="859">
      <c r="A859" s="127"/>
      <c r="B859" s="127"/>
    </row>
    <row r="860">
      <c r="A860" s="127"/>
      <c r="B860" s="127"/>
    </row>
    <row r="861">
      <c r="A861" s="127"/>
      <c r="B861" s="127"/>
    </row>
    <row r="862">
      <c r="A862" s="127"/>
      <c r="B862" s="127"/>
    </row>
    <row r="863">
      <c r="A863" s="127"/>
      <c r="B863" s="127"/>
    </row>
    <row r="864">
      <c r="A864" s="127"/>
      <c r="B864" s="127"/>
    </row>
    <row r="865">
      <c r="A865" s="127"/>
      <c r="B865" s="127"/>
    </row>
    <row r="866">
      <c r="A866" s="127"/>
      <c r="B866" s="127"/>
    </row>
    <row r="867">
      <c r="A867" s="127"/>
      <c r="B867" s="127"/>
    </row>
    <row r="868">
      <c r="A868" s="127"/>
      <c r="B868" s="127"/>
    </row>
    <row r="869">
      <c r="A869" s="127"/>
      <c r="B869" s="127"/>
    </row>
    <row r="870">
      <c r="A870" s="127"/>
      <c r="B870" s="127"/>
    </row>
    <row r="871">
      <c r="A871" s="127"/>
      <c r="B871" s="127"/>
    </row>
    <row r="872">
      <c r="A872" s="127"/>
      <c r="B872" s="127"/>
    </row>
    <row r="873">
      <c r="A873" s="127"/>
      <c r="B873" s="127"/>
    </row>
    <row r="874">
      <c r="A874" s="127"/>
      <c r="B874" s="127"/>
    </row>
    <row r="875">
      <c r="A875" s="127"/>
      <c r="B875" s="127"/>
    </row>
    <row r="876">
      <c r="A876" s="127"/>
      <c r="B876" s="127"/>
    </row>
    <row r="877">
      <c r="A877" s="127"/>
      <c r="B877" s="127"/>
    </row>
    <row r="878">
      <c r="A878" s="127"/>
      <c r="B878" s="127"/>
    </row>
    <row r="879">
      <c r="A879" s="127"/>
      <c r="B879" s="127"/>
    </row>
    <row r="880">
      <c r="A880" s="127"/>
      <c r="B880" s="127"/>
    </row>
    <row r="881">
      <c r="A881" s="127"/>
      <c r="B881" s="127"/>
    </row>
    <row r="882">
      <c r="A882" s="127"/>
      <c r="B882" s="127"/>
    </row>
    <row r="883">
      <c r="A883" s="127"/>
      <c r="B883" s="127"/>
    </row>
    <row r="884">
      <c r="A884" s="127"/>
      <c r="B884" s="127"/>
    </row>
    <row r="885">
      <c r="A885" s="127"/>
      <c r="B885" s="127"/>
    </row>
    <row r="886">
      <c r="A886" s="127"/>
      <c r="B886" s="127"/>
    </row>
    <row r="887">
      <c r="A887" s="127"/>
      <c r="B887" s="127"/>
    </row>
    <row r="888">
      <c r="A888" s="127"/>
      <c r="B888" s="127"/>
    </row>
    <row r="889">
      <c r="A889" s="127"/>
      <c r="B889" s="127"/>
    </row>
    <row r="890">
      <c r="A890" s="127"/>
      <c r="B890" s="127"/>
    </row>
    <row r="891">
      <c r="A891" s="127"/>
      <c r="B891" s="127"/>
    </row>
    <row r="892">
      <c r="A892" s="127"/>
      <c r="B892" s="127"/>
    </row>
    <row r="893">
      <c r="A893" s="127"/>
      <c r="B893" s="127"/>
    </row>
    <row r="894">
      <c r="A894" s="127"/>
      <c r="B894" s="127"/>
    </row>
    <row r="895">
      <c r="A895" s="127"/>
      <c r="B895" s="127"/>
    </row>
    <row r="896">
      <c r="A896" s="127"/>
      <c r="B896" s="127"/>
    </row>
    <row r="897">
      <c r="A897" s="127"/>
      <c r="B897" s="127"/>
    </row>
    <row r="898">
      <c r="A898" s="127"/>
      <c r="B898" s="127"/>
    </row>
    <row r="899">
      <c r="A899" s="127"/>
      <c r="B899" s="127"/>
    </row>
    <row r="900">
      <c r="A900" s="127"/>
      <c r="B900" s="127"/>
    </row>
    <row r="901">
      <c r="A901" s="127"/>
      <c r="B901" s="127"/>
    </row>
    <row r="902">
      <c r="A902" s="127"/>
      <c r="B902" s="127"/>
    </row>
    <row r="903">
      <c r="A903" s="127"/>
      <c r="B903" s="127"/>
    </row>
    <row r="904">
      <c r="A904" s="127"/>
      <c r="B904" s="127"/>
    </row>
    <row r="905">
      <c r="A905" s="127"/>
      <c r="B905" s="127"/>
    </row>
    <row r="906">
      <c r="A906" s="127"/>
      <c r="B906" s="127"/>
    </row>
    <row r="907">
      <c r="A907" s="127"/>
      <c r="B907" s="127"/>
    </row>
    <row r="908">
      <c r="A908" s="127"/>
      <c r="B908" s="127"/>
    </row>
    <row r="909">
      <c r="A909" s="127"/>
      <c r="B909" s="127"/>
    </row>
    <row r="910">
      <c r="A910" s="127"/>
      <c r="B910" s="127"/>
    </row>
    <row r="911">
      <c r="A911" s="127"/>
      <c r="B911" s="127"/>
    </row>
    <row r="912">
      <c r="A912" s="127"/>
      <c r="B912" s="127"/>
    </row>
    <row r="913">
      <c r="A913" s="127"/>
      <c r="B913" s="127"/>
    </row>
    <row r="914">
      <c r="A914" s="127"/>
      <c r="B914" s="127"/>
    </row>
    <row r="915">
      <c r="A915" s="127"/>
      <c r="B915" s="127"/>
    </row>
    <row r="916">
      <c r="A916" s="127"/>
      <c r="B916" s="127"/>
    </row>
    <row r="917">
      <c r="A917" s="127"/>
      <c r="B917" s="127"/>
    </row>
    <row r="918">
      <c r="A918" s="127"/>
      <c r="B918" s="127"/>
    </row>
    <row r="919">
      <c r="A919" s="127"/>
      <c r="B919" s="127"/>
    </row>
    <row r="920">
      <c r="A920" s="127"/>
      <c r="B920" s="127"/>
    </row>
    <row r="921">
      <c r="A921" s="127"/>
      <c r="B921" s="127"/>
    </row>
    <row r="922">
      <c r="A922" s="127"/>
      <c r="B922" s="127"/>
    </row>
    <row r="923">
      <c r="A923" s="127"/>
      <c r="B923" s="127"/>
    </row>
    <row r="924">
      <c r="A924" s="127"/>
      <c r="B924" s="127"/>
    </row>
    <row r="925">
      <c r="A925" s="127"/>
      <c r="B925" s="127"/>
    </row>
    <row r="926">
      <c r="A926" s="127"/>
      <c r="B926" s="127"/>
    </row>
    <row r="927">
      <c r="A927" s="127"/>
      <c r="B927" s="127"/>
    </row>
    <row r="928">
      <c r="A928" s="127"/>
      <c r="B928" s="127"/>
    </row>
    <row r="929">
      <c r="A929" s="127"/>
      <c r="B929" s="127"/>
    </row>
    <row r="930">
      <c r="A930" s="127"/>
      <c r="B930" s="127"/>
    </row>
    <row r="931">
      <c r="A931" s="127"/>
      <c r="B931" s="127"/>
    </row>
    <row r="932">
      <c r="A932" s="127"/>
      <c r="B932" s="127"/>
    </row>
    <row r="933">
      <c r="A933" s="127"/>
      <c r="B933" s="127"/>
    </row>
    <row r="934">
      <c r="A934" s="127"/>
      <c r="B934" s="127"/>
    </row>
    <row r="935">
      <c r="A935" s="127"/>
      <c r="B935" s="127"/>
    </row>
    <row r="936">
      <c r="A936" s="127"/>
      <c r="B936" s="127"/>
    </row>
    <row r="937">
      <c r="A937" s="127"/>
      <c r="B937" s="127"/>
    </row>
    <row r="938">
      <c r="A938" s="127"/>
      <c r="B938" s="127"/>
    </row>
    <row r="939">
      <c r="A939" s="127"/>
      <c r="B939" s="127"/>
    </row>
    <row r="940">
      <c r="A940" s="127"/>
      <c r="B940" s="127"/>
    </row>
    <row r="941">
      <c r="A941" s="127"/>
      <c r="B941" s="127"/>
    </row>
    <row r="942">
      <c r="A942" s="127"/>
      <c r="B942" s="127"/>
    </row>
    <row r="943">
      <c r="A943" s="127"/>
      <c r="B943" s="127"/>
    </row>
    <row r="944">
      <c r="A944" s="127"/>
      <c r="B944" s="127"/>
    </row>
    <row r="945">
      <c r="A945" s="127"/>
      <c r="B945" s="127"/>
    </row>
    <row r="946">
      <c r="A946" s="127"/>
      <c r="B946" s="127"/>
    </row>
    <row r="947">
      <c r="A947" s="127"/>
      <c r="B947" s="127"/>
    </row>
    <row r="948">
      <c r="A948" s="127"/>
      <c r="B948" s="127"/>
    </row>
    <row r="949">
      <c r="A949" s="127"/>
      <c r="B949" s="127"/>
    </row>
    <row r="950">
      <c r="A950" s="127"/>
      <c r="B950" s="127"/>
    </row>
    <row r="951">
      <c r="A951" s="127"/>
      <c r="B951" s="127"/>
    </row>
    <row r="952">
      <c r="A952" s="127"/>
      <c r="B952" s="127"/>
    </row>
    <row r="953">
      <c r="A953" s="127"/>
      <c r="B953" s="127"/>
    </row>
    <row r="954">
      <c r="A954" s="127"/>
      <c r="B954" s="127"/>
    </row>
    <row r="955">
      <c r="A955" s="127"/>
      <c r="B955" s="127"/>
    </row>
    <row r="956">
      <c r="A956" s="127"/>
      <c r="B956" s="127"/>
    </row>
    <row r="957">
      <c r="A957" s="127"/>
      <c r="B957" s="127"/>
    </row>
    <row r="958">
      <c r="A958" s="127"/>
      <c r="B958" s="127"/>
    </row>
    <row r="959">
      <c r="A959" s="127"/>
      <c r="B959" s="127"/>
    </row>
    <row r="960">
      <c r="A960" s="127"/>
      <c r="B960" s="127"/>
    </row>
    <row r="961">
      <c r="A961" s="127"/>
      <c r="B961" s="127"/>
    </row>
    <row r="962">
      <c r="A962" s="127"/>
      <c r="B962" s="127"/>
    </row>
    <row r="963">
      <c r="A963" s="127"/>
      <c r="B963" s="127"/>
    </row>
    <row r="964">
      <c r="A964" s="127"/>
      <c r="B964" s="127"/>
    </row>
    <row r="965">
      <c r="A965" s="127"/>
      <c r="B965" s="127"/>
    </row>
    <row r="966">
      <c r="A966" s="127"/>
      <c r="B966" s="127"/>
    </row>
    <row r="967">
      <c r="A967" s="127"/>
      <c r="B967" s="127"/>
    </row>
    <row r="968">
      <c r="A968" s="127"/>
      <c r="B968" s="127"/>
    </row>
    <row r="969">
      <c r="A969" s="127"/>
      <c r="B969" s="127"/>
    </row>
    <row r="970">
      <c r="A970" s="127"/>
      <c r="B970" s="127"/>
    </row>
    <row r="971">
      <c r="A971" s="127"/>
      <c r="B971" s="127"/>
    </row>
    <row r="972">
      <c r="A972" s="127"/>
      <c r="B972" s="127"/>
    </row>
    <row r="973">
      <c r="A973" s="127"/>
      <c r="B973" s="127"/>
    </row>
    <row r="974">
      <c r="A974" s="127"/>
      <c r="B974" s="127"/>
    </row>
    <row r="975">
      <c r="A975" s="127"/>
      <c r="B975" s="127"/>
    </row>
    <row r="976">
      <c r="A976" s="127"/>
      <c r="B976" s="127"/>
    </row>
    <row r="977">
      <c r="A977" s="127"/>
      <c r="B977" s="127"/>
    </row>
    <row r="978">
      <c r="A978" s="127"/>
      <c r="B978" s="127"/>
    </row>
    <row r="979">
      <c r="A979" s="127"/>
      <c r="B979" s="127"/>
    </row>
    <row r="980">
      <c r="A980" s="127"/>
      <c r="B980" s="127"/>
    </row>
    <row r="981">
      <c r="A981" s="127"/>
      <c r="B981" s="127"/>
    </row>
    <row r="982">
      <c r="A982" s="127"/>
      <c r="B982" s="127"/>
    </row>
    <row r="983">
      <c r="A983" s="127"/>
      <c r="B983" s="127"/>
    </row>
    <row r="984">
      <c r="A984" s="127"/>
      <c r="B984" s="127"/>
    </row>
    <row r="985">
      <c r="A985" s="127"/>
      <c r="B985" s="127"/>
    </row>
    <row r="986">
      <c r="A986" s="127"/>
      <c r="B986" s="127"/>
    </row>
    <row r="987">
      <c r="A987" s="127"/>
      <c r="B987" s="127"/>
    </row>
    <row r="988">
      <c r="A988" s="127"/>
      <c r="B988" s="127"/>
    </row>
    <row r="989">
      <c r="A989" s="127"/>
      <c r="B989" s="127"/>
    </row>
    <row r="990">
      <c r="A990" s="127"/>
      <c r="B990" s="127"/>
    </row>
    <row r="991">
      <c r="A991" s="127"/>
      <c r="B991" s="127"/>
    </row>
    <row r="992">
      <c r="A992" s="127"/>
      <c r="B992" s="127"/>
    </row>
    <row r="993">
      <c r="A993" s="127"/>
      <c r="B993" s="127"/>
    </row>
    <row r="994">
      <c r="A994" s="127"/>
      <c r="B994" s="127"/>
    </row>
    <row r="995">
      <c r="A995" s="127"/>
      <c r="B995" s="127"/>
    </row>
    <row r="996">
      <c r="A996" s="127"/>
      <c r="B996" s="127"/>
    </row>
    <row r="997">
      <c r="A997" s="127"/>
      <c r="B997" s="127"/>
    </row>
    <row r="998">
      <c r="A998" s="127"/>
      <c r="B998" s="127"/>
    </row>
    <row r="999">
      <c r="A999" s="127"/>
      <c r="B999" s="127"/>
    </row>
    <row r="1000">
      <c r="A1000" s="127"/>
      <c r="B1000" s="127"/>
    </row>
    <row r="1001">
      <c r="A1001" s="127"/>
      <c r="B1001" s="127"/>
    </row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