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R8.1" sheetId="2" r:id="rId6"/>
    <sheet state="visible" name="R7.12" sheetId="3" r:id="rId7"/>
    <sheet state="visible" name="R7.11" sheetId="4" r:id="rId8"/>
    <sheet state="visible" name="R7.10" sheetId="5" r:id="rId9"/>
    <sheet state="visible" name="R7.9" sheetId="6" r:id="rId10"/>
    <sheet state="visible" name="R7.8" sheetId="7" r:id="rId11"/>
    <sheet state="visible" name="R7.7" sheetId="8" r:id="rId12"/>
  </sheets>
  <definedNames>
    <definedName localSheetId="4" name="完全">'R7.10'!$AM$9</definedName>
    <definedName localSheetId="1" name="完全">'R8.1'!$AM$9</definedName>
    <definedName localSheetId="2" name="完全">'R7.12'!$AM$9</definedName>
    <definedName localSheetId="5" name="完全">'R7.9'!$AM$9</definedName>
    <definedName localSheetId="0" name="完全">'原本'!$AM$9</definedName>
    <definedName localSheetId="6" name="完全">'R7.8'!$AM$9</definedName>
    <definedName localSheetId="3" name="完全">'R7.11'!$AM$9</definedName>
    <definedName localSheetId="7" name="完全">'R7.7'!$AM$9</definedName>
  </definedNames>
  <calcPr/>
</workbook>
</file>

<file path=xl/sharedStrings.xml><?xml version="1.0" encoding="utf-8"?>
<sst xmlns="http://schemas.openxmlformats.org/spreadsheetml/2006/main" count="376" uniqueCount="27">
  <si>
    <t>部屋</t>
  </si>
  <si>
    <t>利用者名</t>
  </si>
  <si>
    <t>食事形態</t>
  </si>
  <si>
    <t>計</t>
  </si>
  <si>
    <t>請求金額</t>
  </si>
  <si>
    <t>加藤敬子</t>
  </si>
  <si>
    <t>ミキサーとろみ</t>
  </si>
  <si>
    <t>朝食</t>
  </si>
  <si>
    <t>昼食</t>
  </si>
  <si>
    <t>月曜デイサービス</t>
  </si>
  <si>
    <t>夕食</t>
  </si>
  <si>
    <t>13日より水曜土曜デイサービス</t>
  </si>
  <si>
    <t>菱池重治</t>
  </si>
  <si>
    <t>極刻みとろみ</t>
  </si>
  <si>
    <t>荒木のり子</t>
  </si>
  <si>
    <t>一口大薄とろみ</t>
  </si>
  <si>
    <t>安藤静子</t>
  </si>
  <si>
    <t>ムース食、ミキサー粥</t>
  </si>
  <si>
    <t>岡村三男</t>
  </si>
  <si>
    <t>藤本敏博</t>
  </si>
  <si>
    <t>月、金デイサービス</t>
  </si>
  <si>
    <t>水、土ディサービス</t>
  </si>
  <si>
    <t>櫻井榮治</t>
  </si>
  <si>
    <t>一口大、軟飯</t>
  </si>
  <si>
    <t>奥谷國治</t>
  </si>
  <si>
    <t>普通食</t>
  </si>
  <si>
    <t>上村春子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</si>
</sst>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aaa"/>
  </numFmts>
  <fonts count="6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color rgb="FFFF0000"/>
      <name val="Arial"/>
    </font>
    <font>
      <sz val="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vertical="bottom"/>
    </xf>
    <xf borderId="2" fillId="2" fontId="1" numFmtId="164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0" fontId="2" numFmtId="0" xfId="0" applyBorder="1" applyFont="1"/>
    <xf borderId="4" fillId="2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5" fillId="0" fontId="2" numFmtId="0" xfId="0" applyBorder="1" applyFont="1"/>
    <xf borderId="5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vertical="bottom"/>
    </xf>
    <xf borderId="3" fillId="3" fontId="1" numFmtId="0" xfId="0" applyAlignment="1" applyBorder="1" applyFont="1">
      <alignment horizontal="center" vertical="bottom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2" fillId="4" fontId="1" numFmtId="0" xfId="0" applyAlignment="1" applyBorder="1" applyFill="1" applyFont="1">
      <alignment horizontal="center"/>
    </xf>
    <xf borderId="5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45627</v>
      </c>
      <c r="F2" s="7">
        <f>DATE($A$1,$B$1,2)</f>
        <v>45628</v>
      </c>
      <c r="G2" s="7">
        <f>DATE($A$1,$B$1,3)</f>
        <v>45629</v>
      </c>
      <c r="H2" s="7">
        <f>DATE($A$1,$B$1,4)</f>
        <v>45630</v>
      </c>
      <c r="I2" s="7">
        <f>DATE($A$1,$B$1,5)</f>
        <v>45631</v>
      </c>
      <c r="J2" s="7">
        <f>DATE($A$1,$B$1,6)</f>
        <v>45632</v>
      </c>
      <c r="K2" s="7">
        <f>DATE($A$1,$B$1,7)</f>
        <v>45633</v>
      </c>
      <c r="L2" s="7">
        <f>DATE($A$1,$B$1,8)</f>
        <v>45634</v>
      </c>
      <c r="M2" s="7">
        <f>DATE($A$1,$B$1,9)</f>
        <v>45635</v>
      </c>
      <c r="N2" s="7">
        <f>DATE($A$1,$B$1,10)</f>
        <v>45636</v>
      </c>
      <c r="O2" s="7">
        <f>DATE($A$1,$B$1,11)</f>
        <v>45637</v>
      </c>
      <c r="P2" s="7">
        <f>DATE($A$1,$B$1,12)</f>
        <v>45638</v>
      </c>
      <c r="Q2" s="7">
        <f>DATE($A$1,$B$1,13)</f>
        <v>45639</v>
      </c>
      <c r="R2" s="7">
        <f>DATE($A$1,$B$1,14)</f>
        <v>45640</v>
      </c>
      <c r="S2" s="7">
        <f>DATE($A$1,$B$1,15)</f>
        <v>45641</v>
      </c>
      <c r="T2" s="7">
        <f>DATE($A$1,$B$1,16)</f>
        <v>45642</v>
      </c>
      <c r="U2" s="7">
        <f>DATE($A$1,$B$1,17)</f>
        <v>45643</v>
      </c>
      <c r="V2" s="7">
        <f>DATE($A$1,$B$1,18)</f>
        <v>45644</v>
      </c>
      <c r="W2" s="7">
        <f>DATE($A$1,$B$1,19)</f>
        <v>45645</v>
      </c>
      <c r="X2" s="7">
        <f>DATE($A$1,$B$1,20)</f>
        <v>45646</v>
      </c>
      <c r="Y2" s="7">
        <f>DATE($A$1,$B$1,21)</f>
        <v>45647</v>
      </c>
      <c r="Z2" s="7">
        <f>DATE($A$1,$B$1,22)</f>
        <v>45648</v>
      </c>
      <c r="AA2" s="7">
        <f>DATE($A$1,$B$1,23)</f>
        <v>45649</v>
      </c>
      <c r="AB2" s="7">
        <f>DATE($A$1,$B$1,24)</f>
        <v>45650</v>
      </c>
      <c r="AC2" s="7">
        <f>DATE($A$1,$B$1,25)</f>
        <v>45651</v>
      </c>
      <c r="AD2" s="7">
        <f>DATE($A$1,$B$1,26)</f>
        <v>45652</v>
      </c>
      <c r="AE2" s="7">
        <f>DATE($A$1,$B$1,27)</f>
        <v>45653</v>
      </c>
      <c r="AF2" s="7">
        <f>DATE($A$1,$B$1,28)</f>
        <v>45654</v>
      </c>
      <c r="AG2" s="7">
        <f>DATE($A$1,$B$1,29)</f>
        <v>45655</v>
      </c>
      <c r="AH2" s="7">
        <f>DATE($A$1,$B$1,30)</f>
        <v>45656</v>
      </c>
      <c r="AI2" s="7">
        <f>DATE($A$1,$B$1,31)</f>
        <v>45657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日</v>
      </c>
      <c r="F3" s="11" t="str">
        <f t="shared" si="1"/>
        <v>月</v>
      </c>
      <c r="G3" s="11" t="str">
        <f t="shared" si="1"/>
        <v>火</v>
      </c>
      <c r="H3" s="11" t="str">
        <f t="shared" si="1"/>
        <v>水</v>
      </c>
      <c r="I3" s="11" t="str">
        <f t="shared" si="1"/>
        <v>木</v>
      </c>
      <c r="J3" s="11" t="str">
        <f t="shared" si="1"/>
        <v>金</v>
      </c>
      <c r="K3" s="11" t="str">
        <f t="shared" si="1"/>
        <v>土</v>
      </c>
      <c r="L3" s="11" t="str">
        <f t="shared" si="1"/>
        <v>日</v>
      </c>
      <c r="M3" s="11" t="str">
        <f t="shared" si="1"/>
        <v>月</v>
      </c>
      <c r="N3" s="11" t="str">
        <f t="shared" si="1"/>
        <v>火</v>
      </c>
      <c r="O3" s="11" t="str">
        <f t="shared" si="1"/>
        <v>水</v>
      </c>
      <c r="P3" s="11" t="str">
        <f t="shared" si="1"/>
        <v>木</v>
      </c>
      <c r="Q3" s="11" t="str">
        <f t="shared" si="1"/>
        <v>金</v>
      </c>
      <c r="R3" s="11" t="str">
        <f t="shared" si="1"/>
        <v>土</v>
      </c>
      <c r="S3" s="11" t="str">
        <f t="shared" si="1"/>
        <v>日</v>
      </c>
      <c r="T3" s="11" t="str">
        <f t="shared" si="1"/>
        <v>月</v>
      </c>
      <c r="U3" s="11" t="str">
        <f t="shared" si="1"/>
        <v>火</v>
      </c>
      <c r="V3" s="11" t="str">
        <f t="shared" si="1"/>
        <v>水</v>
      </c>
      <c r="W3" s="11" t="str">
        <f t="shared" si="1"/>
        <v>木</v>
      </c>
      <c r="X3" s="11" t="str">
        <f t="shared" si="1"/>
        <v>金</v>
      </c>
      <c r="Y3" s="11" t="str">
        <f t="shared" si="1"/>
        <v>土</v>
      </c>
      <c r="Z3" s="11" t="str">
        <f t="shared" si="1"/>
        <v>日</v>
      </c>
      <c r="AA3" s="11" t="str">
        <f t="shared" si="1"/>
        <v>月</v>
      </c>
      <c r="AB3" s="11" t="str">
        <f t="shared" si="1"/>
        <v>火</v>
      </c>
      <c r="AC3" s="11" t="str">
        <f t="shared" si="1"/>
        <v>水</v>
      </c>
      <c r="AD3" s="11" t="str">
        <f t="shared" si="1"/>
        <v>木</v>
      </c>
      <c r="AE3" s="11" t="str">
        <f t="shared" si="1"/>
        <v>金</v>
      </c>
      <c r="AF3" s="11" t="str">
        <f t="shared" si="1"/>
        <v>土</v>
      </c>
      <c r="AG3" s="11" t="str">
        <f t="shared" si="1"/>
        <v>日</v>
      </c>
      <c r="AH3" s="11" t="str">
        <f t="shared" si="1"/>
        <v>月</v>
      </c>
      <c r="AI3" s="11" t="str">
        <f t="shared" si="1"/>
        <v>火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>
        <f t="shared" ref="AJ4:AJ33" si="2">SUM(E4:AI4)</f>
        <v>0</v>
      </c>
      <c r="AK4" s="14">
        <f>330*AJ4</f>
        <v>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>
        <f t="shared" si="2"/>
        <v>0</v>
      </c>
      <c r="AK5" s="14">
        <f t="shared" ref="AK5:AK6" si="3">550*AJ5</f>
        <v>0</v>
      </c>
      <c r="AL5" s="17"/>
      <c r="AM5" s="4" t="s">
        <v>9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>
        <f t="shared" si="2"/>
        <v>0</v>
      </c>
      <c r="AK6" s="14">
        <f t="shared" si="3"/>
        <v>0</v>
      </c>
      <c r="AL6" s="18">
        <f>SUM(AK4:AK6)</f>
        <v>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/>
      <c r="C7" s="19"/>
      <c r="D7" s="20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>
        <f t="shared" si="2"/>
        <v>0</v>
      </c>
      <c r="AK7" s="21">
        <f>330*AJ7</f>
        <v>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>
        <f t="shared" si="2"/>
        <v>0</v>
      </c>
      <c r="AK8" s="21">
        <f t="shared" ref="AK8:AK9" si="4">550*AJ8</f>
        <v>0</v>
      </c>
      <c r="AL8" s="22"/>
      <c r="AM8" s="4" t="s">
        <v>11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>
        <f t="shared" si="2"/>
        <v>0</v>
      </c>
      <c r="AK9" s="21">
        <f t="shared" si="4"/>
        <v>0</v>
      </c>
      <c r="AL9" s="23">
        <f>SUM(AK7:AK9)</f>
        <v>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>
        <f t="shared" si="2"/>
        <v>0</v>
      </c>
      <c r="AK10" s="14">
        <f>330*AJ10</f>
        <v>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>
        <f t="shared" si="2"/>
        <v>0</v>
      </c>
      <c r="AK11" s="14">
        <f t="shared" ref="AK11:AK12" si="5">550*AJ11</f>
        <v>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f t="shared" si="2"/>
        <v>0</v>
      </c>
      <c r="AK12" s="14">
        <f t="shared" si="5"/>
        <v>0</v>
      </c>
      <c r="AL12" s="18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>
        <f t="shared" si="2"/>
        <v>0</v>
      </c>
      <c r="AK14" s="21">
        <f t="shared" ref="AK14:AK15" si="6">550*AJ14</f>
        <v>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>
        <f t="shared" si="2"/>
        <v>0</v>
      </c>
      <c r="AK15" s="21">
        <f t="shared" si="6"/>
        <v>0</v>
      </c>
      <c r="AL15" s="23">
        <f>SUM(AK13:AK15)</f>
        <v>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>
        <v>801.0</v>
      </c>
      <c r="B16" s="12"/>
      <c r="C16" s="12"/>
      <c r="D16" s="13" t="s">
        <v>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>
        <f t="shared" si="2"/>
        <v>0</v>
      </c>
      <c r="AK16" s="14">
        <f>330*AJ16</f>
        <v>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>
        <f t="shared" si="2"/>
        <v>0</v>
      </c>
      <c r="AK17" s="14">
        <f t="shared" ref="AK17:AK18" si="7">550*AJ17</f>
        <v>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f t="shared" si="2"/>
        <v>0</v>
      </c>
      <c r="AK18" s="14">
        <f t="shared" si="7"/>
        <v>0</v>
      </c>
      <c r="AL18" s="18">
        <f>SUM(AK16:AK18)</f>
        <v>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>
        <v>813.0</v>
      </c>
      <c r="B19" s="19"/>
      <c r="C19" s="19"/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0</v>
      </c>
      <c r="AK20" s="21">
        <f t="shared" ref="AK20:AK21" si="8">550*AJ20</f>
        <v>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0</v>
      </c>
      <c r="AK21" s="21">
        <f t="shared" si="8"/>
        <v>0</v>
      </c>
      <c r="AL21" s="23">
        <f>SUM(AK19:AK21)</f>
        <v>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703.0</v>
      </c>
      <c r="B22" s="12" t="s">
        <v>16</v>
      </c>
      <c r="C22" s="26" t="s">
        <v>17</v>
      </c>
      <c r="D22" s="13" t="s">
        <v>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13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3" t="s">
        <v>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>
        <v>1.0</v>
      </c>
      <c r="AG23" s="27">
        <v>1.0</v>
      </c>
      <c r="AH23" s="27">
        <v>1.0</v>
      </c>
      <c r="AI23" s="13"/>
      <c r="AJ23" s="13">
        <f t="shared" si="2"/>
        <v>3</v>
      </c>
      <c r="AK23" s="14">
        <f t="shared" ref="AK23:AK24" si="9">550*AJ23</f>
        <v>1650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3" t="s">
        <v>10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B24" s="27"/>
      <c r="AC24" s="27"/>
      <c r="AD24" s="27"/>
      <c r="AE24" s="27"/>
      <c r="AF24" s="27"/>
      <c r="AG24" s="27"/>
      <c r="AH24" s="27"/>
      <c r="AI24" s="13"/>
      <c r="AJ24" s="13">
        <f t="shared" si="2"/>
        <v>0</v>
      </c>
      <c r="AK24" s="14">
        <f t="shared" si="9"/>
        <v>0</v>
      </c>
      <c r="AL24" s="18">
        <f>SUM(AK22:AK24)</f>
        <v>1650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>
        <v>608.0</v>
      </c>
      <c r="B25" s="19" t="s">
        <v>18</v>
      </c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>
        <v>906.0</v>
      </c>
      <c r="B28" s="12" t="s">
        <v>19</v>
      </c>
      <c r="C28" s="12"/>
      <c r="D28" s="13" t="s">
        <v>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>
        <v>1.0</v>
      </c>
      <c r="AG28" s="27">
        <v>1.0</v>
      </c>
      <c r="AH28" s="27">
        <v>1.0</v>
      </c>
      <c r="AI28" s="13"/>
      <c r="AJ28" s="13">
        <f t="shared" si="2"/>
        <v>3</v>
      </c>
      <c r="AK28" s="14">
        <f>330*AJ28</f>
        <v>990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27">
        <v>1.0</v>
      </c>
      <c r="AF29" s="27">
        <v>1.0</v>
      </c>
      <c r="AG29" s="27">
        <v>1.0</v>
      </c>
      <c r="AH29" s="27">
        <v>1.0</v>
      </c>
      <c r="AI29" s="13"/>
      <c r="AJ29" s="13">
        <f t="shared" si="2"/>
        <v>4</v>
      </c>
      <c r="AK29" s="14">
        <f t="shared" ref="AK29:AK30" si="11">550*AJ29</f>
        <v>2200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27">
        <v>1.0</v>
      </c>
      <c r="AF30" s="27">
        <v>1.0</v>
      </c>
      <c r="AG30" s="27">
        <v>1.0</v>
      </c>
      <c r="AH30" s="27">
        <v>1.0</v>
      </c>
      <c r="AI30" s="13"/>
      <c r="AJ30" s="13">
        <f t="shared" si="2"/>
        <v>4</v>
      </c>
      <c r="AK30" s="14">
        <f t="shared" si="11"/>
        <v>2200</v>
      </c>
      <c r="AL30" s="18">
        <f>SUM(AK28:AK30)</f>
        <v>5390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2026.0</v>
      </c>
      <c r="B1" s="1">
        <v>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46023</v>
      </c>
      <c r="F2" s="7">
        <f>DATE($A$1,$B$1,2)</f>
        <v>46024</v>
      </c>
      <c r="G2" s="7">
        <f>DATE($A$1,$B$1,3)</f>
        <v>46025</v>
      </c>
      <c r="H2" s="7">
        <f>DATE($A$1,$B$1,4)</f>
        <v>46026</v>
      </c>
      <c r="I2" s="7">
        <f>DATE($A$1,$B$1,5)</f>
        <v>46027</v>
      </c>
      <c r="J2" s="7">
        <f>DATE($A$1,$B$1,6)</f>
        <v>46028</v>
      </c>
      <c r="K2" s="7">
        <f>DATE($A$1,$B$1,7)</f>
        <v>46029</v>
      </c>
      <c r="L2" s="7">
        <f>DATE($A$1,$B$1,8)</f>
        <v>46030</v>
      </c>
      <c r="M2" s="7">
        <f>DATE($A$1,$B$1,9)</f>
        <v>46031</v>
      </c>
      <c r="N2" s="7">
        <f>DATE($A$1,$B$1,10)</f>
        <v>46032</v>
      </c>
      <c r="O2" s="7">
        <f>DATE($A$1,$B$1,11)</f>
        <v>46033</v>
      </c>
      <c r="P2" s="7">
        <f>DATE($A$1,$B$1,12)</f>
        <v>46034</v>
      </c>
      <c r="Q2" s="7">
        <f>DATE($A$1,$B$1,13)</f>
        <v>46035</v>
      </c>
      <c r="R2" s="7">
        <f>DATE($A$1,$B$1,14)</f>
        <v>46036</v>
      </c>
      <c r="S2" s="7">
        <f>DATE($A$1,$B$1,15)</f>
        <v>46037</v>
      </c>
      <c r="T2" s="7">
        <f>DATE($A$1,$B$1,16)</f>
        <v>46038</v>
      </c>
      <c r="U2" s="7">
        <f>DATE($A$1,$B$1,17)</f>
        <v>46039</v>
      </c>
      <c r="V2" s="7">
        <f>DATE($A$1,$B$1,18)</f>
        <v>46040</v>
      </c>
      <c r="W2" s="7">
        <f>DATE($A$1,$B$1,19)</f>
        <v>46041</v>
      </c>
      <c r="X2" s="7">
        <f>DATE($A$1,$B$1,20)</f>
        <v>46042</v>
      </c>
      <c r="Y2" s="7">
        <f>DATE($A$1,$B$1,21)</f>
        <v>46043</v>
      </c>
      <c r="Z2" s="7">
        <f>DATE($A$1,$B$1,22)</f>
        <v>46044</v>
      </c>
      <c r="AA2" s="7">
        <f>DATE($A$1,$B$1,23)</f>
        <v>46045</v>
      </c>
      <c r="AB2" s="7">
        <f>DATE($A$1,$B$1,24)</f>
        <v>46046</v>
      </c>
      <c r="AC2" s="7">
        <f>DATE($A$1,$B$1,25)</f>
        <v>46047</v>
      </c>
      <c r="AD2" s="7">
        <f>DATE($A$1,$B$1,26)</f>
        <v>46048</v>
      </c>
      <c r="AE2" s="7">
        <f>DATE($A$1,$B$1,27)</f>
        <v>46049</v>
      </c>
      <c r="AF2" s="7">
        <f>DATE($A$1,$B$1,28)</f>
        <v>46050</v>
      </c>
      <c r="AG2" s="7">
        <f>DATE($A$1,$B$1,29)</f>
        <v>46051</v>
      </c>
      <c r="AH2" s="7">
        <f>DATE($A$1,$B$1,30)</f>
        <v>46052</v>
      </c>
      <c r="AI2" s="7">
        <f>DATE($A$1,$B$1,31)</f>
        <v>46053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木</v>
      </c>
      <c r="F3" s="11" t="str">
        <f t="shared" si="1"/>
        <v>金</v>
      </c>
      <c r="G3" s="11" t="str">
        <f t="shared" si="1"/>
        <v>土</v>
      </c>
      <c r="H3" s="11" t="str">
        <f t="shared" si="1"/>
        <v>日</v>
      </c>
      <c r="I3" s="11" t="str">
        <f t="shared" si="1"/>
        <v>月</v>
      </c>
      <c r="J3" s="11" t="str">
        <f t="shared" si="1"/>
        <v>火</v>
      </c>
      <c r="K3" s="11" t="str">
        <f t="shared" si="1"/>
        <v>水</v>
      </c>
      <c r="L3" s="11" t="str">
        <f t="shared" si="1"/>
        <v>木</v>
      </c>
      <c r="M3" s="11" t="str">
        <f t="shared" si="1"/>
        <v>金</v>
      </c>
      <c r="N3" s="11" t="str">
        <f t="shared" si="1"/>
        <v>土</v>
      </c>
      <c r="O3" s="11" t="str">
        <f t="shared" si="1"/>
        <v>日</v>
      </c>
      <c r="P3" s="11" t="str">
        <f t="shared" si="1"/>
        <v>月</v>
      </c>
      <c r="Q3" s="11" t="str">
        <f t="shared" si="1"/>
        <v>火</v>
      </c>
      <c r="R3" s="11" t="str">
        <f t="shared" si="1"/>
        <v>水</v>
      </c>
      <c r="S3" s="11" t="str">
        <f t="shared" si="1"/>
        <v>木</v>
      </c>
      <c r="T3" s="11" t="str">
        <f t="shared" si="1"/>
        <v>金</v>
      </c>
      <c r="U3" s="11" t="str">
        <f t="shared" si="1"/>
        <v>土</v>
      </c>
      <c r="V3" s="11" t="str">
        <f t="shared" si="1"/>
        <v>日</v>
      </c>
      <c r="W3" s="11" t="str">
        <f t="shared" si="1"/>
        <v>月</v>
      </c>
      <c r="X3" s="11" t="str">
        <f t="shared" si="1"/>
        <v>火</v>
      </c>
      <c r="Y3" s="11" t="str">
        <f t="shared" si="1"/>
        <v>水</v>
      </c>
      <c r="Z3" s="11" t="str">
        <f t="shared" si="1"/>
        <v>木</v>
      </c>
      <c r="AA3" s="11" t="str">
        <f t="shared" si="1"/>
        <v>金</v>
      </c>
      <c r="AB3" s="11" t="str">
        <f t="shared" si="1"/>
        <v>土</v>
      </c>
      <c r="AC3" s="11" t="str">
        <f t="shared" si="1"/>
        <v>日</v>
      </c>
      <c r="AD3" s="11" t="str">
        <f t="shared" si="1"/>
        <v>月</v>
      </c>
      <c r="AE3" s="11" t="str">
        <f t="shared" si="1"/>
        <v>火</v>
      </c>
      <c r="AF3" s="11" t="str">
        <f t="shared" si="1"/>
        <v>水</v>
      </c>
      <c r="AG3" s="11" t="str">
        <f t="shared" si="1"/>
        <v>木</v>
      </c>
      <c r="AH3" s="11" t="str">
        <f t="shared" si="1"/>
        <v>金</v>
      </c>
      <c r="AI3" s="11" t="str">
        <f t="shared" si="1"/>
        <v>土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33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>
        <v>1.0</v>
      </c>
      <c r="F5" s="13"/>
      <c r="G5" s="13">
        <v>1.0</v>
      </c>
      <c r="H5" s="13">
        <v>1.0</v>
      </c>
      <c r="I5" s="13"/>
      <c r="J5" s="13">
        <v>1.0</v>
      </c>
      <c r="K5" s="13">
        <v>1.0</v>
      </c>
      <c r="L5" s="13">
        <v>1.0</v>
      </c>
      <c r="M5" s="13"/>
      <c r="N5" s="13">
        <v>1.0</v>
      </c>
      <c r="O5" s="13">
        <v>1.0</v>
      </c>
      <c r="P5" s="13"/>
      <c r="Q5" s="13">
        <v>1.0</v>
      </c>
      <c r="R5" s="13">
        <v>1.0</v>
      </c>
      <c r="S5" s="13">
        <v>1.0</v>
      </c>
      <c r="T5" s="13"/>
      <c r="U5" s="13">
        <v>1.0</v>
      </c>
      <c r="V5" s="13">
        <v>1.0</v>
      </c>
      <c r="W5" s="13"/>
      <c r="X5" s="13">
        <v>1.0</v>
      </c>
      <c r="Y5" s="13">
        <v>1.0</v>
      </c>
      <c r="Z5" s="13">
        <v>1.0</v>
      </c>
      <c r="AA5" s="13"/>
      <c r="AB5" s="13">
        <v>1.0</v>
      </c>
      <c r="AC5" s="13">
        <v>1.0</v>
      </c>
      <c r="AD5" s="13"/>
      <c r="AE5" s="13">
        <v>1.0</v>
      </c>
      <c r="AF5" s="13">
        <v>1.0</v>
      </c>
      <c r="AG5" s="13">
        <v>1.0</v>
      </c>
      <c r="AH5" s="13"/>
      <c r="AI5" s="13">
        <v>1.0</v>
      </c>
      <c r="AJ5" s="13">
        <f t="shared" si="2"/>
        <v>22</v>
      </c>
      <c r="AK5" s="14">
        <f t="shared" ref="AK5:AK6" si="3">550*AJ5</f>
        <v>12100</v>
      </c>
      <c r="AL5" s="17"/>
      <c r="AM5" s="4" t="s">
        <v>9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18">
        <f>SUM(AK4:AK6)</f>
        <v>39380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/>
      <c r="C7" s="19"/>
      <c r="D7" s="20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>
        <f t="shared" si="2"/>
        <v>0</v>
      </c>
      <c r="AK7" s="21">
        <f>330*AJ7</f>
        <v>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>
        <f t="shared" si="2"/>
        <v>0</v>
      </c>
      <c r="AK8" s="21">
        <f t="shared" ref="AK8:AK9" si="4">550*AJ8</f>
        <v>0</v>
      </c>
      <c r="AL8" s="22"/>
      <c r="AM8" s="4" t="s">
        <v>11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>
        <f t="shared" si="2"/>
        <v>0</v>
      </c>
      <c r="AK9" s="21">
        <f t="shared" si="4"/>
        <v>0</v>
      </c>
      <c r="AL9" s="23">
        <f>SUM(AK7:AK9)</f>
        <v>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/>
      <c r="C10" s="12"/>
      <c r="D10" s="13" t="s">
        <v>7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13">
        <f t="shared" si="2"/>
        <v>0</v>
      </c>
      <c r="AK10" s="14">
        <f>330*AJ10</f>
        <v>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>
        <f t="shared" si="2"/>
        <v>0</v>
      </c>
      <c r="AK11" s="14">
        <f t="shared" ref="AK11:AK12" si="5">550*AJ11</f>
        <v>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f t="shared" si="2"/>
        <v>0</v>
      </c>
      <c r="AK12" s="14">
        <f t="shared" si="5"/>
        <v>0</v>
      </c>
      <c r="AL12" s="18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>
        <v>1.0</v>
      </c>
      <c r="F14" s="20">
        <v>1.0</v>
      </c>
      <c r="G14" s="20">
        <v>1.0</v>
      </c>
      <c r="H14" s="20"/>
      <c r="I14" s="20"/>
      <c r="J14" s="20">
        <v>1.0</v>
      </c>
      <c r="K14" s="20">
        <v>1.0</v>
      </c>
      <c r="L14" s="20">
        <v>1.0</v>
      </c>
      <c r="M14" s="20">
        <v>1.0</v>
      </c>
      <c r="N14" s="20">
        <v>1.0</v>
      </c>
      <c r="O14" s="20">
        <v>1.0</v>
      </c>
      <c r="P14" s="20">
        <v>1.0</v>
      </c>
      <c r="Q14" s="20">
        <v>1.0</v>
      </c>
      <c r="R14" s="20">
        <v>1.0</v>
      </c>
      <c r="S14" s="20">
        <v>1.0</v>
      </c>
      <c r="T14" s="20">
        <v>1.0</v>
      </c>
      <c r="U14" s="20">
        <v>1.0</v>
      </c>
      <c r="V14" s="20">
        <v>1.0</v>
      </c>
      <c r="W14" s="20">
        <v>1.0</v>
      </c>
      <c r="X14" s="20"/>
      <c r="Y14" s="20">
        <v>1.0</v>
      </c>
      <c r="Z14" s="20">
        <v>1.0</v>
      </c>
      <c r="AA14" s="20">
        <v>1.0</v>
      </c>
      <c r="AB14" s="20">
        <v>1.0</v>
      </c>
      <c r="AC14" s="20">
        <v>1.0</v>
      </c>
      <c r="AD14" s="20">
        <v>1.0</v>
      </c>
      <c r="AE14" s="20">
        <v>1.0</v>
      </c>
      <c r="AF14" s="20">
        <v>1.0</v>
      </c>
      <c r="AG14" s="20">
        <v>1.0</v>
      </c>
      <c r="AH14" s="20"/>
      <c r="AI14" s="20">
        <v>1.0</v>
      </c>
      <c r="AJ14" s="20">
        <f t="shared" si="2"/>
        <v>27</v>
      </c>
      <c r="AK14" s="21">
        <f t="shared" ref="AK14:AK15" si="6">550*AJ14</f>
        <v>14850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0">
        <v>1.0</v>
      </c>
      <c r="K15" s="20">
        <v>1.0</v>
      </c>
      <c r="L15" s="20">
        <v>1.0</v>
      </c>
      <c r="M15" s="20">
        <v>1.0</v>
      </c>
      <c r="N15" s="20">
        <v>1.0</v>
      </c>
      <c r="O15" s="20">
        <v>1.0</v>
      </c>
      <c r="P15" s="20">
        <v>1.0</v>
      </c>
      <c r="Q15" s="20">
        <v>1.0</v>
      </c>
      <c r="R15" s="20">
        <v>1.0</v>
      </c>
      <c r="S15" s="20">
        <v>1.0</v>
      </c>
      <c r="T15" s="20">
        <v>1.0</v>
      </c>
      <c r="U15" s="20">
        <v>1.0</v>
      </c>
      <c r="V15" s="20">
        <v>1.0</v>
      </c>
      <c r="W15" s="20">
        <v>1.0</v>
      </c>
      <c r="X15" s="20">
        <v>1.0</v>
      </c>
      <c r="Y15" s="20">
        <v>1.0</v>
      </c>
      <c r="Z15" s="20">
        <v>1.0</v>
      </c>
      <c r="AA15" s="20">
        <v>1.0</v>
      </c>
      <c r="AB15" s="20">
        <v>1.0</v>
      </c>
      <c r="AC15" s="20">
        <v>1.0</v>
      </c>
      <c r="AD15" s="20">
        <v>1.0</v>
      </c>
      <c r="AE15" s="20">
        <v>1.0</v>
      </c>
      <c r="AF15" s="20">
        <v>1.0</v>
      </c>
      <c r="AG15" s="20">
        <v>1.0</v>
      </c>
      <c r="AH15" s="20">
        <v>1.0</v>
      </c>
      <c r="AI15" s="20">
        <v>1.0</v>
      </c>
      <c r="AJ15" s="20">
        <f t="shared" si="2"/>
        <v>31</v>
      </c>
      <c r="AK15" s="21">
        <f t="shared" si="6"/>
        <v>17050</v>
      </c>
      <c r="AL15" s="23">
        <f>SUM(AK13:AK15)</f>
        <v>31900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>
        <v>801.0</v>
      </c>
      <c r="B16" s="12"/>
      <c r="C16" s="12"/>
      <c r="D16" s="13" t="s">
        <v>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>
        <f t="shared" si="2"/>
        <v>0</v>
      </c>
      <c r="AK16" s="14">
        <f>330*AJ16</f>
        <v>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>
        <f t="shared" si="2"/>
        <v>0</v>
      </c>
      <c r="AK17" s="14">
        <f t="shared" ref="AK17:AK18" si="7">550*AJ17</f>
        <v>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f t="shared" si="2"/>
        <v>0</v>
      </c>
      <c r="AK18" s="14">
        <f t="shared" si="7"/>
        <v>0</v>
      </c>
      <c r="AL18" s="18">
        <f>SUM(AK16:AK18)</f>
        <v>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>
        <v>813.0</v>
      </c>
      <c r="B19" s="19"/>
      <c r="C19" s="19"/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0</v>
      </c>
      <c r="AK20" s="21">
        <f t="shared" ref="AK20:AK21" si="8">550*AJ20</f>
        <v>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0</v>
      </c>
      <c r="AK21" s="21">
        <f t="shared" si="8"/>
        <v>0</v>
      </c>
      <c r="AL21" s="23">
        <f>SUM(AK19:AK21)</f>
        <v>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703.0</v>
      </c>
      <c r="B22" s="12" t="s">
        <v>16</v>
      </c>
      <c r="C22" s="26" t="s">
        <v>17</v>
      </c>
      <c r="D22" s="13" t="s">
        <v>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13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3" t="s">
        <v>8</v>
      </c>
      <c r="E23" s="27">
        <v>1.0</v>
      </c>
      <c r="F23" s="27">
        <v>1.0</v>
      </c>
      <c r="G23" s="27">
        <v>1.0</v>
      </c>
      <c r="H23" s="27">
        <v>1.0</v>
      </c>
      <c r="I23" s="27">
        <v>1.0</v>
      </c>
      <c r="J23" s="27">
        <v>1.0</v>
      </c>
      <c r="K23" s="27">
        <v>1.0</v>
      </c>
      <c r="L23" s="27">
        <v>1.0</v>
      </c>
      <c r="M23" s="27">
        <v>1.0</v>
      </c>
      <c r="N23" s="27">
        <v>1.0</v>
      </c>
      <c r="O23" s="27">
        <v>1.0</v>
      </c>
      <c r="P23" s="27">
        <v>1.0</v>
      </c>
      <c r="Q23" s="27">
        <v>1.0</v>
      </c>
      <c r="R23" s="27">
        <v>1.0</v>
      </c>
      <c r="S23" s="27">
        <v>1.0</v>
      </c>
      <c r="T23" s="27">
        <v>1.0</v>
      </c>
      <c r="U23" s="27">
        <v>1.0</v>
      </c>
      <c r="V23" s="27">
        <v>1.0</v>
      </c>
      <c r="W23" s="27">
        <v>1.0</v>
      </c>
      <c r="X23" s="27">
        <v>1.0</v>
      </c>
      <c r="Y23" s="27">
        <v>1.0</v>
      </c>
      <c r="Z23" s="27">
        <v>1.0</v>
      </c>
      <c r="AA23" s="27">
        <v>1.0</v>
      </c>
      <c r="AB23" s="27">
        <v>1.0</v>
      </c>
      <c r="AC23" s="27">
        <v>1.0</v>
      </c>
      <c r="AD23" s="27">
        <v>1.0</v>
      </c>
      <c r="AE23" s="27">
        <v>1.0</v>
      </c>
      <c r="AF23" s="27">
        <v>1.0</v>
      </c>
      <c r="AG23" s="27">
        <v>1.0</v>
      </c>
      <c r="AH23" s="27"/>
      <c r="AI23" s="13">
        <v>1.0</v>
      </c>
      <c r="AJ23" s="13">
        <f t="shared" si="2"/>
        <v>30</v>
      </c>
      <c r="AK23" s="14">
        <f t="shared" ref="AK23:AK24" si="9">550*AJ23</f>
        <v>16500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3" t="s">
        <v>10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B24" s="27"/>
      <c r="AC24" s="27"/>
      <c r="AD24" s="27"/>
      <c r="AE24" s="27"/>
      <c r="AF24" s="27"/>
      <c r="AG24" s="27"/>
      <c r="AH24" s="27"/>
      <c r="AI24" s="13"/>
      <c r="AJ24" s="13">
        <f t="shared" si="2"/>
        <v>0</v>
      </c>
      <c r="AK24" s="14">
        <f t="shared" si="9"/>
        <v>0</v>
      </c>
      <c r="AL24" s="18">
        <f>SUM(AK22:AK24)</f>
        <v>16500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/>
      <c r="B25" s="19"/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>
        <v>906.0</v>
      </c>
      <c r="B28" s="12" t="s">
        <v>19</v>
      </c>
      <c r="C28" s="12"/>
      <c r="D28" s="13" t="s">
        <v>7</v>
      </c>
      <c r="E28" s="13">
        <v>1.0</v>
      </c>
      <c r="F28" s="13">
        <v>1.0</v>
      </c>
      <c r="G28" s="13">
        <v>1.0</v>
      </c>
      <c r="H28" s="13">
        <v>1.0</v>
      </c>
      <c r="I28" s="13">
        <v>1.0</v>
      </c>
      <c r="J28" s="13">
        <v>1.0</v>
      </c>
      <c r="K28" s="13">
        <v>1.0</v>
      </c>
      <c r="L28" s="13">
        <v>1.0</v>
      </c>
      <c r="M28" s="13">
        <v>1.0</v>
      </c>
      <c r="N28" s="13">
        <v>1.0</v>
      </c>
      <c r="O28" s="13">
        <v>1.0</v>
      </c>
      <c r="P28" s="13">
        <v>1.0</v>
      </c>
      <c r="Q28" s="13">
        <v>1.0</v>
      </c>
      <c r="R28" s="13">
        <v>1.0</v>
      </c>
      <c r="S28" s="13">
        <v>1.0</v>
      </c>
      <c r="T28" s="13">
        <v>1.0</v>
      </c>
      <c r="U28" s="13">
        <v>1.0</v>
      </c>
      <c r="V28" s="13">
        <v>1.0</v>
      </c>
      <c r="W28" s="13">
        <v>1.0</v>
      </c>
      <c r="X28" s="13">
        <v>1.0</v>
      </c>
      <c r="Y28" s="13">
        <v>1.0</v>
      </c>
      <c r="Z28" s="13">
        <v>1.0</v>
      </c>
      <c r="AA28" s="13">
        <v>1.0</v>
      </c>
      <c r="AB28" s="13">
        <v>1.0</v>
      </c>
      <c r="AC28" s="13">
        <v>1.0</v>
      </c>
      <c r="AD28" s="13">
        <v>1.0</v>
      </c>
      <c r="AE28" s="13">
        <v>1.0</v>
      </c>
      <c r="AF28" s="13">
        <v>1.0</v>
      </c>
      <c r="AG28" s="27">
        <v>1.0</v>
      </c>
      <c r="AH28" s="27">
        <v>1.0</v>
      </c>
      <c r="AI28" s="13"/>
      <c r="AJ28" s="13">
        <f t="shared" si="2"/>
        <v>30</v>
      </c>
      <c r="AK28" s="14">
        <f>330*AJ28</f>
        <v>9900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>
        <v>1.0</v>
      </c>
      <c r="F29" s="13">
        <v>1.0</v>
      </c>
      <c r="G29" s="13">
        <v>1.0</v>
      </c>
      <c r="H29" s="13">
        <v>1.0</v>
      </c>
      <c r="I29" s="13">
        <v>1.0</v>
      </c>
      <c r="J29" s="13">
        <v>1.0</v>
      </c>
      <c r="K29" s="13">
        <v>1.0</v>
      </c>
      <c r="L29" s="13">
        <v>1.0</v>
      </c>
      <c r="M29" s="13">
        <v>1.0</v>
      </c>
      <c r="N29" s="13">
        <v>1.0</v>
      </c>
      <c r="O29" s="13">
        <v>1.0</v>
      </c>
      <c r="P29" s="13">
        <v>1.0</v>
      </c>
      <c r="Q29" s="13">
        <v>1.0</v>
      </c>
      <c r="R29" s="13">
        <v>1.0</v>
      </c>
      <c r="S29" s="13">
        <v>1.0</v>
      </c>
      <c r="T29" s="13">
        <v>1.0</v>
      </c>
      <c r="U29" s="13">
        <v>1.0</v>
      </c>
      <c r="V29" s="13">
        <v>1.0</v>
      </c>
      <c r="W29" s="13">
        <v>1.0</v>
      </c>
      <c r="X29" s="13">
        <v>1.0</v>
      </c>
      <c r="Y29" s="13">
        <v>1.0</v>
      </c>
      <c r="Z29" s="13">
        <v>1.0</v>
      </c>
      <c r="AA29" s="13">
        <v>1.0</v>
      </c>
      <c r="AB29" s="13">
        <v>1.0</v>
      </c>
      <c r="AC29" s="13">
        <v>1.0</v>
      </c>
      <c r="AD29" s="13">
        <v>1.0</v>
      </c>
      <c r="AE29" s="27">
        <v>1.0</v>
      </c>
      <c r="AF29" s="27">
        <v>1.0</v>
      </c>
      <c r="AG29" s="27">
        <v>1.0</v>
      </c>
      <c r="AH29" s="27">
        <v>1.0</v>
      </c>
      <c r="AI29" s="13"/>
      <c r="AJ29" s="13">
        <f t="shared" si="2"/>
        <v>30</v>
      </c>
      <c r="AK29" s="14">
        <f t="shared" ref="AK29:AK30" si="11">550*AJ29</f>
        <v>16500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>
        <v>1.0</v>
      </c>
      <c r="F30" s="13">
        <v>1.0</v>
      </c>
      <c r="G30" s="13">
        <v>1.0</v>
      </c>
      <c r="H30" s="13">
        <v>1.0</v>
      </c>
      <c r="I30" s="13">
        <v>1.0</v>
      </c>
      <c r="J30" s="13">
        <v>1.0</v>
      </c>
      <c r="K30" s="13">
        <v>1.0</v>
      </c>
      <c r="L30" s="13">
        <v>1.0</v>
      </c>
      <c r="M30" s="13">
        <v>1.0</v>
      </c>
      <c r="N30" s="13">
        <v>1.0</v>
      </c>
      <c r="O30" s="13">
        <v>1.0</v>
      </c>
      <c r="P30" s="13">
        <v>1.0</v>
      </c>
      <c r="Q30" s="13">
        <v>1.0</v>
      </c>
      <c r="R30" s="13">
        <v>1.0</v>
      </c>
      <c r="S30" s="13">
        <v>1.0</v>
      </c>
      <c r="T30" s="13">
        <v>1.0</v>
      </c>
      <c r="U30" s="13">
        <v>1.0</v>
      </c>
      <c r="V30" s="13">
        <v>1.0</v>
      </c>
      <c r="W30" s="13">
        <v>1.0</v>
      </c>
      <c r="X30" s="13">
        <v>1.0</v>
      </c>
      <c r="Y30" s="13">
        <v>1.0</v>
      </c>
      <c r="Z30" s="13">
        <v>1.0</v>
      </c>
      <c r="AA30" s="13">
        <v>1.0</v>
      </c>
      <c r="AB30" s="13">
        <v>1.0</v>
      </c>
      <c r="AC30" s="13">
        <v>1.0</v>
      </c>
      <c r="AD30" s="13">
        <v>1.0</v>
      </c>
      <c r="AE30" s="27">
        <v>1.0</v>
      </c>
      <c r="AF30" s="27">
        <v>1.0</v>
      </c>
      <c r="AG30" s="27">
        <v>1.0</v>
      </c>
      <c r="AH30" s="27">
        <v>1.0</v>
      </c>
      <c r="AI30" s="13"/>
      <c r="AJ30" s="13">
        <f t="shared" si="2"/>
        <v>30</v>
      </c>
      <c r="AK30" s="14">
        <f t="shared" si="11"/>
        <v>16500</v>
      </c>
      <c r="AL30" s="18">
        <f>SUM(AK28:AK30)</f>
        <v>42900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12.0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45992</v>
      </c>
      <c r="F2" s="7">
        <f>DATE($A$1,$B$1,2)</f>
        <v>45993</v>
      </c>
      <c r="G2" s="7">
        <f>DATE($A$1,$B$1,3)</f>
        <v>45994</v>
      </c>
      <c r="H2" s="7">
        <f>DATE($A$1,$B$1,4)</f>
        <v>45995</v>
      </c>
      <c r="I2" s="7">
        <f>DATE($A$1,$B$1,5)</f>
        <v>45996</v>
      </c>
      <c r="J2" s="7">
        <f>DATE($A$1,$B$1,6)</f>
        <v>45997</v>
      </c>
      <c r="K2" s="7">
        <f>DATE($A$1,$B$1,7)</f>
        <v>45998</v>
      </c>
      <c r="L2" s="7">
        <f>DATE($A$1,$B$1,8)</f>
        <v>45999</v>
      </c>
      <c r="M2" s="7">
        <f>DATE($A$1,$B$1,9)</f>
        <v>46000</v>
      </c>
      <c r="N2" s="7">
        <f>DATE($A$1,$B$1,10)</f>
        <v>46001</v>
      </c>
      <c r="O2" s="7">
        <f>DATE($A$1,$B$1,11)</f>
        <v>46002</v>
      </c>
      <c r="P2" s="7">
        <f>DATE($A$1,$B$1,12)</f>
        <v>46003</v>
      </c>
      <c r="Q2" s="7">
        <f>DATE($A$1,$B$1,13)</f>
        <v>46004</v>
      </c>
      <c r="R2" s="7">
        <f>DATE($A$1,$B$1,14)</f>
        <v>46005</v>
      </c>
      <c r="S2" s="7">
        <f>DATE($A$1,$B$1,15)</f>
        <v>46006</v>
      </c>
      <c r="T2" s="7">
        <f>DATE($A$1,$B$1,16)</f>
        <v>46007</v>
      </c>
      <c r="U2" s="7">
        <f>DATE($A$1,$B$1,17)</f>
        <v>46008</v>
      </c>
      <c r="V2" s="7">
        <f>DATE($A$1,$B$1,18)</f>
        <v>46009</v>
      </c>
      <c r="W2" s="7">
        <f>DATE($A$1,$B$1,19)</f>
        <v>46010</v>
      </c>
      <c r="X2" s="7">
        <f>DATE($A$1,$B$1,20)</f>
        <v>46011</v>
      </c>
      <c r="Y2" s="7">
        <f>DATE($A$1,$B$1,21)</f>
        <v>46012</v>
      </c>
      <c r="Z2" s="7">
        <f>DATE($A$1,$B$1,22)</f>
        <v>46013</v>
      </c>
      <c r="AA2" s="7">
        <f>DATE($A$1,$B$1,23)</f>
        <v>46014</v>
      </c>
      <c r="AB2" s="7">
        <f>DATE($A$1,$B$1,24)</f>
        <v>46015</v>
      </c>
      <c r="AC2" s="7">
        <f>DATE($A$1,$B$1,25)</f>
        <v>46016</v>
      </c>
      <c r="AD2" s="7">
        <f>DATE($A$1,$B$1,26)</f>
        <v>46017</v>
      </c>
      <c r="AE2" s="7">
        <f>DATE($A$1,$B$1,27)</f>
        <v>46018</v>
      </c>
      <c r="AF2" s="7">
        <f>DATE($A$1,$B$1,28)</f>
        <v>46019</v>
      </c>
      <c r="AG2" s="7">
        <f>DATE($A$1,$B$1,29)</f>
        <v>46020</v>
      </c>
      <c r="AH2" s="7">
        <f>DATE($A$1,$B$1,30)</f>
        <v>46021</v>
      </c>
      <c r="AI2" s="7">
        <f>DATE($A$1,$B$1,31)</f>
        <v>46022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月</v>
      </c>
      <c r="F3" s="11" t="str">
        <f t="shared" si="1"/>
        <v>火</v>
      </c>
      <c r="G3" s="11" t="str">
        <f t="shared" si="1"/>
        <v>水</v>
      </c>
      <c r="H3" s="11" t="str">
        <f t="shared" si="1"/>
        <v>木</v>
      </c>
      <c r="I3" s="11" t="str">
        <f t="shared" si="1"/>
        <v>金</v>
      </c>
      <c r="J3" s="11" t="str">
        <f t="shared" si="1"/>
        <v>土</v>
      </c>
      <c r="K3" s="11" t="str">
        <f t="shared" si="1"/>
        <v>日</v>
      </c>
      <c r="L3" s="11" t="str">
        <f t="shared" si="1"/>
        <v>月</v>
      </c>
      <c r="M3" s="11" t="str">
        <f t="shared" si="1"/>
        <v>火</v>
      </c>
      <c r="N3" s="11" t="str">
        <f t="shared" si="1"/>
        <v>水</v>
      </c>
      <c r="O3" s="11" t="str">
        <f t="shared" si="1"/>
        <v>木</v>
      </c>
      <c r="P3" s="11" t="str">
        <f t="shared" si="1"/>
        <v>金</v>
      </c>
      <c r="Q3" s="11" t="str">
        <f t="shared" si="1"/>
        <v>土</v>
      </c>
      <c r="R3" s="11" t="str">
        <f t="shared" si="1"/>
        <v>日</v>
      </c>
      <c r="S3" s="11" t="str">
        <f t="shared" si="1"/>
        <v>月</v>
      </c>
      <c r="T3" s="11" t="str">
        <f t="shared" si="1"/>
        <v>火</v>
      </c>
      <c r="U3" s="11" t="str">
        <f t="shared" si="1"/>
        <v>水</v>
      </c>
      <c r="V3" s="11" t="str">
        <f t="shared" si="1"/>
        <v>木</v>
      </c>
      <c r="W3" s="11" t="str">
        <f t="shared" si="1"/>
        <v>金</v>
      </c>
      <c r="X3" s="11" t="str">
        <f t="shared" si="1"/>
        <v>土</v>
      </c>
      <c r="Y3" s="11" t="str">
        <f t="shared" si="1"/>
        <v>日</v>
      </c>
      <c r="Z3" s="11" t="str">
        <f t="shared" si="1"/>
        <v>月</v>
      </c>
      <c r="AA3" s="11" t="str">
        <f t="shared" si="1"/>
        <v>火</v>
      </c>
      <c r="AB3" s="11" t="str">
        <f t="shared" si="1"/>
        <v>水</v>
      </c>
      <c r="AC3" s="11" t="str">
        <f t="shared" si="1"/>
        <v>木</v>
      </c>
      <c r="AD3" s="11" t="str">
        <f t="shared" si="1"/>
        <v>金</v>
      </c>
      <c r="AE3" s="11" t="str">
        <f t="shared" si="1"/>
        <v>土</v>
      </c>
      <c r="AF3" s="11" t="str">
        <f t="shared" si="1"/>
        <v>日</v>
      </c>
      <c r="AG3" s="11" t="str">
        <f t="shared" si="1"/>
        <v>月</v>
      </c>
      <c r="AH3" s="11" t="str">
        <f t="shared" si="1"/>
        <v>火</v>
      </c>
      <c r="AI3" s="11" t="str">
        <f t="shared" si="1"/>
        <v>水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33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/>
      <c r="F5" s="13">
        <v>1.0</v>
      </c>
      <c r="G5" s="13">
        <v>1.0</v>
      </c>
      <c r="H5" s="13">
        <v>1.0</v>
      </c>
      <c r="I5" s="13"/>
      <c r="J5" s="13">
        <v>1.0</v>
      </c>
      <c r="K5" s="13">
        <v>1.0</v>
      </c>
      <c r="L5" s="13"/>
      <c r="M5" s="13">
        <v>1.0</v>
      </c>
      <c r="N5" s="13">
        <v>1.0</v>
      </c>
      <c r="O5" s="13">
        <v>1.0</v>
      </c>
      <c r="P5" s="13"/>
      <c r="Q5" s="13">
        <v>1.0</v>
      </c>
      <c r="R5" s="13">
        <v>1.0</v>
      </c>
      <c r="S5" s="13"/>
      <c r="T5" s="13">
        <v>1.0</v>
      </c>
      <c r="U5" s="13">
        <v>1.0</v>
      </c>
      <c r="V5" s="13">
        <v>1.0</v>
      </c>
      <c r="W5" s="13"/>
      <c r="X5" s="13">
        <v>1.0</v>
      </c>
      <c r="Y5" s="13">
        <v>1.0</v>
      </c>
      <c r="Z5" s="13"/>
      <c r="AA5" s="13">
        <v>1.0</v>
      </c>
      <c r="AB5" s="13">
        <v>1.0</v>
      </c>
      <c r="AC5" s="13">
        <v>1.0</v>
      </c>
      <c r="AD5" s="13"/>
      <c r="AE5" s="13">
        <v>1.0</v>
      </c>
      <c r="AF5" s="13">
        <v>1.0</v>
      </c>
      <c r="AG5" s="13"/>
      <c r="AH5" s="13">
        <v>1.0</v>
      </c>
      <c r="AI5" s="13">
        <v>1.0</v>
      </c>
      <c r="AJ5" s="13">
        <f t="shared" si="2"/>
        <v>22</v>
      </c>
      <c r="AK5" s="14">
        <f t="shared" ref="AK5:AK6" si="3">550*AJ5</f>
        <v>12100</v>
      </c>
      <c r="AL5" s="17"/>
      <c r="AM5" s="4" t="s">
        <v>20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18">
        <f>SUM(AK4:AK6)</f>
        <v>39380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/>
      <c r="C7" s="19"/>
      <c r="D7" s="20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>
        <f t="shared" si="2"/>
        <v>0</v>
      </c>
      <c r="AK7" s="21">
        <f>330*AJ7</f>
        <v>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>
        <f t="shared" si="2"/>
        <v>0</v>
      </c>
      <c r="AK8" s="21">
        <f t="shared" ref="AK8:AK9" si="4">550*AJ8</f>
        <v>0</v>
      </c>
      <c r="AL8" s="22"/>
      <c r="AM8" s="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>
        <f t="shared" si="2"/>
        <v>0</v>
      </c>
      <c r="AK9" s="21">
        <f t="shared" si="4"/>
        <v>0</v>
      </c>
      <c r="AL9" s="23">
        <f>SUM(AK7:AK9)</f>
        <v>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27">
        <v>1.0</v>
      </c>
      <c r="F10" s="27">
        <v>1.0</v>
      </c>
      <c r="G10" s="27">
        <v>1.0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13">
        <f t="shared" si="2"/>
        <v>3</v>
      </c>
      <c r="AK10" s="14">
        <f>330*AJ10</f>
        <v>990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>
        <v>1.0</v>
      </c>
      <c r="F11" s="13">
        <v>1.0</v>
      </c>
      <c r="G11" s="13">
        <v>1.0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>
        <f t="shared" si="2"/>
        <v>3</v>
      </c>
      <c r="AK11" s="14">
        <f t="shared" ref="AK11:AK12" si="5">550*AJ11</f>
        <v>1650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>
        <v>1.0</v>
      </c>
      <c r="F12" s="13">
        <v>1.0</v>
      </c>
      <c r="G12" s="13">
        <v>1.0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f t="shared" si="2"/>
        <v>3</v>
      </c>
      <c r="AK12" s="14">
        <f t="shared" si="5"/>
        <v>1650</v>
      </c>
      <c r="AL12" s="18">
        <f>SUM(AK10:AK12)</f>
        <v>4290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/>
      <c r="F14" s="20"/>
      <c r="G14" s="20">
        <v>1.0</v>
      </c>
      <c r="H14" s="20">
        <v>1.0</v>
      </c>
      <c r="I14" s="20">
        <v>1.0</v>
      </c>
      <c r="J14" s="20">
        <v>1.0</v>
      </c>
      <c r="K14" s="20">
        <v>1.0</v>
      </c>
      <c r="L14" s="20">
        <v>1.0</v>
      </c>
      <c r="M14" s="20">
        <v>1.0</v>
      </c>
      <c r="N14" s="20">
        <v>1.0</v>
      </c>
      <c r="O14" s="20">
        <v>1.0</v>
      </c>
      <c r="P14" s="20">
        <v>1.0</v>
      </c>
      <c r="Q14" s="20"/>
      <c r="R14" s="20">
        <v>1.0</v>
      </c>
      <c r="S14" s="20">
        <v>1.0</v>
      </c>
      <c r="T14" s="20">
        <v>1.0</v>
      </c>
      <c r="U14" s="20">
        <v>1.0</v>
      </c>
      <c r="V14" s="20">
        <v>1.0</v>
      </c>
      <c r="W14" s="20"/>
      <c r="X14" s="20">
        <v>1.0</v>
      </c>
      <c r="Y14" s="20">
        <v>1.0</v>
      </c>
      <c r="Z14" s="20">
        <v>1.0</v>
      </c>
      <c r="AA14" s="20">
        <v>1.0</v>
      </c>
      <c r="AB14" s="20">
        <v>1.0</v>
      </c>
      <c r="AC14" s="20">
        <v>1.0</v>
      </c>
      <c r="AD14" s="20"/>
      <c r="AE14" s="20">
        <v>1.0</v>
      </c>
      <c r="AF14" s="20">
        <v>1.0</v>
      </c>
      <c r="AG14" s="20">
        <v>1.0</v>
      </c>
      <c r="AH14" s="20"/>
      <c r="AI14" s="20"/>
      <c r="AJ14" s="20">
        <f t="shared" si="2"/>
        <v>24</v>
      </c>
      <c r="AK14" s="21">
        <f t="shared" ref="AK14:AK15" si="6">550*AJ14</f>
        <v>13200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0">
        <v>1.0</v>
      </c>
      <c r="K15" s="20">
        <v>1.0</v>
      </c>
      <c r="L15" s="20">
        <v>1.0</v>
      </c>
      <c r="M15" s="20">
        <v>1.0</v>
      </c>
      <c r="N15" s="20">
        <v>1.0</v>
      </c>
      <c r="O15" s="20">
        <v>1.0</v>
      </c>
      <c r="P15" s="20">
        <v>1.0</v>
      </c>
      <c r="Q15" s="20">
        <v>1.0</v>
      </c>
      <c r="R15" s="20">
        <v>1.0</v>
      </c>
      <c r="S15" s="20">
        <v>1.0</v>
      </c>
      <c r="T15" s="20">
        <v>1.0</v>
      </c>
      <c r="U15" s="20">
        <v>1.0</v>
      </c>
      <c r="V15" s="20">
        <v>1.0</v>
      </c>
      <c r="W15" s="20">
        <v>1.0</v>
      </c>
      <c r="X15" s="20">
        <v>1.0</v>
      </c>
      <c r="Y15" s="20">
        <v>1.0</v>
      </c>
      <c r="Z15" s="20">
        <v>1.0</v>
      </c>
      <c r="AA15" s="20">
        <v>1.0</v>
      </c>
      <c r="AB15" s="20">
        <v>1.0</v>
      </c>
      <c r="AC15" s="20">
        <v>1.0</v>
      </c>
      <c r="AD15" s="20">
        <v>1.0</v>
      </c>
      <c r="AE15" s="20">
        <v>1.0</v>
      </c>
      <c r="AF15" s="20">
        <v>1.0</v>
      </c>
      <c r="AG15" s="20">
        <v>1.0</v>
      </c>
      <c r="AH15" s="20"/>
      <c r="AI15" s="20">
        <v>1.0</v>
      </c>
      <c r="AJ15" s="20">
        <f t="shared" si="2"/>
        <v>30</v>
      </c>
      <c r="AK15" s="21">
        <f t="shared" si="6"/>
        <v>16500</v>
      </c>
      <c r="AL15" s="23">
        <f>SUM(AK13:AK15)</f>
        <v>29700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>
        <v>801.0</v>
      </c>
      <c r="B16" s="12"/>
      <c r="C16" s="12"/>
      <c r="D16" s="13" t="s">
        <v>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>
        <f t="shared" si="2"/>
        <v>0</v>
      </c>
      <c r="AK16" s="14">
        <f>330*AJ16</f>
        <v>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>
        <f t="shared" si="2"/>
        <v>0</v>
      </c>
      <c r="AK17" s="14">
        <f t="shared" ref="AK17:AK18" si="7">550*AJ17</f>
        <v>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f t="shared" si="2"/>
        <v>0</v>
      </c>
      <c r="AK18" s="14">
        <f t="shared" si="7"/>
        <v>0</v>
      </c>
      <c r="AL18" s="18">
        <f>SUM(AK16:AK18)</f>
        <v>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>
        <v>813.0</v>
      </c>
      <c r="B19" s="19"/>
      <c r="C19" s="19"/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0</v>
      </c>
      <c r="AK20" s="21">
        <f t="shared" ref="AK20:AK21" si="8">550*AJ20</f>
        <v>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0</v>
      </c>
      <c r="AK21" s="21">
        <f t="shared" si="8"/>
        <v>0</v>
      </c>
      <c r="AL21" s="23">
        <f>SUM(AK19:AK21)</f>
        <v>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703.0</v>
      </c>
      <c r="B22" s="12" t="s">
        <v>16</v>
      </c>
      <c r="C22" s="26" t="s">
        <v>17</v>
      </c>
      <c r="D22" s="13" t="s">
        <v>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13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3" t="s">
        <v>8</v>
      </c>
      <c r="E23" s="13">
        <v>1.0</v>
      </c>
      <c r="F23" s="13">
        <v>1.0</v>
      </c>
      <c r="G23" s="13">
        <v>1.0</v>
      </c>
      <c r="H23" s="13">
        <v>1.0</v>
      </c>
      <c r="I23" s="13">
        <v>1.0</v>
      </c>
      <c r="J23" s="13">
        <v>1.0</v>
      </c>
      <c r="K23" s="13">
        <v>1.0</v>
      </c>
      <c r="L23" s="13">
        <v>1.0</v>
      </c>
      <c r="M23" s="13">
        <v>1.0</v>
      </c>
      <c r="N23" s="13">
        <v>1.0</v>
      </c>
      <c r="O23" s="13">
        <v>1.0</v>
      </c>
      <c r="P23" s="13">
        <v>1.0</v>
      </c>
      <c r="Q23" s="13">
        <v>1.0</v>
      </c>
      <c r="R23" s="13">
        <v>1.0</v>
      </c>
      <c r="S23" s="13">
        <v>1.0</v>
      </c>
      <c r="T23" s="13">
        <v>1.0</v>
      </c>
      <c r="U23" s="13">
        <v>1.0</v>
      </c>
      <c r="V23" s="13">
        <v>1.0</v>
      </c>
      <c r="W23" s="13">
        <v>1.0</v>
      </c>
      <c r="X23" s="13">
        <v>1.0</v>
      </c>
      <c r="Y23" s="13">
        <v>1.0</v>
      </c>
      <c r="Z23" s="13">
        <v>1.0</v>
      </c>
      <c r="AA23" s="13">
        <v>1.0</v>
      </c>
      <c r="AB23" s="13">
        <v>1.0</v>
      </c>
      <c r="AC23" s="13">
        <v>1.0</v>
      </c>
      <c r="AD23" s="13">
        <v>1.0</v>
      </c>
      <c r="AE23" s="13">
        <v>1.0</v>
      </c>
      <c r="AF23" s="13">
        <v>1.0</v>
      </c>
      <c r="AG23" s="13">
        <v>1.0</v>
      </c>
      <c r="AH23" s="13">
        <v>1.0</v>
      </c>
      <c r="AI23" s="13">
        <v>1.0</v>
      </c>
      <c r="AJ23" s="13">
        <f t="shared" si="2"/>
        <v>31</v>
      </c>
      <c r="AK23" s="14">
        <f t="shared" ref="AK23:AK24" si="9">550*AJ23</f>
        <v>17050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3" t="s">
        <v>10</v>
      </c>
      <c r="E24" s="27"/>
      <c r="F24" s="27"/>
      <c r="G24" s="27"/>
      <c r="H24" s="27">
        <v>1.0</v>
      </c>
      <c r="I24" s="27">
        <v>1.0</v>
      </c>
      <c r="J24" s="27">
        <v>1.0</v>
      </c>
      <c r="K24" s="27">
        <v>1.0</v>
      </c>
      <c r="L24" s="27">
        <v>1.0</v>
      </c>
      <c r="M24" s="27">
        <v>1.0</v>
      </c>
      <c r="N24" s="27">
        <v>1.0</v>
      </c>
      <c r="O24" s="27">
        <v>1.0</v>
      </c>
      <c r="P24" s="27">
        <v>1.0</v>
      </c>
      <c r="Q24" s="27">
        <v>1.0</v>
      </c>
      <c r="R24" s="27">
        <v>1.0</v>
      </c>
      <c r="S24" s="27">
        <v>1.0</v>
      </c>
      <c r="T24" s="27">
        <v>1.0</v>
      </c>
      <c r="U24" s="27">
        <v>1.0</v>
      </c>
      <c r="V24" s="27">
        <v>1.0</v>
      </c>
      <c r="W24" s="27">
        <v>1.0</v>
      </c>
      <c r="X24" s="27">
        <v>1.0</v>
      </c>
      <c r="Y24" s="27">
        <v>1.0</v>
      </c>
      <c r="Z24" s="27">
        <v>1.0</v>
      </c>
      <c r="AA24" s="27">
        <v>1.0</v>
      </c>
      <c r="AB24" s="27">
        <v>1.0</v>
      </c>
      <c r="AC24" s="27">
        <v>1.0</v>
      </c>
      <c r="AD24" s="27">
        <v>1.0</v>
      </c>
      <c r="AE24" s="27">
        <v>1.0</v>
      </c>
      <c r="AF24" s="27">
        <v>1.0</v>
      </c>
      <c r="AG24" s="27">
        <v>1.0</v>
      </c>
      <c r="AH24" s="27">
        <v>1.0</v>
      </c>
      <c r="AI24" s="27">
        <v>1.0</v>
      </c>
      <c r="AJ24" s="13">
        <f t="shared" si="2"/>
        <v>28</v>
      </c>
      <c r="AK24" s="14">
        <f t="shared" si="9"/>
        <v>15400</v>
      </c>
      <c r="AL24" s="18">
        <f>SUM(AK22:AK24)</f>
        <v>32450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>
        <v>608.0</v>
      </c>
      <c r="B25" s="19" t="s">
        <v>18</v>
      </c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>
        <v>906.0</v>
      </c>
      <c r="B28" s="12" t="s">
        <v>19</v>
      </c>
      <c r="C28" s="12"/>
      <c r="D28" s="13" t="s">
        <v>7</v>
      </c>
      <c r="E28" s="27">
        <v>1.0</v>
      </c>
      <c r="F28" s="27">
        <v>1.0</v>
      </c>
      <c r="G28" s="27">
        <v>1.0</v>
      </c>
      <c r="H28" s="27">
        <v>1.0</v>
      </c>
      <c r="I28" s="27">
        <v>1.0</v>
      </c>
      <c r="J28" s="27">
        <v>1.0</v>
      </c>
      <c r="K28" s="27">
        <v>1.0</v>
      </c>
      <c r="L28" s="27">
        <v>1.0</v>
      </c>
      <c r="M28" s="27">
        <v>1.0</v>
      </c>
      <c r="N28" s="27">
        <v>1.0</v>
      </c>
      <c r="O28" s="27">
        <v>1.0</v>
      </c>
      <c r="P28" s="27">
        <v>1.0</v>
      </c>
      <c r="Q28" s="27">
        <v>1.0</v>
      </c>
      <c r="R28" s="27">
        <v>1.0</v>
      </c>
      <c r="S28" s="27">
        <v>1.0</v>
      </c>
      <c r="T28" s="27">
        <v>1.0</v>
      </c>
      <c r="U28" s="27">
        <v>1.0</v>
      </c>
      <c r="V28" s="27">
        <v>1.0</v>
      </c>
      <c r="W28" s="27">
        <v>1.0</v>
      </c>
      <c r="X28" s="27">
        <v>1.0</v>
      </c>
      <c r="Y28" s="27">
        <v>1.0</v>
      </c>
      <c r="Z28" s="27">
        <v>1.0</v>
      </c>
      <c r="AA28" s="27">
        <v>1.0</v>
      </c>
      <c r="AB28" s="27">
        <v>1.0</v>
      </c>
      <c r="AC28" s="27">
        <v>1.0</v>
      </c>
      <c r="AD28" s="27">
        <v>1.0</v>
      </c>
      <c r="AE28" s="27">
        <v>1.0</v>
      </c>
      <c r="AF28" s="27">
        <v>1.0</v>
      </c>
      <c r="AG28" s="27">
        <v>1.0</v>
      </c>
      <c r="AH28" s="27">
        <v>1.0</v>
      </c>
      <c r="AI28" s="27">
        <v>1.0</v>
      </c>
      <c r="AJ28" s="13">
        <f t="shared" si="2"/>
        <v>31</v>
      </c>
      <c r="AK28" s="14">
        <f>330*AJ28</f>
        <v>10230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>
        <v>1.0</v>
      </c>
      <c r="F29" s="13">
        <v>1.0</v>
      </c>
      <c r="G29" s="13">
        <v>1.0</v>
      </c>
      <c r="H29" s="13">
        <v>1.0</v>
      </c>
      <c r="I29" s="13"/>
      <c r="J29" s="13">
        <v>1.0</v>
      </c>
      <c r="K29" s="13">
        <v>1.0</v>
      </c>
      <c r="L29" s="13">
        <v>1.0</v>
      </c>
      <c r="M29" s="13">
        <v>1.0</v>
      </c>
      <c r="N29" s="13"/>
      <c r="O29" s="13">
        <v>1.0</v>
      </c>
      <c r="P29" s="13">
        <v>1.0</v>
      </c>
      <c r="Q29" s="13"/>
      <c r="R29" s="13">
        <v>1.0</v>
      </c>
      <c r="S29" s="13">
        <v>1.0</v>
      </c>
      <c r="T29" s="13">
        <v>1.0</v>
      </c>
      <c r="U29" s="13"/>
      <c r="V29" s="13">
        <v>1.0</v>
      </c>
      <c r="W29" s="13">
        <v>1.0</v>
      </c>
      <c r="X29" s="13"/>
      <c r="Y29" s="13">
        <v>1.0</v>
      </c>
      <c r="Z29" s="13">
        <v>1.0</v>
      </c>
      <c r="AA29" s="13">
        <v>1.0</v>
      </c>
      <c r="AB29" s="13"/>
      <c r="AC29" s="13">
        <v>1.0</v>
      </c>
      <c r="AD29" s="13">
        <v>1.0</v>
      </c>
      <c r="AE29" s="13"/>
      <c r="AF29" s="13">
        <v>1.0</v>
      </c>
      <c r="AG29" s="13">
        <v>1.0</v>
      </c>
      <c r="AH29" s="13">
        <v>1.0</v>
      </c>
      <c r="AI29" s="13"/>
      <c r="AJ29" s="13">
        <f t="shared" si="2"/>
        <v>23</v>
      </c>
      <c r="AK29" s="14">
        <f t="shared" ref="AK29:AK30" si="11">550*AJ29</f>
        <v>12650</v>
      </c>
      <c r="AL29" s="17"/>
      <c r="AM29" s="4" t="s">
        <v>21</v>
      </c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>
        <v>1.0</v>
      </c>
      <c r="F30" s="13">
        <v>1.0</v>
      </c>
      <c r="G30" s="13">
        <v>1.0</v>
      </c>
      <c r="H30" s="13">
        <v>1.0</v>
      </c>
      <c r="I30" s="13">
        <v>1.0</v>
      </c>
      <c r="J30" s="13">
        <v>1.0</v>
      </c>
      <c r="K30" s="13">
        <v>1.0</v>
      </c>
      <c r="L30" s="13">
        <v>1.0</v>
      </c>
      <c r="M30" s="13">
        <v>1.0</v>
      </c>
      <c r="N30" s="13">
        <v>1.0</v>
      </c>
      <c r="O30" s="13">
        <v>1.0</v>
      </c>
      <c r="P30" s="13">
        <v>1.0</v>
      </c>
      <c r="Q30" s="13">
        <v>1.0</v>
      </c>
      <c r="R30" s="13">
        <v>1.0</v>
      </c>
      <c r="S30" s="13">
        <v>1.0</v>
      </c>
      <c r="T30" s="13">
        <v>1.0</v>
      </c>
      <c r="U30" s="13">
        <v>1.0</v>
      </c>
      <c r="V30" s="13">
        <v>1.0</v>
      </c>
      <c r="W30" s="13">
        <v>1.0</v>
      </c>
      <c r="X30" s="13">
        <v>1.0</v>
      </c>
      <c r="Y30" s="13">
        <v>1.0</v>
      </c>
      <c r="Z30" s="13">
        <v>1.0</v>
      </c>
      <c r="AA30" s="13">
        <v>1.0</v>
      </c>
      <c r="AB30" s="13">
        <v>1.0</v>
      </c>
      <c r="AC30" s="13">
        <v>1.0</v>
      </c>
      <c r="AD30" s="13">
        <v>1.0</v>
      </c>
      <c r="AE30" s="13">
        <v>1.0</v>
      </c>
      <c r="AF30" s="13">
        <v>1.0</v>
      </c>
      <c r="AG30" s="13">
        <v>1.0</v>
      </c>
      <c r="AH30" s="13">
        <v>1.0</v>
      </c>
      <c r="AI30" s="13">
        <v>1.0</v>
      </c>
      <c r="AJ30" s="13">
        <f t="shared" si="2"/>
        <v>31</v>
      </c>
      <c r="AK30" s="14">
        <f t="shared" si="11"/>
        <v>17050</v>
      </c>
      <c r="AL30" s="18">
        <f>SUM(AK28:AK30)</f>
        <v>39930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11.0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45962</v>
      </c>
      <c r="F2" s="7">
        <f>DATE($A$1,$B$1,2)</f>
        <v>45963</v>
      </c>
      <c r="G2" s="7">
        <f>DATE($A$1,$B$1,3)</f>
        <v>45964</v>
      </c>
      <c r="H2" s="7">
        <f>DATE($A$1,$B$1,4)</f>
        <v>45965</v>
      </c>
      <c r="I2" s="7">
        <f>DATE($A$1,$B$1,5)</f>
        <v>45966</v>
      </c>
      <c r="J2" s="7">
        <f>DATE($A$1,$B$1,6)</f>
        <v>45967</v>
      </c>
      <c r="K2" s="7">
        <f>DATE($A$1,$B$1,7)</f>
        <v>45968</v>
      </c>
      <c r="L2" s="7">
        <f>DATE($A$1,$B$1,8)</f>
        <v>45969</v>
      </c>
      <c r="M2" s="7">
        <f>DATE($A$1,$B$1,9)</f>
        <v>45970</v>
      </c>
      <c r="N2" s="7">
        <f>DATE($A$1,$B$1,10)</f>
        <v>45971</v>
      </c>
      <c r="O2" s="7">
        <f>DATE($A$1,$B$1,11)</f>
        <v>45972</v>
      </c>
      <c r="P2" s="7">
        <f>DATE($A$1,$B$1,12)</f>
        <v>45973</v>
      </c>
      <c r="Q2" s="7">
        <f>DATE($A$1,$B$1,13)</f>
        <v>45974</v>
      </c>
      <c r="R2" s="7">
        <f>DATE($A$1,$B$1,14)</f>
        <v>45975</v>
      </c>
      <c r="S2" s="7">
        <f>DATE($A$1,$B$1,15)</f>
        <v>45976</v>
      </c>
      <c r="T2" s="7">
        <f>DATE($A$1,$B$1,16)</f>
        <v>45977</v>
      </c>
      <c r="U2" s="7">
        <f>DATE($A$1,$B$1,17)</f>
        <v>45978</v>
      </c>
      <c r="V2" s="7">
        <f>DATE($A$1,$B$1,18)</f>
        <v>45979</v>
      </c>
      <c r="W2" s="7">
        <f>DATE($A$1,$B$1,19)</f>
        <v>45980</v>
      </c>
      <c r="X2" s="7">
        <f>DATE($A$1,$B$1,20)</f>
        <v>45981</v>
      </c>
      <c r="Y2" s="7">
        <f>DATE($A$1,$B$1,21)</f>
        <v>45982</v>
      </c>
      <c r="Z2" s="7">
        <f>DATE($A$1,$B$1,22)</f>
        <v>45983</v>
      </c>
      <c r="AA2" s="7">
        <f>DATE($A$1,$B$1,23)</f>
        <v>45984</v>
      </c>
      <c r="AB2" s="7">
        <f>DATE($A$1,$B$1,24)</f>
        <v>45985</v>
      </c>
      <c r="AC2" s="7">
        <f>DATE($A$1,$B$1,25)</f>
        <v>45986</v>
      </c>
      <c r="AD2" s="7">
        <f>DATE($A$1,$B$1,26)</f>
        <v>45987</v>
      </c>
      <c r="AE2" s="7">
        <f>DATE($A$1,$B$1,27)</f>
        <v>45988</v>
      </c>
      <c r="AF2" s="7">
        <f>DATE($A$1,$B$1,28)</f>
        <v>45989</v>
      </c>
      <c r="AG2" s="7">
        <f>DATE($A$1,$B$1,29)</f>
        <v>45990</v>
      </c>
      <c r="AH2" s="7">
        <f>DATE($A$1,$B$1,30)</f>
        <v>45991</v>
      </c>
      <c r="AI2" s="7">
        <f>DATE($A$1,$B$1,31)</f>
        <v>45992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土</v>
      </c>
      <c r="F3" s="11" t="str">
        <f t="shared" si="1"/>
        <v>日</v>
      </c>
      <c r="G3" s="11" t="str">
        <f t="shared" si="1"/>
        <v>月</v>
      </c>
      <c r="H3" s="11" t="str">
        <f t="shared" si="1"/>
        <v>火</v>
      </c>
      <c r="I3" s="11" t="str">
        <f t="shared" si="1"/>
        <v>水</v>
      </c>
      <c r="J3" s="11" t="str">
        <f t="shared" si="1"/>
        <v>木</v>
      </c>
      <c r="K3" s="11" t="str">
        <f t="shared" si="1"/>
        <v>金</v>
      </c>
      <c r="L3" s="11" t="str">
        <f t="shared" si="1"/>
        <v>土</v>
      </c>
      <c r="M3" s="11" t="str">
        <f t="shared" si="1"/>
        <v>日</v>
      </c>
      <c r="N3" s="11" t="str">
        <f t="shared" si="1"/>
        <v>月</v>
      </c>
      <c r="O3" s="11" t="str">
        <f t="shared" si="1"/>
        <v>火</v>
      </c>
      <c r="P3" s="11" t="str">
        <f t="shared" si="1"/>
        <v>水</v>
      </c>
      <c r="Q3" s="11" t="str">
        <f t="shared" si="1"/>
        <v>木</v>
      </c>
      <c r="R3" s="11" t="str">
        <f t="shared" si="1"/>
        <v>金</v>
      </c>
      <c r="S3" s="11" t="str">
        <f t="shared" si="1"/>
        <v>土</v>
      </c>
      <c r="T3" s="11" t="str">
        <f t="shared" si="1"/>
        <v>日</v>
      </c>
      <c r="U3" s="11" t="str">
        <f t="shared" si="1"/>
        <v>月</v>
      </c>
      <c r="V3" s="11" t="str">
        <f t="shared" si="1"/>
        <v>火</v>
      </c>
      <c r="W3" s="11" t="str">
        <f t="shared" si="1"/>
        <v>水</v>
      </c>
      <c r="X3" s="11" t="str">
        <f t="shared" si="1"/>
        <v>木</v>
      </c>
      <c r="Y3" s="11" t="str">
        <f t="shared" si="1"/>
        <v>金</v>
      </c>
      <c r="Z3" s="11" t="str">
        <f t="shared" si="1"/>
        <v>土</v>
      </c>
      <c r="AA3" s="11" t="str">
        <f t="shared" si="1"/>
        <v>日</v>
      </c>
      <c r="AB3" s="11" t="str">
        <f t="shared" si="1"/>
        <v>月</v>
      </c>
      <c r="AC3" s="11" t="str">
        <f t="shared" si="1"/>
        <v>火</v>
      </c>
      <c r="AD3" s="11" t="str">
        <f t="shared" si="1"/>
        <v>水</v>
      </c>
      <c r="AE3" s="11" t="str">
        <f t="shared" si="1"/>
        <v>木</v>
      </c>
      <c r="AF3" s="11" t="str">
        <f t="shared" si="1"/>
        <v>金</v>
      </c>
      <c r="AG3" s="11" t="str">
        <f t="shared" si="1"/>
        <v>土</v>
      </c>
      <c r="AH3" s="11" t="str">
        <f t="shared" si="1"/>
        <v>日</v>
      </c>
      <c r="AI3" s="11" t="str">
        <f t="shared" si="1"/>
        <v>月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/>
      <c r="AJ4" s="13">
        <f t="shared" ref="AJ4:AJ33" si="2">SUM(E4:AI4)</f>
        <v>30</v>
      </c>
      <c r="AK4" s="14">
        <f>330*AJ4</f>
        <v>9900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>
        <v>1.0</v>
      </c>
      <c r="F5" s="13">
        <v>1.0</v>
      </c>
      <c r="G5" s="13"/>
      <c r="H5" s="13">
        <v>1.0</v>
      </c>
      <c r="I5" s="13">
        <v>1.0</v>
      </c>
      <c r="J5" s="13">
        <v>1.0</v>
      </c>
      <c r="K5" s="13"/>
      <c r="L5" s="13">
        <v>1.0</v>
      </c>
      <c r="M5" s="13">
        <v>1.0</v>
      </c>
      <c r="N5" s="13"/>
      <c r="O5" s="13">
        <v>1.0</v>
      </c>
      <c r="P5" s="13">
        <v>1.0</v>
      </c>
      <c r="Q5" s="13">
        <v>1.0</v>
      </c>
      <c r="R5" s="13"/>
      <c r="S5" s="13">
        <v>1.0</v>
      </c>
      <c r="T5" s="13">
        <v>1.0</v>
      </c>
      <c r="U5" s="13"/>
      <c r="V5" s="13">
        <v>1.0</v>
      </c>
      <c r="W5" s="13">
        <v>1.0</v>
      </c>
      <c r="X5" s="13">
        <v>1.0</v>
      </c>
      <c r="Y5" s="13"/>
      <c r="Z5" s="13">
        <v>1.0</v>
      </c>
      <c r="AA5" s="13">
        <v>1.0</v>
      </c>
      <c r="AB5" s="13"/>
      <c r="AC5" s="13">
        <v>1.0</v>
      </c>
      <c r="AD5" s="13">
        <v>1.0</v>
      </c>
      <c r="AE5" s="13">
        <v>1.0</v>
      </c>
      <c r="AF5" s="13"/>
      <c r="AG5" s="13">
        <v>1.0</v>
      </c>
      <c r="AH5" s="13">
        <v>1.0</v>
      </c>
      <c r="AI5" s="13"/>
      <c r="AJ5" s="13">
        <f t="shared" si="2"/>
        <v>22</v>
      </c>
      <c r="AK5" s="14">
        <f t="shared" ref="AK5:AK6" si="3">550*AJ5</f>
        <v>12100</v>
      </c>
      <c r="AL5" s="17"/>
      <c r="AM5" s="4" t="s">
        <v>9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/>
      <c r="AJ6" s="13">
        <f t="shared" si="2"/>
        <v>30</v>
      </c>
      <c r="AK6" s="14">
        <f t="shared" si="3"/>
        <v>16500</v>
      </c>
      <c r="AL6" s="18">
        <f>SUM(AK4:AK6)</f>
        <v>38500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/>
      <c r="C7" s="19"/>
      <c r="D7" s="20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>
        <f t="shared" si="2"/>
        <v>0</v>
      </c>
      <c r="AK7" s="21">
        <f>330*AJ7</f>
        <v>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>
        <f t="shared" si="2"/>
        <v>0</v>
      </c>
      <c r="AK8" s="21">
        <f t="shared" ref="AK8:AK9" si="4">550*AJ8</f>
        <v>0</v>
      </c>
      <c r="AL8" s="22"/>
      <c r="AM8" s="4" t="s">
        <v>11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>
        <f t="shared" si="2"/>
        <v>0</v>
      </c>
      <c r="AK9" s="21">
        <f t="shared" si="4"/>
        <v>0</v>
      </c>
      <c r="AL9" s="23">
        <f>SUM(AK7:AK9)</f>
        <v>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27">
        <v>1.0</v>
      </c>
      <c r="F10" s="27">
        <v>1.0</v>
      </c>
      <c r="G10" s="27">
        <v>1.0</v>
      </c>
      <c r="H10" s="27">
        <v>1.0</v>
      </c>
      <c r="I10" s="27">
        <v>1.0</v>
      </c>
      <c r="J10" s="27">
        <v>1.0</v>
      </c>
      <c r="K10" s="27">
        <v>1.0</v>
      </c>
      <c r="L10" s="27">
        <v>1.0</v>
      </c>
      <c r="M10" s="27">
        <v>1.0</v>
      </c>
      <c r="N10" s="27">
        <v>1.0</v>
      </c>
      <c r="O10" s="27">
        <v>1.0</v>
      </c>
      <c r="P10" s="27">
        <v>1.0</v>
      </c>
      <c r="Q10" s="27">
        <v>1.0</v>
      </c>
      <c r="R10" s="27">
        <v>1.0</v>
      </c>
      <c r="S10" s="27"/>
      <c r="T10" s="27"/>
      <c r="U10" s="27"/>
      <c r="V10" s="27"/>
      <c r="W10" s="27">
        <v>1.0</v>
      </c>
      <c r="X10" s="27">
        <v>1.0</v>
      </c>
      <c r="Y10" s="27">
        <v>1.0</v>
      </c>
      <c r="Z10" s="27">
        <v>1.0</v>
      </c>
      <c r="AA10" s="27">
        <v>1.0</v>
      </c>
      <c r="AB10" s="27">
        <v>1.0</v>
      </c>
      <c r="AC10" s="27">
        <v>1.0</v>
      </c>
      <c r="AD10" s="27">
        <v>1.0</v>
      </c>
      <c r="AE10" s="27">
        <v>1.0</v>
      </c>
      <c r="AF10" s="27">
        <v>1.0</v>
      </c>
      <c r="AG10" s="27">
        <v>1.0</v>
      </c>
      <c r="AH10" s="27">
        <v>1.0</v>
      </c>
      <c r="AI10" s="13"/>
      <c r="AJ10" s="13">
        <f t="shared" si="2"/>
        <v>26</v>
      </c>
      <c r="AK10" s="14">
        <f>330*AJ10</f>
        <v>8580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/>
      <c r="T11" s="13"/>
      <c r="U11" s="13"/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/>
      <c r="AJ11" s="13">
        <f t="shared" si="2"/>
        <v>27</v>
      </c>
      <c r="AK11" s="14">
        <f t="shared" ref="AK11:AK12" si="5">550*AJ11</f>
        <v>14850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/>
      <c r="T12" s="13"/>
      <c r="U12" s="13"/>
      <c r="V12" s="13">
        <v>1.0</v>
      </c>
      <c r="W12" s="13">
        <v>1.0</v>
      </c>
      <c r="X12" s="13">
        <v>1.0</v>
      </c>
      <c r="Y12" s="13">
        <v>1.0</v>
      </c>
      <c r="Z12" s="13">
        <v>1.0</v>
      </c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/>
      <c r="AJ12" s="13">
        <f t="shared" si="2"/>
        <v>27</v>
      </c>
      <c r="AK12" s="14">
        <f t="shared" si="5"/>
        <v>14850</v>
      </c>
      <c r="AL12" s="18">
        <f>SUM(AK10:AK12)</f>
        <v>38280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>
        <v>1.0</v>
      </c>
      <c r="F14" s="20">
        <v>1.0</v>
      </c>
      <c r="G14" s="20">
        <v>1.0</v>
      </c>
      <c r="H14" s="20">
        <v>1.0</v>
      </c>
      <c r="I14" s="20">
        <v>1.0</v>
      </c>
      <c r="J14" s="20">
        <v>1.0</v>
      </c>
      <c r="K14" s="20">
        <v>1.0</v>
      </c>
      <c r="L14" s="20">
        <v>1.0</v>
      </c>
      <c r="M14" s="20">
        <v>1.0</v>
      </c>
      <c r="N14" s="20">
        <v>1.0</v>
      </c>
      <c r="O14" s="20">
        <v>1.0</v>
      </c>
      <c r="P14" s="20">
        <v>1.0</v>
      </c>
      <c r="Q14" s="20"/>
      <c r="R14" s="20">
        <v>1.0</v>
      </c>
      <c r="S14" s="20">
        <v>1.0</v>
      </c>
      <c r="T14" s="20">
        <v>1.0</v>
      </c>
      <c r="U14" s="20">
        <v>1.0</v>
      </c>
      <c r="V14" s="20">
        <v>1.0</v>
      </c>
      <c r="W14" s="20">
        <v>1.0</v>
      </c>
      <c r="X14" s="20">
        <v>1.0</v>
      </c>
      <c r="Y14" s="20">
        <v>1.0</v>
      </c>
      <c r="Z14" s="20">
        <v>1.0</v>
      </c>
      <c r="AA14" s="20">
        <v>1.0</v>
      </c>
      <c r="AB14" s="20">
        <v>1.0</v>
      </c>
      <c r="AC14" s="20">
        <v>1.0</v>
      </c>
      <c r="AD14" s="20">
        <v>1.0</v>
      </c>
      <c r="AE14" s="20">
        <v>1.0</v>
      </c>
      <c r="AF14" s="20">
        <v>1.0</v>
      </c>
      <c r="AG14" s="20"/>
      <c r="AH14" s="20">
        <v>1.0</v>
      </c>
      <c r="AI14" s="20"/>
      <c r="AJ14" s="20">
        <f t="shared" si="2"/>
        <v>28</v>
      </c>
      <c r="AK14" s="21">
        <f t="shared" ref="AK14:AK15" si="6">550*AJ14</f>
        <v>15400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0">
        <v>1.0</v>
      </c>
      <c r="K15" s="20">
        <v>1.0</v>
      </c>
      <c r="L15" s="20">
        <v>1.0</v>
      </c>
      <c r="M15" s="20">
        <v>1.0</v>
      </c>
      <c r="N15" s="20">
        <v>1.0</v>
      </c>
      <c r="O15" s="20">
        <v>1.0</v>
      </c>
      <c r="P15" s="20">
        <v>1.0</v>
      </c>
      <c r="Q15" s="20">
        <v>1.0</v>
      </c>
      <c r="R15" s="20">
        <v>1.0</v>
      </c>
      <c r="S15" s="20">
        <v>1.0</v>
      </c>
      <c r="T15" s="20">
        <v>1.0</v>
      </c>
      <c r="U15" s="20">
        <v>1.0</v>
      </c>
      <c r="V15" s="20">
        <v>1.0</v>
      </c>
      <c r="W15" s="20">
        <v>1.0</v>
      </c>
      <c r="X15" s="20">
        <v>1.0</v>
      </c>
      <c r="Y15" s="20">
        <v>1.0</v>
      </c>
      <c r="Z15" s="20">
        <v>1.0</v>
      </c>
      <c r="AA15" s="20">
        <v>1.0</v>
      </c>
      <c r="AB15" s="20">
        <v>1.0</v>
      </c>
      <c r="AC15" s="20">
        <v>1.0</v>
      </c>
      <c r="AD15" s="20">
        <v>1.0</v>
      </c>
      <c r="AE15" s="20">
        <v>1.0</v>
      </c>
      <c r="AF15" s="20">
        <v>1.0</v>
      </c>
      <c r="AG15" s="20"/>
      <c r="AH15" s="20">
        <v>1.0</v>
      </c>
      <c r="AI15" s="20"/>
      <c r="AJ15" s="20">
        <f t="shared" si="2"/>
        <v>29</v>
      </c>
      <c r="AK15" s="21">
        <f t="shared" si="6"/>
        <v>15950</v>
      </c>
      <c r="AL15" s="23">
        <f>SUM(AK13:AK15)</f>
        <v>31350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>
        <v>801.0</v>
      </c>
      <c r="B16" s="12" t="s">
        <v>22</v>
      </c>
      <c r="C16" s="12" t="s">
        <v>23</v>
      </c>
      <c r="D16" s="13" t="s">
        <v>7</v>
      </c>
      <c r="E16" s="27">
        <v>1.0</v>
      </c>
      <c r="F16" s="27">
        <v>1.0</v>
      </c>
      <c r="G16" s="27">
        <v>1.0</v>
      </c>
      <c r="H16" s="27">
        <v>1.0</v>
      </c>
      <c r="I16" s="27">
        <v>1.0</v>
      </c>
      <c r="J16" s="27">
        <v>1.0</v>
      </c>
      <c r="K16" s="27">
        <v>1.0</v>
      </c>
      <c r="L16" s="27">
        <v>1.0</v>
      </c>
      <c r="M16" s="27">
        <v>1.0</v>
      </c>
      <c r="N16" s="27">
        <v>1.0</v>
      </c>
      <c r="O16" s="27">
        <v>1.0</v>
      </c>
      <c r="P16" s="27">
        <v>1.0</v>
      </c>
      <c r="Q16" s="27">
        <v>1.0</v>
      </c>
      <c r="R16" s="27">
        <v>1.0</v>
      </c>
      <c r="S16" s="27">
        <v>1.0</v>
      </c>
      <c r="T16" s="27">
        <v>1.0</v>
      </c>
      <c r="U16" s="27">
        <v>1.0</v>
      </c>
      <c r="V16" s="27">
        <v>1.0</v>
      </c>
      <c r="W16" s="27">
        <v>1.0</v>
      </c>
      <c r="X16" s="27">
        <v>1.0</v>
      </c>
      <c r="Y16" s="27">
        <v>1.0</v>
      </c>
      <c r="Z16" s="27">
        <v>1.0</v>
      </c>
      <c r="AA16" s="27"/>
      <c r="AB16" s="27"/>
      <c r="AC16" s="27"/>
      <c r="AD16" s="27"/>
      <c r="AE16" s="27"/>
      <c r="AF16" s="27"/>
      <c r="AG16" s="27"/>
      <c r="AH16" s="27"/>
      <c r="AI16" s="27"/>
      <c r="AJ16" s="13">
        <f t="shared" si="2"/>
        <v>22</v>
      </c>
      <c r="AK16" s="14">
        <f>330*AJ16</f>
        <v>7260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27">
        <v>1.0</v>
      </c>
      <c r="F17" s="27">
        <v>1.0</v>
      </c>
      <c r="G17" s="27">
        <v>1.0</v>
      </c>
      <c r="H17" s="27">
        <v>1.0</v>
      </c>
      <c r="I17" s="27">
        <v>1.0</v>
      </c>
      <c r="J17" s="27">
        <v>1.0</v>
      </c>
      <c r="K17" s="27">
        <v>1.0</v>
      </c>
      <c r="L17" s="27">
        <v>1.0</v>
      </c>
      <c r="M17" s="27">
        <v>1.0</v>
      </c>
      <c r="N17" s="27">
        <v>1.0</v>
      </c>
      <c r="O17" s="27">
        <v>1.0</v>
      </c>
      <c r="P17" s="27">
        <v>1.0</v>
      </c>
      <c r="Q17" s="27">
        <v>1.0</v>
      </c>
      <c r="R17" s="27">
        <v>1.0</v>
      </c>
      <c r="S17" s="27">
        <v>1.0</v>
      </c>
      <c r="T17" s="27">
        <v>1.0</v>
      </c>
      <c r="U17" s="27">
        <v>1.0</v>
      </c>
      <c r="V17" s="27">
        <v>1.0</v>
      </c>
      <c r="W17" s="27">
        <v>1.0</v>
      </c>
      <c r="X17" s="27">
        <v>1.0</v>
      </c>
      <c r="Y17" s="27">
        <v>1.0</v>
      </c>
      <c r="Z17" s="27">
        <v>1.0</v>
      </c>
      <c r="AA17" s="27"/>
      <c r="AB17" s="27"/>
      <c r="AC17" s="27"/>
      <c r="AD17" s="27"/>
      <c r="AE17" s="27"/>
      <c r="AF17" s="27"/>
      <c r="AG17" s="27"/>
      <c r="AH17" s="27"/>
      <c r="AI17" s="27"/>
      <c r="AJ17" s="13">
        <f t="shared" si="2"/>
        <v>22</v>
      </c>
      <c r="AK17" s="14">
        <f t="shared" ref="AK17:AK18" si="7">550*AJ17</f>
        <v>12100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27">
        <v>1.0</v>
      </c>
      <c r="F18" s="27">
        <v>1.0</v>
      </c>
      <c r="G18" s="27">
        <v>1.0</v>
      </c>
      <c r="H18" s="27">
        <v>1.0</v>
      </c>
      <c r="I18" s="27">
        <v>1.0</v>
      </c>
      <c r="J18" s="27">
        <v>1.0</v>
      </c>
      <c r="K18" s="27">
        <v>1.0</v>
      </c>
      <c r="L18" s="27">
        <v>1.0</v>
      </c>
      <c r="M18" s="27">
        <v>1.0</v>
      </c>
      <c r="N18" s="27">
        <v>1.0</v>
      </c>
      <c r="O18" s="27">
        <v>1.0</v>
      </c>
      <c r="P18" s="27">
        <v>1.0</v>
      </c>
      <c r="Q18" s="27">
        <v>1.0</v>
      </c>
      <c r="R18" s="27">
        <v>1.0</v>
      </c>
      <c r="S18" s="27">
        <v>1.0</v>
      </c>
      <c r="T18" s="27">
        <v>1.0</v>
      </c>
      <c r="U18" s="27">
        <v>1.0</v>
      </c>
      <c r="V18" s="27">
        <v>1.0</v>
      </c>
      <c r="W18" s="27">
        <v>1.0</v>
      </c>
      <c r="X18" s="27">
        <v>1.0</v>
      </c>
      <c r="Y18" s="27">
        <v>1.0</v>
      </c>
      <c r="Z18" s="27">
        <v>1.0</v>
      </c>
      <c r="AA18" s="27"/>
      <c r="AB18" s="27"/>
      <c r="AC18" s="27"/>
      <c r="AD18" s="27"/>
      <c r="AE18" s="27"/>
      <c r="AF18" s="27"/>
      <c r="AG18" s="27"/>
      <c r="AH18" s="27"/>
      <c r="AI18" s="27"/>
      <c r="AJ18" s="13">
        <f t="shared" si="2"/>
        <v>22</v>
      </c>
      <c r="AK18" s="14">
        <f t="shared" si="7"/>
        <v>12100</v>
      </c>
      <c r="AL18" s="18">
        <f>SUM(AK16:AK18)</f>
        <v>31460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>
        <v>813.0</v>
      </c>
      <c r="B19" s="19" t="s">
        <v>24</v>
      </c>
      <c r="C19" s="19" t="s">
        <v>25</v>
      </c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0</v>
      </c>
      <c r="AK20" s="21">
        <f t="shared" ref="AK20:AK21" si="8">550*AJ20</f>
        <v>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0</v>
      </c>
      <c r="AK21" s="21">
        <f t="shared" si="8"/>
        <v>0</v>
      </c>
      <c r="AL21" s="23">
        <f>SUM(AK19:AK21)</f>
        <v>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703.0</v>
      </c>
      <c r="B22" s="12" t="s">
        <v>16</v>
      </c>
      <c r="C22" s="26" t="s">
        <v>17</v>
      </c>
      <c r="D22" s="13" t="s">
        <v>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13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3" t="s">
        <v>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>
        <v>1.0</v>
      </c>
      <c r="AG23" s="27">
        <v>1.0</v>
      </c>
      <c r="AH23" s="27">
        <v>1.0</v>
      </c>
      <c r="AI23" s="13"/>
      <c r="AJ23" s="13">
        <f t="shared" si="2"/>
        <v>3</v>
      </c>
      <c r="AK23" s="14">
        <f t="shared" ref="AK23:AK24" si="9">550*AJ23</f>
        <v>1650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3" t="s">
        <v>10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B24" s="27"/>
      <c r="AC24" s="27"/>
      <c r="AD24" s="27"/>
      <c r="AE24" s="27"/>
      <c r="AF24" s="27"/>
      <c r="AG24" s="27"/>
      <c r="AH24" s="27"/>
      <c r="AI24" s="13"/>
      <c r="AJ24" s="13">
        <f t="shared" si="2"/>
        <v>0</v>
      </c>
      <c r="AK24" s="14">
        <f t="shared" si="9"/>
        <v>0</v>
      </c>
      <c r="AL24" s="18">
        <f>SUM(AK22:AK24)</f>
        <v>1650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>
        <v>608.0</v>
      </c>
      <c r="B25" s="19" t="s">
        <v>18</v>
      </c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>
        <v>906.0</v>
      </c>
      <c r="B28" s="12" t="s">
        <v>19</v>
      </c>
      <c r="C28" s="12"/>
      <c r="D28" s="13" t="s">
        <v>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>
        <v>1.0</v>
      </c>
      <c r="AG28" s="27">
        <v>1.0</v>
      </c>
      <c r="AH28" s="27">
        <v>1.0</v>
      </c>
      <c r="AI28" s="13"/>
      <c r="AJ28" s="13">
        <f t="shared" si="2"/>
        <v>3</v>
      </c>
      <c r="AK28" s="14">
        <f>330*AJ28</f>
        <v>990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27">
        <v>1.0</v>
      </c>
      <c r="AF29" s="27">
        <v>1.0</v>
      </c>
      <c r="AG29" s="27">
        <v>1.0</v>
      </c>
      <c r="AH29" s="27">
        <v>1.0</v>
      </c>
      <c r="AI29" s="13"/>
      <c r="AJ29" s="13">
        <f t="shared" si="2"/>
        <v>4</v>
      </c>
      <c r="AK29" s="14">
        <f t="shared" ref="AK29:AK30" si="11">550*AJ29</f>
        <v>2200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27">
        <v>1.0</v>
      </c>
      <c r="AF30" s="27">
        <v>1.0</v>
      </c>
      <c r="AG30" s="27">
        <v>1.0</v>
      </c>
      <c r="AH30" s="27">
        <v>1.0</v>
      </c>
      <c r="AI30" s="13"/>
      <c r="AJ30" s="13">
        <f t="shared" si="2"/>
        <v>4</v>
      </c>
      <c r="AK30" s="14">
        <f t="shared" si="11"/>
        <v>2200</v>
      </c>
      <c r="AL30" s="18">
        <f>SUM(AK28:AK30)</f>
        <v>5390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10.0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45931</v>
      </c>
      <c r="F2" s="7">
        <f>DATE($A$1,$B$1,2)</f>
        <v>45932</v>
      </c>
      <c r="G2" s="7">
        <f>DATE($A$1,$B$1,3)</f>
        <v>45933</v>
      </c>
      <c r="H2" s="7">
        <f>DATE($A$1,$B$1,4)</f>
        <v>45934</v>
      </c>
      <c r="I2" s="7">
        <f>DATE($A$1,$B$1,5)</f>
        <v>45935</v>
      </c>
      <c r="J2" s="7">
        <f>DATE($A$1,$B$1,6)</f>
        <v>45936</v>
      </c>
      <c r="K2" s="7">
        <f>DATE($A$1,$B$1,7)</f>
        <v>45937</v>
      </c>
      <c r="L2" s="7">
        <f>DATE($A$1,$B$1,8)</f>
        <v>45938</v>
      </c>
      <c r="M2" s="7">
        <f>DATE($A$1,$B$1,9)</f>
        <v>45939</v>
      </c>
      <c r="N2" s="7">
        <f>DATE($A$1,$B$1,10)</f>
        <v>45940</v>
      </c>
      <c r="O2" s="7">
        <f>DATE($A$1,$B$1,11)</f>
        <v>45941</v>
      </c>
      <c r="P2" s="7">
        <f>DATE($A$1,$B$1,12)</f>
        <v>45942</v>
      </c>
      <c r="Q2" s="7">
        <f>DATE($A$1,$B$1,13)</f>
        <v>45943</v>
      </c>
      <c r="R2" s="7">
        <f>DATE($A$1,$B$1,14)</f>
        <v>45944</v>
      </c>
      <c r="S2" s="7">
        <f>DATE($A$1,$B$1,15)</f>
        <v>45945</v>
      </c>
      <c r="T2" s="7">
        <f>DATE($A$1,$B$1,16)</f>
        <v>45946</v>
      </c>
      <c r="U2" s="7">
        <f>DATE($A$1,$B$1,17)</f>
        <v>45947</v>
      </c>
      <c r="V2" s="7">
        <f>DATE($A$1,$B$1,18)</f>
        <v>45948</v>
      </c>
      <c r="W2" s="7">
        <f>DATE($A$1,$B$1,19)</f>
        <v>45949</v>
      </c>
      <c r="X2" s="7">
        <f>DATE($A$1,$B$1,20)</f>
        <v>45950</v>
      </c>
      <c r="Y2" s="7">
        <f>DATE($A$1,$B$1,21)</f>
        <v>45951</v>
      </c>
      <c r="Z2" s="7">
        <f>DATE($A$1,$B$1,22)</f>
        <v>45952</v>
      </c>
      <c r="AA2" s="7">
        <f>DATE($A$1,$B$1,23)</f>
        <v>45953</v>
      </c>
      <c r="AB2" s="7">
        <f>DATE($A$1,$B$1,24)</f>
        <v>45954</v>
      </c>
      <c r="AC2" s="7">
        <f>DATE($A$1,$B$1,25)</f>
        <v>45955</v>
      </c>
      <c r="AD2" s="7">
        <f>DATE($A$1,$B$1,26)</f>
        <v>45956</v>
      </c>
      <c r="AE2" s="7">
        <f>DATE($A$1,$B$1,27)</f>
        <v>45957</v>
      </c>
      <c r="AF2" s="7">
        <f>DATE($A$1,$B$1,28)</f>
        <v>45958</v>
      </c>
      <c r="AG2" s="7">
        <f>DATE($A$1,$B$1,29)</f>
        <v>45959</v>
      </c>
      <c r="AH2" s="7">
        <f>DATE($A$1,$B$1,30)</f>
        <v>45960</v>
      </c>
      <c r="AI2" s="7">
        <f>DATE($A$1,$B$1,31)</f>
        <v>45961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水</v>
      </c>
      <c r="F3" s="11" t="str">
        <f t="shared" si="1"/>
        <v>木</v>
      </c>
      <c r="G3" s="11" t="str">
        <f t="shared" si="1"/>
        <v>金</v>
      </c>
      <c r="H3" s="11" t="str">
        <f t="shared" si="1"/>
        <v>土</v>
      </c>
      <c r="I3" s="11" t="str">
        <f t="shared" si="1"/>
        <v>日</v>
      </c>
      <c r="J3" s="11" t="str">
        <f t="shared" si="1"/>
        <v>月</v>
      </c>
      <c r="K3" s="11" t="str">
        <f t="shared" si="1"/>
        <v>火</v>
      </c>
      <c r="L3" s="11" t="str">
        <f t="shared" si="1"/>
        <v>水</v>
      </c>
      <c r="M3" s="11" t="str">
        <f t="shared" si="1"/>
        <v>木</v>
      </c>
      <c r="N3" s="11" t="str">
        <f t="shared" si="1"/>
        <v>金</v>
      </c>
      <c r="O3" s="11" t="str">
        <f t="shared" si="1"/>
        <v>土</v>
      </c>
      <c r="P3" s="11" t="str">
        <f t="shared" si="1"/>
        <v>日</v>
      </c>
      <c r="Q3" s="11" t="str">
        <f t="shared" si="1"/>
        <v>月</v>
      </c>
      <c r="R3" s="11" t="str">
        <f t="shared" si="1"/>
        <v>火</v>
      </c>
      <c r="S3" s="11" t="str">
        <f t="shared" si="1"/>
        <v>水</v>
      </c>
      <c r="T3" s="11" t="str">
        <f t="shared" si="1"/>
        <v>木</v>
      </c>
      <c r="U3" s="11" t="str">
        <f t="shared" si="1"/>
        <v>金</v>
      </c>
      <c r="V3" s="11" t="str">
        <f t="shared" si="1"/>
        <v>土</v>
      </c>
      <c r="W3" s="11" t="str">
        <f t="shared" si="1"/>
        <v>日</v>
      </c>
      <c r="X3" s="11" t="str">
        <f t="shared" si="1"/>
        <v>月</v>
      </c>
      <c r="Y3" s="11" t="str">
        <f t="shared" si="1"/>
        <v>火</v>
      </c>
      <c r="Z3" s="11" t="str">
        <f t="shared" si="1"/>
        <v>水</v>
      </c>
      <c r="AA3" s="11" t="str">
        <f t="shared" si="1"/>
        <v>木</v>
      </c>
      <c r="AB3" s="11" t="str">
        <f t="shared" si="1"/>
        <v>金</v>
      </c>
      <c r="AC3" s="11" t="str">
        <f t="shared" si="1"/>
        <v>土</v>
      </c>
      <c r="AD3" s="11" t="str">
        <f t="shared" si="1"/>
        <v>日</v>
      </c>
      <c r="AE3" s="11" t="str">
        <f t="shared" si="1"/>
        <v>月</v>
      </c>
      <c r="AF3" s="11" t="str">
        <f t="shared" si="1"/>
        <v>火</v>
      </c>
      <c r="AG3" s="11" t="str">
        <f t="shared" si="1"/>
        <v>水</v>
      </c>
      <c r="AH3" s="11" t="str">
        <f t="shared" si="1"/>
        <v>木</v>
      </c>
      <c r="AI3" s="11" t="str">
        <f t="shared" si="1"/>
        <v>金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33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/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/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/>
      <c r="Y5" s="13">
        <v>1.0</v>
      </c>
      <c r="Z5" s="13">
        <v>1.0</v>
      </c>
      <c r="AA5" s="13">
        <v>1.0</v>
      </c>
      <c r="AB5" s="13"/>
      <c r="AC5" s="13">
        <v>1.0</v>
      </c>
      <c r="AD5" s="13">
        <v>1.0</v>
      </c>
      <c r="AE5" s="13"/>
      <c r="AF5" s="13">
        <v>1.0</v>
      </c>
      <c r="AG5" s="13">
        <v>1.0</v>
      </c>
      <c r="AH5" s="13">
        <v>1.0</v>
      </c>
      <c r="AI5" s="13"/>
      <c r="AJ5" s="13">
        <f t="shared" si="2"/>
        <v>25</v>
      </c>
      <c r="AK5" s="14">
        <f t="shared" ref="AK5:AK6" si="3">550*AJ5</f>
        <v>13750</v>
      </c>
      <c r="AL5" s="17"/>
      <c r="AM5" s="4" t="s">
        <v>9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18">
        <f>SUM(AK4:AK6)</f>
        <v>41030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/>
      <c r="C7" s="19"/>
      <c r="D7" s="20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>
        <f t="shared" si="2"/>
        <v>0</v>
      </c>
      <c r="AK7" s="21">
        <f>330*AJ7</f>
        <v>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>
        <f t="shared" si="2"/>
        <v>0</v>
      </c>
      <c r="AK8" s="21">
        <f t="shared" ref="AK8:AK9" si="4">550*AJ8</f>
        <v>0</v>
      </c>
      <c r="AL8" s="22"/>
      <c r="AM8" s="4" t="s">
        <v>11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>
        <f t="shared" si="2"/>
        <v>0</v>
      </c>
      <c r="AK9" s="21">
        <f t="shared" si="4"/>
        <v>0</v>
      </c>
      <c r="AL9" s="23">
        <f>SUM(AK7:AK9)</f>
        <v>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27">
        <v>1.0</v>
      </c>
      <c r="F10" s="27">
        <v>1.0</v>
      </c>
      <c r="G10" s="27">
        <v>1.0</v>
      </c>
      <c r="H10" s="27">
        <v>1.0</v>
      </c>
      <c r="I10" s="27">
        <v>1.0</v>
      </c>
      <c r="J10" s="27">
        <v>1.0</v>
      </c>
      <c r="K10" s="27">
        <v>1.0</v>
      </c>
      <c r="L10" s="27">
        <v>1.0</v>
      </c>
      <c r="M10" s="27">
        <v>1.0</v>
      </c>
      <c r="N10" s="27">
        <v>1.0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3">
        <v>1.0</v>
      </c>
      <c r="AI10" s="13">
        <v>1.0</v>
      </c>
      <c r="AJ10" s="13">
        <f t="shared" si="2"/>
        <v>12</v>
      </c>
      <c r="AK10" s="14">
        <f>330*AJ10</f>
        <v>3960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/>
      <c r="F11" s="13">
        <v>1.0</v>
      </c>
      <c r="G11" s="13">
        <v>1.0</v>
      </c>
      <c r="H11" s="13"/>
      <c r="I11" s="13">
        <v>1.0</v>
      </c>
      <c r="J11" s="13">
        <v>1.0</v>
      </c>
      <c r="K11" s="13">
        <v>1.0</v>
      </c>
      <c r="L11" s="13"/>
      <c r="M11" s="13">
        <v>1.0</v>
      </c>
      <c r="N11" s="13">
        <v>1.0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>
        <v>1.0</v>
      </c>
      <c r="AH11" s="13">
        <v>1.0</v>
      </c>
      <c r="AI11" s="13">
        <v>1.0</v>
      </c>
      <c r="AJ11" s="13">
        <f t="shared" si="2"/>
        <v>10</v>
      </c>
      <c r="AK11" s="14">
        <f t="shared" ref="AK11:AK12" si="5">550*AJ11</f>
        <v>5500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>
        <v>1.0</v>
      </c>
      <c r="AH12" s="13">
        <v>1.0</v>
      </c>
      <c r="AI12" s="13">
        <v>1.0</v>
      </c>
      <c r="AJ12" s="13">
        <f t="shared" si="2"/>
        <v>12</v>
      </c>
      <c r="AK12" s="14">
        <f t="shared" si="5"/>
        <v>6600</v>
      </c>
      <c r="AL12" s="18">
        <f>SUM(AK10:AK12)</f>
        <v>16060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>
        <v>1.0</v>
      </c>
      <c r="F14" s="20">
        <v>1.0</v>
      </c>
      <c r="G14" s="20">
        <v>1.0</v>
      </c>
      <c r="H14" s="20">
        <v>1.0</v>
      </c>
      <c r="I14" s="20">
        <v>1.0</v>
      </c>
      <c r="J14" s="20">
        <v>1.0</v>
      </c>
      <c r="K14" s="20">
        <v>1.0</v>
      </c>
      <c r="L14" s="20">
        <v>1.0</v>
      </c>
      <c r="M14" s="20">
        <v>1.0</v>
      </c>
      <c r="N14" s="20">
        <v>1.0</v>
      </c>
      <c r="O14" s="20">
        <v>1.0</v>
      </c>
      <c r="P14" s="20">
        <v>1.0</v>
      </c>
      <c r="Q14" s="20">
        <v>1.0</v>
      </c>
      <c r="R14" s="20">
        <v>1.0</v>
      </c>
      <c r="S14" s="20"/>
      <c r="T14" s="20">
        <v>1.0</v>
      </c>
      <c r="U14" s="20">
        <v>1.0</v>
      </c>
      <c r="V14" s="20"/>
      <c r="W14" s="20"/>
      <c r="X14" s="20"/>
      <c r="Y14" s="20"/>
      <c r="Z14" s="20"/>
      <c r="AA14" s="20">
        <v>1.0</v>
      </c>
      <c r="AB14" s="20">
        <v>1.0</v>
      </c>
      <c r="AC14" s="20"/>
      <c r="AD14" s="20">
        <v>1.0</v>
      </c>
      <c r="AE14" s="20">
        <v>1.0</v>
      </c>
      <c r="AF14" s="20"/>
      <c r="AG14" s="20">
        <v>1.0</v>
      </c>
      <c r="AH14" s="20">
        <v>1.0</v>
      </c>
      <c r="AI14" s="20">
        <v>1.0</v>
      </c>
      <c r="AJ14" s="20">
        <f t="shared" si="2"/>
        <v>23</v>
      </c>
      <c r="AK14" s="21">
        <f t="shared" ref="AK14:AK15" si="6">550*AJ14</f>
        <v>12650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0">
        <v>1.0</v>
      </c>
      <c r="K15" s="20">
        <v>1.0</v>
      </c>
      <c r="L15" s="20">
        <v>1.0</v>
      </c>
      <c r="M15" s="20">
        <v>1.0</v>
      </c>
      <c r="N15" s="20">
        <v>1.0</v>
      </c>
      <c r="O15" s="20">
        <v>1.0</v>
      </c>
      <c r="P15" s="20">
        <v>1.0</v>
      </c>
      <c r="Q15" s="20">
        <v>1.0</v>
      </c>
      <c r="R15" s="20">
        <v>1.0</v>
      </c>
      <c r="S15" s="20">
        <v>1.0</v>
      </c>
      <c r="T15" s="20">
        <v>1.0</v>
      </c>
      <c r="U15" s="20">
        <v>1.0</v>
      </c>
      <c r="V15" s="20">
        <v>1.0</v>
      </c>
      <c r="W15" s="20"/>
      <c r="X15" s="20"/>
      <c r="Y15" s="20"/>
      <c r="Z15" s="20"/>
      <c r="AA15" s="20">
        <v>1.0</v>
      </c>
      <c r="AB15" s="20">
        <v>1.0</v>
      </c>
      <c r="AC15" s="20">
        <v>1.0</v>
      </c>
      <c r="AD15" s="20">
        <v>1.0</v>
      </c>
      <c r="AE15" s="20">
        <v>1.0</v>
      </c>
      <c r="AF15" s="20">
        <v>1.0</v>
      </c>
      <c r="AG15" s="20">
        <v>1.0</v>
      </c>
      <c r="AH15" s="20">
        <v>1.0</v>
      </c>
      <c r="AI15" s="20">
        <v>1.0</v>
      </c>
      <c r="AJ15" s="20">
        <f t="shared" si="2"/>
        <v>27</v>
      </c>
      <c r="AK15" s="21">
        <f t="shared" si="6"/>
        <v>14850</v>
      </c>
      <c r="AL15" s="23">
        <f>SUM(AK13:AK15)</f>
        <v>27500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>
        <v>801.0</v>
      </c>
      <c r="B16" s="12" t="s">
        <v>22</v>
      </c>
      <c r="C16" s="12" t="s">
        <v>23</v>
      </c>
      <c r="D16" s="13" t="s">
        <v>7</v>
      </c>
      <c r="E16" s="27">
        <v>1.0</v>
      </c>
      <c r="F16" s="27">
        <v>1.0</v>
      </c>
      <c r="G16" s="27">
        <v>1.0</v>
      </c>
      <c r="H16" s="27">
        <v>1.0</v>
      </c>
      <c r="I16" s="27">
        <v>1.0</v>
      </c>
      <c r="J16" s="27">
        <v>1.0</v>
      </c>
      <c r="K16" s="27">
        <v>1.0</v>
      </c>
      <c r="L16" s="27">
        <v>1.0</v>
      </c>
      <c r="M16" s="27">
        <v>1.0</v>
      </c>
      <c r="N16" s="27">
        <v>1.0</v>
      </c>
      <c r="O16" s="27">
        <v>1.0</v>
      </c>
      <c r="P16" s="27">
        <v>1.0</v>
      </c>
      <c r="Q16" s="27">
        <v>1.0</v>
      </c>
      <c r="R16" s="27">
        <v>1.0</v>
      </c>
      <c r="S16" s="27">
        <v>1.0</v>
      </c>
      <c r="T16" s="27">
        <v>1.0</v>
      </c>
      <c r="U16" s="27">
        <v>1.0</v>
      </c>
      <c r="V16" s="27">
        <v>1.0</v>
      </c>
      <c r="W16" s="27">
        <v>1.0</v>
      </c>
      <c r="X16" s="27">
        <v>1.0</v>
      </c>
      <c r="Y16" s="27">
        <v>1.0</v>
      </c>
      <c r="Z16" s="27">
        <v>1.0</v>
      </c>
      <c r="AA16" s="27">
        <v>1.0</v>
      </c>
      <c r="AB16" s="27">
        <v>1.0</v>
      </c>
      <c r="AC16" s="27">
        <v>1.0</v>
      </c>
      <c r="AD16" s="27">
        <v>1.0</v>
      </c>
      <c r="AE16" s="27">
        <v>1.0</v>
      </c>
      <c r="AF16" s="27">
        <v>1.0</v>
      </c>
      <c r="AG16" s="27">
        <v>1.0</v>
      </c>
      <c r="AH16" s="27">
        <v>1.0</v>
      </c>
      <c r="AI16" s="27">
        <v>1.0</v>
      </c>
      <c r="AJ16" s="13">
        <f t="shared" si="2"/>
        <v>31</v>
      </c>
      <c r="AK16" s="14">
        <f>330*AJ16</f>
        <v>10230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27">
        <v>1.0</v>
      </c>
      <c r="F17" s="27">
        <v>1.0</v>
      </c>
      <c r="G17" s="27">
        <v>1.0</v>
      </c>
      <c r="H17" s="27">
        <v>1.0</v>
      </c>
      <c r="I17" s="27">
        <v>1.0</v>
      </c>
      <c r="J17" s="27">
        <v>1.0</v>
      </c>
      <c r="K17" s="27">
        <v>1.0</v>
      </c>
      <c r="L17" s="27">
        <v>1.0</v>
      </c>
      <c r="M17" s="27">
        <v>1.0</v>
      </c>
      <c r="N17" s="27">
        <v>1.0</v>
      </c>
      <c r="O17" s="27">
        <v>1.0</v>
      </c>
      <c r="P17" s="27">
        <v>1.0</v>
      </c>
      <c r="Q17" s="27">
        <v>1.0</v>
      </c>
      <c r="R17" s="27">
        <v>1.0</v>
      </c>
      <c r="S17" s="27">
        <v>1.0</v>
      </c>
      <c r="T17" s="27">
        <v>1.0</v>
      </c>
      <c r="U17" s="27">
        <v>1.0</v>
      </c>
      <c r="V17" s="27">
        <v>1.0</v>
      </c>
      <c r="W17" s="27">
        <v>1.0</v>
      </c>
      <c r="X17" s="27">
        <v>1.0</v>
      </c>
      <c r="Y17" s="27">
        <v>1.0</v>
      </c>
      <c r="Z17" s="27">
        <v>1.0</v>
      </c>
      <c r="AA17" s="27">
        <v>1.0</v>
      </c>
      <c r="AB17" s="27">
        <v>1.0</v>
      </c>
      <c r="AC17" s="27">
        <v>1.0</v>
      </c>
      <c r="AD17" s="27">
        <v>1.0</v>
      </c>
      <c r="AE17" s="27">
        <v>1.0</v>
      </c>
      <c r="AF17" s="27">
        <v>1.0</v>
      </c>
      <c r="AG17" s="27">
        <v>1.0</v>
      </c>
      <c r="AH17" s="27">
        <v>1.0</v>
      </c>
      <c r="AI17" s="27">
        <v>1.0</v>
      </c>
      <c r="AJ17" s="13">
        <f t="shared" si="2"/>
        <v>31</v>
      </c>
      <c r="AK17" s="14">
        <f t="shared" ref="AK17:AK18" si="7">550*AJ17</f>
        <v>17050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27">
        <v>1.0</v>
      </c>
      <c r="F18" s="27">
        <v>1.0</v>
      </c>
      <c r="G18" s="27">
        <v>1.0</v>
      </c>
      <c r="H18" s="27">
        <v>1.0</v>
      </c>
      <c r="I18" s="27">
        <v>1.0</v>
      </c>
      <c r="J18" s="27">
        <v>1.0</v>
      </c>
      <c r="K18" s="27">
        <v>1.0</v>
      </c>
      <c r="L18" s="27">
        <v>1.0</v>
      </c>
      <c r="M18" s="27">
        <v>1.0</v>
      </c>
      <c r="N18" s="27">
        <v>1.0</v>
      </c>
      <c r="O18" s="27">
        <v>1.0</v>
      </c>
      <c r="P18" s="27">
        <v>1.0</v>
      </c>
      <c r="Q18" s="27">
        <v>1.0</v>
      </c>
      <c r="R18" s="27">
        <v>1.0</v>
      </c>
      <c r="S18" s="27">
        <v>1.0</v>
      </c>
      <c r="T18" s="27">
        <v>1.0</v>
      </c>
      <c r="U18" s="27">
        <v>1.0</v>
      </c>
      <c r="V18" s="27">
        <v>1.0</v>
      </c>
      <c r="W18" s="27">
        <v>1.0</v>
      </c>
      <c r="X18" s="27">
        <v>1.0</v>
      </c>
      <c r="Y18" s="27">
        <v>1.0</v>
      </c>
      <c r="Z18" s="27">
        <v>1.0</v>
      </c>
      <c r="AA18" s="27">
        <v>1.0</v>
      </c>
      <c r="AB18" s="27">
        <v>1.0</v>
      </c>
      <c r="AC18" s="27">
        <v>1.0</v>
      </c>
      <c r="AD18" s="27">
        <v>1.0</v>
      </c>
      <c r="AE18" s="27">
        <v>1.0</v>
      </c>
      <c r="AF18" s="27">
        <v>1.0</v>
      </c>
      <c r="AG18" s="27">
        <v>1.0</v>
      </c>
      <c r="AH18" s="27">
        <v>1.0</v>
      </c>
      <c r="AI18" s="27">
        <v>1.0</v>
      </c>
      <c r="AJ18" s="13">
        <f t="shared" si="2"/>
        <v>31</v>
      </c>
      <c r="AK18" s="14">
        <f t="shared" si="7"/>
        <v>17050</v>
      </c>
      <c r="AL18" s="18">
        <f>SUM(AK16:AK18)</f>
        <v>44330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>
        <v>813.0</v>
      </c>
      <c r="B19" s="19" t="s">
        <v>24</v>
      </c>
      <c r="C19" s="19" t="s">
        <v>25</v>
      </c>
      <c r="D19" s="20" t="s">
        <v>7</v>
      </c>
      <c r="E19" s="20">
        <v>1.0</v>
      </c>
      <c r="F19" s="20">
        <v>1.0</v>
      </c>
      <c r="G19" s="20">
        <v>1.0</v>
      </c>
      <c r="H19" s="20">
        <v>1.0</v>
      </c>
      <c r="I19" s="20">
        <v>1.0</v>
      </c>
      <c r="J19" s="20">
        <v>1.0</v>
      </c>
      <c r="K19" s="20">
        <v>1.0</v>
      </c>
      <c r="L19" s="20">
        <v>1.0</v>
      </c>
      <c r="M19" s="20">
        <v>1.0</v>
      </c>
      <c r="N19" s="20">
        <v>1.0</v>
      </c>
      <c r="O19" s="20">
        <v>1.0</v>
      </c>
      <c r="P19" s="20">
        <v>1.0</v>
      </c>
      <c r="Q19" s="20">
        <v>1.0</v>
      </c>
      <c r="R19" s="20">
        <v>1.0</v>
      </c>
      <c r="S19" s="20">
        <v>1.0</v>
      </c>
      <c r="T19" s="20">
        <v>1.0</v>
      </c>
      <c r="U19" s="20">
        <v>1.0</v>
      </c>
      <c r="V19" s="20">
        <v>1.0</v>
      </c>
      <c r="W19" s="20">
        <v>1.0</v>
      </c>
      <c r="X19" s="20">
        <v>1.0</v>
      </c>
      <c r="Y19" s="20">
        <v>1.0</v>
      </c>
      <c r="Z19" s="20">
        <v>1.0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22</v>
      </c>
      <c r="AK19" s="21">
        <f>330*AJ19</f>
        <v>7260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>
        <v>1.0</v>
      </c>
      <c r="F20" s="20">
        <v>1.0</v>
      </c>
      <c r="G20" s="20">
        <v>1.0</v>
      </c>
      <c r="H20" s="20">
        <v>1.0</v>
      </c>
      <c r="I20" s="20">
        <v>1.0</v>
      </c>
      <c r="J20" s="20">
        <v>1.0</v>
      </c>
      <c r="K20" s="20">
        <v>1.0</v>
      </c>
      <c r="L20" s="20">
        <v>1.0</v>
      </c>
      <c r="M20" s="20">
        <v>1.0</v>
      </c>
      <c r="N20" s="20">
        <v>1.0</v>
      </c>
      <c r="O20" s="20">
        <v>1.0</v>
      </c>
      <c r="P20" s="20">
        <v>1.0</v>
      </c>
      <c r="Q20" s="20">
        <v>1.0</v>
      </c>
      <c r="R20" s="20">
        <v>1.0</v>
      </c>
      <c r="S20" s="20">
        <v>1.0</v>
      </c>
      <c r="T20" s="20">
        <v>1.0</v>
      </c>
      <c r="U20" s="20">
        <v>1.0</v>
      </c>
      <c r="V20" s="20">
        <v>1.0</v>
      </c>
      <c r="W20" s="20">
        <v>1.0</v>
      </c>
      <c r="X20" s="20">
        <v>1.0</v>
      </c>
      <c r="Y20" s="20">
        <v>1.0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21</v>
      </c>
      <c r="AK20" s="21">
        <f t="shared" ref="AK20:AK21" si="8">550*AJ20</f>
        <v>11550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>
        <v>1.0</v>
      </c>
      <c r="F21" s="20">
        <v>1.0</v>
      </c>
      <c r="G21" s="20">
        <v>1.0</v>
      </c>
      <c r="H21" s="20">
        <v>1.0</v>
      </c>
      <c r="I21" s="20">
        <v>1.0</v>
      </c>
      <c r="J21" s="20">
        <v>1.0</v>
      </c>
      <c r="K21" s="20">
        <v>1.0</v>
      </c>
      <c r="L21" s="20">
        <v>1.0</v>
      </c>
      <c r="M21" s="20">
        <v>1.0</v>
      </c>
      <c r="N21" s="20">
        <v>1.0</v>
      </c>
      <c r="O21" s="20">
        <v>1.0</v>
      </c>
      <c r="P21" s="20">
        <v>1.0</v>
      </c>
      <c r="Q21" s="20">
        <v>1.0</v>
      </c>
      <c r="R21" s="20">
        <v>1.0</v>
      </c>
      <c r="S21" s="20">
        <v>1.0</v>
      </c>
      <c r="T21" s="20">
        <v>1.0</v>
      </c>
      <c r="U21" s="20">
        <v>1.0</v>
      </c>
      <c r="V21" s="20">
        <v>1.0</v>
      </c>
      <c r="W21" s="20">
        <v>1.0</v>
      </c>
      <c r="X21" s="20">
        <v>1.0</v>
      </c>
      <c r="Y21" s="20">
        <v>1.0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21</v>
      </c>
      <c r="AK21" s="21">
        <f t="shared" si="8"/>
        <v>11550</v>
      </c>
      <c r="AL21" s="23">
        <f>SUM(AK19:AK21)</f>
        <v>30360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703.0</v>
      </c>
      <c r="B22" s="12" t="s">
        <v>16</v>
      </c>
      <c r="C22" s="26" t="s">
        <v>17</v>
      </c>
      <c r="D22" s="13" t="s">
        <v>7</v>
      </c>
      <c r="E22" s="27">
        <v>1.0</v>
      </c>
      <c r="F22" s="27">
        <v>1.0</v>
      </c>
      <c r="G22" s="27">
        <v>1.0</v>
      </c>
      <c r="H22" s="27">
        <v>1.0</v>
      </c>
      <c r="I22" s="27">
        <v>1.0</v>
      </c>
      <c r="J22" s="27">
        <v>1.0</v>
      </c>
      <c r="K22" s="27">
        <v>1.0</v>
      </c>
      <c r="L22" s="27">
        <v>1.0</v>
      </c>
      <c r="M22" s="27">
        <v>1.0</v>
      </c>
      <c r="N22" s="27">
        <v>1.0</v>
      </c>
      <c r="O22" s="27">
        <v>1.0</v>
      </c>
      <c r="P22" s="27">
        <v>1.0</v>
      </c>
      <c r="Q22" s="27">
        <v>1.0</v>
      </c>
      <c r="R22" s="27">
        <v>1.0</v>
      </c>
      <c r="S22" s="27">
        <v>1.0</v>
      </c>
      <c r="T22" s="27">
        <v>1.0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13">
        <f t="shared" si="2"/>
        <v>16</v>
      </c>
      <c r="AK22" s="14">
        <f>330*AJ22</f>
        <v>5280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3" t="s">
        <v>8</v>
      </c>
      <c r="E23" s="27">
        <v>1.0</v>
      </c>
      <c r="F23" s="27">
        <v>1.0</v>
      </c>
      <c r="G23" s="27">
        <v>1.0</v>
      </c>
      <c r="H23" s="27">
        <v>1.0</v>
      </c>
      <c r="I23" s="27">
        <v>1.0</v>
      </c>
      <c r="J23" s="27">
        <v>1.0</v>
      </c>
      <c r="K23" s="27">
        <v>1.0</v>
      </c>
      <c r="L23" s="27">
        <v>1.0</v>
      </c>
      <c r="M23" s="27">
        <v>1.0</v>
      </c>
      <c r="N23" s="27">
        <v>1.0</v>
      </c>
      <c r="O23" s="27">
        <v>1.0</v>
      </c>
      <c r="P23" s="27">
        <v>1.0</v>
      </c>
      <c r="Q23" s="27">
        <v>1.0</v>
      </c>
      <c r="R23" s="27">
        <v>1.0</v>
      </c>
      <c r="S23" s="27">
        <v>1.0</v>
      </c>
      <c r="T23" s="27">
        <v>1.0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13"/>
      <c r="AI23" s="13"/>
      <c r="AJ23" s="13">
        <f t="shared" si="2"/>
        <v>16</v>
      </c>
      <c r="AK23" s="14">
        <f t="shared" ref="AK23:AK24" si="9">550*AJ23</f>
        <v>8800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3" t="s">
        <v>10</v>
      </c>
      <c r="E24" s="27">
        <v>1.0</v>
      </c>
      <c r="F24" s="27">
        <v>1.0</v>
      </c>
      <c r="G24" s="27">
        <v>1.0</v>
      </c>
      <c r="H24" s="27">
        <v>1.0</v>
      </c>
      <c r="I24" s="27">
        <v>1.0</v>
      </c>
      <c r="J24" s="27">
        <v>1.0</v>
      </c>
      <c r="K24" s="27">
        <v>1.0</v>
      </c>
      <c r="L24" s="27">
        <v>1.0</v>
      </c>
      <c r="M24" s="27">
        <v>1.0</v>
      </c>
      <c r="N24" s="27">
        <v>1.0</v>
      </c>
      <c r="O24" s="27">
        <v>1.0</v>
      </c>
      <c r="P24" s="27">
        <v>1.0</v>
      </c>
      <c r="Q24" s="27">
        <v>1.0</v>
      </c>
      <c r="R24" s="27">
        <v>1.0</v>
      </c>
      <c r="S24" s="27">
        <v>1.0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13"/>
      <c r="AI24" s="13"/>
      <c r="AJ24" s="13">
        <f t="shared" si="2"/>
        <v>15</v>
      </c>
      <c r="AK24" s="14">
        <f t="shared" si="9"/>
        <v>8250</v>
      </c>
      <c r="AL24" s="18">
        <f>SUM(AK22:AK24)</f>
        <v>22330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>
        <v>608.0</v>
      </c>
      <c r="B25" s="19" t="s">
        <v>18</v>
      </c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/>
      <c r="B28" s="12"/>
      <c r="C28" s="12"/>
      <c r="D28" s="13" t="s">
        <v>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2"/>
        <v>0</v>
      </c>
      <c r="AK28" s="14">
        <f>330*AJ28</f>
        <v>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18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9.0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45901</v>
      </c>
      <c r="F2" s="7">
        <f>DATE($A$1,$B$1,2)</f>
        <v>45902</v>
      </c>
      <c r="G2" s="7">
        <f>DATE($A$1,$B$1,3)</f>
        <v>45903</v>
      </c>
      <c r="H2" s="7">
        <f>DATE($A$1,$B$1,4)</f>
        <v>45904</v>
      </c>
      <c r="I2" s="7">
        <f>DATE($A$1,$B$1,5)</f>
        <v>45905</v>
      </c>
      <c r="J2" s="7">
        <f>DATE($A$1,$B$1,6)</f>
        <v>45906</v>
      </c>
      <c r="K2" s="7">
        <f>DATE($A$1,$B$1,7)</f>
        <v>45907</v>
      </c>
      <c r="L2" s="7">
        <f>DATE($A$1,$B$1,8)</f>
        <v>45908</v>
      </c>
      <c r="M2" s="7">
        <f>DATE($A$1,$B$1,9)</f>
        <v>45909</v>
      </c>
      <c r="N2" s="7">
        <f>DATE($A$1,$B$1,10)</f>
        <v>45910</v>
      </c>
      <c r="O2" s="7">
        <f>DATE($A$1,$B$1,11)</f>
        <v>45911</v>
      </c>
      <c r="P2" s="7">
        <f>DATE($A$1,$B$1,12)</f>
        <v>45912</v>
      </c>
      <c r="Q2" s="7">
        <f>DATE($A$1,$B$1,13)</f>
        <v>45913</v>
      </c>
      <c r="R2" s="7">
        <f>DATE($A$1,$B$1,14)</f>
        <v>45914</v>
      </c>
      <c r="S2" s="7">
        <f>DATE($A$1,$B$1,15)</f>
        <v>45915</v>
      </c>
      <c r="T2" s="7">
        <f>DATE($A$1,$B$1,16)</f>
        <v>45916</v>
      </c>
      <c r="U2" s="7">
        <f>DATE($A$1,$B$1,17)</f>
        <v>45917</v>
      </c>
      <c r="V2" s="7">
        <f>DATE($A$1,$B$1,18)</f>
        <v>45918</v>
      </c>
      <c r="W2" s="7">
        <f>DATE($A$1,$B$1,19)</f>
        <v>45919</v>
      </c>
      <c r="X2" s="7">
        <f>DATE($A$1,$B$1,20)</f>
        <v>45920</v>
      </c>
      <c r="Y2" s="7">
        <f>DATE($A$1,$B$1,21)</f>
        <v>45921</v>
      </c>
      <c r="Z2" s="7">
        <f>DATE($A$1,$B$1,22)</f>
        <v>45922</v>
      </c>
      <c r="AA2" s="7">
        <f>DATE($A$1,$B$1,23)</f>
        <v>45923</v>
      </c>
      <c r="AB2" s="7">
        <f>DATE($A$1,$B$1,24)</f>
        <v>45924</v>
      </c>
      <c r="AC2" s="7">
        <f>DATE($A$1,$B$1,25)</f>
        <v>45925</v>
      </c>
      <c r="AD2" s="7">
        <f>DATE($A$1,$B$1,26)</f>
        <v>45926</v>
      </c>
      <c r="AE2" s="7">
        <f>DATE($A$1,$B$1,27)</f>
        <v>45927</v>
      </c>
      <c r="AF2" s="7">
        <f>DATE($A$1,$B$1,28)</f>
        <v>45928</v>
      </c>
      <c r="AG2" s="7">
        <f>DATE($A$1,$B$1,29)</f>
        <v>45929</v>
      </c>
      <c r="AH2" s="7">
        <f>DATE($A$1,$B$1,30)</f>
        <v>45930</v>
      </c>
      <c r="AI2" s="7">
        <f>DATE($A$1,$B$1,31)</f>
        <v>45931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月</v>
      </c>
      <c r="F3" s="11" t="str">
        <f t="shared" si="1"/>
        <v>火</v>
      </c>
      <c r="G3" s="11" t="str">
        <f t="shared" si="1"/>
        <v>水</v>
      </c>
      <c r="H3" s="11" t="str">
        <f t="shared" si="1"/>
        <v>木</v>
      </c>
      <c r="I3" s="11" t="str">
        <f t="shared" si="1"/>
        <v>金</v>
      </c>
      <c r="J3" s="11" t="str">
        <f t="shared" si="1"/>
        <v>土</v>
      </c>
      <c r="K3" s="11" t="str">
        <f t="shared" si="1"/>
        <v>日</v>
      </c>
      <c r="L3" s="11" t="str">
        <f t="shared" si="1"/>
        <v>月</v>
      </c>
      <c r="M3" s="11" t="str">
        <f t="shared" si="1"/>
        <v>火</v>
      </c>
      <c r="N3" s="11" t="str">
        <f t="shared" si="1"/>
        <v>水</v>
      </c>
      <c r="O3" s="11" t="str">
        <f t="shared" si="1"/>
        <v>木</v>
      </c>
      <c r="P3" s="11" t="str">
        <f t="shared" si="1"/>
        <v>金</v>
      </c>
      <c r="Q3" s="11" t="str">
        <f t="shared" si="1"/>
        <v>土</v>
      </c>
      <c r="R3" s="11" t="str">
        <f t="shared" si="1"/>
        <v>日</v>
      </c>
      <c r="S3" s="11" t="str">
        <f t="shared" si="1"/>
        <v>月</v>
      </c>
      <c r="T3" s="11" t="str">
        <f t="shared" si="1"/>
        <v>火</v>
      </c>
      <c r="U3" s="11" t="str">
        <f t="shared" si="1"/>
        <v>水</v>
      </c>
      <c r="V3" s="11" t="str">
        <f t="shared" si="1"/>
        <v>木</v>
      </c>
      <c r="W3" s="11" t="str">
        <f t="shared" si="1"/>
        <v>金</v>
      </c>
      <c r="X3" s="11" t="str">
        <f t="shared" si="1"/>
        <v>土</v>
      </c>
      <c r="Y3" s="11" t="str">
        <f t="shared" si="1"/>
        <v>日</v>
      </c>
      <c r="Z3" s="11" t="str">
        <f t="shared" si="1"/>
        <v>月</v>
      </c>
      <c r="AA3" s="11" t="str">
        <f t="shared" si="1"/>
        <v>火</v>
      </c>
      <c r="AB3" s="11" t="str">
        <f t="shared" si="1"/>
        <v>水</v>
      </c>
      <c r="AC3" s="11" t="str">
        <f t="shared" si="1"/>
        <v>木</v>
      </c>
      <c r="AD3" s="11" t="str">
        <f t="shared" si="1"/>
        <v>金</v>
      </c>
      <c r="AE3" s="11" t="str">
        <f t="shared" si="1"/>
        <v>土</v>
      </c>
      <c r="AF3" s="11" t="str">
        <f t="shared" si="1"/>
        <v>日</v>
      </c>
      <c r="AG3" s="11" t="str">
        <f t="shared" si="1"/>
        <v>月</v>
      </c>
      <c r="AH3" s="11" t="str">
        <f t="shared" si="1"/>
        <v>火</v>
      </c>
      <c r="AI3" s="11" t="str">
        <f t="shared" si="1"/>
        <v>水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/>
      <c r="AJ4" s="13">
        <f t="shared" ref="AJ4:AJ33" si="2">SUM(E4:AI4)</f>
        <v>30</v>
      </c>
      <c r="AK4" s="14">
        <f>330*AJ4</f>
        <v>9900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>
        <v>0.0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0.0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0.0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0.0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0.0</v>
      </c>
      <c r="AH5" s="13">
        <v>1.0</v>
      </c>
      <c r="AI5" s="13"/>
      <c r="AJ5" s="13">
        <f t="shared" si="2"/>
        <v>25</v>
      </c>
      <c r="AK5" s="14">
        <f t="shared" ref="AK5:AK6" si="3">550*AJ5</f>
        <v>13750</v>
      </c>
      <c r="AL5" s="17"/>
      <c r="AM5" s="4" t="s">
        <v>9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/>
      <c r="AJ6" s="13">
        <f t="shared" si="2"/>
        <v>30</v>
      </c>
      <c r="AK6" s="14">
        <f t="shared" si="3"/>
        <v>16500</v>
      </c>
      <c r="AL6" s="18">
        <f>SUM(AK4:AK6)</f>
        <v>40150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 t="s">
        <v>26</v>
      </c>
      <c r="C7" s="19" t="s">
        <v>13</v>
      </c>
      <c r="D7" s="20" t="s">
        <v>7</v>
      </c>
      <c r="E7" s="20">
        <v>1.0</v>
      </c>
      <c r="F7" s="20">
        <v>1.0</v>
      </c>
      <c r="G7" s="20">
        <v>1.0</v>
      </c>
      <c r="H7" s="20">
        <v>1.0</v>
      </c>
      <c r="I7" s="20">
        <v>1.0</v>
      </c>
      <c r="J7" s="20">
        <v>1.0</v>
      </c>
      <c r="K7" s="20">
        <v>1.0</v>
      </c>
      <c r="L7" s="20">
        <v>1.0</v>
      </c>
      <c r="M7" s="20">
        <v>1.0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>
        <f t="shared" si="2"/>
        <v>9</v>
      </c>
      <c r="AK7" s="21">
        <f>330*AJ7</f>
        <v>2970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>
        <v>1.0</v>
      </c>
      <c r="F8" s="20">
        <v>1.0</v>
      </c>
      <c r="G8" s="20">
        <v>0.0</v>
      </c>
      <c r="H8" s="20">
        <v>1.0</v>
      </c>
      <c r="I8" s="20">
        <v>1.0</v>
      </c>
      <c r="J8" s="20">
        <v>0.0</v>
      </c>
      <c r="K8" s="20">
        <v>1.0</v>
      </c>
      <c r="L8" s="20">
        <v>1.0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>
        <f t="shared" si="2"/>
        <v>6</v>
      </c>
      <c r="AK8" s="21">
        <f t="shared" ref="AK8:AK9" si="4">550*AJ8</f>
        <v>3300</v>
      </c>
      <c r="AL8" s="22"/>
      <c r="AM8" s="4" t="s">
        <v>11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>
        <v>1.0</v>
      </c>
      <c r="F9" s="20">
        <v>1.0</v>
      </c>
      <c r="G9" s="20">
        <v>1.0</v>
      </c>
      <c r="H9" s="20">
        <v>1.0</v>
      </c>
      <c r="I9" s="20">
        <v>1.0</v>
      </c>
      <c r="J9" s="20">
        <v>1.0</v>
      </c>
      <c r="K9" s="20">
        <v>1.0</v>
      </c>
      <c r="L9" s="20">
        <v>1.0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>
        <f t="shared" si="2"/>
        <v>8</v>
      </c>
      <c r="AK9" s="21">
        <f t="shared" si="4"/>
        <v>4400</v>
      </c>
      <c r="AL9" s="23">
        <f>SUM(AK7:AK9)</f>
        <v>10670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27">
        <v>1.0</v>
      </c>
      <c r="F10" s="27">
        <v>1.0</v>
      </c>
      <c r="G10" s="27">
        <v>1.0</v>
      </c>
      <c r="H10" s="27">
        <v>1.0</v>
      </c>
      <c r="I10" s="27">
        <v>1.0</v>
      </c>
      <c r="J10" s="27">
        <v>1.0</v>
      </c>
      <c r="K10" s="27">
        <v>1.0</v>
      </c>
      <c r="L10" s="27">
        <v>1.0</v>
      </c>
      <c r="M10" s="27">
        <v>1.0</v>
      </c>
      <c r="N10" s="27">
        <v>1.0</v>
      </c>
      <c r="O10" s="27">
        <v>1.0</v>
      </c>
      <c r="P10" s="27">
        <v>1.0</v>
      </c>
      <c r="Q10" s="27">
        <v>1.0</v>
      </c>
      <c r="R10" s="27">
        <v>1.0</v>
      </c>
      <c r="S10" s="27">
        <v>1.0</v>
      </c>
      <c r="T10" s="27">
        <v>1.0</v>
      </c>
      <c r="U10" s="27">
        <v>1.0</v>
      </c>
      <c r="V10" s="27">
        <v>1.0</v>
      </c>
      <c r="W10" s="27">
        <v>1.0</v>
      </c>
      <c r="X10" s="27">
        <v>1.0</v>
      </c>
      <c r="Y10" s="27">
        <v>1.0</v>
      </c>
      <c r="Z10" s="27">
        <v>1.0</v>
      </c>
      <c r="AA10" s="27">
        <v>1.0</v>
      </c>
      <c r="AB10" s="27">
        <v>1.0</v>
      </c>
      <c r="AC10" s="27">
        <v>1.0</v>
      </c>
      <c r="AD10" s="27">
        <v>1.0</v>
      </c>
      <c r="AE10" s="27">
        <v>1.0</v>
      </c>
      <c r="AF10" s="27">
        <v>1.0</v>
      </c>
      <c r="AG10" s="27">
        <v>1.0</v>
      </c>
      <c r="AH10" s="27">
        <v>1.0</v>
      </c>
      <c r="AI10" s="27"/>
      <c r="AJ10" s="13">
        <f t="shared" si="2"/>
        <v>30</v>
      </c>
      <c r="AK10" s="14">
        <f>330*AJ10</f>
        <v>9900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/>
      <c r="AJ11" s="13">
        <f t="shared" si="2"/>
        <v>30</v>
      </c>
      <c r="AK11" s="14">
        <f t="shared" ref="AK11:AK12" si="5">550*AJ11</f>
        <v>16500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>
        <v>1.0</v>
      </c>
      <c r="T12" s="13">
        <v>1.0</v>
      </c>
      <c r="U12" s="13">
        <v>1.0</v>
      </c>
      <c r="V12" s="13">
        <v>1.0</v>
      </c>
      <c r="W12" s="13">
        <v>1.0</v>
      </c>
      <c r="X12" s="13">
        <v>1.0</v>
      </c>
      <c r="Y12" s="13">
        <v>1.0</v>
      </c>
      <c r="Z12" s="13">
        <v>1.0</v>
      </c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/>
      <c r="AJ12" s="13">
        <f t="shared" si="2"/>
        <v>30</v>
      </c>
      <c r="AK12" s="14">
        <f t="shared" si="5"/>
        <v>16500</v>
      </c>
      <c r="AL12" s="18">
        <f>SUM(AK10:AK12)</f>
        <v>42900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0.0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  <c r="AH13" s="20">
        <v>0.0</v>
      </c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>
        <v>1.0</v>
      </c>
      <c r="F14" s="20">
        <v>1.0</v>
      </c>
      <c r="G14" s="20">
        <v>1.0</v>
      </c>
      <c r="H14" s="20">
        <v>1.0</v>
      </c>
      <c r="I14" s="20">
        <v>1.0</v>
      </c>
      <c r="J14" s="20">
        <v>1.0</v>
      </c>
      <c r="K14" s="20">
        <v>1.0</v>
      </c>
      <c r="L14" s="20">
        <v>1.0</v>
      </c>
      <c r="M14" s="20">
        <v>1.0</v>
      </c>
      <c r="N14" s="20">
        <v>1.0</v>
      </c>
      <c r="O14" s="20">
        <v>1.0</v>
      </c>
      <c r="P14" s="20">
        <v>1.0</v>
      </c>
      <c r="Q14" s="20">
        <v>1.0</v>
      </c>
      <c r="R14" s="20">
        <v>1.0</v>
      </c>
      <c r="S14" s="20">
        <v>1.0</v>
      </c>
      <c r="T14" s="20">
        <v>1.0</v>
      </c>
      <c r="U14" s="20">
        <v>1.0</v>
      </c>
      <c r="V14" s="20">
        <v>1.0</v>
      </c>
      <c r="W14" s="20">
        <v>1.0</v>
      </c>
      <c r="X14" s="20">
        <v>1.0</v>
      </c>
      <c r="Y14" s="20">
        <v>1.0</v>
      </c>
      <c r="Z14" s="20">
        <v>1.0</v>
      </c>
      <c r="AA14" s="20">
        <v>1.0</v>
      </c>
      <c r="AB14" s="20">
        <v>1.0</v>
      </c>
      <c r="AC14" s="20">
        <v>1.0</v>
      </c>
      <c r="AD14" s="20">
        <v>1.0</v>
      </c>
      <c r="AE14" s="20">
        <v>0.0</v>
      </c>
      <c r="AF14" s="20">
        <v>0.0</v>
      </c>
      <c r="AG14" s="20">
        <v>1.0</v>
      </c>
      <c r="AH14" s="20">
        <v>1.0</v>
      </c>
      <c r="AI14" s="20"/>
      <c r="AJ14" s="20">
        <f t="shared" si="2"/>
        <v>28</v>
      </c>
      <c r="AK14" s="21">
        <f t="shared" ref="AK14:AK15" si="6">550*AJ14</f>
        <v>15400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0">
        <v>1.0</v>
      </c>
      <c r="K15" s="20">
        <v>1.0</v>
      </c>
      <c r="L15" s="20">
        <v>1.0</v>
      </c>
      <c r="M15" s="20">
        <v>1.0</v>
      </c>
      <c r="N15" s="20">
        <v>1.0</v>
      </c>
      <c r="O15" s="20">
        <v>1.0</v>
      </c>
      <c r="P15" s="20">
        <v>1.0</v>
      </c>
      <c r="Q15" s="20">
        <v>1.0</v>
      </c>
      <c r="R15" s="20">
        <v>1.0</v>
      </c>
      <c r="S15" s="20">
        <v>1.0</v>
      </c>
      <c r="T15" s="20">
        <v>1.0</v>
      </c>
      <c r="U15" s="20">
        <v>1.0</v>
      </c>
      <c r="V15" s="20">
        <v>1.0</v>
      </c>
      <c r="W15" s="20">
        <v>1.0</v>
      </c>
      <c r="X15" s="20">
        <v>1.0</v>
      </c>
      <c r="Y15" s="20">
        <v>1.0</v>
      </c>
      <c r="Z15" s="20">
        <v>1.0</v>
      </c>
      <c r="AA15" s="20">
        <v>1.0</v>
      </c>
      <c r="AB15" s="20">
        <v>1.0</v>
      </c>
      <c r="AC15" s="20">
        <v>1.0</v>
      </c>
      <c r="AD15" s="20">
        <v>1.0</v>
      </c>
      <c r="AE15" s="20">
        <v>0.0</v>
      </c>
      <c r="AF15" s="20">
        <v>0.0</v>
      </c>
      <c r="AG15" s="20">
        <v>1.0</v>
      </c>
      <c r="AH15" s="20">
        <v>1.0</v>
      </c>
      <c r="AI15" s="20"/>
      <c r="AJ15" s="20">
        <f t="shared" si="2"/>
        <v>28</v>
      </c>
      <c r="AK15" s="21">
        <f t="shared" si="6"/>
        <v>15400</v>
      </c>
      <c r="AL15" s="23">
        <f>SUM(AK13:AK15)</f>
        <v>30800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>
        <v>801.0</v>
      </c>
      <c r="B16" s="12" t="s">
        <v>22</v>
      </c>
      <c r="C16" s="12" t="s">
        <v>23</v>
      </c>
      <c r="D16" s="13" t="s">
        <v>7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>
        <v>1.0</v>
      </c>
      <c r="R16" s="27">
        <v>1.0</v>
      </c>
      <c r="S16" s="27">
        <v>1.0</v>
      </c>
      <c r="T16" s="27">
        <v>1.0</v>
      </c>
      <c r="U16" s="27">
        <v>1.0</v>
      </c>
      <c r="V16" s="27">
        <v>1.0</v>
      </c>
      <c r="W16" s="27">
        <v>1.0</v>
      </c>
      <c r="X16" s="27">
        <v>1.0</v>
      </c>
      <c r="Y16" s="27">
        <v>1.0</v>
      </c>
      <c r="Z16" s="27">
        <v>1.0</v>
      </c>
      <c r="AA16" s="27">
        <v>1.0</v>
      </c>
      <c r="AB16" s="27">
        <v>1.0</v>
      </c>
      <c r="AC16" s="27">
        <v>1.0</v>
      </c>
      <c r="AD16" s="27">
        <v>1.0</v>
      </c>
      <c r="AE16" s="27">
        <v>1.0</v>
      </c>
      <c r="AF16" s="27">
        <v>1.0</v>
      </c>
      <c r="AG16" s="27">
        <v>1.0</v>
      </c>
      <c r="AH16" s="27">
        <v>1.0</v>
      </c>
      <c r="AI16" s="27"/>
      <c r="AJ16" s="13">
        <f t="shared" si="2"/>
        <v>18</v>
      </c>
      <c r="AK16" s="14">
        <f>330*AJ16</f>
        <v>5940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>
        <v>1.0</v>
      </c>
      <c r="Q17" s="27">
        <v>1.0</v>
      </c>
      <c r="R17" s="27">
        <v>1.0</v>
      </c>
      <c r="S17" s="27">
        <v>1.0</v>
      </c>
      <c r="T17" s="27">
        <v>1.0</v>
      </c>
      <c r="U17" s="27">
        <v>1.0</v>
      </c>
      <c r="V17" s="27">
        <v>1.0</v>
      </c>
      <c r="W17" s="27">
        <v>1.0</v>
      </c>
      <c r="X17" s="27">
        <v>1.0</v>
      </c>
      <c r="Y17" s="27">
        <v>1.0</v>
      </c>
      <c r="Z17" s="27">
        <v>1.0</v>
      </c>
      <c r="AA17" s="27">
        <v>1.0</v>
      </c>
      <c r="AB17" s="27">
        <v>1.0</v>
      </c>
      <c r="AC17" s="27">
        <v>1.0</v>
      </c>
      <c r="AD17" s="27">
        <v>1.0</v>
      </c>
      <c r="AE17" s="27">
        <v>1.0</v>
      </c>
      <c r="AF17" s="27">
        <v>1.0</v>
      </c>
      <c r="AG17" s="27">
        <v>1.0</v>
      </c>
      <c r="AH17" s="27">
        <v>1.0</v>
      </c>
      <c r="AI17" s="27"/>
      <c r="AJ17" s="13">
        <f t="shared" si="2"/>
        <v>19</v>
      </c>
      <c r="AK17" s="14">
        <f t="shared" ref="AK17:AK18" si="7">550*AJ17</f>
        <v>10450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1.0</v>
      </c>
      <c r="Q18" s="27">
        <v>1.0</v>
      </c>
      <c r="R18" s="27">
        <v>1.0</v>
      </c>
      <c r="S18" s="27">
        <v>1.0</v>
      </c>
      <c r="T18" s="27">
        <v>1.0</v>
      </c>
      <c r="U18" s="27">
        <v>1.0</v>
      </c>
      <c r="V18" s="27">
        <v>1.0</v>
      </c>
      <c r="W18" s="27">
        <v>1.0</v>
      </c>
      <c r="X18" s="27">
        <v>1.0</v>
      </c>
      <c r="Y18" s="27">
        <v>1.0</v>
      </c>
      <c r="Z18" s="27">
        <v>1.0</v>
      </c>
      <c r="AA18" s="27">
        <v>1.0</v>
      </c>
      <c r="AB18" s="27">
        <v>1.0</v>
      </c>
      <c r="AC18" s="27">
        <v>1.0</v>
      </c>
      <c r="AD18" s="27">
        <v>1.0</v>
      </c>
      <c r="AE18" s="27">
        <v>1.0</v>
      </c>
      <c r="AF18" s="27">
        <v>1.0</v>
      </c>
      <c r="AG18" s="27">
        <v>1.0</v>
      </c>
      <c r="AH18" s="27">
        <v>1.0</v>
      </c>
      <c r="AI18" s="27"/>
      <c r="AJ18" s="13">
        <f t="shared" si="2"/>
        <v>19</v>
      </c>
      <c r="AK18" s="14">
        <f t="shared" si="7"/>
        <v>10450</v>
      </c>
      <c r="AL18" s="18">
        <f>SUM(AK16:AK18)</f>
        <v>26840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>
        <v>813.0</v>
      </c>
      <c r="B19" s="19" t="s">
        <v>24</v>
      </c>
      <c r="C19" s="19" t="s">
        <v>25</v>
      </c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>
        <v>1.0</v>
      </c>
      <c r="AI20" s="20"/>
      <c r="AJ20" s="20">
        <f t="shared" si="2"/>
        <v>1</v>
      </c>
      <c r="AK20" s="21">
        <f t="shared" ref="AK20:AK21" si="8">550*AJ20</f>
        <v>550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>
        <v>1.0</v>
      </c>
      <c r="AI21" s="20"/>
      <c r="AJ21" s="20">
        <f t="shared" si="2"/>
        <v>1</v>
      </c>
      <c r="AK21" s="21">
        <f t="shared" si="8"/>
        <v>550</v>
      </c>
      <c r="AL21" s="23">
        <f>SUM(AK19:AK21)</f>
        <v>1100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703.0</v>
      </c>
      <c r="B22" s="12" t="s">
        <v>16</v>
      </c>
      <c r="C22" s="26" t="s">
        <v>17</v>
      </c>
      <c r="D22" s="13" t="s">
        <v>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13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3" t="s">
        <v>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13">
        <v>1.0</v>
      </c>
      <c r="AI23" s="13"/>
      <c r="AJ23" s="13">
        <f t="shared" si="2"/>
        <v>1</v>
      </c>
      <c r="AK23" s="14">
        <f t="shared" ref="AK23:AK24" si="9">550*AJ23</f>
        <v>550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3" t="s">
        <v>10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13">
        <v>1.0</v>
      </c>
      <c r="AI24" s="13"/>
      <c r="AJ24" s="13">
        <f t="shared" si="2"/>
        <v>1</v>
      </c>
      <c r="AK24" s="14">
        <f t="shared" si="9"/>
        <v>550</v>
      </c>
      <c r="AL24" s="18">
        <f>SUM(AK22:AK24)</f>
        <v>1100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/>
      <c r="B25" s="19"/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/>
      <c r="B28" s="12"/>
      <c r="C28" s="12"/>
      <c r="D28" s="13" t="s">
        <v>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2"/>
        <v>0</v>
      </c>
      <c r="AK28" s="14">
        <f>330*AJ28</f>
        <v>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18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8.0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45870</v>
      </c>
      <c r="F2" s="7">
        <f>DATE($A$1,$B$1,2)</f>
        <v>45871</v>
      </c>
      <c r="G2" s="7">
        <f>DATE($A$1,$B$1,3)</f>
        <v>45872</v>
      </c>
      <c r="H2" s="7">
        <f>DATE($A$1,$B$1,4)</f>
        <v>45873</v>
      </c>
      <c r="I2" s="7">
        <f>DATE($A$1,$B$1,5)</f>
        <v>45874</v>
      </c>
      <c r="J2" s="7">
        <f>DATE($A$1,$B$1,6)</f>
        <v>45875</v>
      </c>
      <c r="K2" s="7">
        <f>DATE($A$1,$B$1,7)</f>
        <v>45876</v>
      </c>
      <c r="L2" s="7">
        <f>DATE($A$1,$B$1,8)</f>
        <v>45877</v>
      </c>
      <c r="M2" s="7">
        <f>DATE($A$1,$B$1,9)</f>
        <v>45878</v>
      </c>
      <c r="N2" s="7">
        <f>DATE($A$1,$B$1,10)</f>
        <v>45879</v>
      </c>
      <c r="O2" s="7">
        <f>DATE($A$1,$B$1,11)</f>
        <v>45880</v>
      </c>
      <c r="P2" s="7">
        <f>DATE($A$1,$B$1,12)</f>
        <v>45881</v>
      </c>
      <c r="Q2" s="7">
        <f>DATE($A$1,$B$1,13)</f>
        <v>45882</v>
      </c>
      <c r="R2" s="7">
        <f>DATE($A$1,$B$1,14)</f>
        <v>45883</v>
      </c>
      <c r="S2" s="7">
        <f>DATE($A$1,$B$1,15)</f>
        <v>45884</v>
      </c>
      <c r="T2" s="7">
        <f>DATE($A$1,$B$1,16)</f>
        <v>45885</v>
      </c>
      <c r="U2" s="7">
        <f>DATE($A$1,$B$1,17)</f>
        <v>45886</v>
      </c>
      <c r="V2" s="7">
        <f>DATE($A$1,$B$1,18)</f>
        <v>45887</v>
      </c>
      <c r="W2" s="7">
        <f>DATE($A$1,$B$1,19)</f>
        <v>45888</v>
      </c>
      <c r="X2" s="7">
        <f>DATE($A$1,$B$1,20)</f>
        <v>45889</v>
      </c>
      <c r="Y2" s="7">
        <f>DATE($A$1,$B$1,21)</f>
        <v>45890</v>
      </c>
      <c r="Z2" s="7">
        <f>DATE($A$1,$B$1,22)</f>
        <v>45891</v>
      </c>
      <c r="AA2" s="7">
        <f>DATE($A$1,$B$1,23)</f>
        <v>45892</v>
      </c>
      <c r="AB2" s="7">
        <f>DATE($A$1,$B$1,24)</f>
        <v>45893</v>
      </c>
      <c r="AC2" s="7">
        <f>DATE($A$1,$B$1,25)</f>
        <v>45894</v>
      </c>
      <c r="AD2" s="7">
        <f>DATE($A$1,$B$1,26)</f>
        <v>45895</v>
      </c>
      <c r="AE2" s="7">
        <f>DATE($A$1,$B$1,27)</f>
        <v>45896</v>
      </c>
      <c r="AF2" s="7">
        <f>DATE($A$1,$B$1,28)</f>
        <v>45897</v>
      </c>
      <c r="AG2" s="7">
        <f>DATE($A$1,$B$1,29)</f>
        <v>45898</v>
      </c>
      <c r="AH2" s="7">
        <f>DATE($A$1,$B$1,30)</f>
        <v>45899</v>
      </c>
      <c r="AI2" s="7">
        <f>DATE($A$1,$B$1,31)</f>
        <v>45900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金</v>
      </c>
      <c r="F3" s="11" t="str">
        <f t="shared" si="1"/>
        <v>土</v>
      </c>
      <c r="G3" s="11" t="str">
        <f t="shared" si="1"/>
        <v>日</v>
      </c>
      <c r="H3" s="11" t="str">
        <f t="shared" si="1"/>
        <v>月</v>
      </c>
      <c r="I3" s="11" t="str">
        <f t="shared" si="1"/>
        <v>火</v>
      </c>
      <c r="J3" s="11" t="str">
        <f t="shared" si="1"/>
        <v>水</v>
      </c>
      <c r="K3" s="11" t="str">
        <f t="shared" si="1"/>
        <v>木</v>
      </c>
      <c r="L3" s="11" t="str">
        <f t="shared" si="1"/>
        <v>金</v>
      </c>
      <c r="M3" s="11" t="str">
        <f t="shared" si="1"/>
        <v>土</v>
      </c>
      <c r="N3" s="11" t="str">
        <f t="shared" si="1"/>
        <v>日</v>
      </c>
      <c r="O3" s="11" t="str">
        <f t="shared" si="1"/>
        <v>月</v>
      </c>
      <c r="P3" s="11" t="str">
        <f t="shared" si="1"/>
        <v>火</v>
      </c>
      <c r="Q3" s="11" t="str">
        <f t="shared" si="1"/>
        <v>水</v>
      </c>
      <c r="R3" s="11" t="str">
        <f t="shared" si="1"/>
        <v>木</v>
      </c>
      <c r="S3" s="11" t="str">
        <f t="shared" si="1"/>
        <v>金</v>
      </c>
      <c r="T3" s="11" t="str">
        <f t="shared" si="1"/>
        <v>土</v>
      </c>
      <c r="U3" s="11" t="str">
        <f t="shared" si="1"/>
        <v>日</v>
      </c>
      <c r="V3" s="11" t="str">
        <f t="shared" si="1"/>
        <v>月</v>
      </c>
      <c r="W3" s="11" t="str">
        <f t="shared" si="1"/>
        <v>火</v>
      </c>
      <c r="X3" s="11" t="str">
        <f t="shared" si="1"/>
        <v>水</v>
      </c>
      <c r="Y3" s="11" t="str">
        <f t="shared" si="1"/>
        <v>木</v>
      </c>
      <c r="Z3" s="11" t="str">
        <f t="shared" si="1"/>
        <v>金</v>
      </c>
      <c r="AA3" s="11" t="str">
        <f t="shared" si="1"/>
        <v>土</v>
      </c>
      <c r="AB3" s="11" t="str">
        <f t="shared" si="1"/>
        <v>日</v>
      </c>
      <c r="AC3" s="11" t="str">
        <f t="shared" si="1"/>
        <v>月</v>
      </c>
      <c r="AD3" s="11" t="str">
        <f t="shared" si="1"/>
        <v>火</v>
      </c>
      <c r="AE3" s="11" t="str">
        <f t="shared" si="1"/>
        <v>水</v>
      </c>
      <c r="AF3" s="11" t="str">
        <f t="shared" si="1"/>
        <v>木</v>
      </c>
      <c r="AG3" s="11" t="str">
        <f t="shared" si="1"/>
        <v>金</v>
      </c>
      <c r="AH3" s="11" t="str">
        <f t="shared" si="1"/>
        <v>土</v>
      </c>
      <c r="AI3" s="11" t="str">
        <f t="shared" si="1"/>
        <v>日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33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>
        <v>1.0</v>
      </c>
      <c r="F5" s="13">
        <v>1.0</v>
      </c>
      <c r="G5" s="13">
        <v>1.0</v>
      </c>
      <c r="H5" s="13">
        <v>0.0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0.0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0.0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0.0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1.0</v>
      </c>
      <c r="AJ5" s="13">
        <f t="shared" si="2"/>
        <v>27</v>
      </c>
      <c r="AK5" s="14">
        <f t="shared" ref="AK5:AK6" si="3">550*AJ5</f>
        <v>14850</v>
      </c>
      <c r="AL5" s="17"/>
      <c r="AM5" s="4" t="s">
        <v>9</v>
      </c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18">
        <f>SUM(AK4:AK6)</f>
        <v>42130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 t="s">
        <v>26</v>
      </c>
      <c r="C7" s="19" t="s">
        <v>13</v>
      </c>
      <c r="D7" s="20" t="s">
        <v>7</v>
      </c>
      <c r="E7" s="20">
        <v>1.0</v>
      </c>
      <c r="F7" s="20">
        <v>1.0</v>
      </c>
      <c r="G7" s="20">
        <v>1.0</v>
      </c>
      <c r="H7" s="20">
        <v>1.0</v>
      </c>
      <c r="I7" s="20">
        <v>1.0</v>
      </c>
      <c r="J7" s="20">
        <v>1.0</v>
      </c>
      <c r="K7" s="20">
        <v>1.0</v>
      </c>
      <c r="L7" s="20">
        <v>1.0</v>
      </c>
      <c r="M7" s="20">
        <v>1.0</v>
      </c>
      <c r="N7" s="20">
        <v>1.0</v>
      </c>
      <c r="O7" s="20">
        <v>1.0</v>
      </c>
      <c r="P7" s="20">
        <v>1.0</v>
      </c>
      <c r="Q7" s="20">
        <v>1.0</v>
      </c>
      <c r="R7" s="20">
        <v>1.0</v>
      </c>
      <c r="S7" s="20">
        <v>1.0</v>
      </c>
      <c r="T7" s="20">
        <v>1.0</v>
      </c>
      <c r="U7" s="20">
        <v>1.0</v>
      </c>
      <c r="V7" s="20">
        <v>1.0</v>
      </c>
      <c r="W7" s="20">
        <v>1.0</v>
      </c>
      <c r="X7" s="20">
        <v>1.0</v>
      </c>
      <c r="Y7" s="20">
        <v>1.0</v>
      </c>
      <c r="Z7" s="20">
        <v>1.0</v>
      </c>
      <c r="AA7" s="20">
        <v>1.0</v>
      </c>
      <c r="AB7" s="20">
        <v>1.0</v>
      </c>
      <c r="AC7" s="20">
        <v>1.0</v>
      </c>
      <c r="AD7" s="20">
        <v>1.0</v>
      </c>
      <c r="AE7" s="20">
        <v>1.0</v>
      </c>
      <c r="AF7" s="20">
        <v>1.0</v>
      </c>
      <c r="AG7" s="20">
        <v>1.0</v>
      </c>
      <c r="AH7" s="20">
        <v>1.0</v>
      </c>
      <c r="AI7" s="20">
        <v>1.0</v>
      </c>
      <c r="AJ7" s="20">
        <f t="shared" si="2"/>
        <v>31</v>
      </c>
      <c r="AK7" s="21">
        <f>330*AJ7</f>
        <v>10230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>
        <v>1.0</v>
      </c>
      <c r="F8" s="20">
        <v>1.0</v>
      </c>
      <c r="G8" s="20">
        <v>1.0</v>
      </c>
      <c r="H8" s="20">
        <v>1.0</v>
      </c>
      <c r="I8" s="20">
        <v>1.0</v>
      </c>
      <c r="J8" s="20">
        <v>1.0</v>
      </c>
      <c r="K8" s="20">
        <v>1.0</v>
      </c>
      <c r="L8" s="20">
        <v>1.0</v>
      </c>
      <c r="M8" s="20">
        <v>1.0</v>
      </c>
      <c r="N8" s="20">
        <v>1.0</v>
      </c>
      <c r="O8" s="20">
        <v>1.0</v>
      </c>
      <c r="P8" s="20">
        <v>1.0</v>
      </c>
      <c r="Q8" s="20">
        <v>0.0</v>
      </c>
      <c r="R8" s="20">
        <v>1.0</v>
      </c>
      <c r="S8" s="20">
        <v>1.0</v>
      </c>
      <c r="T8" s="20">
        <v>0.0</v>
      </c>
      <c r="U8" s="20">
        <v>1.0</v>
      </c>
      <c r="V8" s="20">
        <v>1.0</v>
      </c>
      <c r="W8" s="20">
        <v>1.0</v>
      </c>
      <c r="X8" s="20">
        <v>0.0</v>
      </c>
      <c r="Y8" s="20">
        <v>1.0</v>
      </c>
      <c r="Z8" s="20">
        <v>1.0</v>
      </c>
      <c r="AA8" s="20">
        <v>0.0</v>
      </c>
      <c r="AB8" s="20">
        <v>1.0</v>
      </c>
      <c r="AC8" s="20">
        <v>1.0</v>
      </c>
      <c r="AD8" s="20">
        <v>1.0</v>
      </c>
      <c r="AE8" s="20">
        <v>0.0</v>
      </c>
      <c r="AF8" s="20">
        <v>1.0</v>
      </c>
      <c r="AG8" s="20">
        <v>1.0</v>
      </c>
      <c r="AH8" s="20">
        <v>0.0</v>
      </c>
      <c r="AI8" s="20">
        <v>1.0</v>
      </c>
      <c r="AJ8" s="20">
        <f t="shared" si="2"/>
        <v>25</v>
      </c>
      <c r="AK8" s="21">
        <f t="shared" ref="AK8:AK9" si="4">550*AJ8</f>
        <v>13750</v>
      </c>
      <c r="AL8" s="22"/>
      <c r="AM8" s="4" t="s">
        <v>11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>
        <v>1.0</v>
      </c>
      <c r="F9" s="20">
        <v>1.0</v>
      </c>
      <c r="G9" s="20">
        <v>1.0</v>
      </c>
      <c r="H9" s="20">
        <v>1.0</v>
      </c>
      <c r="I9" s="20">
        <v>1.0</v>
      </c>
      <c r="J9" s="20">
        <v>1.0</v>
      </c>
      <c r="K9" s="20">
        <v>1.0</v>
      </c>
      <c r="L9" s="20">
        <v>1.0</v>
      </c>
      <c r="M9" s="20">
        <v>1.0</v>
      </c>
      <c r="N9" s="20">
        <v>1.0</v>
      </c>
      <c r="O9" s="20">
        <v>1.0</v>
      </c>
      <c r="P9" s="20">
        <v>1.0</v>
      </c>
      <c r="Q9" s="20">
        <v>1.0</v>
      </c>
      <c r="R9" s="20">
        <v>1.0</v>
      </c>
      <c r="S9" s="20">
        <v>1.0</v>
      </c>
      <c r="T9" s="20">
        <v>1.0</v>
      </c>
      <c r="U9" s="20">
        <v>1.0</v>
      </c>
      <c r="V9" s="20">
        <v>1.0</v>
      </c>
      <c r="W9" s="20">
        <v>1.0</v>
      </c>
      <c r="X9" s="20">
        <v>1.0</v>
      </c>
      <c r="Y9" s="20">
        <v>1.0</v>
      </c>
      <c r="Z9" s="20">
        <v>1.0</v>
      </c>
      <c r="AA9" s="20">
        <v>1.0</v>
      </c>
      <c r="AB9" s="20">
        <v>1.0</v>
      </c>
      <c r="AC9" s="20">
        <v>1.0</v>
      </c>
      <c r="AD9" s="20">
        <v>1.0</v>
      </c>
      <c r="AE9" s="20">
        <v>1.0</v>
      </c>
      <c r="AF9" s="20">
        <v>1.0</v>
      </c>
      <c r="AG9" s="20">
        <v>1.0</v>
      </c>
      <c r="AH9" s="20">
        <v>1.0</v>
      </c>
      <c r="AI9" s="20">
        <v>1.0</v>
      </c>
      <c r="AJ9" s="20">
        <f t="shared" si="2"/>
        <v>31</v>
      </c>
      <c r="AK9" s="21">
        <f t="shared" si="4"/>
        <v>17050</v>
      </c>
      <c r="AL9" s="23">
        <f>SUM(AK7:AK9)</f>
        <v>41030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27">
        <v>1.0</v>
      </c>
      <c r="F10" s="27">
        <v>1.0</v>
      </c>
      <c r="G10" s="27">
        <v>1.0</v>
      </c>
      <c r="H10" s="27">
        <v>1.0</v>
      </c>
      <c r="I10" s="27">
        <v>1.0</v>
      </c>
      <c r="J10" s="27">
        <v>1.0</v>
      </c>
      <c r="K10" s="27">
        <v>1.0</v>
      </c>
      <c r="L10" s="27">
        <v>1.0</v>
      </c>
      <c r="M10" s="27">
        <v>1.0</v>
      </c>
      <c r="N10" s="27">
        <v>1.0</v>
      </c>
      <c r="O10" s="27">
        <v>1.0</v>
      </c>
      <c r="P10" s="27">
        <v>1.0</v>
      </c>
      <c r="Q10" s="27">
        <v>1.0</v>
      </c>
      <c r="R10" s="27">
        <v>1.0</v>
      </c>
      <c r="S10" s="27">
        <v>1.0</v>
      </c>
      <c r="T10" s="27">
        <v>1.0</v>
      </c>
      <c r="U10" s="27">
        <v>1.0</v>
      </c>
      <c r="V10" s="27">
        <v>1.0</v>
      </c>
      <c r="W10" s="27">
        <v>1.0</v>
      </c>
      <c r="X10" s="27">
        <v>1.0</v>
      </c>
      <c r="Y10" s="27">
        <v>1.0</v>
      </c>
      <c r="Z10" s="27">
        <v>1.0</v>
      </c>
      <c r="AA10" s="27">
        <v>1.0</v>
      </c>
      <c r="AB10" s="27">
        <v>1.0</v>
      </c>
      <c r="AC10" s="27">
        <v>1.0</v>
      </c>
      <c r="AD10" s="27">
        <v>1.0</v>
      </c>
      <c r="AE10" s="27">
        <v>1.0</v>
      </c>
      <c r="AF10" s="27">
        <v>1.0</v>
      </c>
      <c r="AG10" s="27">
        <v>1.0</v>
      </c>
      <c r="AH10" s="27">
        <v>1.0</v>
      </c>
      <c r="AI10" s="27">
        <v>1.0</v>
      </c>
      <c r="AJ10" s="13">
        <f t="shared" si="2"/>
        <v>31</v>
      </c>
      <c r="AK10" s="14">
        <f>330*AJ10</f>
        <v>10230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2"/>
        <v>31</v>
      </c>
      <c r="AK11" s="14">
        <f t="shared" ref="AK11:AK12" si="5">550*AJ11</f>
        <v>17050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>
        <v>1.0</v>
      </c>
      <c r="T12" s="13">
        <v>1.0</v>
      </c>
      <c r="U12" s="13">
        <v>1.0</v>
      </c>
      <c r="V12" s="13">
        <v>1.0</v>
      </c>
      <c r="W12" s="13">
        <v>1.0</v>
      </c>
      <c r="X12" s="13">
        <v>1.0</v>
      </c>
      <c r="Y12" s="13">
        <v>1.0</v>
      </c>
      <c r="Z12" s="13">
        <v>1.0</v>
      </c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>
        <v>1.0</v>
      </c>
      <c r="AJ12" s="13">
        <f t="shared" si="2"/>
        <v>31</v>
      </c>
      <c r="AK12" s="14">
        <f t="shared" si="5"/>
        <v>17050</v>
      </c>
      <c r="AL12" s="18">
        <f>SUM(AK10:AK12)</f>
        <v>44330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>
        <v>1006.0</v>
      </c>
      <c r="B13" s="19" t="s">
        <v>14</v>
      </c>
      <c r="C13" s="19" t="s">
        <v>15</v>
      </c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>
        <v>1.0</v>
      </c>
      <c r="AG14" s="20">
        <v>1.0</v>
      </c>
      <c r="AH14" s="20">
        <v>1.0</v>
      </c>
      <c r="AI14" s="20">
        <v>1.0</v>
      </c>
      <c r="AJ14" s="20">
        <f t="shared" si="2"/>
        <v>4</v>
      </c>
      <c r="AK14" s="21">
        <f t="shared" ref="AK14:AK15" si="6">550*AJ14</f>
        <v>2200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>
        <v>1.0</v>
      </c>
      <c r="AG15" s="20">
        <v>1.0</v>
      </c>
      <c r="AH15" s="20">
        <v>1.0</v>
      </c>
      <c r="AI15" s="20">
        <v>1.0</v>
      </c>
      <c r="AJ15" s="20">
        <f t="shared" si="2"/>
        <v>4</v>
      </c>
      <c r="AK15" s="21">
        <f t="shared" si="6"/>
        <v>2200</v>
      </c>
      <c r="AL15" s="23">
        <f>SUM(AK13:AK15)</f>
        <v>4400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/>
      <c r="B16" s="12"/>
      <c r="C16" s="26"/>
      <c r="D16" s="13" t="s">
        <v>7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13">
        <f t="shared" si="2"/>
        <v>0</v>
      </c>
      <c r="AK16" s="14">
        <f>330*AJ16</f>
        <v>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13"/>
      <c r="AI17" s="13"/>
      <c r="AJ17" s="13">
        <f t="shared" si="2"/>
        <v>0</v>
      </c>
      <c r="AK17" s="14">
        <f t="shared" ref="AK17:AK18" si="7">550*AJ17</f>
        <v>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13"/>
      <c r="AI18" s="13"/>
      <c r="AJ18" s="13">
        <f t="shared" si="2"/>
        <v>0</v>
      </c>
      <c r="AK18" s="14">
        <f t="shared" si="7"/>
        <v>0</v>
      </c>
      <c r="AL18" s="18">
        <f>SUM(AK16:AK18)</f>
        <v>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/>
      <c r="B19" s="19"/>
      <c r="C19" s="19"/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0</v>
      </c>
      <c r="AK20" s="21">
        <f t="shared" ref="AK20:AK21" si="8">550*AJ20</f>
        <v>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0</v>
      </c>
      <c r="AK21" s="21">
        <f t="shared" si="8"/>
        <v>0</v>
      </c>
      <c r="AL21" s="23">
        <f>SUM(AK19:AK21)</f>
        <v>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/>
      <c r="B22" s="12"/>
      <c r="C22" s="31"/>
      <c r="D22" s="14" t="s">
        <v>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4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4">
        <f t="shared" si="2"/>
        <v>0</v>
      </c>
      <c r="AK23" s="14">
        <f t="shared" ref="AK23:AK24" si="9">550*AJ23</f>
        <v>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10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4">
        <f t="shared" si="2"/>
        <v>0</v>
      </c>
      <c r="AK24" s="14">
        <f t="shared" si="9"/>
        <v>0</v>
      </c>
      <c r="AL24" s="18">
        <f>SUM(AK22:AK24)</f>
        <v>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/>
      <c r="B25" s="19"/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/>
      <c r="B28" s="12"/>
      <c r="C28" s="12"/>
      <c r="D28" s="13" t="s">
        <v>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2"/>
        <v>0</v>
      </c>
      <c r="AK28" s="14">
        <f>330*AJ28</f>
        <v>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18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7.0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45839</v>
      </c>
      <c r="F2" s="7">
        <f>DATE($A$1,$B$1,2)</f>
        <v>45840</v>
      </c>
      <c r="G2" s="7">
        <f>DATE($A$1,$B$1,3)</f>
        <v>45841</v>
      </c>
      <c r="H2" s="7">
        <f>DATE($A$1,$B$1,4)</f>
        <v>45842</v>
      </c>
      <c r="I2" s="7">
        <f>DATE($A$1,$B$1,5)</f>
        <v>45843</v>
      </c>
      <c r="J2" s="7">
        <f>DATE($A$1,$B$1,6)</f>
        <v>45844</v>
      </c>
      <c r="K2" s="7">
        <f>DATE($A$1,$B$1,7)</f>
        <v>45845</v>
      </c>
      <c r="L2" s="7">
        <f>DATE($A$1,$B$1,8)</f>
        <v>45846</v>
      </c>
      <c r="M2" s="7">
        <f>DATE($A$1,$B$1,9)</f>
        <v>45847</v>
      </c>
      <c r="N2" s="7">
        <f>DATE($A$1,$B$1,10)</f>
        <v>45848</v>
      </c>
      <c r="O2" s="7">
        <f>DATE($A$1,$B$1,11)</f>
        <v>45849</v>
      </c>
      <c r="P2" s="7">
        <f>DATE($A$1,$B$1,12)</f>
        <v>45850</v>
      </c>
      <c r="Q2" s="7">
        <f>DATE($A$1,$B$1,13)</f>
        <v>45851</v>
      </c>
      <c r="R2" s="7">
        <f>DATE($A$1,$B$1,14)</f>
        <v>45852</v>
      </c>
      <c r="S2" s="7">
        <f>DATE($A$1,$B$1,15)</f>
        <v>45853</v>
      </c>
      <c r="T2" s="7">
        <f>DATE($A$1,$B$1,16)</f>
        <v>45854</v>
      </c>
      <c r="U2" s="7">
        <f>DATE($A$1,$B$1,17)</f>
        <v>45855</v>
      </c>
      <c r="V2" s="7">
        <f>DATE($A$1,$B$1,18)</f>
        <v>45856</v>
      </c>
      <c r="W2" s="7">
        <f>DATE($A$1,$B$1,19)</f>
        <v>45857</v>
      </c>
      <c r="X2" s="7">
        <f>DATE($A$1,$B$1,20)</f>
        <v>45858</v>
      </c>
      <c r="Y2" s="7">
        <f>DATE($A$1,$B$1,21)</f>
        <v>45859</v>
      </c>
      <c r="Z2" s="7">
        <f>DATE($A$1,$B$1,22)</f>
        <v>45860</v>
      </c>
      <c r="AA2" s="7">
        <f>DATE($A$1,$B$1,23)</f>
        <v>45861</v>
      </c>
      <c r="AB2" s="7">
        <f>DATE($A$1,$B$1,24)</f>
        <v>45862</v>
      </c>
      <c r="AC2" s="7">
        <f>DATE($A$1,$B$1,25)</f>
        <v>45863</v>
      </c>
      <c r="AD2" s="7">
        <f>DATE($A$1,$B$1,26)</f>
        <v>45864</v>
      </c>
      <c r="AE2" s="7">
        <f>DATE($A$1,$B$1,27)</f>
        <v>45865</v>
      </c>
      <c r="AF2" s="7">
        <f>DATE($A$1,$B$1,28)</f>
        <v>45866</v>
      </c>
      <c r="AG2" s="7">
        <f>DATE($A$1,$B$1,29)</f>
        <v>45867</v>
      </c>
      <c r="AH2" s="7">
        <f>DATE($A$1,$B$1,30)</f>
        <v>45868</v>
      </c>
      <c r="AI2" s="7">
        <f>DATE($A$1,$B$1,31)</f>
        <v>45869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火</v>
      </c>
      <c r="F3" s="11" t="str">
        <f t="shared" si="1"/>
        <v>水</v>
      </c>
      <c r="G3" s="11" t="str">
        <f t="shared" si="1"/>
        <v>木</v>
      </c>
      <c r="H3" s="11" t="str">
        <f t="shared" si="1"/>
        <v>金</v>
      </c>
      <c r="I3" s="11" t="str">
        <f t="shared" si="1"/>
        <v>土</v>
      </c>
      <c r="J3" s="11" t="str">
        <f t="shared" si="1"/>
        <v>日</v>
      </c>
      <c r="K3" s="11" t="str">
        <f t="shared" si="1"/>
        <v>月</v>
      </c>
      <c r="L3" s="11" t="str">
        <f t="shared" si="1"/>
        <v>火</v>
      </c>
      <c r="M3" s="11" t="str">
        <f t="shared" si="1"/>
        <v>水</v>
      </c>
      <c r="N3" s="11" t="str">
        <f t="shared" si="1"/>
        <v>木</v>
      </c>
      <c r="O3" s="11" t="str">
        <f t="shared" si="1"/>
        <v>金</v>
      </c>
      <c r="P3" s="11" t="str">
        <f t="shared" si="1"/>
        <v>土</v>
      </c>
      <c r="Q3" s="11" t="str">
        <f t="shared" si="1"/>
        <v>日</v>
      </c>
      <c r="R3" s="11" t="str">
        <f t="shared" si="1"/>
        <v>月</v>
      </c>
      <c r="S3" s="11" t="str">
        <f t="shared" si="1"/>
        <v>火</v>
      </c>
      <c r="T3" s="11" t="str">
        <f t="shared" si="1"/>
        <v>水</v>
      </c>
      <c r="U3" s="11" t="str">
        <f t="shared" si="1"/>
        <v>木</v>
      </c>
      <c r="V3" s="11" t="str">
        <f t="shared" si="1"/>
        <v>金</v>
      </c>
      <c r="W3" s="11" t="str">
        <f t="shared" si="1"/>
        <v>土</v>
      </c>
      <c r="X3" s="11" t="str">
        <f t="shared" si="1"/>
        <v>日</v>
      </c>
      <c r="Y3" s="11" t="str">
        <f t="shared" si="1"/>
        <v>月</v>
      </c>
      <c r="Z3" s="11" t="str">
        <f t="shared" si="1"/>
        <v>火</v>
      </c>
      <c r="AA3" s="11" t="str">
        <f t="shared" si="1"/>
        <v>水</v>
      </c>
      <c r="AB3" s="11" t="str">
        <f t="shared" si="1"/>
        <v>木</v>
      </c>
      <c r="AC3" s="11" t="str">
        <f t="shared" si="1"/>
        <v>金</v>
      </c>
      <c r="AD3" s="11" t="str">
        <f t="shared" si="1"/>
        <v>土</v>
      </c>
      <c r="AE3" s="11" t="str">
        <f t="shared" si="1"/>
        <v>日</v>
      </c>
      <c r="AF3" s="11" t="str">
        <f t="shared" si="1"/>
        <v>月</v>
      </c>
      <c r="AG3" s="11" t="str">
        <f t="shared" si="1"/>
        <v>火</v>
      </c>
      <c r="AH3" s="11" t="str">
        <f t="shared" si="1"/>
        <v>水</v>
      </c>
      <c r="AI3" s="11" t="str">
        <f t="shared" si="1"/>
        <v>木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>
        <v>913.0</v>
      </c>
      <c r="B4" s="12" t="s">
        <v>5</v>
      </c>
      <c r="C4" s="12" t="s">
        <v>6</v>
      </c>
      <c r="D4" s="13" t="s">
        <v>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33" si="2">SUM(E4:AI4)</f>
        <v>21</v>
      </c>
      <c r="AK4" s="14">
        <f>330*AJ4</f>
        <v>6930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0.0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0.0</v>
      </c>
      <c r="AG5" s="13">
        <v>1.0</v>
      </c>
      <c r="AH5" s="13">
        <v>1.0</v>
      </c>
      <c r="AI5" s="13">
        <v>1.0</v>
      </c>
      <c r="AJ5" s="13">
        <f t="shared" si="2"/>
        <v>19</v>
      </c>
      <c r="AK5" s="14">
        <f t="shared" ref="AK5:AK6" si="3">550*AJ5</f>
        <v>10450</v>
      </c>
      <c r="AL5" s="17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10</v>
      </c>
      <c r="E6" s="13"/>
      <c r="F6" s="13"/>
      <c r="G6" s="13"/>
      <c r="H6" s="13"/>
      <c r="I6" s="13"/>
      <c r="J6" s="13"/>
      <c r="K6" s="13"/>
      <c r="L6" s="13"/>
      <c r="M6" s="13"/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22</v>
      </c>
      <c r="AK6" s="14">
        <f t="shared" si="3"/>
        <v>12100</v>
      </c>
      <c r="AL6" s="18">
        <f>SUM(AK4:AK6)</f>
        <v>29480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9">
        <v>801.0</v>
      </c>
      <c r="B7" s="19" t="s">
        <v>26</v>
      </c>
      <c r="C7" s="19" t="s">
        <v>13</v>
      </c>
      <c r="D7" s="20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>
        <v>1.0</v>
      </c>
      <c r="W7" s="20">
        <v>1.0</v>
      </c>
      <c r="X7" s="20">
        <v>1.0</v>
      </c>
      <c r="Y7" s="20">
        <v>1.0</v>
      </c>
      <c r="Z7" s="20">
        <v>1.0</v>
      </c>
      <c r="AA7" s="20">
        <v>1.0</v>
      </c>
      <c r="AB7" s="20">
        <v>1.0</v>
      </c>
      <c r="AC7" s="20">
        <v>1.0</v>
      </c>
      <c r="AD7" s="20">
        <v>1.0</v>
      </c>
      <c r="AE7" s="20">
        <v>1.0</v>
      </c>
      <c r="AF7" s="20">
        <v>1.0</v>
      </c>
      <c r="AG7" s="20">
        <v>1.0</v>
      </c>
      <c r="AH7" s="20">
        <v>1.0</v>
      </c>
      <c r="AI7" s="20">
        <v>1.0</v>
      </c>
      <c r="AJ7" s="20">
        <f t="shared" si="2"/>
        <v>14</v>
      </c>
      <c r="AK7" s="21">
        <f>330*AJ7</f>
        <v>4620</v>
      </c>
      <c r="AL7" s="22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0" t="s">
        <v>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>
        <v>1.0</v>
      </c>
      <c r="V8" s="20">
        <v>1.0</v>
      </c>
      <c r="W8" s="20">
        <v>1.0</v>
      </c>
      <c r="X8" s="20">
        <v>1.0</v>
      </c>
      <c r="Y8" s="20">
        <v>1.0</v>
      </c>
      <c r="Z8" s="20">
        <v>1.0</v>
      </c>
      <c r="AA8" s="20">
        <v>1.0</v>
      </c>
      <c r="AB8" s="20">
        <v>1.0</v>
      </c>
      <c r="AC8" s="20">
        <v>1.0</v>
      </c>
      <c r="AD8" s="20">
        <v>1.0</v>
      </c>
      <c r="AE8" s="20">
        <v>1.0</v>
      </c>
      <c r="AF8" s="20">
        <v>1.0</v>
      </c>
      <c r="AG8" s="20">
        <v>0.0</v>
      </c>
      <c r="AH8" s="20">
        <v>1.0</v>
      </c>
      <c r="AI8" s="20">
        <v>1.0</v>
      </c>
      <c r="AJ8" s="20">
        <f t="shared" si="2"/>
        <v>14</v>
      </c>
      <c r="AK8" s="21">
        <f t="shared" ref="AK8:AK9" si="4">550*AJ8</f>
        <v>7700</v>
      </c>
      <c r="AL8" s="22"/>
      <c r="AM8" s="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0" t="s">
        <v>10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>
        <v>1.0</v>
      </c>
      <c r="V9" s="20">
        <v>1.0</v>
      </c>
      <c r="W9" s="20">
        <v>1.0</v>
      </c>
      <c r="X9" s="20">
        <v>1.0</v>
      </c>
      <c r="Y9" s="20">
        <v>1.0</v>
      </c>
      <c r="Z9" s="20">
        <v>1.0</v>
      </c>
      <c r="AA9" s="20">
        <v>1.0</v>
      </c>
      <c r="AB9" s="20">
        <v>1.0</v>
      </c>
      <c r="AC9" s="20">
        <v>1.0</v>
      </c>
      <c r="AD9" s="20">
        <v>1.0</v>
      </c>
      <c r="AE9" s="20">
        <v>1.0</v>
      </c>
      <c r="AF9" s="20">
        <v>1.0</v>
      </c>
      <c r="AG9" s="20">
        <v>1.0</v>
      </c>
      <c r="AH9" s="20">
        <v>1.0</v>
      </c>
      <c r="AI9" s="20">
        <v>1.0</v>
      </c>
      <c r="AJ9" s="20">
        <f t="shared" si="2"/>
        <v>15</v>
      </c>
      <c r="AK9" s="21">
        <f t="shared" si="4"/>
        <v>8250</v>
      </c>
      <c r="AL9" s="23">
        <f>SUM(AK7:AK9)</f>
        <v>20570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>
        <v>915.0</v>
      </c>
      <c r="B10" s="12" t="s">
        <v>12</v>
      </c>
      <c r="C10" s="12" t="s">
        <v>13</v>
      </c>
      <c r="D10" s="13" t="s">
        <v>7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>
        <v>1.0</v>
      </c>
      <c r="AJ10" s="13">
        <f t="shared" si="2"/>
        <v>1</v>
      </c>
      <c r="AK10" s="14">
        <f>330*AJ10</f>
        <v>330</v>
      </c>
      <c r="AL10" s="17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>
        <v>1.0</v>
      </c>
      <c r="AI11" s="13">
        <v>1.0</v>
      </c>
      <c r="AJ11" s="13">
        <f t="shared" si="2"/>
        <v>2</v>
      </c>
      <c r="AK11" s="14">
        <f t="shared" ref="AK11:AK12" si="5">550*AJ11</f>
        <v>1100</v>
      </c>
      <c r="AL11" s="17"/>
      <c r="AM11" s="2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10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>
        <v>1.0</v>
      </c>
      <c r="AI12" s="13">
        <v>1.0</v>
      </c>
      <c r="AJ12" s="13">
        <f t="shared" si="2"/>
        <v>2</v>
      </c>
      <c r="AK12" s="14">
        <f t="shared" si="5"/>
        <v>1100</v>
      </c>
      <c r="AL12" s="18">
        <f>SUM(AK10:AK12)</f>
        <v>2530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9"/>
      <c r="B13" s="19"/>
      <c r="C13" s="19"/>
      <c r="D13" s="20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>
        <f t="shared" si="2"/>
        <v>0</v>
      </c>
      <c r="AK13" s="21">
        <f>330*AJ13</f>
        <v>0</v>
      </c>
      <c r="AL13" s="22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0" t="s">
        <v>8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>
        <f t="shared" si="2"/>
        <v>0</v>
      </c>
      <c r="AK14" s="21">
        <f t="shared" ref="AK14:AK15" si="6">550*AJ14</f>
        <v>0</v>
      </c>
      <c r="AL14" s="22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0" t="s">
        <v>10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>
        <f t="shared" si="2"/>
        <v>0</v>
      </c>
      <c r="AK15" s="21">
        <f t="shared" si="6"/>
        <v>0</v>
      </c>
      <c r="AL15" s="23">
        <f>SUM(AK13:AK15)</f>
        <v>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/>
      <c r="B16" s="12"/>
      <c r="C16" s="12"/>
      <c r="D16" s="13" t="s">
        <v>7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13">
        <f t="shared" si="2"/>
        <v>0</v>
      </c>
      <c r="AK16" s="14">
        <f>330*AJ16</f>
        <v>0</v>
      </c>
      <c r="AL16" s="17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8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13">
        <f t="shared" si="2"/>
        <v>0</v>
      </c>
      <c r="AK17" s="14">
        <f t="shared" ref="AK17:AK18" si="7">550*AJ17</f>
        <v>0</v>
      </c>
      <c r="AL17" s="17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10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13">
        <f t="shared" si="2"/>
        <v>0</v>
      </c>
      <c r="AK18" s="14">
        <f t="shared" si="7"/>
        <v>0</v>
      </c>
      <c r="AL18" s="18">
        <f>SUM(AK16:AK18)</f>
        <v>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9"/>
      <c r="B19" s="19"/>
      <c r="C19" s="19"/>
      <c r="D19" s="20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>
        <f t="shared" si="2"/>
        <v>0</v>
      </c>
      <c r="AK19" s="21">
        <f>330*AJ19</f>
        <v>0</v>
      </c>
      <c r="AL19" s="22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0" t="s">
        <v>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>
        <f t="shared" si="2"/>
        <v>0</v>
      </c>
      <c r="AK20" s="21">
        <f t="shared" ref="AK20:AK21" si="8">550*AJ20</f>
        <v>0</v>
      </c>
      <c r="AL20" s="22"/>
      <c r="AM20" s="25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0" t="s">
        <v>10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>
        <f t="shared" si="2"/>
        <v>0</v>
      </c>
      <c r="AK21" s="21">
        <f t="shared" si="8"/>
        <v>0</v>
      </c>
      <c r="AL21" s="23">
        <f>SUM(AK19:AK21)</f>
        <v>0</v>
      </c>
      <c r="AM21" s="25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/>
      <c r="B22" s="12"/>
      <c r="C22" s="31"/>
      <c r="D22" s="14" t="s">
        <v>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4">
        <f t="shared" si="2"/>
        <v>0</v>
      </c>
      <c r="AK22" s="14">
        <f>330*AJ22</f>
        <v>0</v>
      </c>
      <c r="AL22" s="17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4">
        <f t="shared" si="2"/>
        <v>0</v>
      </c>
      <c r="AK23" s="14">
        <f t="shared" ref="AK23:AK24" si="9">550*AJ23</f>
        <v>0</v>
      </c>
      <c r="AL23" s="17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10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4">
        <f t="shared" si="2"/>
        <v>0</v>
      </c>
      <c r="AK24" s="14">
        <f t="shared" si="9"/>
        <v>0</v>
      </c>
      <c r="AL24" s="18">
        <f>SUM(AK22:AK24)</f>
        <v>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9"/>
      <c r="B25" s="19"/>
      <c r="C25" s="19"/>
      <c r="D25" s="20" t="s">
        <v>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>
        <f t="shared" si="2"/>
        <v>0</v>
      </c>
      <c r="AK25" s="8">
        <f>330*AJ25</f>
        <v>0</v>
      </c>
      <c r="AL25" s="28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20" t="s">
        <v>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2"/>
        <v>0</v>
      </c>
      <c r="AK26" s="8">
        <f t="shared" ref="AK26:AK27" si="10">550*AJ26</f>
        <v>0</v>
      </c>
      <c r="AL26" s="28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20" t="s">
        <v>10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>
        <f t="shared" si="2"/>
        <v>0</v>
      </c>
      <c r="AK27" s="8">
        <f t="shared" si="10"/>
        <v>0</v>
      </c>
      <c r="AL27" s="29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/>
      <c r="B28" s="12"/>
      <c r="C28" s="12"/>
      <c r="D28" s="13" t="s">
        <v>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2"/>
        <v>0</v>
      </c>
      <c r="AK28" s="14">
        <f>330*AJ28</f>
        <v>0</v>
      </c>
      <c r="AL28" s="17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7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10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18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9"/>
      <c r="B31" s="19"/>
      <c r="C31" s="19"/>
      <c r="D31" s="20" t="s">
        <v>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>
        <f t="shared" si="2"/>
        <v>0</v>
      </c>
      <c r="AK31" s="21">
        <f>330*AJ31</f>
        <v>0</v>
      </c>
      <c r="AL31" s="22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20" t="s">
        <v>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>
        <f t="shared" si="2"/>
        <v>0</v>
      </c>
      <c r="AK32" s="21">
        <f t="shared" ref="AK32:AK33" si="12">550*AJ32</f>
        <v>0</v>
      </c>
      <c r="AL32" s="22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20" t="s">
        <v>10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>
        <f t="shared" si="2"/>
        <v>0</v>
      </c>
      <c r="AK33" s="21">
        <f t="shared" si="12"/>
        <v>0</v>
      </c>
      <c r="AL33" s="23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0"/>
      <c r="B34" s="30"/>
      <c r="C34" s="3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30"/>
      <c r="B35" s="30"/>
      <c r="C35" s="3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30"/>
      <c r="B36" s="30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30"/>
      <c r="B37" s="30"/>
      <c r="C37" s="3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30"/>
      <c r="B38" s="30"/>
      <c r="C38" s="3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30"/>
      <c r="B39" s="30"/>
      <c r="C39" s="3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30"/>
      <c r="B40" s="30"/>
      <c r="C40" s="3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30"/>
      <c r="B41" s="30"/>
      <c r="C41" s="3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30"/>
      <c r="B42" s="30"/>
      <c r="C42" s="3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30"/>
      <c r="B43" s="30"/>
      <c r="C43" s="3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30"/>
      <c r="B44" s="30"/>
      <c r="C44" s="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30"/>
      <c r="B45" s="30"/>
      <c r="C45" s="3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30"/>
      <c r="B47" s="30"/>
      <c r="C47" s="3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30"/>
      <c r="B48" s="30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30"/>
      <c r="B49" s="30"/>
      <c r="C49" s="3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30"/>
      <c r="B50" s="30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30"/>
      <c r="B51" s="30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30"/>
      <c r="B52" s="30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30"/>
      <c r="B53" s="30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30"/>
      <c r="B54" s="30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30"/>
      <c r="B55" s="30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30"/>
      <c r="B56" s="30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30"/>
      <c r="B57" s="30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30"/>
      <c r="B58" s="30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30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30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30"/>
      <c r="B61" s="30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30"/>
      <c r="B62" s="30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30"/>
      <c r="B63" s="30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30"/>
      <c r="B64" s="30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30"/>
      <c r="B65" s="30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30"/>
      <c r="B66" s="30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30"/>
      <c r="B67" s="30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30"/>
      <c r="B68" s="30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30"/>
      <c r="B69" s="30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30"/>
      <c r="B70" s="30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30"/>
      <c r="B71" s="30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0"/>
      <c r="B72" s="30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0"/>
      <c r="B73" s="30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0"/>
      <c r="B74" s="30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0"/>
      <c r="B75" s="30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0"/>
      <c r="B76" s="30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0"/>
      <c r="B77" s="30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0"/>
      <c r="B78" s="30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0"/>
      <c r="B79" s="30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0"/>
      <c r="B80" s="30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0"/>
      <c r="B81" s="30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0"/>
      <c r="B82" s="30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0"/>
      <c r="B83" s="30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0"/>
      <c r="B84" s="30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0"/>
      <c r="B85" s="30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0"/>
      <c r="B86" s="30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0"/>
      <c r="B87" s="30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0"/>
      <c r="B88" s="30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0"/>
      <c r="B89" s="30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0"/>
      <c r="B90" s="30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0"/>
      <c r="B91" s="30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0"/>
      <c r="B92" s="30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0"/>
      <c r="B93" s="30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0"/>
      <c r="B94" s="30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0"/>
      <c r="B95" s="30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0"/>
      <c r="B96" s="30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0"/>
      <c r="B97" s="30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0"/>
      <c r="B98" s="30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0"/>
      <c r="B99" s="30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0"/>
      <c r="B100" s="30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0"/>
      <c r="B101" s="30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0"/>
      <c r="B102" s="30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0"/>
      <c r="B103" s="30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0"/>
      <c r="B104" s="30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0"/>
      <c r="B105" s="30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0"/>
      <c r="B106" s="30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0"/>
      <c r="B107" s="30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0"/>
      <c r="B108" s="30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0"/>
      <c r="B109" s="30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0"/>
      <c r="B110" s="30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0"/>
      <c r="B111" s="30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0"/>
      <c r="B112" s="30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0"/>
      <c r="B113" s="30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0"/>
      <c r="B114" s="30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0"/>
      <c r="B115" s="30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0"/>
      <c r="B116" s="30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0"/>
      <c r="B117" s="30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0"/>
      <c r="B118" s="30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0"/>
      <c r="B119" s="30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0"/>
      <c r="B120" s="30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0"/>
      <c r="B121" s="30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0"/>
      <c r="B122" s="30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0"/>
      <c r="B123" s="30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0"/>
      <c r="B124" s="30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0"/>
      <c r="B125" s="30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0"/>
      <c r="B126" s="30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0"/>
      <c r="B127" s="30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0"/>
      <c r="B128" s="30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0"/>
      <c r="B129" s="30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0"/>
      <c r="B130" s="30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0"/>
      <c r="B131" s="30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0"/>
      <c r="B132" s="30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0"/>
      <c r="B133" s="30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0"/>
      <c r="B134" s="30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0"/>
      <c r="B135" s="30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0"/>
      <c r="B136" s="30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0"/>
      <c r="B137" s="30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0"/>
      <c r="B138" s="30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0"/>
      <c r="B139" s="30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0"/>
      <c r="B140" s="30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0"/>
      <c r="B141" s="30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0"/>
      <c r="B142" s="30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0"/>
      <c r="B143" s="30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0"/>
      <c r="B144" s="30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0"/>
      <c r="B145" s="30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0"/>
      <c r="B146" s="30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0"/>
      <c r="B147" s="30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0"/>
      <c r="B148" s="30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0"/>
      <c r="B149" s="30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0"/>
      <c r="B150" s="30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0"/>
      <c r="B151" s="30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0"/>
      <c r="B152" s="30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0"/>
      <c r="B153" s="30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0"/>
      <c r="B154" s="30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0"/>
      <c r="B155" s="30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0"/>
      <c r="B156" s="30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0"/>
      <c r="B157" s="30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0"/>
      <c r="B158" s="30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0"/>
      <c r="B159" s="30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0"/>
      <c r="B160" s="30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0"/>
      <c r="B161" s="30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0"/>
      <c r="B162" s="30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0"/>
      <c r="B163" s="30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0"/>
      <c r="B164" s="30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0"/>
      <c r="B165" s="30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0"/>
      <c r="B166" s="30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0"/>
      <c r="B167" s="30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0"/>
      <c r="B168" s="30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0"/>
      <c r="B169" s="30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0"/>
      <c r="B170" s="30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0"/>
      <c r="B171" s="30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0"/>
      <c r="B172" s="30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0"/>
      <c r="B173" s="30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0"/>
      <c r="B174" s="30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0"/>
      <c r="B175" s="30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0"/>
      <c r="B176" s="30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0"/>
      <c r="B177" s="30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0"/>
      <c r="B178" s="30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0"/>
      <c r="B179" s="30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0"/>
      <c r="B180" s="30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0"/>
      <c r="B181" s="30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0"/>
      <c r="B182" s="30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0"/>
      <c r="B183" s="30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0"/>
      <c r="B184" s="30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0"/>
      <c r="B185" s="30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0"/>
      <c r="B186" s="30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0"/>
      <c r="B187" s="30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0"/>
      <c r="B188" s="30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0"/>
      <c r="B189" s="30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0"/>
      <c r="B190" s="30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0"/>
      <c r="B191" s="30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0"/>
      <c r="B192" s="30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0"/>
      <c r="B193" s="30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0"/>
      <c r="B194" s="30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0"/>
      <c r="B195" s="30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0"/>
      <c r="B196" s="30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0"/>
      <c r="B197" s="30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0"/>
      <c r="B198" s="30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0"/>
      <c r="B199" s="30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0"/>
      <c r="B200" s="30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0"/>
      <c r="B201" s="30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0"/>
      <c r="B202" s="30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0"/>
      <c r="B203" s="30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0"/>
      <c r="B204" s="30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0"/>
      <c r="B205" s="30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0"/>
      <c r="B206" s="30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0"/>
      <c r="B207" s="30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0"/>
      <c r="B208" s="30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0"/>
      <c r="B209" s="30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0"/>
      <c r="B210" s="30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0"/>
      <c r="B211" s="30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0"/>
      <c r="B212" s="30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0"/>
      <c r="B213" s="30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0"/>
      <c r="B214" s="30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0"/>
      <c r="B215" s="30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0"/>
      <c r="B216" s="30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0"/>
      <c r="B217" s="30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0"/>
      <c r="B218" s="30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0"/>
      <c r="B219" s="30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0"/>
      <c r="B220" s="30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0"/>
      <c r="B221" s="30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0"/>
      <c r="B222" s="30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0"/>
      <c r="B223" s="30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0"/>
      <c r="B224" s="30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0"/>
      <c r="B225" s="30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0"/>
      <c r="B226" s="30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0"/>
      <c r="B227" s="30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0"/>
      <c r="B228" s="30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0"/>
      <c r="B229" s="30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0"/>
      <c r="B230" s="30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0"/>
      <c r="B231" s="30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0"/>
      <c r="B232" s="30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0"/>
      <c r="B233" s="30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