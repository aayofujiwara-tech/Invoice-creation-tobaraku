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居者" sheetId="1" r:id="rId5"/>
    <sheet state="visible" name="すまい請求書" sheetId="2" r:id="rId6"/>
    <sheet state="visible" name="奥谷様請求書 " sheetId="3" r:id="rId7"/>
    <sheet state="visible" name="奥谷様淀キリhp" sheetId="4" r:id="rId8"/>
    <sheet state="visible" name="領収書" sheetId="5" r:id="rId9"/>
    <sheet state="visible" name="奥谷様領収書 " sheetId="6" r:id="rId10"/>
    <sheet state="visible" name="合算請求書" sheetId="7" r:id="rId11"/>
    <sheet state="visible" name="R8.1" sheetId="8" r:id="rId12"/>
    <sheet state="visible" name="R7.12" sheetId="9" r:id="rId13"/>
    <sheet state="visible" name="R7.11" sheetId="10" r:id="rId14"/>
    <sheet state="visible" name="R7.10" sheetId="11" r:id="rId15"/>
    <sheet state="visible" name="R7.9" sheetId="12" r:id="rId16"/>
    <sheet state="visible" name="R7.8" sheetId="13" r:id="rId17"/>
    <sheet state="visible" name="R7.7(作成中)" sheetId="14" r:id="rId18"/>
  </sheets>
  <definedNames>
    <definedName hidden="1" localSheetId="7" name="_xlnm._FilterDatabase">'R8.1'!$A$2:$AJ$110</definedName>
    <definedName hidden="1" localSheetId="8" name="_xlnm._FilterDatabase">'R7.12'!$A$2:$AJ$110</definedName>
    <definedName hidden="1" localSheetId="9" name="_xlnm._FilterDatabase">'R7.11'!$A$2:$AJ$110</definedName>
    <definedName hidden="1" localSheetId="10" name="_xlnm._FilterDatabase">'R7.10'!$A$2:$AJ$110</definedName>
    <definedName hidden="1" localSheetId="11" name="_xlnm._FilterDatabase">'R7.9'!$A$2:$AJ$110</definedName>
    <definedName hidden="1" localSheetId="12" name="_xlnm._FilterDatabase">'R7.8'!$A$2:$AJ$110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tc={0f7637ce-e7b1-46a2-9c62-0950c0dd51e7}</author>
    <author>tc={27d39fbd-1761-47a4-91b0-362a43f9223c}</author>
    <author>tc={37fec574-060d-451e-b832-1d90222ab426}</author>
    <author>tc={391f1e03-e512-46e0-9d9a-4299b7d4b32e}</author>
    <author>tc={3e203c55-f883-4d68-ac17-083df3016262}</author>
    <author>tc={4013e2bc-c0f2-49d5-94e7-ab4cd3b02124}</author>
    <author>tc={826e025a-ec4c-4e1d-af2c-9efc456644df}</author>
    <author>tc={8e55c686-23f3-4f97-b0ad-25ee610d61da}</author>
    <author>tc={9caa8d68-e7a0-488e-af7d-3c78747667e7}</author>
    <author>tc={e42e4d8d-21c6-4ac0-a77c-7cceb543336c}</author>
    <author>tc={e8aebaef-d4ec-4761-b7f7-e4d86f5843cf}</author>
    <author>tc={fbb9ebc9-1df7-4876-9db4-37faad7868c2}</author>
    <author>tc={fd6bcd80-8598-4e63-a5e8-f7b2842d0d56}</author>
  </authors>
  <commentList>
    <comment authorId="0" xr:uid="{0f7637ce-e7b1-46a2-9c62-0950c0dd51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  <comment authorId="1" xr:uid="{27d39fbd-1761-47a4-91b0-362a43f922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37fec574-060d-451e-b832-1d90222ab4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391f1e03-e512-46e0-9d9a-4299b7d4b3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4" xr:uid="{3e203c55-f883-4d68-ac17-083df30162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初期費用全て分割
</t>
      </text>
    </comment>
    <comment authorId="5" xr:uid="{4013e2bc-c0f2-49d5-94e7-ab4cd3b021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6" xr:uid="{826e025a-ec4c-4e1d-af2c-9efc456644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7" xr:uid="{8e55c686-23f3-4f97-b0ad-25ee610d61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8" xr:uid="{9caa8d68-e7a0-488e-af7d-3c78747667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9" xr:uid="{e42e4d8d-21c6-4ac0-a77c-7cceb54333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121円/1日
</t>
      </text>
    </comment>
    <comment authorId="10" xr:uid="{e8aebaef-d4ec-4761-b7f7-e4d86f5843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1" xr:uid="{fbb9ebc9-1df7-4876-9db4-37faad7868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2" xr:uid="{fd6bcd80-8598-4e63-a5e8-f7b2842d0d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tc={9d174311-a194-4aef-80dd-e4d5e6e192e2}</author>
    <author>tc={e7eb898c-655f-4ebd-be96-4b669e538b71}</author>
  </authors>
  <commentList>
    <comment authorId="0" xr:uid="{9d174311-a194-4aef-80dd-e4d5e6e192e2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e7eb898c-655f-4ebd-be96-4b669e538b71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tc={0674a9d2-071c-4d79-8fdc-68f609fdd704}</author>
    <author>tc={1c810f12-9e03-401f-b46f-02286c9b3a5b}</author>
    <author>tc={469fa5e9-f377-4882-85e3-eaba8b2e423e}</author>
    <author>tc={b05d7f96-119c-4c9b-b25d-5d14c8e9a200}</author>
    <author>tc={e02566db-b67d-4189-a9fc-3e6062af6146}</author>
    <author>tc={e0af0efe-3e62-4ecd-a9b2-c27f4f2cb684}</author>
    <author>tc={f5d1992e-75c3-4eb4-9082-a5b573e325aa}</author>
  </authors>
  <commentList>
    <comment authorId="0" xr:uid="{0674a9d2-071c-4d79-8fdc-68f609fdd704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" xr:uid="{1c810f12-9e03-401f-b46f-02286c9b3a5b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過入金調整
</t>
      </text>
    </comment>
    <comment authorId="2" xr:uid="{469fa5e9-f377-4882-85e3-eaba8b2e423e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  <comment authorId="3" xr:uid="{b05d7f96-119c-4c9b-b25d-5d14c8e9a200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e02566db-b67d-4189-a9fc-3e6062af6146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e0af0efe-3e62-4ecd-a9b2-c27f4f2cb684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6" xr:uid="{f5d1992e-75c3-4eb4-9082-a5b573e325aa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tc={0956bcc0-4f02-431c-92ac-bdc2568422e2}</author>
    <author>tc={128868d6-ec6e-4d19-9f24-450750a4886b}</author>
    <author>tc={21e9ebf5-11e6-4408-ac96-6112a42a2a37}</author>
    <author>tc={50760868-36df-43de-8707-770be1547a1f}</author>
    <author>tc={5af48702-f70a-4dcf-8586-2185ea91134e}</author>
    <author>tc={f7790f62-c19d-40b8-bc00-b8ae27ca1f7f}</author>
  </authors>
  <commentList>
    <comment authorId="0" xr:uid="{0956bcc0-4f02-431c-92ac-bdc2568422e2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1" xr:uid="{128868d6-ec6e-4d19-9f24-450750a4886b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21e9ebf5-11e6-4408-ac96-6112a42a2a37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363円/1日
</t>
      </text>
    </comment>
    <comment authorId="3" xr:uid="{50760868-36df-43de-8707-770be1547a1f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5af48702-f70a-4dcf-8586-2185ea91134e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2025/7/7入居
</t>
      </text>
    </comment>
    <comment authorId="5" xr:uid="{f7790f62-c19d-40b8-bc00-b8ae27ca1f7f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2025/7/17入居
</t>
      </text>
    </comment>
  </commentList>
</comments>
</file>

<file path=xl/sharedStrings.xml><?xml version="1.0" encoding="utf-8"?>
<sst xmlns="http://schemas.openxmlformats.org/spreadsheetml/2006/main" count="672" uniqueCount="147">
  <si>
    <t>居室</t>
  </si>
  <si>
    <t>利用者名</t>
  </si>
  <si>
    <t>岡村三男</t>
  </si>
  <si>
    <t>安藤静子</t>
  </si>
  <si>
    <t>奥谷國春</t>
  </si>
  <si>
    <t>藤本敏博</t>
  </si>
  <si>
    <t>加藤恵子</t>
  </si>
  <si>
    <t>菱池重治</t>
  </si>
  <si>
    <t>荒木のり子</t>
  </si>
  <si>
    <t>801✕</t>
  </si>
  <si>
    <t>上村春子</t>
  </si>
  <si>
    <t>ええすまい請求書</t>
  </si>
  <si>
    <t>様</t>
  </si>
  <si>
    <t>発行日：</t>
  </si>
  <si>
    <t>R8.1</t>
  </si>
  <si>
    <t>家賃</t>
  </si>
  <si>
    <t>当月</t>
  </si>
  <si>
    <t>先月</t>
  </si>
  <si>
    <t>マンションセレーネ（ええすまい）</t>
  </si>
  <si>
    <t>号室</t>
  </si>
  <si>
    <t>株式会社AA
代表取締役 大石佐智子</t>
  </si>
  <si>
    <t>※分割払いの管理</t>
  </si>
  <si>
    <t>ご請求金額</t>
  </si>
  <si>
    <t>大阪市西淀川区柏里2-9-3-102</t>
  </si>
  <si>
    <t>内　　容</t>
  </si>
  <si>
    <t xml:space="preserve">単 価 </t>
  </si>
  <si>
    <t>数量</t>
  </si>
  <si>
    <t>小計</t>
  </si>
  <si>
    <t>備考</t>
  </si>
  <si>
    <t>1か月</t>
  </si>
  <si>
    <t>ご請求額合計</t>
  </si>
  <si>
    <t>※家賃、共益費、管理費、光熱費は消費税不要</t>
  </si>
  <si>
    <t>8%対象　合計</t>
  </si>
  <si>
    <t>消費税（８％）</t>
  </si>
  <si>
    <t>10％対象　合計</t>
  </si>
  <si>
    <t>消費税（10％）</t>
  </si>
  <si>
    <t>税込合計</t>
  </si>
  <si>
    <t>R7.11</t>
  </si>
  <si>
    <t>3か月</t>
  </si>
  <si>
    <t>9,10,11月分</t>
  </si>
  <si>
    <t>2か月</t>
  </si>
  <si>
    <t>9,10月分</t>
  </si>
  <si>
    <t>R7.9</t>
  </si>
  <si>
    <t>電気料金</t>
  </si>
  <si>
    <t xml:space="preserve">　</t>
  </si>
  <si>
    <t>領　収　書</t>
  </si>
  <si>
    <t>受領日</t>
  </si>
  <si>
    <t xml:space="preserve">　　年　月　日</t>
  </si>
  <si>
    <t>但し　家賃、共益費、管理費、水道代、自費分として</t>
  </si>
  <si>
    <t>上記の金額正に受領いたしました</t>
  </si>
  <si>
    <t>株式会社AA</t>
  </si>
  <si>
    <t>〒555-0022</t>
  </si>
  <si>
    <t>TEL・FAX 06-4400-2901</t>
  </si>
  <si>
    <t>ご利用金額のお知らせ</t>
  </si>
  <si>
    <t>合計金額</t>
  </si>
  <si>
    <t>請求金額</t>
  </si>
  <si>
    <t>お支払期限</t>
  </si>
  <si>
    <t>ええすまい</t>
  </si>
  <si>
    <t>請求書別紙</t>
  </si>
  <si>
    <t>ええかいご</t>
  </si>
  <si>
    <t>ええかんご</t>
  </si>
  <si>
    <t>お支払につきましては下記口座へお願いいたします。</t>
  </si>
  <si>
    <t>振込手数料につきましてはお客様ご負担にてお願い申し上げます。</t>
  </si>
  <si>
    <t>■振込先</t>
  </si>
  <si>
    <t>銀行名：</t>
  </si>
  <si>
    <t>住信ＳＢＩネット銀行（金融機関コード0038）</t>
  </si>
  <si>
    <t>支店名：</t>
  </si>
  <si>
    <t>法人第一支店（支店コード106）</t>
  </si>
  <si>
    <t>口座番号：</t>
  </si>
  <si>
    <t>普通 2555848</t>
  </si>
  <si>
    <t>口座名義：</t>
  </si>
  <si>
    <t>株式会社AA ええすまい塚本</t>
  </si>
  <si>
    <t>カ）エーエー</t>
  </si>
  <si>
    <t>請求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</si>
  <si>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</si>
  <si>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</si>
  <si>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</si>
  <si>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</si>
  <si>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</si>
  <si>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</si>
  <si>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</si>
  <si>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</si>
  <si>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</si>
  <si>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</si>
  <si>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</si>
  <si>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</si>
  <si>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</si>
  <si>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</si>
  <si>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</si>
  <si>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</si>
  <si>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</si>
  <si>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</si>
  <si>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</si>
  <si>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</si>
  <si>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</si>
  <si>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</si>
  <si>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</si>
  <si>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</si>
  <si>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</si>
  <si>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分納残</t>
  </si>
  <si>
    <t>管理費</t>
  </si>
  <si>
    <t>共益費</t>
  </si>
  <si>
    <t>水道料金</t>
  </si>
  <si>
    <t>定額光熱費</t>
  </si>
  <si>
    <t>食事</t>
  </si>
  <si>
    <t>調整額</t>
  </si>
  <si>
    <t>オムツ</t>
  </si>
  <si>
    <t>日用品</t>
  </si>
  <si>
    <t>分割支払い</t>
  </si>
  <si>
    <t>事務手数料</t>
  </si>
  <si>
    <t>デイサービス</t>
  </si>
  <si>
    <t>福祉用具</t>
  </si>
  <si>
    <t>しろくま薬局</t>
  </si>
  <si>
    <t>往診診療費</t>
  </si>
  <si>
    <t>サポート費</t>
  </si>
  <si>
    <t>その他</t>
  </si>
  <si>
    <t>計</t>
  </si>
  <si>
    <t>一部負担(介護)</t>
  </si>
  <si>
    <t>一部負担(看護)</t>
  </si>
  <si>
    <t>合計</t>
  </si>
  <si>
    <t>請求書</t>
  </si>
  <si>
    <t>分割残高</t>
  </si>
  <si>
    <t>未作成</t>
  </si>
  <si>
    <t>9〇</t>
  </si>
  <si>
    <t>奥谷國治</t>
  </si>
  <si>
    <t>3〇</t>
  </si>
  <si>
    <t>11○</t>
  </si>
  <si>
    <t>加藤敬子</t>
  </si>
  <si>
    <t>10〇+初期1万</t>
  </si>
  <si>
    <t>13-15</t>
  </si>
  <si>
    <t>櫻井榮治</t>
  </si>
  <si>
    <t>10○+初期1万</t>
  </si>
  <si>
    <t>11-13万</t>
  </si>
  <si>
    <t>分納残高</t>
  </si>
  <si>
    <t>8月家賃</t>
  </si>
  <si>
    <t>8月管理費</t>
  </si>
  <si>
    <t>8月共益費</t>
  </si>
  <si>
    <t>8月水道料金</t>
  </si>
  <si>
    <t>介護一部負担</t>
  </si>
  <si>
    <t>介護保険料</t>
  </si>
  <si>
    <t>健康保険料</t>
  </si>
  <si>
    <t>外部利用</t>
  </si>
  <si>
    <t>6月一部負担</t>
  </si>
  <si>
    <t>作成中</t>
  </si>
  <si>
    <t>家族郵送</t>
  </si>
  <si>
    <t>発行済</t>
  </si>
  <si>
    <t>13丸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</si>
</sst>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"/>
    <numFmt numFmtId="165" formatCode="yyyy&quot;年&quot;m&quot;月&quot;d&quot;日&quot;"/>
    <numFmt numFmtId="166" formatCode="月分"/>
    <numFmt numFmtId="167" formatCode="&quot;¥&quot;#,##0;[Red]&quot;¥&quot;\-#,##0"/>
    <numFmt numFmtId="168" formatCode="&quot;¥&quot;#,##0;&quot;¥&quot;\-#,##0"/>
    <numFmt numFmtId="169" formatCode="0月分"/>
    <numFmt numFmtId="170" formatCode="&quot;¥&quot;#,##0\-_ ;&quot;¥&quot;\-#,##0\-_ ;_ &quot;¥&quot;* &quot;-&quot;_ ;_ @_ "/>
    <numFmt numFmtId="171" formatCode="[$-F800]dddd\,\ mmmm\ dd\,\ yyyy"/>
    <numFmt numFmtId="172" formatCode="0月ご利用分"/>
    <numFmt numFmtId="173" formatCode="yyyy/MM/dd"/>
    <numFmt numFmtId="174" formatCode="[$¥]#,##0"/>
    <numFmt numFmtId="175" formatCode="[$¥-411]#,##0"/>
    <numFmt numFmtId="176" formatCode="m-d"/>
  </numFmts>
  <fonts count="3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sz val="20.0"/>
      <color theme="1"/>
      <name val="游ゴシック"/>
    </font>
    <font>
      <sz val="11.0"/>
      <color theme="1"/>
      <name val="游ゴシック"/>
    </font>
    <font>
      <b/>
      <u/>
      <sz val="20.0"/>
      <color theme="1"/>
      <name val="游ゴシック"/>
    </font>
    <font>
      <sz val="14.0"/>
      <color theme="1"/>
      <name val="游ゴシック"/>
    </font>
    <font>
      <b/>
      <sz val="11.0"/>
      <color theme="1"/>
      <name val="游ゴシック"/>
    </font>
    <font/>
    <font>
      <sz val="10.0"/>
      <color theme="1"/>
      <name val="游ゴシック"/>
    </font>
    <font>
      <b/>
      <sz val="12.0"/>
      <color theme="1"/>
      <name val="游ゴシック"/>
    </font>
    <font>
      <b/>
      <sz val="18.0"/>
      <color theme="1"/>
      <name val="游ゴシック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游ゴシック"/>
    </font>
    <font>
      <sz val="12.0"/>
      <color rgb="FFFF0000"/>
      <name val="Arial"/>
    </font>
    <font>
      <sz val="9.0"/>
      <color theme="1"/>
      <name val="Arial"/>
    </font>
    <font>
      <color theme="1"/>
      <name val="Meiryo"/>
    </font>
    <font>
      <sz val="14.0"/>
      <color theme="1"/>
      <name val="Arial"/>
    </font>
    <font>
      <sz val="14.0"/>
      <color theme="1"/>
      <name val="游ゴシック light"/>
    </font>
    <font>
      <sz val="24.0"/>
      <color theme="1"/>
      <name val="游ゴシック light"/>
    </font>
    <font>
      <sz val="11.0"/>
      <color theme="1"/>
      <name val="游ゴシック light"/>
    </font>
    <font>
      <u/>
      <sz val="14.0"/>
      <color theme="1"/>
      <name val="游ゴシック light"/>
    </font>
    <font>
      <sz val="18.0"/>
      <color theme="1"/>
      <name val="游ゴシック light"/>
    </font>
    <font>
      <sz val="28.0"/>
      <color theme="1"/>
      <name val="游ゴシック light"/>
    </font>
    <font>
      <sz val="9.0"/>
      <color theme="1"/>
      <name val="游ゴシック light"/>
    </font>
    <font>
      <sz val="12.0"/>
      <color theme="1"/>
      <name val="游ゴシック light"/>
    </font>
    <font>
      <b/>
      <sz val="16.0"/>
      <color theme="1"/>
      <name val="游ゴシック light"/>
    </font>
    <font>
      <sz val="16.0"/>
      <color theme="1"/>
      <name val="游ゴシック light"/>
    </font>
    <font>
      <sz val="13.0"/>
      <color theme="1"/>
      <name val="Calibri"/>
    </font>
    <font>
      <sz val="9.0"/>
      <color theme="1"/>
      <name val="游ゴシック"/>
    </font>
    <font>
      <sz val="11.0"/>
      <color theme="1"/>
      <name val="Calibri"/>
    </font>
    <font>
      <b/>
      <sz val="15.0"/>
      <color theme="1"/>
      <name val="Arial"/>
    </font>
    <font>
      <b/>
      <color rgb="FFFF0000"/>
      <name val="Arial"/>
    </font>
    <font>
      <color rgb="FF000000"/>
      <name val="Arial"/>
    </font>
    <font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center"/>
    </xf>
    <xf borderId="0" fillId="0" fontId="4" numFmtId="165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2" fillId="0" fontId="7" numFmtId="166" xfId="0" applyAlignment="1" applyBorder="1" applyFont="1" applyNumberFormat="1">
      <alignment horizontal="center" vertical="center"/>
    </xf>
    <xf borderId="3" fillId="0" fontId="8" numFmtId="0" xfId="0" applyBorder="1" applyFont="1"/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4" fillId="3" fontId="4" numFmtId="0" xfId="0" applyAlignment="1" applyBorder="1" applyFont="1">
      <alignment horizontal="center" vertical="center"/>
    </xf>
    <xf borderId="5" fillId="0" fontId="8" numFmtId="0" xfId="0" applyBorder="1" applyFont="1"/>
    <xf borderId="4" fillId="0" fontId="11" numFmtId="167" xfId="0" applyAlignment="1" applyBorder="1" applyFont="1" applyNumberFormat="1">
      <alignment horizontal="center" vertical="center"/>
    </xf>
    <xf borderId="6" fillId="0" fontId="8" numFmtId="0" xfId="0" applyBorder="1" applyFont="1"/>
    <xf borderId="0" fillId="0" fontId="10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7" fillId="3" fontId="12" numFmtId="0" xfId="0" applyAlignment="1" applyBorder="1" applyFont="1">
      <alignment horizontal="center"/>
    </xf>
    <xf borderId="8" fillId="0" fontId="8" numFmtId="0" xfId="0" applyBorder="1" applyFont="1"/>
    <xf borderId="8" fillId="3" fontId="12" numFmtId="0" xfId="0" applyAlignment="1" applyBorder="1" applyFont="1">
      <alignment horizontal="center"/>
    </xf>
    <xf borderId="9" fillId="0" fontId="8" numFmtId="0" xfId="0" applyBorder="1" applyFont="1"/>
    <xf borderId="10" fillId="0" fontId="13" numFmtId="168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0" fillId="0" fontId="13" numFmtId="168" xfId="0" applyAlignment="1" applyFont="1" applyNumberFormat="1">
      <alignment horizontal="right"/>
    </xf>
    <xf borderId="0" fillId="0" fontId="13" numFmtId="169" xfId="0" applyAlignment="1" applyFont="1" applyNumberFormat="1">
      <alignment horizontal="center"/>
    </xf>
    <xf borderId="11" fillId="0" fontId="8" numFmtId="0" xfId="0" applyBorder="1" applyFont="1"/>
    <xf borderId="10" fillId="3" fontId="13" numFmtId="168" xfId="0" applyAlignment="1" applyBorder="1" applyFont="1" applyNumberFormat="1">
      <alignment horizontal="center"/>
    </xf>
    <xf borderId="0" fillId="3" fontId="13" numFmtId="167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3" fontId="13" numFmtId="168" xfId="0" applyAlignment="1" applyFont="1" applyNumberFormat="1">
      <alignment horizontal="right"/>
    </xf>
    <xf borderId="0" fillId="3" fontId="13" numFmtId="169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3" fontId="13" numFmtId="168" xfId="0" applyFont="1" applyNumberFormat="1"/>
    <xf borderId="0" fillId="0" fontId="15" numFmtId="168" xfId="0" applyFont="1" applyNumberFormat="1"/>
    <xf borderId="0" fillId="0" fontId="13" numFmtId="168" xfId="0" applyFont="1" applyNumberFormat="1"/>
    <xf borderId="0" fillId="2" fontId="14" numFmtId="0" xfId="0" applyAlignment="1" applyFont="1">
      <alignment vertical="center"/>
    </xf>
    <xf borderId="0" fillId="0" fontId="13" numFmtId="168" xfId="0" applyAlignment="1" applyFont="1" applyNumberFormat="1">
      <alignment horizontal="center"/>
    </xf>
    <xf borderId="0" fillId="3" fontId="13" numFmtId="168" xfId="0" applyAlignment="1" applyFont="1" applyNumberFormat="1">
      <alignment horizontal="center"/>
    </xf>
    <xf borderId="10" fillId="3" fontId="13" numFmtId="168" xfId="0" applyBorder="1" applyFont="1" applyNumberFormat="1"/>
    <xf borderId="0" fillId="3" fontId="13" numFmtId="169" xfId="0" applyFont="1" applyNumberFormat="1"/>
    <xf borderId="10" fillId="0" fontId="1" numFmtId="168" xfId="0" applyBorder="1" applyFont="1" applyNumberFormat="1"/>
    <xf borderId="0" fillId="0" fontId="1" numFmtId="168" xfId="0" applyFont="1" applyNumberFormat="1"/>
    <xf borderId="0" fillId="0" fontId="1" numFmtId="169" xfId="0" applyFont="1" applyNumberFormat="1"/>
    <xf borderId="12" fillId="3" fontId="13" numFmtId="168" xfId="0" applyAlignment="1" applyBorder="1" applyFont="1" applyNumberFormat="1">
      <alignment horizontal="center"/>
    </xf>
    <xf borderId="13" fillId="0" fontId="8" numFmtId="0" xfId="0" applyBorder="1" applyFont="1"/>
    <xf borderId="13" fillId="3" fontId="13" numFmtId="168" xfId="0" applyAlignment="1" applyBorder="1" applyFont="1" applyNumberFormat="1">
      <alignment horizontal="right"/>
    </xf>
    <xf borderId="13" fillId="3" fontId="1" numFmtId="167" xfId="0" applyBorder="1" applyFont="1" applyNumberFormat="1"/>
    <xf borderId="14" fillId="0" fontId="8" numFmtId="0" xfId="0" applyBorder="1" applyFont="1"/>
    <xf borderId="0" fillId="0" fontId="16" numFmtId="0" xfId="0" applyFont="1"/>
    <xf borderId="0" fillId="0" fontId="1" numFmtId="167" xfId="0" applyFont="1" applyNumberFormat="1"/>
    <xf borderId="0" fillId="0" fontId="1" numFmtId="0" xfId="0" applyFont="1"/>
    <xf borderId="4" fillId="2" fontId="17" numFmtId="0" xfId="0" applyAlignment="1" applyBorder="1" applyFont="1">
      <alignment horizontal="center"/>
    </xf>
    <xf borderId="4" fillId="0" fontId="13" numFmtId="167" xfId="0" applyAlignment="1" applyBorder="1" applyFont="1" applyNumberFormat="1">
      <alignment horizontal="right"/>
    </xf>
    <xf borderId="4" fillId="3" fontId="13" numFmtId="168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0" fillId="3" fontId="14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right" vertical="center"/>
    </xf>
    <xf borderId="0" fillId="0" fontId="19" numFmtId="49" xfId="0" applyAlignment="1" applyFont="1" applyNumberFormat="1">
      <alignment horizontal="center" vertical="center"/>
    </xf>
    <xf borderId="0" fillId="0" fontId="22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13" fillId="0" fontId="23" numFmtId="0" xfId="0" applyAlignment="1" applyBorder="1" applyFont="1">
      <alignment horizontal="center" vertical="center"/>
    </xf>
    <xf borderId="15" fillId="4" fontId="19" numFmtId="0" xfId="0" applyAlignment="1" applyBorder="1" applyFill="1" applyFont="1">
      <alignment vertical="center"/>
    </xf>
    <xf borderId="16" fillId="4" fontId="24" numFmtId="170" xfId="0" applyAlignment="1" applyBorder="1" applyFont="1" applyNumberFormat="1">
      <alignment horizontal="center" vertical="center"/>
    </xf>
    <xf borderId="17" fillId="0" fontId="8" numFmtId="0" xfId="0" applyBorder="1" applyFont="1"/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0" fillId="0" fontId="27" numFmtId="171" xfId="0" applyAlignment="1" applyFont="1" applyNumberFormat="1">
      <alignment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21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18" fillId="5" fontId="14" numFmtId="0" xfId="0" applyAlignment="1" applyBorder="1" applyFill="1" applyFont="1">
      <alignment horizontal="center" vertical="center"/>
    </xf>
    <xf borderId="19" fillId="0" fontId="8" numFmtId="0" xfId="0" applyBorder="1" applyFont="1"/>
    <xf borderId="18" fillId="5" fontId="4" numFmtId="0" xfId="0" applyAlignment="1" applyBorder="1" applyFont="1">
      <alignment horizontal="center" vertical="center"/>
    </xf>
    <xf borderId="20" fillId="0" fontId="8" numFmtId="0" xfId="0" applyBorder="1" applyFont="1"/>
    <xf borderId="12" fillId="0" fontId="14" numFmtId="168" xfId="0" applyAlignment="1" applyBorder="1" applyFont="1" applyNumberFormat="1">
      <alignment horizontal="center" shrinkToFit="1" vertical="center" wrapText="0"/>
    </xf>
    <xf borderId="12" fillId="0" fontId="14" numFmtId="167" xfId="0" applyAlignment="1" applyBorder="1" applyFont="1" applyNumberFormat="1">
      <alignment horizontal="right" vertical="center"/>
    </xf>
    <xf borderId="4" fillId="0" fontId="14" numFmtId="165" xfId="0" applyAlignment="1" applyBorder="1" applyFont="1" applyNumberFormat="1">
      <alignment horizontal="center" vertical="center"/>
    </xf>
    <xf borderId="12" fillId="0" fontId="29" numFmtId="172" xfId="0" applyAlignment="1" applyBorder="1" applyFont="1" applyNumberFormat="1">
      <alignment horizontal="center" vertical="center"/>
    </xf>
    <xf borderId="8" fillId="0" fontId="30" numFmtId="0" xfId="0" applyAlignment="1" applyBorder="1" applyFont="1">
      <alignment horizontal="left" vertical="center"/>
    </xf>
    <xf borderId="0" fillId="0" fontId="31" numFmtId="0" xfId="0" applyAlignment="1" applyFont="1">
      <alignment vertical="center"/>
    </xf>
    <xf borderId="0" fillId="0" fontId="32" numFmtId="173" xfId="0" applyAlignment="1" applyFont="1" applyNumberFormat="1">
      <alignment horizontal="right"/>
    </xf>
    <xf borderId="0" fillId="0" fontId="32" numFmtId="0" xfId="0" applyFont="1"/>
    <xf borderId="0" fillId="0" fontId="2" numFmtId="0" xfId="0" applyFont="1"/>
    <xf borderId="1" fillId="3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1" fillId="6" fontId="33" numFmtId="0" xfId="0" applyAlignment="1" applyBorder="1" applyFont="1">
      <alignment horizontal="center"/>
    </xf>
    <xf borderId="1" fillId="3" fontId="34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174" xfId="0" applyBorder="1" applyFont="1" applyNumberFormat="1"/>
    <xf borderId="1" fillId="2" fontId="2" numFmtId="174" xfId="0" applyBorder="1" applyFont="1" applyNumberFormat="1"/>
    <xf borderId="1" fillId="2" fontId="33" numFmtId="174" xfId="0" applyBorder="1" applyFont="1" applyNumberFormat="1"/>
    <xf borderId="1" fillId="8" fontId="2" numFmtId="174" xfId="0" applyBorder="1" applyFill="1" applyFont="1" applyNumberFormat="1"/>
    <xf borderId="1" fillId="2" fontId="35" numFmtId="174" xfId="0" applyBorder="1" applyFont="1" applyNumberFormat="1"/>
    <xf borderId="1" fillId="2" fontId="34" numFmtId="174" xfId="0" applyBorder="1" applyFont="1" applyNumberFormat="1"/>
    <xf borderId="1" fillId="3" fontId="34" numFmtId="174" xfId="0" applyBorder="1" applyFont="1" applyNumberFormat="1"/>
    <xf borderId="1" fillId="9" fontId="1" numFmtId="174" xfId="0" applyBorder="1" applyFill="1" applyFont="1" applyNumberFormat="1"/>
    <xf borderId="1" fillId="7" fontId="1" numFmtId="174" xfId="0" applyBorder="1" applyFont="1" applyNumberFormat="1"/>
    <xf borderId="0" fillId="0" fontId="1" numFmtId="174" xfId="0" applyFont="1" applyNumberFormat="1"/>
    <xf borderId="1" fillId="0" fontId="1" numFmtId="174" xfId="0" applyBorder="1" applyFont="1" applyNumberFormat="1"/>
    <xf borderId="1" fillId="2" fontId="1" numFmtId="175" xfId="0" applyBorder="1" applyFont="1" applyNumberFormat="1"/>
    <xf borderId="1" fillId="2" fontId="33" numFmtId="175" xfId="0" applyBorder="1" applyFont="1" applyNumberFormat="1"/>
    <xf borderId="1" fillId="0" fontId="1" numFmtId="175" xfId="0" applyBorder="1" applyFont="1" applyNumberFormat="1"/>
    <xf borderId="1" fillId="2" fontId="2" numFmtId="175" xfId="0" applyBorder="1" applyFont="1" applyNumberFormat="1"/>
    <xf borderId="1" fillId="0" fontId="1" numFmtId="0" xfId="0" applyBorder="1" applyFont="1"/>
    <xf borderId="1" fillId="10" fontId="1" numFmtId="174" xfId="0" applyBorder="1" applyFill="1" applyFont="1" applyNumberFormat="1"/>
    <xf borderId="0" fillId="0" fontId="1" numFmtId="0" xfId="0" applyAlignment="1" applyFont="1">
      <alignment horizontal="left"/>
    </xf>
    <xf borderId="1" fillId="11" fontId="1" numFmtId="174" xfId="0" applyBorder="1" applyFill="1" applyFont="1" applyNumberFormat="1"/>
    <xf borderId="0" fillId="2" fontId="1" numFmtId="174" xfId="0" applyFont="1" applyNumberFormat="1"/>
    <xf borderId="0" fillId="2" fontId="1" numFmtId="0" xfId="0" applyFont="1"/>
    <xf borderId="1" fillId="7" fontId="33" numFmtId="174" xfId="0" applyBorder="1" applyFont="1" applyNumberFormat="1"/>
    <xf borderId="0" fillId="3" fontId="1" numFmtId="174" xfId="0" applyFont="1" applyNumberFormat="1"/>
    <xf borderId="0" fillId="0" fontId="1" numFmtId="176" xfId="0" applyAlignment="1" applyFont="1" applyNumberFormat="1">
      <alignment horizontal="left"/>
    </xf>
    <xf borderId="1" fillId="7" fontId="2" numFmtId="174" xfId="0" applyBorder="1" applyFont="1" applyNumberFormat="1"/>
    <xf borderId="0" fillId="0" fontId="1" numFmtId="176" xfId="0" applyFont="1" applyNumberFormat="1"/>
    <xf borderId="1" fillId="8" fontId="1" numFmtId="174" xfId="0" applyBorder="1" applyFont="1" applyNumberFormat="1"/>
    <xf borderId="1" fillId="9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5" numFmtId="0" xfId="0" applyFont="1"/>
    <xf borderId="0" fillId="7" fontId="1" numFmtId="0" xfId="0" applyFont="1"/>
    <xf borderId="1" fillId="2" fontId="1" numFmtId="17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3</xdr:row>
      <xdr:rowOff>38100</xdr:rowOff>
    </xdr:from>
    <xdr:ext cx="790575" cy="78105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3" name="Shape 3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</xdr:row>
      <xdr:rowOff>142875</xdr:rowOff>
    </xdr:from>
    <xdr:ext cx="828675" cy="8096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5" name="Shape 5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333375</xdr:colOff>
      <xdr:row>8</xdr:row>
      <xdr:rowOff>66675</xdr:rowOff>
    </xdr:from>
    <xdr:ext cx="904875" cy="8667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c3777b30-ed03-4f6f-9b79-dff5f18e4e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21T02:42:43.00" personId="{c3777b30-ed03-4f6f-9b79-dff5f18e4ec2}" id="{fd6bcd80-8598-4e63-a5e8-f7b2842d0d56}" done="0">
    <x18tc:text xml:space="preserve">363円/1日</x18tc:text>
  </x18tc:threadedComment>
  <x18tc:threadedComment ref="A1" dT="2025-08-21T02:40:08.00" personId="{c3777b30-ed03-4f6f-9b79-dff5f18e4ec2}" id="{9caa8d68-e7a0-488e-af7d-3c78747667e7}" done="0">
    <x18tc:text xml:space="preserve">363円/1日</x18tc:text>
  </x18tc:threadedComment>
  <x18tc:threadedComment ref="A1" dT="2025-08-21T02:42:00.00" personId="{c3777b30-ed03-4f6f-9b79-dff5f18e4ec2}" id="{e8aebaef-d4ec-4761-b7f7-e4d86f5843cf}" done="0">
    <x18tc:text xml:space="preserve">73円/1日</x18tc:text>
  </x18tc:threadedComment>
  <x18tc:threadedComment ref="A1" dT="2025-08-21T02:41:33.00" personId="{c3777b30-ed03-4f6f-9b79-dff5f18e4ec2}" id="{826e025a-ec4c-4e1d-af2c-9efc456644df}" done="0">
    <x18tc:text xml:space="preserve">73円/1日</x18tc:text>
  </x18tc:threadedComment>
  <x18tc:threadedComment ref="A1" dT="2025-08-21T02:42:24.00" personId="{c3777b30-ed03-4f6f-9b79-dff5f18e4ec2}" id="{37fec574-060d-451e-b832-1d90222ab426}" done="0">
    <x18tc:text xml:space="preserve">73円/1日</x18tc:text>
  </x18tc:threadedComment>
  <x18tc:threadedComment ref="A1" dT="2025-08-21T02:41:19.00" personId="{c3777b30-ed03-4f6f-9b79-dff5f18e4ec2}" id="{0f7637ce-e7b1-46a2-9c62-0950c0dd51e7}" done="0">
    <x18tc:text xml:space="preserve">121円/1日</x18tc:text>
  </x18tc:threadedComment>
  <x18tc:threadedComment ref="A1" dT="2025-08-21T02:42:15.00" personId="{c3777b30-ed03-4f6f-9b79-dff5f18e4ec2}" id="{fbb9ebc9-1df7-4876-9db4-37faad7868c2}" done="0">
    <x18tc:text xml:space="preserve">73円/1日</x18tc:text>
  </x18tc:threadedComment>
  <x18tc:threadedComment ref="A1" dT="2025-08-21T02:41:50.00" personId="{c3777b30-ed03-4f6f-9b79-dff5f18e4ec2}" id="{e42e4d8d-21c6-4ac0-a77c-7cceb543336c}" done="0">
    <x18tc:text xml:space="preserve">121円/1日</x18tc:text>
  </x18tc:threadedComment>
  <x18tc:threadedComment ref="A1" dT="2025-08-21T02:39:51.00" personId="{c3777b30-ed03-4f6f-9b79-dff5f18e4ec2}" id="{8e55c686-23f3-4f97-b0ad-25ee610d61da}" done="0">
    <x18tc:text xml:space="preserve">73円/1日</x18tc:text>
  </x18tc:threadedComment>
  <x18tc:threadedComment ref="A1" dT="2025-07-21T02:28:38.00" personId="{c3777b30-ed03-4f6f-9b79-dff5f18e4ec2}" id="{3e203c55-f883-4d68-ac17-083df3016262}" done="1">
    <x18tc:text xml:space="preserve">初期費用全て分割</x18tc:text>
  </x18tc:threadedComment>
  <x18tc:threadedComment ref="A1" dT="2025-08-21T02:42:35.00" personId="{c3777b30-ed03-4f6f-9b79-dff5f18e4ec2}" id="{4013e2bc-c0f2-49d5-94e7-ab4cd3b02124}" done="0">
    <x18tc:text xml:space="preserve">363円/1日</x18tc:text>
  </x18tc:threadedComment>
  <x18tc:threadedComment ref="A1" dT="2025-08-21T02:39:33.00" personId="{c3777b30-ed03-4f6f-9b79-dff5f18e4ec2}" id="{27d39fbd-1761-47a4-91b0-362a43f9223c}" done="0">
    <x18tc:text xml:space="preserve">73円/1日</x18tc:text>
  </x18tc:threadedComment>
  <x18tc:threadedComment ref="A1" dT="2025-08-21T02:39:02.00" personId="{c3777b30-ed03-4f6f-9b79-dff5f18e4ec2}" id="{391f1e03-e512-46e0-9d9a-4299b7d4b32e}" done="0">
    <x18tc:text xml:space="preserve">363円/1日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" dT="2025-09-16T02:24:43.00" personId="{c3777b30-ed03-4f6f-9b79-dff5f18e4ec2}" id="{e7eb898c-655f-4ebd-be96-4b669e538b71}" done="0">
    <x18tc:text xml:space="preserve">363円/1日</x18tc:text>
  </x18tc:threadedComment>
  <x18tc:threadedComment ref="L5" dT="2025-09-16T02:25:18.00" personId="{c3777b30-ed03-4f6f-9b79-dff5f18e4ec2}" id="{9d174311-a194-4aef-80dd-e4d5e6e192e2}" done="0">
    <x18tc:text xml:space="preserve">73円/1日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5-08-25T01:57:11.00" personId="{c3777b30-ed03-4f6f-9b79-dff5f18e4ec2}" id="{e02566db-b67d-4189-a9fc-3e6062af6146}" done="0">
    <x18tc:text xml:space="preserve">73円/1日</x18tc:text>
  </x18tc:threadedComment>
  <x18tc:threadedComment ref="K5" dT="2025-08-25T01:57:04.00" personId="{c3777b30-ed03-4f6f-9b79-dff5f18e4ec2}" id="{0674a9d2-071c-4d79-8fdc-68f609fdd704}" done="0">
    <x18tc:text xml:space="preserve">363円/1日</x18tc:text>
  </x18tc:threadedComment>
  <x18tc:threadedComment ref="K8" dT="2025-08-25T01:56:06.00" personId="{c3777b30-ed03-4f6f-9b79-dff5f18e4ec2}" id="{e0af0efe-3e62-4ecd-a9b2-c27f4f2cb684}" done="0">
    <x18tc:text xml:space="preserve">363円/1日</x18tc:text>
  </x18tc:threadedComment>
  <x18tc:threadedComment ref="K12" dT="2025-08-25T02:05:46.00" personId="{c3777b30-ed03-4f6f-9b79-dff5f18e4ec2}" id="{469fa5e9-f377-4882-85e3-eaba8b2e423e}" done="0">
    <x18tc:text xml:space="preserve">242円/1日</x18tc:text>
  </x18tc:threadedComment>
  <x18tc:threadedComment ref="J3" dT="2025-08-27T04:16:54.00" personId="{c3777b30-ed03-4f6f-9b79-dff5f18e4ec2}" id="{1c810f12-9e03-401f-b46f-02286c9b3a5b}" done="0">
    <x18tc:text xml:space="preserve">過入金調整</x18tc:text>
  </x18tc:threadedComment>
  <x18tc:threadedComment ref="L12" dT="2025-08-25T02:05:52.00" personId="{c3777b30-ed03-4f6f-9b79-dff5f18e4ec2}" id="{b05d7f96-119c-4c9b-b25d-5d14c8e9a200}" done="0">
    <x18tc:text xml:space="preserve">73円/1日</x18tc:text>
  </x18tc:threadedComment>
  <x18tc:threadedComment ref="L8" dT="2025-08-25T01:56:17.00" personId="{c3777b30-ed03-4f6f-9b79-dff5f18e4ec2}" id="{f5d1992e-75c3-4eb4-9082-a5b573e325aa}" done="0">
    <x18tc:text xml:space="preserve">73円/1日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5-07-21T05:49:07.00" personId="{c3777b30-ed03-4f6f-9b79-dff5f18e4ec2}" id="{50760868-36df-43de-8707-770be1547a1f}" done="0">
    <x18tc:text xml:space="preserve">73円/1日</x18tc:text>
  </x18tc:threadedComment>
  <x18tc:threadedComment ref="B5" dT="2025-07-21T05:52:44.00" personId="{c3777b30-ed03-4f6f-9b79-dff5f18e4ec2}" id="{f7790f62-c19d-40b8-bc00-b8ae27ca1f7f}" done="0">
    <x18tc:text xml:space="preserve">2025/7/17入居</x18tc:text>
  </x18tc:threadedComment>
  <x18tc:threadedComment ref="J5" dT="2025-07-21T05:50:23.00" personId="{c3777b30-ed03-4f6f-9b79-dff5f18e4ec2}" id="{0956bcc0-4f02-431c-92ac-bdc2568422e2}" done="0">
    <x18tc:text xml:space="preserve">363円/1日</x18tc:text>
  </x18tc:threadedComment>
  <x18tc:threadedComment ref="J8" dT="2025-07-21T05:50:32.00" personId="{c3777b30-ed03-4f6f-9b79-dff5f18e4ec2}" id="{21e9ebf5-11e6-4408-ac96-6112a42a2a37}" done="0">
    <x18tc:text xml:space="preserve">363円/1日</x18tc:text>
  </x18tc:threadedComment>
  <x18tc:threadedComment ref="K5" dT="2025-07-21T05:48:55.00" personId="{c3777b30-ed03-4f6f-9b79-dff5f18e4ec2}" id="{128868d6-ec6e-4d19-9f24-450750a4886b}" done="0">
    <x18tc:text xml:space="preserve">73円/1日</x18tc:text>
  </x18tc:threadedComment>
  <x18tc:threadedComment ref="B8" dT="2025-07-21T05:52:33.00" personId="{c3777b30-ed03-4f6f-9b79-dff5f18e4ec2}" id="{5af48702-f70a-4dcf-8586-2185ea91134e}" done="0">
    <x18tc:text xml:space="preserve">2025/7/7入居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>
        <v>608.0</v>
      </c>
      <c r="B2" s="2" t="s">
        <v>2</v>
      </c>
    </row>
    <row r="3" ht="15.75" customHeight="1">
      <c r="A3" s="1">
        <v>703.0</v>
      </c>
      <c r="B3" s="1" t="s">
        <v>3</v>
      </c>
    </row>
    <row r="4" ht="15.75" customHeight="1">
      <c r="A4" s="1">
        <v>801.0</v>
      </c>
      <c r="B4" s="1"/>
    </row>
    <row r="5" ht="15.75" customHeight="1">
      <c r="A5" s="1">
        <v>813.0</v>
      </c>
      <c r="B5" s="1" t="s">
        <v>4</v>
      </c>
    </row>
    <row r="6" ht="15.75" customHeight="1">
      <c r="A6" s="1">
        <v>906.0</v>
      </c>
      <c r="B6" s="1" t="s">
        <v>5</v>
      </c>
    </row>
    <row r="7" ht="15.75" customHeight="1">
      <c r="A7" s="1">
        <v>913.0</v>
      </c>
      <c r="B7" s="1" t="s">
        <v>6</v>
      </c>
    </row>
    <row r="8" ht="15.75" customHeight="1">
      <c r="A8" s="1">
        <v>915.0</v>
      </c>
      <c r="B8" s="1" t="s">
        <v>7</v>
      </c>
    </row>
    <row r="9" ht="15.75" customHeight="1">
      <c r="A9" s="1">
        <v>1005.0</v>
      </c>
      <c r="B9" s="1"/>
    </row>
    <row r="10" ht="15.75" customHeight="1">
      <c r="A10" s="1">
        <v>1006.0</v>
      </c>
      <c r="B10" s="1" t="s">
        <v>8</v>
      </c>
    </row>
    <row r="11" ht="15.75" customHeight="1">
      <c r="A11" s="1">
        <v>1012.0</v>
      </c>
      <c r="B11" s="1"/>
    </row>
    <row r="12" ht="15.75" customHeight="1">
      <c r="A12" s="1" t="s">
        <v>9</v>
      </c>
      <c r="B12" s="1" t="s">
        <v>10</v>
      </c>
    </row>
    <row r="13" ht="15.75" customHeight="1">
      <c r="A13" s="1"/>
      <c r="B13" s="1"/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1" width="7.63"/>
    <col customWidth="1" min="12" max="26" width="7.13"/>
  </cols>
  <sheetData>
    <row r="1" ht="33.0" customHeight="1">
      <c r="A1" s="4" t="s">
        <v>11</v>
      </c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荒木のり子</v>
      </c>
      <c r="E2" s="8" t="s">
        <v>12</v>
      </c>
      <c r="F2" s="5"/>
      <c r="G2" s="5"/>
      <c r="H2" s="9" t="s">
        <v>13</v>
      </c>
      <c r="J2" s="10">
        <v>46056.0</v>
      </c>
      <c r="L2" s="11"/>
      <c r="M2" s="12" t="s">
        <v>14</v>
      </c>
      <c r="N2" s="1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14" t="s">
        <v>15</v>
      </c>
      <c r="N3" s="14">
        <v>2.0</v>
      </c>
      <c r="O3" s="5" t="s">
        <v>16</v>
      </c>
      <c r="P3" s="5">
        <v>1.0</v>
      </c>
      <c r="Q3" s="5" t="s">
        <v>17</v>
      </c>
      <c r="R3" s="5">
        <v>12.0</v>
      </c>
      <c r="S3" s="5"/>
      <c r="T3" s="5"/>
      <c r="U3" s="5"/>
      <c r="V3" s="5"/>
      <c r="W3" s="5"/>
      <c r="X3" s="5"/>
      <c r="Y3" s="5"/>
      <c r="Z3" s="5"/>
    </row>
    <row r="4" ht="18.75" customHeight="1">
      <c r="A4" s="15" t="s">
        <v>18</v>
      </c>
      <c r="F4" s="14">
        <v>1006.0</v>
      </c>
      <c r="G4" s="5" t="s">
        <v>19</v>
      </c>
      <c r="H4" s="16" t="s">
        <v>20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/>
      <c r="B5" s="14"/>
      <c r="C5" s="14"/>
      <c r="D5" s="5"/>
      <c r="E5" s="5"/>
      <c r="F5" s="5"/>
      <c r="G5" s="5"/>
      <c r="L5" s="17"/>
      <c r="M5" s="17" t="s">
        <v>21</v>
      </c>
      <c r="N5" s="17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18" t="s">
        <v>22</v>
      </c>
      <c r="B6" s="19"/>
      <c r="C6" s="20">
        <f>I34</f>
        <v>113345</v>
      </c>
      <c r="D6" s="21"/>
      <c r="E6" s="21"/>
      <c r="F6" s="21"/>
      <c r="G6" s="19"/>
      <c r="H6" s="22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23"/>
      <c r="M7" s="23"/>
      <c r="N7" s="2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23"/>
      <c r="M8" s="23"/>
      <c r="N8" s="2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4" t="s">
        <v>24</v>
      </c>
      <c r="B9" s="25"/>
      <c r="C9" s="26" t="s">
        <v>25</v>
      </c>
      <c r="D9" s="25"/>
      <c r="E9" s="26" t="s">
        <v>26</v>
      </c>
      <c r="F9" s="25"/>
      <c r="G9" s="26" t="s">
        <v>27</v>
      </c>
      <c r="H9" s="25"/>
      <c r="I9" s="26" t="s">
        <v>28</v>
      </c>
      <c r="J9" s="25"/>
      <c r="K9" s="2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28" t="str">
        <f t="array" ref="A10">INDIRECT(M$2&amp;"!D2")</f>
        <v>家賃</v>
      </c>
      <c r="C10" s="29">
        <f t="array" ref="C10">VLOOKUP(F$4,INDIRECT(M$2&amp;"!A3:Y109"),4,FALSE)</f>
        <v>40000</v>
      </c>
      <c r="E10" s="30" t="s">
        <v>29</v>
      </c>
      <c r="G10" s="31">
        <f t="shared" ref="G10:G28" si="1">C10</f>
        <v>40000</v>
      </c>
      <c r="I10" s="32">
        <f>N3</f>
        <v>2</v>
      </c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4" t="str">
        <f t="array" ref="A11">INDIRECT(M$2&amp;"!E2")</f>
        <v>管理費</v>
      </c>
      <c r="C11" s="35">
        <f t="array" ref="C11">VLOOKUP(F$4,INDIRECT(M$2&amp;"!A3:Y109"),5,FALSE)</f>
        <v>5000</v>
      </c>
      <c r="E11" s="36" t="s">
        <v>29</v>
      </c>
      <c r="G11" s="37">
        <f t="shared" si="1"/>
        <v>5000</v>
      </c>
      <c r="I11" s="38">
        <f>N3</f>
        <v>2</v>
      </c>
      <c r="K11" s="33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2.5" customHeight="1">
      <c r="A12" s="28" t="str">
        <f t="array" ref="A12">INDIRECT(M$2&amp;"!F2")</f>
        <v>共益費</v>
      </c>
      <c r="C12" s="29">
        <f t="array" ref="C12">VLOOKUP(F$4,INDIRECT(M$2&amp;"!A3:Y109"),6,FALSE)</f>
        <v>5000</v>
      </c>
      <c r="E12" s="30" t="s">
        <v>29</v>
      </c>
      <c r="G12" s="31">
        <f t="shared" si="1"/>
        <v>5000</v>
      </c>
      <c r="I12" s="32">
        <f>N3</f>
        <v>2</v>
      </c>
      <c r="K12" s="33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2.5" customHeight="1">
      <c r="A13" s="34" t="str">
        <f t="array" ref="A13">INDIRECT(M$2&amp;"!G2")</f>
        <v>水道料金</v>
      </c>
      <c r="C13" s="35">
        <f t="array" ref="C13">VLOOKUP(F$4,INDIRECT(M$2&amp;"!A3:Y109"),7,FALSE)</f>
        <v>2000</v>
      </c>
      <c r="E13" s="36" t="s">
        <v>29</v>
      </c>
      <c r="G13" s="37">
        <f t="shared" si="1"/>
        <v>2000</v>
      </c>
      <c r="I13" s="38">
        <f>N3</f>
        <v>2</v>
      </c>
      <c r="K13" s="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28" t="str">
        <f t="array" ref="A14">INDIRECT(M$2&amp;"!H2")</f>
        <v>定額光熱費</v>
      </c>
      <c r="C14" s="29">
        <f t="array" ref="C14">VLOOKUP(F$4,INDIRECT(M$2&amp;"!A3:Y109"),8,FALSE)</f>
        <v>10000</v>
      </c>
      <c r="E14" s="30" t="s">
        <v>29</v>
      </c>
      <c r="G14" s="31">
        <f t="shared" si="1"/>
        <v>10000</v>
      </c>
      <c r="I14" s="32">
        <f>N3</f>
        <v>2</v>
      </c>
      <c r="K14" s="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34" t="str">
        <f t="array" ref="A15">INDIRECT(M$2&amp;"!I2")</f>
        <v>食事</v>
      </c>
      <c r="C15" s="35">
        <f t="array" ref="C15">VLOOKUP(F$4,INDIRECT(M$2&amp;"!A3:Y109"),9,FALSE)</f>
        <v>31900</v>
      </c>
      <c r="E15" s="36" t="s">
        <v>29</v>
      </c>
      <c r="G15" s="40">
        <f t="shared" si="1"/>
        <v>31900</v>
      </c>
      <c r="I15" s="38">
        <f>P3</f>
        <v>1</v>
      </c>
      <c r="K15" s="33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28" t="str">
        <f t="array" ref="A16">INDIRECT(M$2&amp;"!J2")</f>
        <v>調整額</v>
      </c>
      <c r="C16" s="29" t="str">
        <f t="array" ref="C16">VLOOKUP(F$4,INDIRECT(M$2&amp;"!A3:Y109"),10,FALSE)</f>
        <v/>
      </c>
      <c r="E16" s="30" t="s">
        <v>29</v>
      </c>
      <c r="G16" s="41" t="str">
        <f t="shared" si="1"/>
        <v/>
      </c>
      <c r="I16" s="32">
        <f>P3</f>
        <v>1</v>
      </c>
      <c r="K16" s="33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22.5" customHeight="1">
      <c r="A17" s="34" t="str">
        <f t="array" ref="A17">INDIRECT(M$2&amp;"!K2")</f>
        <v>オムツ</v>
      </c>
      <c r="C17" s="35" t="str">
        <f t="array" ref="C17">VLOOKUP(F$4,INDIRECT(M$2&amp;"!A3:Y109"),11,FALSE)</f>
        <v/>
      </c>
      <c r="E17" s="36" t="s">
        <v>29</v>
      </c>
      <c r="G17" s="40" t="str">
        <f t="shared" si="1"/>
        <v/>
      </c>
      <c r="I17" s="38">
        <f>P3</f>
        <v>1</v>
      </c>
      <c r="K17" s="33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2.5" customHeight="1">
      <c r="A18" s="28" t="str">
        <f t="array" ref="A18">INDIRECT(M$2&amp;"!L2")</f>
        <v>日用品</v>
      </c>
      <c r="C18" s="29">
        <f t="array" ref="C18">VLOOKUP(F$4,INDIRECT(M$2&amp;"!A3:Y109"),12,FALSE)</f>
        <v>2263</v>
      </c>
      <c r="E18" s="30" t="s">
        <v>29</v>
      </c>
      <c r="G18" s="42">
        <f t="shared" si="1"/>
        <v>2263</v>
      </c>
      <c r="I18" s="32">
        <f>P3</f>
        <v>1</v>
      </c>
      <c r="K18" s="33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22.5" customHeight="1">
      <c r="A19" s="34" t="str">
        <f t="array" ref="A19">INDIRECT(M$2&amp;"!M2")</f>
        <v>分割支払い</v>
      </c>
      <c r="C19" s="35">
        <f t="array" ref="C19">VLOOKUP(F$4,INDIRECT(M$2&amp;"!A3:Y109"),13,FALSE)</f>
        <v>10000</v>
      </c>
      <c r="E19" s="36" t="s">
        <v>29</v>
      </c>
      <c r="G19" s="37">
        <f t="shared" si="1"/>
        <v>10000</v>
      </c>
      <c r="I19" s="38">
        <f>P3</f>
        <v>1</v>
      </c>
      <c r="K19" s="33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43"/>
      <c r="X19" s="39"/>
      <c r="Y19" s="39"/>
      <c r="Z19" s="39"/>
    </row>
    <row r="20" ht="22.5" customHeight="1">
      <c r="A20" s="28" t="str">
        <f t="array" ref="A20">INDIRECT(M$2&amp;"!N2")</f>
        <v>事務手数料</v>
      </c>
      <c r="C20" s="29" t="str">
        <f t="array" ref="C20">VLOOKUP(F$4,INDIRECT(M$2&amp;"!A3:Y109"),14,FALSE)</f>
        <v/>
      </c>
      <c r="E20" s="30" t="s">
        <v>29</v>
      </c>
      <c r="G20" s="31" t="str">
        <f t="shared" si="1"/>
        <v/>
      </c>
      <c r="I20" s="32">
        <f>P3</f>
        <v>1</v>
      </c>
      <c r="K20" s="33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22.5" customHeight="1">
      <c r="A21" s="34" t="str">
        <f t="array" ref="A21">INDIRECT(M$2&amp;"!O2")</f>
        <v>デイサービス</v>
      </c>
      <c r="C21" s="35" t="str">
        <f t="array" ref="C21">VLOOKUP(F$4,INDIRECT(M$2&amp;"!A3:Y109"),15,FALSE)</f>
        <v/>
      </c>
      <c r="E21" s="36" t="s">
        <v>29</v>
      </c>
      <c r="G21" s="37" t="str">
        <f t="shared" si="1"/>
        <v/>
      </c>
      <c r="I21" s="38">
        <f>R3</f>
        <v>12</v>
      </c>
      <c r="K21" s="33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22.5" customHeight="1">
      <c r="A22" s="28" t="str">
        <f t="array" ref="A22">INDIRECT(M$2&amp;"!P2")</f>
        <v>福祉用具</v>
      </c>
      <c r="C22" s="29" t="str">
        <f t="array" ref="C22">VLOOKUP(F$4,INDIRECT(M$2&amp;"!A3:Y109"),16,FALSE)</f>
        <v/>
      </c>
      <c r="E22" s="30" t="s">
        <v>29</v>
      </c>
      <c r="G22" s="42" t="str">
        <f t="shared" si="1"/>
        <v/>
      </c>
      <c r="I22" s="32">
        <f>R3</f>
        <v>12</v>
      </c>
      <c r="K22" s="33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2.5" customHeight="1">
      <c r="A23" s="34" t="str">
        <f t="array" ref="A23">INDIRECT(M$2&amp;"!Q2")</f>
        <v>しろくま薬局</v>
      </c>
      <c r="C23" s="35">
        <f t="array" ref="C23">VLOOKUP(F$4,INDIRECT(M$2&amp;"!A3:Y109"),17,FALSE)</f>
        <v>7182</v>
      </c>
      <c r="E23" s="36" t="s">
        <v>29</v>
      </c>
      <c r="G23" s="40">
        <f t="shared" si="1"/>
        <v>7182</v>
      </c>
      <c r="I23" s="38">
        <f>R3</f>
        <v>12</v>
      </c>
      <c r="K23" s="3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22.5" customHeight="1">
      <c r="A24" s="28" t="str">
        <f t="array" ref="A24">INDIRECT(M$2&amp;"!R2")</f>
        <v>往診診療費</v>
      </c>
      <c r="C24" s="29" t="str">
        <f t="array" ref="C24">VLOOKUP(F$4,INDIRECT(M$2&amp;"!A3:Y109"),18,FALSE)</f>
        <v/>
      </c>
      <c r="E24" s="44" t="s">
        <v>29</v>
      </c>
      <c r="G24" s="42" t="str">
        <f t="shared" si="1"/>
        <v/>
      </c>
      <c r="I24" s="32">
        <f>R3</f>
        <v>12</v>
      </c>
      <c r="K24" s="33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22.5" customHeight="1">
      <c r="A25" s="34" t="str">
        <f t="array" ref="A25">INDIRECT(M$2&amp;"!S2")</f>
        <v>サポート費</v>
      </c>
      <c r="C25" s="35" t="str">
        <f t="array" ref="C25">VLOOKUP(F$4,INDIRECT(M$2&amp;"!A3:Y109"),19,FALSE)</f>
        <v/>
      </c>
      <c r="E25" s="45" t="s">
        <v>29</v>
      </c>
      <c r="G25" s="40" t="str">
        <f t="shared" si="1"/>
        <v/>
      </c>
      <c r="I25" s="38">
        <f>R3</f>
        <v>12</v>
      </c>
      <c r="K25" s="33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22.5" customHeight="1">
      <c r="A26" s="28" t="str">
        <f t="array" ref="A26">INDIRECT(M$2&amp;"!T2")</f>
        <v>その他</v>
      </c>
      <c r="C26" s="29" t="str">
        <f t="array" ref="C26">VLOOKUP(F$4,INDIRECT(M$2&amp;"!A3:Y109"),20,FALSE)</f>
        <v/>
      </c>
      <c r="E26" s="44" t="s">
        <v>29</v>
      </c>
      <c r="G26" s="42" t="str">
        <f t="shared" si="1"/>
        <v/>
      </c>
      <c r="I26" s="32"/>
      <c r="K26" s="3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22.5" customHeight="1">
      <c r="A27" s="46" t="str">
        <f t="array" ref="A27">INDIRECT(M$2&amp;"!U2")</f>
        <v/>
      </c>
      <c r="C27" s="35" t="str">
        <f t="array" ref="C27">VLOOKUP(F$4,INDIRECT(M$2&amp;"!A3:Y109"),21,FALSE)</f>
        <v/>
      </c>
      <c r="E27" s="36" t="s">
        <v>29</v>
      </c>
      <c r="G27" s="40" t="str">
        <f t="shared" si="1"/>
        <v/>
      </c>
      <c r="I27" s="47"/>
      <c r="K27" s="33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22.5" customHeight="1">
      <c r="A28" s="48" t="str">
        <f t="array" ref="A28">INDIRECT(M$2&amp;"!V2")</f>
        <v/>
      </c>
      <c r="C28" s="29" t="str">
        <f t="array" ref="C28">VLOOKUP(F$4,INDIRECT(M$2&amp;"!A3:Y109"),22,FALSE)</f>
        <v/>
      </c>
      <c r="E28" s="49"/>
      <c r="G28" s="49" t="str">
        <f t="shared" si="1"/>
        <v/>
      </c>
      <c r="I28" s="50"/>
      <c r="K28" s="3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22.5" customHeight="1">
      <c r="A29" s="51" t="s">
        <v>30</v>
      </c>
      <c r="B29" s="52"/>
      <c r="C29" s="52"/>
      <c r="D29" s="52"/>
      <c r="E29" s="52"/>
      <c r="F29" s="52"/>
      <c r="G29" s="53">
        <f>SUM(G10:H28)</f>
        <v>113345</v>
      </c>
      <c r="H29" s="52"/>
      <c r="I29" s="54"/>
      <c r="J29" s="52"/>
      <c r="K29" s="5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22.5" customHeight="1">
      <c r="A30" s="56" t="s">
        <v>31</v>
      </c>
      <c r="H30" s="49"/>
      <c r="I30" s="57"/>
      <c r="J30" s="57"/>
      <c r="K30" s="58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22.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22.5" customHeight="1">
      <c r="A32" s="59" t="s">
        <v>32</v>
      </c>
      <c r="B32" s="19"/>
      <c r="C32" s="60">
        <v>0.0</v>
      </c>
      <c r="D32" s="19"/>
      <c r="E32" s="58"/>
      <c r="F32" s="58"/>
      <c r="G32" s="59" t="s">
        <v>33</v>
      </c>
      <c r="H32" s="19"/>
      <c r="I32" s="60">
        <v>0.0</v>
      </c>
      <c r="J32" s="19"/>
      <c r="K32" s="58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22.5" customHeight="1">
      <c r="A33" s="59" t="s">
        <v>34</v>
      </c>
      <c r="B33" s="19"/>
      <c r="C33" s="60">
        <v>0.0</v>
      </c>
      <c r="D33" s="19"/>
      <c r="E33" s="58"/>
      <c r="F33" s="58"/>
      <c r="G33" s="59" t="s">
        <v>35</v>
      </c>
      <c r="H33" s="19"/>
      <c r="I33" s="60">
        <v>0.0</v>
      </c>
      <c r="J33" s="19"/>
      <c r="K33" s="58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8.0" customHeight="1">
      <c r="A34" s="58"/>
      <c r="B34" s="58"/>
      <c r="C34" s="58"/>
      <c r="D34" s="58"/>
      <c r="E34" s="58"/>
      <c r="F34" s="58"/>
      <c r="G34" s="61" t="s">
        <v>36</v>
      </c>
      <c r="H34" s="19"/>
      <c r="I34" s="60">
        <f>G29</f>
        <v>113345</v>
      </c>
      <c r="J34" s="19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8.0" customHeight="1">
      <c r="A35" s="62"/>
      <c r="C35" s="63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8.0" customHeight="1">
      <c r="A36" s="62"/>
      <c r="C36" s="63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9.5" customHeight="1">
      <c r="A37" s="62"/>
      <c r="C37" s="63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24.0" customHeight="1">
      <c r="A38" s="62"/>
      <c r="C38" s="63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24.0" customHeight="1">
      <c r="C39" s="63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24.0" customHeight="1">
      <c r="A40" s="58"/>
      <c r="B40" s="58"/>
      <c r="C40" s="58"/>
      <c r="D40" s="58"/>
      <c r="E40" s="58"/>
      <c r="F40" s="58"/>
      <c r="G40" s="5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4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8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A1:K1"/>
    <mergeCell ref="A2:D3"/>
    <mergeCell ref="E2:E3"/>
    <mergeCell ref="H2:I2"/>
    <mergeCell ref="J2:K2"/>
    <mergeCell ref="M2:N2"/>
    <mergeCell ref="H4:K5"/>
    <mergeCell ref="G9:H9"/>
    <mergeCell ref="I9:K9"/>
    <mergeCell ref="A4:E4"/>
    <mergeCell ref="A6:B6"/>
    <mergeCell ref="C6:G6"/>
    <mergeCell ref="H6:K6"/>
    <mergeCell ref="A9:B9"/>
    <mergeCell ref="C9:D9"/>
    <mergeCell ref="E9:F9"/>
    <mergeCell ref="E11:F11"/>
    <mergeCell ref="G11:H11"/>
    <mergeCell ref="A10:B10"/>
    <mergeCell ref="C10:D10"/>
    <mergeCell ref="E10:F10"/>
    <mergeCell ref="G10:H10"/>
    <mergeCell ref="I10:K10"/>
    <mergeCell ref="C11:D11"/>
    <mergeCell ref="I11:K11"/>
    <mergeCell ref="G13:H13"/>
    <mergeCell ref="I13:K13"/>
    <mergeCell ref="I14:K14"/>
    <mergeCell ref="A11:B11"/>
    <mergeCell ref="A12:B12"/>
    <mergeCell ref="C12:D12"/>
    <mergeCell ref="E12:F12"/>
    <mergeCell ref="G12:H12"/>
    <mergeCell ref="I12:K12"/>
    <mergeCell ref="A13:B13"/>
    <mergeCell ref="C19:D19"/>
    <mergeCell ref="E19:F19"/>
    <mergeCell ref="I19:K19"/>
    <mergeCell ref="A19:B19"/>
    <mergeCell ref="A20:B20"/>
    <mergeCell ref="C20:D20"/>
    <mergeCell ref="E20:F20"/>
    <mergeCell ref="G20:H20"/>
    <mergeCell ref="I20:K20"/>
    <mergeCell ref="A21:B21"/>
    <mergeCell ref="G21:H21"/>
    <mergeCell ref="I21:K21"/>
    <mergeCell ref="I22:K22"/>
    <mergeCell ref="C21:D21"/>
    <mergeCell ref="E21:F21"/>
    <mergeCell ref="A22:B22"/>
    <mergeCell ref="C22:D22"/>
    <mergeCell ref="E22:F22"/>
    <mergeCell ref="G22:H22"/>
    <mergeCell ref="G23:H23"/>
    <mergeCell ref="C23:D23"/>
    <mergeCell ref="E23:F23"/>
    <mergeCell ref="I23:K23"/>
    <mergeCell ref="A23:B23"/>
    <mergeCell ref="A24:B24"/>
    <mergeCell ref="C24:D24"/>
    <mergeCell ref="E24:F24"/>
    <mergeCell ref="G24:H24"/>
    <mergeCell ref="I24:K24"/>
    <mergeCell ref="A25:B25"/>
    <mergeCell ref="G25:H25"/>
    <mergeCell ref="I25:K25"/>
    <mergeCell ref="I26:K26"/>
    <mergeCell ref="C25:D25"/>
    <mergeCell ref="E25:F25"/>
    <mergeCell ref="A26:B26"/>
    <mergeCell ref="C26:D26"/>
    <mergeCell ref="E26:F26"/>
    <mergeCell ref="G26:H26"/>
    <mergeCell ref="G27:H27"/>
    <mergeCell ref="C27:D27"/>
    <mergeCell ref="E27:F27"/>
    <mergeCell ref="I27:K27"/>
    <mergeCell ref="A27:B27"/>
    <mergeCell ref="C28:D28"/>
    <mergeCell ref="E28:F28"/>
    <mergeCell ref="G28:H28"/>
    <mergeCell ref="I28:K28"/>
    <mergeCell ref="A29:F29"/>
    <mergeCell ref="A30:G30"/>
    <mergeCell ref="C15:D15"/>
    <mergeCell ref="E15:F15"/>
    <mergeCell ref="I15:K15"/>
    <mergeCell ref="C13:D13"/>
    <mergeCell ref="E13:F13"/>
    <mergeCell ref="A14:B14"/>
    <mergeCell ref="C14:D14"/>
    <mergeCell ref="E14:F14"/>
    <mergeCell ref="G14:H14"/>
    <mergeCell ref="G15:H15"/>
    <mergeCell ref="G17:H17"/>
    <mergeCell ref="I17:K17"/>
    <mergeCell ref="I18:K18"/>
    <mergeCell ref="A15:B15"/>
    <mergeCell ref="A16:B16"/>
    <mergeCell ref="C16:D16"/>
    <mergeCell ref="E16:F16"/>
    <mergeCell ref="G16:H16"/>
    <mergeCell ref="I16:K16"/>
    <mergeCell ref="A17:B17"/>
    <mergeCell ref="C17:D17"/>
    <mergeCell ref="E17:F17"/>
    <mergeCell ref="A18:B18"/>
    <mergeCell ref="C18:D18"/>
    <mergeCell ref="E18:F18"/>
    <mergeCell ref="G18:H18"/>
    <mergeCell ref="G19:H19"/>
    <mergeCell ref="G29:H29"/>
    <mergeCell ref="I29:K29"/>
    <mergeCell ref="G32:H32"/>
    <mergeCell ref="I32:J32"/>
    <mergeCell ref="G33:H33"/>
    <mergeCell ref="I33:J33"/>
    <mergeCell ref="G34:H34"/>
    <mergeCell ref="I34:J34"/>
    <mergeCell ref="A37:B37"/>
    <mergeCell ref="A38:B39"/>
    <mergeCell ref="A28:B28"/>
    <mergeCell ref="A32:B32"/>
    <mergeCell ref="C32:D32"/>
    <mergeCell ref="A33:B33"/>
    <mergeCell ref="C33:D33"/>
    <mergeCell ref="A35:B35"/>
    <mergeCell ref="A36:B36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1" width="7.63"/>
    <col customWidth="1" min="12" max="26" width="7.13"/>
  </cols>
  <sheetData>
    <row r="1" ht="33.0" customHeight="1">
      <c r="A1" s="4" t="s">
        <v>11</v>
      </c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菱池重治</v>
      </c>
      <c r="E2" s="8" t="s">
        <v>12</v>
      </c>
      <c r="F2" s="5"/>
      <c r="G2" s="5"/>
      <c r="H2" s="9" t="s">
        <v>13</v>
      </c>
      <c r="J2" s="10">
        <v>46015.0</v>
      </c>
      <c r="L2" s="11"/>
      <c r="M2" s="12" t="s">
        <v>37</v>
      </c>
      <c r="N2" s="1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14" t="s">
        <v>15</v>
      </c>
      <c r="N3" s="14">
        <v>12.0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5" t="s">
        <v>18</v>
      </c>
      <c r="F4" s="14">
        <v>915.0</v>
      </c>
      <c r="G4" s="5" t="s">
        <v>19</v>
      </c>
      <c r="H4" s="16" t="s">
        <v>20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/>
      <c r="B5" s="14"/>
      <c r="C5" s="14"/>
      <c r="D5" s="5"/>
      <c r="E5" s="5"/>
      <c r="F5" s="5"/>
      <c r="G5" s="5"/>
      <c r="L5" s="17"/>
      <c r="M5" s="17" t="s">
        <v>21</v>
      </c>
      <c r="N5" s="17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18" t="s">
        <v>22</v>
      </c>
      <c r="B6" s="19"/>
      <c r="C6" s="20">
        <f>I34</f>
        <v>101820</v>
      </c>
      <c r="D6" s="21"/>
      <c r="E6" s="21"/>
      <c r="F6" s="21"/>
      <c r="G6" s="19"/>
      <c r="H6" s="22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23"/>
      <c r="M7" s="23"/>
      <c r="N7" s="2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23"/>
      <c r="M8" s="23"/>
      <c r="N8" s="2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4" t="s">
        <v>24</v>
      </c>
      <c r="B9" s="25"/>
      <c r="C9" s="26" t="s">
        <v>25</v>
      </c>
      <c r="D9" s="25"/>
      <c r="E9" s="26" t="s">
        <v>26</v>
      </c>
      <c r="F9" s="25"/>
      <c r="G9" s="26" t="s">
        <v>27</v>
      </c>
      <c r="H9" s="25"/>
      <c r="I9" s="26" t="s">
        <v>28</v>
      </c>
      <c r="J9" s="25"/>
      <c r="K9" s="2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28" t="str">
        <f t="array" ref="A10">INDIRECT(M$2&amp;"!D2")</f>
        <v>家賃</v>
      </c>
      <c r="C10" s="29">
        <f t="array" ref="C10">VLOOKUP(F$4,INDIRECT(M$2&amp;"!A3:Y109"),4,FALSE)</f>
        <v>40000</v>
      </c>
      <c r="E10" s="30" t="s">
        <v>38</v>
      </c>
      <c r="G10" s="31">
        <v>120000.0</v>
      </c>
      <c r="I10" s="32" t="s">
        <v>39</v>
      </c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4" t="str">
        <f t="array" ref="A11">INDIRECT(M$2&amp;"!E2")</f>
        <v>管理費</v>
      </c>
      <c r="C11" s="35">
        <f t="array" ref="C11">VLOOKUP(F$4,INDIRECT(M$2&amp;"!A3:Y109"),5,FALSE)</f>
        <v>5000</v>
      </c>
      <c r="E11" s="36" t="s">
        <v>38</v>
      </c>
      <c r="G11" s="37">
        <v>15000.0</v>
      </c>
      <c r="I11" s="38" t="s">
        <v>39</v>
      </c>
      <c r="K11" s="33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2.5" customHeight="1">
      <c r="A12" s="28" t="str">
        <f t="array" ref="A12">INDIRECT(M$2&amp;"!F2")</f>
        <v>共益費</v>
      </c>
      <c r="C12" s="29">
        <f t="array" ref="C12">VLOOKUP(F$4,INDIRECT(M$2&amp;"!A3:Y109"),6,FALSE)</f>
        <v>5000</v>
      </c>
      <c r="E12" s="30" t="s">
        <v>38</v>
      </c>
      <c r="G12" s="31">
        <v>15000.0</v>
      </c>
      <c r="I12" s="32" t="s">
        <v>39</v>
      </c>
      <c r="K12" s="33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2.5" customHeight="1">
      <c r="A13" s="34" t="str">
        <f t="array" ref="A13">INDIRECT(M$2&amp;"!G2")</f>
        <v>水道料金</v>
      </c>
      <c r="C13" s="35">
        <f t="array" ref="C13">VLOOKUP(F$4,INDIRECT(M$2&amp;"!A3:Y109"),7,FALSE)</f>
        <v>2000</v>
      </c>
      <c r="E13" s="36" t="s">
        <v>38</v>
      </c>
      <c r="G13" s="37">
        <v>6000.0</v>
      </c>
      <c r="I13" s="38" t="s">
        <v>39</v>
      </c>
      <c r="K13" s="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28" t="str">
        <f t="array" ref="A14">INDIRECT(M$2&amp;"!H2")</f>
        <v>定額光熱費</v>
      </c>
      <c r="C14" s="29">
        <f t="array" ref="C14">VLOOKUP(F$4,INDIRECT(M$2&amp;"!A3:Y109"),8,FALSE)</f>
        <v>10000</v>
      </c>
      <c r="E14" s="30" t="s">
        <v>38</v>
      </c>
      <c r="G14" s="31">
        <v>30000.0</v>
      </c>
      <c r="I14" s="32" t="s">
        <v>39</v>
      </c>
      <c r="K14" s="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34" t="str">
        <f t="array" ref="A15">INDIRECT(M$2&amp;"!I2")</f>
        <v>食事</v>
      </c>
      <c r="C15" s="35">
        <f t="array" ref="C15">VLOOKUP(F$4,INDIRECT(M$2&amp;"!A3:Y109"),9,FALSE)</f>
        <v>38280</v>
      </c>
      <c r="E15" s="36" t="s">
        <v>40</v>
      </c>
      <c r="G15" s="40">
        <v>31460.0</v>
      </c>
      <c r="I15" s="38" t="s">
        <v>41</v>
      </c>
      <c r="K15" s="33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28" t="str">
        <f t="array" ref="A16">INDIRECT(M$2&amp;"!J2")</f>
        <v>調整額</v>
      </c>
      <c r="C16" s="29">
        <v>-131460.0</v>
      </c>
      <c r="E16" s="30" t="s">
        <v>29</v>
      </c>
      <c r="G16" s="41">
        <f t="shared" ref="G16:G28" si="1">C16</f>
        <v>-131460</v>
      </c>
      <c r="I16" s="32"/>
      <c r="K16" s="33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22.5" customHeight="1">
      <c r="A17" s="34" t="str">
        <f t="array" ref="A17">INDIRECT(M$2&amp;"!K2")</f>
        <v>オムツ</v>
      </c>
      <c r="C17" s="35">
        <f t="array" ref="C17">VLOOKUP(F$4,INDIRECT(M$2&amp;"!A3:Y109"),11,FALSE)</f>
        <v>3630</v>
      </c>
      <c r="E17" s="36" t="s">
        <v>29</v>
      </c>
      <c r="G17" s="40">
        <f t="shared" si="1"/>
        <v>3630</v>
      </c>
      <c r="I17" s="38"/>
      <c r="K17" s="33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2.5" customHeight="1">
      <c r="A18" s="28" t="str">
        <f t="array" ref="A18">INDIRECT(M$2&amp;"!L2")</f>
        <v>日用品</v>
      </c>
      <c r="C18" s="29">
        <f t="array" ref="C18">VLOOKUP(F$4,INDIRECT(M$2&amp;"!A3:Y109"),12,FALSE)</f>
        <v>2190</v>
      </c>
      <c r="E18" s="30" t="s">
        <v>29</v>
      </c>
      <c r="G18" s="42">
        <f t="shared" si="1"/>
        <v>2190</v>
      </c>
      <c r="I18" s="32"/>
      <c r="K18" s="33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22.5" customHeight="1">
      <c r="A19" s="34" t="str">
        <f t="array" ref="A19">INDIRECT(M$2&amp;"!M2")</f>
        <v>分割支払い</v>
      </c>
      <c r="C19" s="35">
        <f t="array" ref="C19">VLOOKUP(F$4,INDIRECT(M$2&amp;"!A3:Y109"),13,FALSE)</f>
        <v>10000</v>
      </c>
      <c r="E19" s="36" t="s">
        <v>29</v>
      </c>
      <c r="G19" s="37">
        <f t="shared" si="1"/>
        <v>10000</v>
      </c>
      <c r="I19" s="38"/>
      <c r="K19" s="33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64"/>
      <c r="X19" s="39"/>
      <c r="Y19" s="39"/>
      <c r="Z19" s="39"/>
    </row>
    <row r="20" ht="22.5" customHeight="1">
      <c r="A20" s="28" t="str">
        <f t="array" ref="A20">INDIRECT(M$2&amp;"!N2")</f>
        <v>事務手数料</v>
      </c>
      <c r="C20" s="29" t="str">
        <f t="array" ref="C20">VLOOKUP(F$4,INDIRECT(M$2&amp;"!A3:Y109"),14,FALSE)</f>
        <v/>
      </c>
      <c r="E20" s="30" t="s">
        <v>29</v>
      </c>
      <c r="G20" s="31" t="str">
        <f t="shared" si="1"/>
        <v/>
      </c>
      <c r="I20" s="32"/>
      <c r="K20" s="33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22.5" customHeight="1">
      <c r="A21" s="34" t="str">
        <f t="array" ref="A21">INDIRECT(M$2&amp;"!O2")</f>
        <v>デイサービス</v>
      </c>
      <c r="C21" s="35" t="str">
        <f t="array" ref="C21">VLOOKUP(F$4,INDIRECT(M$2&amp;"!A3:Y109"),15,FALSE)</f>
        <v/>
      </c>
      <c r="E21" s="36" t="s">
        <v>29</v>
      </c>
      <c r="G21" s="37" t="str">
        <f t="shared" si="1"/>
        <v/>
      </c>
      <c r="I21" s="38"/>
      <c r="K21" s="33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22.5" customHeight="1">
      <c r="A22" s="28" t="str">
        <f t="array" ref="A22">INDIRECT(M$2&amp;"!P2")</f>
        <v>福祉用具</v>
      </c>
      <c r="C22" s="29" t="str">
        <f t="array" ref="C22">VLOOKUP(F$4,INDIRECT(M$2&amp;"!A3:Y109"),16,FALSE)</f>
        <v/>
      </c>
      <c r="E22" s="30" t="s">
        <v>29</v>
      </c>
      <c r="G22" s="42" t="str">
        <f t="shared" si="1"/>
        <v/>
      </c>
      <c r="I22" s="32"/>
      <c r="K22" s="33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2.5" customHeight="1">
      <c r="A23" s="34" t="str">
        <f t="array" ref="A23">INDIRECT(M$2&amp;"!Q2")</f>
        <v>しろくま薬局</v>
      </c>
      <c r="C23" s="35" t="str">
        <f t="array" ref="C23">VLOOKUP(F$4,INDIRECT(M$2&amp;"!A3:Y109"),17,FALSE)</f>
        <v/>
      </c>
      <c r="E23" s="36" t="s">
        <v>29</v>
      </c>
      <c r="G23" s="40" t="str">
        <f t="shared" si="1"/>
        <v/>
      </c>
      <c r="I23" s="38"/>
      <c r="K23" s="3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22.5" customHeight="1">
      <c r="A24" s="28" t="str">
        <f t="array" ref="A24">INDIRECT(M$2&amp;"!R2")</f>
        <v>往診診療費</v>
      </c>
      <c r="C24" s="29" t="str">
        <f t="array" ref="C24">VLOOKUP(F$4,INDIRECT(M$2&amp;"!A3:Y109"),18,FALSE)</f>
        <v/>
      </c>
      <c r="E24" s="44" t="s">
        <v>29</v>
      </c>
      <c r="G24" s="42" t="str">
        <f t="shared" si="1"/>
        <v/>
      </c>
      <c r="I24" s="32"/>
      <c r="K24" s="33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22.5" customHeight="1">
      <c r="A25" s="34" t="str">
        <f t="array" ref="A25">INDIRECT(M$2&amp;"!S2")</f>
        <v>サポート費</v>
      </c>
      <c r="C25" s="35" t="str">
        <f t="array" ref="C25">VLOOKUP(F$4,INDIRECT(M$2&amp;"!A3:Y109"),19,FALSE)</f>
        <v/>
      </c>
      <c r="E25" s="45" t="s">
        <v>29</v>
      </c>
      <c r="G25" s="40" t="str">
        <f t="shared" si="1"/>
        <v/>
      </c>
      <c r="I25" s="38"/>
      <c r="K25" s="33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22.5" customHeight="1">
      <c r="A26" s="28" t="str">
        <f t="array" ref="A26">INDIRECT(M$2&amp;"!T2")</f>
        <v>その他</v>
      </c>
      <c r="C26" s="29" t="str">
        <f t="array" ref="C26">VLOOKUP(F$4,INDIRECT(M$2&amp;"!A3:Y109"),20,FALSE)</f>
        <v/>
      </c>
      <c r="E26" s="44" t="s">
        <v>29</v>
      </c>
      <c r="G26" s="42" t="str">
        <f t="shared" si="1"/>
        <v/>
      </c>
      <c r="I26" s="32"/>
      <c r="K26" s="3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22.5" customHeight="1">
      <c r="A27" s="46" t="str">
        <f t="array" ref="A27">INDIRECT(M$2&amp;"!U2")</f>
        <v/>
      </c>
      <c r="C27" s="35" t="str">
        <f t="array" ref="C27">VLOOKUP(F$4,INDIRECT(M$2&amp;"!A3:Y109"),21,FALSE)</f>
        <v/>
      </c>
      <c r="E27" s="36" t="s">
        <v>29</v>
      </c>
      <c r="G27" s="40" t="str">
        <f t="shared" si="1"/>
        <v/>
      </c>
      <c r="I27" s="47"/>
      <c r="K27" s="33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22.5" customHeight="1">
      <c r="A28" s="48" t="str">
        <f t="array" ref="A28">INDIRECT(M$2&amp;"!V2")</f>
        <v/>
      </c>
      <c r="C28" s="29" t="str">
        <f t="array" ref="C28">VLOOKUP(F$4,INDIRECT(M$2&amp;"!A3:Y109"),22,FALSE)</f>
        <v/>
      </c>
      <c r="E28" s="49"/>
      <c r="G28" s="49" t="str">
        <f t="shared" si="1"/>
        <v/>
      </c>
      <c r="I28" s="50"/>
      <c r="K28" s="3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22.5" customHeight="1">
      <c r="A29" s="51" t="s">
        <v>30</v>
      </c>
      <c r="B29" s="52"/>
      <c r="C29" s="52"/>
      <c r="D29" s="52"/>
      <c r="E29" s="52"/>
      <c r="F29" s="52"/>
      <c r="G29" s="53">
        <f>SUM(G10:H28)</f>
        <v>101820</v>
      </c>
      <c r="H29" s="52"/>
      <c r="I29" s="54"/>
      <c r="J29" s="52"/>
      <c r="K29" s="5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22.5" customHeight="1">
      <c r="A30" s="56" t="s">
        <v>31</v>
      </c>
      <c r="H30" s="49"/>
      <c r="I30" s="57"/>
      <c r="J30" s="57"/>
      <c r="K30" s="58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22.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22.5" customHeight="1">
      <c r="A32" s="59" t="s">
        <v>32</v>
      </c>
      <c r="B32" s="19"/>
      <c r="C32" s="60">
        <v>0.0</v>
      </c>
      <c r="D32" s="19"/>
      <c r="E32" s="58"/>
      <c r="F32" s="58"/>
      <c r="G32" s="59" t="s">
        <v>33</v>
      </c>
      <c r="H32" s="19"/>
      <c r="I32" s="60">
        <v>0.0</v>
      </c>
      <c r="J32" s="19"/>
      <c r="K32" s="58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22.5" customHeight="1">
      <c r="A33" s="59" t="s">
        <v>34</v>
      </c>
      <c r="B33" s="19"/>
      <c r="C33" s="60">
        <v>0.0</v>
      </c>
      <c r="D33" s="19"/>
      <c r="E33" s="58"/>
      <c r="F33" s="58"/>
      <c r="G33" s="59" t="s">
        <v>35</v>
      </c>
      <c r="H33" s="19"/>
      <c r="I33" s="60">
        <v>0.0</v>
      </c>
      <c r="J33" s="19"/>
      <c r="K33" s="58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8.0" customHeight="1">
      <c r="A34" s="58"/>
      <c r="B34" s="58"/>
      <c r="C34" s="58"/>
      <c r="D34" s="58"/>
      <c r="E34" s="58"/>
      <c r="F34" s="58"/>
      <c r="G34" s="61" t="s">
        <v>36</v>
      </c>
      <c r="H34" s="19"/>
      <c r="I34" s="60">
        <f>G29</f>
        <v>101820</v>
      </c>
      <c r="J34" s="19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8.0" customHeight="1">
      <c r="A35" s="62"/>
      <c r="C35" s="63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8.0" customHeight="1">
      <c r="A36" s="62"/>
      <c r="C36" s="63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9.5" customHeight="1">
      <c r="A37" s="62"/>
      <c r="C37" s="63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24.0" customHeight="1">
      <c r="A38" s="62"/>
      <c r="C38" s="63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24.0" customHeight="1">
      <c r="C39" s="63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24.0" customHeight="1">
      <c r="A40" s="58"/>
      <c r="B40" s="58"/>
      <c r="C40" s="58"/>
      <c r="D40" s="58"/>
      <c r="E40" s="58"/>
      <c r="F40" s="58"/>
      <c r="G40" s="5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4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8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A1:K1"/>
    <mergeCell ref="A2:D3"/>
    <mergeCell ref="E2:E3"/>
    <mergeCell ref="H2:I2"/>
    <mergeCell ref="J2:K2"/>
    <mergeCell ref="M2:N2"/>
    <mergeCell ref="H4:K5"/>
    <mergeCell ref="G9:H9"/>
    <mergeCell ref="I9:K9"/>
    <mergeCell ref="A4:E4"/>
    <mergeCell ref="A6:B6"/>
    <mergeCell ref="C6:G6"/>
    <mergeCell ref="H6:K6"/>
    <mergeCell ref="A9:B9"/>
    <mergeCell ref="C9:D9"/>
    <mergeCell ref="E9:F9"/>
    <mergeCell ref="E11:F11"/>
    <mergeCell ref="G11:H11"/>
    <mergeCell ref="A10:B10"/>
    <mergeCell ref="C10:D10"/>
    <mergeCell ref="E10:F10"/>
    <mergeCell ref="G10:H10"/>
    <mergeCell ref="I10:K10"/>
    <mergeCell ref="C11:D11"/>
    <mergeCell ref="I11:K11"/>
    <mergeCell ref="G13:H13"/>
    <mergeCell ref="I13:K13"/>
    <mergeCell ref="I14:K14"/>
    <mergeCell ref="A11:B11"/>
    <mergeCell ref="A12:B12"/>
    <mergeCell ref="C12:D12"/>
    <mergeCell ref="E12:F12"/>
    <mergeCell ref="G12:H12"/>
    <mergeCell ref="I12:K12"/>
    <mergeCell ref="A13:B13"/>
    <mergeCell ref="C19:D19"/>
    <mergeCell ref="E19:F19"/>
    <mergeCell ref="I19:K19"/>
    <mergeCell ref="A19:B19"/>
    <mergeCell ref="A20:B20"/>
    <mergeCell ref="C20:D20"/>
    <mergeCell ref="E20:F20"/>
    <mergeCell ref="G20:H20"/>
    <mergeCell ref="I20:K20"/>
    <mergeCell ref="A21:B21"/>
    <mergeCell ref="G21:H21"/>
    <mergeCell ref="I21:K21"/>
    <mergeCell ref="I22:K22"/>
    <mergeCell ref="C21:D21"/>
    <mergeCell ref="E21:F21"/>
    <mergeCell ref="A22:B22"/>
    <mergeCell ref="C22:D22"/>
    <mergeCell ref="E22:F22"/>
    <mergeCell ref="G22:H22"/>
    <mergeCell ref="G23:H23"/>
    <mergeCell ref="C23:D23"/>
    <mergeCell ref="E23:F23"/>
    <mergeCell ref="I23:K23"/>
    <mergeCell ref="A23:B23"/>
    <mergeCell ref="A24:B24"/>
    <mergeCell ref="C24:D24"/>
    <mergeCell ref="E24:F24"/>
    <mergeCell ref="G24:H24"/>
    <mergeCell ref="I24:K24"/>
    <mergeCell ref="A25:B25"/>
    <mergeCell ref="G25:H25"/>
    <mergeCell ref="I25:K25"/>
    <mergeCell ref="I26:K26"/>
    <mergeCell ref="C25:D25"/>
    <mergeCell ref="E25:F25"/>
    <mergeCell ref="A26:B26"/>
    <mergeCell ref="C26:D26"/>
    <mergeCell ref="E26:F26"/>
    <mergeCell ref="G26:H26"/>
    <mergeCell ref="G27:H27"/>
    <mergeCell ref="C27:D27"/>
    <mergeCell ref="E27:F27"/>
    <mergeCell ref="I27:K27"/>
    <mergeCell ref="A27:B27"/>
    <mergeCell ref="C28:D28"/>
    <mergeCell ref="E28:F28"/>
    <mergeCell ref="G28:H28"/>
    <mergeCell ref="I28:K28"/>
    <mergeCell ref="A29:F29"/>
    <mergeCell ref="A30:G30"/>
    <mergeCell ref="C15:D15"/>
    <mergeCell ref="E15:F15"/>
    <mergeCell ref="I15:K15"/>
    <mergeCell ref="C13:D13"/>
    <mergeCell ref="E13:F13"/>
    <mergeCell ref="A14:B14"/>
    <mergeCell ref="C14:D14"/>
    <mergeCell ref="E14:F14"/>
    <mergeCell ref="G14:H14"/>
    <mergeCell ref="G15:H15"/>
    <mergeCell ref="G17:H17"/>
    <mergeCell ref="I17:K17"/>
    <mergeCell ref="I18:K18"/>
    <mergeCell ref="A15:B15"/>
    <mergeCell ref="A16:B16"/>
    <mergeCell ref="C16:D16"/>
    <mergeCell ref="E16:F16"/>
    <mergeCell ref="G16:H16"/>
    <mergeCell ref="I16:K16"/>
    <mergeCell ref="A17:B17"/>
    <mergeCell ref="C17:D17"/>
    <mergeCell ref="E17:F17"/>
    <mergeCell ref="A18:B18"/>
    <mergeCell ref="C18:D18"/>
    <mergeCell ref="E18:F18"/>
    <mergeCell ref="G18:H18"/>
    <mergeCell ref="G19:H19"/>
    <mergeCell ref="G29:H29"/>
    <mergeCell ref="I29:K29"/>
    <mergeCell ref="G32:H32"/>
    <mergeCell ref="I32:J32"/>
    <mergeCell ref="G33:H33"/>
    <mergeCell ref="I33:J33"/>
    <mergeCell ref="G34:H34"/>
    <mergeCell ref="I34:J34"/>
    <mergeCell ref="A37:B37"/>
    <mergeCell ref="A38:B39"/>
    <mergeCell ref="A28:B28"/>
    <mergeCell ref="A32:B32"/>
    <mergeCell ref="C32:D32"/>
    <mergeCell ref="A33:B33"/>
    <mergeCell ref="C33:D33"/>
    <mergeCell ref="A35:B35"/>
    <mergeCell ref="A36:B36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9.75"/>
    <col customWidth="1" min="7" max="11" width="7.63"/>
    <col customWidth="1" min="12" max="26" width="7.13"/>
  </cols>
  <sheetData>
    <row r="1" ht="33.0" customHeight="1">
      <c r="A1" s="4" t="s">
        <v>11</v>
      </c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奥谷國治</v>
      </c>
      <c r="E2" s="8" t="s">
        <v>12</v>
      </c>
      <c r="F2" s="5"/>
      <c r="G2" s="5"/>
      <c r="H2" s="9" t="s">
        <v>13</v>
      </c>
      <c r="J2" s="10">
        <v>45961.0</v>
      </c>
      <c r="L2" s="11"/>
      <c r="M2" s="12" t="s">
        <v>42</v>
      </c>
      <c r="N2" s="1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14" t="s">
        <v>15</v>
      </c>
      <c r="N3" s="14">
        <v>10.0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5" t="s">
        <v>18</v>
      </c>
      <c r="F4" s="14">
        <v>813.0</v>
      </c>
      <c r="G4" s="5" t="s">
        <v>19</v>
      </c>
      <c r="H4" s="16" t="s">
        <v>20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/>
      <c r="B5" s="14"/>
      <c r="C5" s="14"/>
      <c r="D5" s="5"/>
      <c r="E5" s="5"/>
      <c r="F5" s="5"/>
      <c r="G5" s="5"/>
      <c r="L5" s="17"/>
      <c r="M5" s="17" t="s">
        <v>21</v>
      </c>
      <c r="N5" s="17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18" t="s">
        <v>22</v>
      </c>
      <c r="B6" s="19"/>
      <c r="C6" s="20">
        <f>I20</f>
        <v>62000</v>
      </c>
      <c r="D6" s="21"/>
      <c r="E6" s="21"/>
      <c r="F6" s="21"/>
      <c r="G6" s="19"/>
      <c r="H6" s="22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23"/>
      <c r="M7" s="23"/>
      <c r="N7" s="2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23"/>
      <c r="M8" s="23"/>
      <c r="N8" s="2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4" t="s">
        <v>24</v>
      </c>
      <c r="B9" s="25"/>
      <c r="C9" s="26" t="s">
        <v>25</v>
      </c>
      <c r="D9" s="25"/>
      <c r="E9" s="26" t="s">
        <v>26</v>
      </c>
      <c r="F9" s="25"/>
      <c r="G9" s="26" t="s">
        <v>27</v>
      </c>
      <c r="H9" s="25"/>
      <c r="I9" s="26" t="s">
        <v>28</v>
      </c>
      <c r="J9" s="25"/>
      <c r="K9" s="2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28" t="str">
        <f t="array" ref="A10">INDIRECT(M$2&amp;"!D2")</f>
        <v>家賃</v>
      </c>
      <c r="C10" s="29">
        <v>40000.0</v>
      </c>
      <c r="E10" s="30" t="s">
        <v>29</v>
      </c>
      <c r="G10" s="31">
        <f t="shared" ref="G10:G14" si="1">C10</f>
        <v>40000</v>
      </c>
      <c r="I10" s="32">
        <f>N3</f>
        <v>10</v>
      </c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4" t="str">
        <f t="array" ref="A11">INDIRECT(M$2&amp;"!E2")</f>
        <v>管理費</v>
      </c>
      <c r="C11" s="35">
        <v>5000.0</v>
      </c>
      <c r="E11" s="36" t="s">
        <v>29</v>
      </c>
      <c r="G11" s="37">
        <f t="shared" si="1"/>
        <v>5000</v>
      </c>
      <c r="I11" s="38">
        <f>N3</f>
        <v>10</v>
      </c>
      <c r="K11" s="33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2.5" customHeight="1">
      <c r="A12" s="28" t="str">
        <f t="array" ref="A12">INDIRECT(M$2&amp;"!F2")</f>
        <v>共益費</v>
      </c>
      <c r="C12" s="29">
        <v>5000.0</v>
      </c>
      <c r="E12" s="30" t="s">
        <v>29</v>
      </c>
      <c r="G12" s="31">
        <f t="shared" si="1"/>
        <v>5000</v>
      </c>
      <c r="I12" s="32">
        <f>N3</f>
        <v>10</v>
      </c>
      <c r="K12" s="33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2.5" customHeight="1">
      <c r="A13" s="34" t="str">
        <f t="array" ref="A13">INDIRECT(M$2&amp;"!G2")</f>
        <v>水道料金</v>
      </c>
      <c r="C13" s="35">
        <v>2000.0</v>
      </c>
      <c r="E13" s="36" t="s">
        <v>29</v>
      </c>
      <c r="G13" s="37">
        <f t="shared" si="1"/>
        <v>2000</v>
      </c>
      <c r="I13" s="38">
        <f>N3</f>
        <v>10</v>
      </c>
      <c r="K13" s="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28" t="s">
        <v>43</v>
      </c>
      <c r="C14" s="29">
        <v>10000.0</v>
      </c>
      <c r="E14" s="30" t="s">
        <v>29</v>
      </c>
      <c r="G14" s="31">
        <f t="shared" si="1"/>
        <v>10000</v>
      </c>
      <c r="I14" s="32" t="str">
        <f>N5</f>
        <v/>
      </c>
      <c r="K14" s="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51" t="s">
        <v>30</v>
      </c>
      <c r="B15" s="52"/>
      <c r="C15" s="52"/>
      <c r="D15" s="52"/>
      <c r="E15" s="52"/>
      <c r="F15" s="52"/>
      <c r="G15" s="53">
        <v>62000.0</v>
      </c>
      <c r="H15" s="52"/>
      <c r="I15" s="54"/>
      <c r="J15" s="52"/>
      <c r="K15" s="55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56" t="s">
        <v>31</v>
      </c>
      <c r="H16" s="49"/>
      <c r="I16" s="57"/>
      <c r="J16" s="57"/>
      <c r="K16" s="58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22.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22.5" customHeight="1">
      <c r="A18" s="59" t="s">
        <v>32</v>
      </c>
      <c r="B18" s="19"/>
      <c r="C18" s="60">
        <v>0.0</v>
      </c>
      <c r="D18" s="19"/>
      <c r="E18" s="58"/>
      <c r="F18" s="58"/>
      <c r="G18" s="59" t="s">
        <v>33</v>
      </c>
      <c r="H18" s="19"/>
      <c r="I18" s="60">
        <v>0.0</v>
      </c>
      <c r="J18" s="19"/>
      <c r="K18" s="5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22.5" customHeight="1">
      <c r="A19" s="59" t="s">
        <v>34</v>
      </c>
      <c r="B19" s="19"/>
      <c r="C19" s="60">
        <v>0.0</v>
      </c>
      <c r="D19" s="19"/>
      <c r="E19" s="58"/>
      <c r="F19" s="58"/>
      <c r="G19" s="59" t="s">
        <v>35</v>
      </c>
      <c r="H19" s="19"/>
      <c r="I19" s="60">
        <v>0.0</v>
      </c>
      <c r="J19" s="19"/>
      <c r="K19" s="58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8.0" customHeight="1">
      <c r="A20" s="58"/>
      <c r="B20" s="58"/>
      <c r="C20" s="58"/>
      <c r="D20" s="58"/>
      <c r="E20" s="58"/>
      <c r="F20" s="58"/>
      <c r="G20" s="61" t="s">
        <v>36</v>
      </c>
      <c r="H20" s="19"/>
      <c r="I20" s="60">
        <f>G15</f>
        <v>62000</v>
      </c>
      <c r="J20" s="19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8.0" customHeight="1">
      <c r="A21" s="62"/>
      <c r="C21" s="63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8.0" customHeight="1">
      <c r="A22" s="62"/>
      <c r="C22" s="63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9.5" customHeight="1">
      <c r="A23" s="62"/>
      <c r="C23" s="63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24.0" customHeight="1">
      <c r="A24" s="62"/>
      <c r="C24" s="63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24.0" customHeight="1"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24.0" customHeight="1">
      <c r="A26" s="58"/>
      <c r="B26" s="58"/>
      <c r="C26" s="58"/>
      <c r="D26" s="58"/>
      <c r="E26" s="58"/>
      <c r="F26" s="58"/>
      <c r="G26" s="5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7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4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8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C13:D13"/>
    <mergeCell ref="E13:F13"/>
    <mergeCell ref="A14:B14"/>
    <mergeCell ref="C14:D14"/>
    <mergeCell ref="E14:F14"/>
    <mergeCell ref="G14:H14"/>
    <mergeCell ref="G15:H15"/>
    <mergeCell ref="G18:H18"/>
    <mergeCell ref="G19:H19"/>
    <mergeCell ref="G20:H20"/>
    <mergeCell ref="I20:J20"/>
    <mergeCell ref="A19:B19"/>
    <mergeCell ref="A21:B21"/>
    <mergeCell ref="A22:B22"/>
    <mergeCell ref="A23:B23"/>
    <mergeCell ref="A24:B25"/>
    <mergeCell ref="A15:F15"/>
    <mergeCell ref="A16:G16"/>
    <mergeCell ref="A18:B18"/>
    <mergeCell ref="C18:D18"/>
    <mergeCell ref="I18:J18"/>
    <mergeCell ref="C19:D19"/>
    <mergeCell ref="I19:J19"/>
    <mergeCell ref="A1:K1"/>
    <mergeCell ref="A2:D3"/>
    <mergeCell ref="E2:E3"/>
    <mergeCell ref="H2:I2"/>
    <mergeCell ref="J2:K2"/>
    <mergeCell ref="M2:N2"/>
    <mergeCell ref="H4:K5"/>
    <mergeCell ref="G9:H9"/>
    <mergeCell ref="I9:K9"/>
    <mergeCell ref="A4:E4"/>
    <mergeCell ref="A6:B6"/>
    <mergeCell ref="C6:G6"/>
    <mergeCell ref="H6:K6"/>
    <mergeCell ref="A9:B9"/>
    <mergeCell ref="C9:D9"/>
    <mergeCell ref="E9:F9"/>
    <mergeCell ref="E11:F11"/>
    <mergeCell ref="G11:H11"/>
    <mergeCell ref="A10:B10"/>
    <mergeCell ref="C10:D10"/>
    <mergeCell ref="E10:F10"/>
    <mergeCell ref="G10:H10"/>
    <mergeCell ref="I10:K10"/>
    <mergeCell ref="C11:D11"/>
    <mergeCell ref="I11:K11"/>
    <mergeCell ref="G13:H13"/>
    <mergeCell ref="I13:K13"/>
    <mergeCell ref="I14:K14"/>
    <mergeCell ref="I15:K15"/>
    <mergeCell ref="A11:B11"/>
    <mergeCell ref="A12:B12"/>
    <mergeCell ref="C12:D12"/>
    <mergeCell ref="E12:F12"/>
    <mergeCell ref="G12:H12"/>
    <mergeCell ref="I12:K12"/>
    <mergeCell ref="A13:B13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65" t="s">
        <v>44</v>
      </c>
      <c r="B1" s="66" t="s">
        <v>45</v>
      </c>
      <c r="H1" s="67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3.25" customHeight="1">
      <c r="A2" s="66"/>
      <c r="B2" s="66"/>
      <c r="C2" s="66"/>
      <c r="D2" s="66"/>
      <c r="E2" s="68"/>
      <c r="G2" s="69"/>
      <c r="H2" s="66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3.25" customHeight="1">
      <c r="A3" s="65"/>
      <c r="B3" s="70"/>
      <c r="C3" s="65"/>
      <c r="D3" s="65"/>
      <c r="E3" s="68" t="s">
        <v>46</v>
      </c>
      <c r="G3" s="71" t="s">
        <v>47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34.5" customHeight="1">
      <c r="A4" s="65"/>
      <c r="B4" s="72" t="str">
        <f>'すまい請求書'!A2</f>
        <v>荒木のり子</v>
      </c>
      <c r="C4" s="52"/>
      <c r="D4" s="65" t="s">
        <v>12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2.5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48.0" customHeight="1">
      <c r="A6" s="65"/>
      <c r="B6" s="73"/>
      <c r="C6" s="74">
        <f>'すまい請求書'!C6</f>
        <v>113345</v>
      </c>
      <c r="D6" s="75"/>
      <c r="E6" s="75"/>
      <c r="F6" s="73"/>
      <c r="G6" s="73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27.75" customHeight="1">
      <c r="A7" s="65"/>
      <c r="B7" s="76" t="s">
        <v>48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38.25" customHeight="1">
      <c r="A8" s="65"/>
      <c r="B8" s="65"/>
      <c r="C8" s="77" t="s">
        <v>49</v>
      </c>
      <c r="D8" s="65"/>
      <c r="E8" s="78"/>
      <c r="F8" s="78"/>
      <c r="G8" s="78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26.25" customHeight="1">
      <c r="A9" s="65"/>
      <c r="B9" s="65"/>
      <c r="C9" s="79" t="s">
        <v>50</v>
      </c>
      <c r="G9" s="80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5.75" customHeight="1">
      <c r="A10" s="65"/>
      <c r="B10" s="65"/>
      <c r="C10" s="81" t="s">
        <v>51</v>
      </c>
      <c r="D10" s="81"/>
      <c r="E10" s="82"/>
      <c r="F10" s="65"/>
      <c r="G10" s="7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75" customHeight="1">
      <c r="A11" s="65"/>
      <c r="B11" s="65"/>
      <c r="C11" s="81" t="s">
        <v>23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65"/>
      <c r="B12" s="65"/>
      <c r="C12" s="83" t="s">
        <v>52</v>
      </c>
      <c r="D12" s="82"/>
      <c r="E12" s="82"/>
      <c r="F12" s="82"/>
      <c r="G12" s="77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7.25" customHeight="1">
      <c r="A13" s="80"/>
      <c r="B13" s="80"/>
      <c r="C13" s="81"/>
      <c r="D13" s="82"/>
      <c r="E13" s="82"/>
      <c r="F13" s="80"/>
      <c r="G13" s="77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7.25" customHeight="1">
      <c r="A14" s="80"/>
      <c r="B14" s="80"/>
      <c r="C14" s="81"/>
      <c r="D14" s="82"/>
      <c r="E14" s="82"/>
      <c r="F14" s="80"/>
      <c r="G14" s="77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7.25" customHeight="1">
      <c r="A15" s="80"/>
      <c r="B15" s="80"/>
      <c r="C15" s="80"/>
      <c r="D15" s="80"/>
      <c r="E15" s="80"/>
      <c r="F15" s="80"/>
      <c r="G15" s="77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24.0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0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24.0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24.0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24.0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24.0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24.0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24.0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24.0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4.2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24.0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0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22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22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22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0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24.0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24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24.0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24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24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24.0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24.0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24.0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24.0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24.0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24.0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24.0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24.0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24.0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24.0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24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24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24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24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24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24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24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24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24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24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24.0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24.0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24.0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24.0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24.0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24.0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24.0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24.0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24.0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24.0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24.0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24.0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24.0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24.0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24.0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24.0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24.0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24.0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24.0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24.0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24.0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24.0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24.0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24.0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24.0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24.0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24.0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24.0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24.0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24.0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24.0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24.0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24.0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24.0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24.0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24.0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24.0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24.0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24.0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24.0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24.0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24.0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24.0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24.0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24.0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24.0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24.0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24.0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24.0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24.0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24.0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24.0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24.0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24.0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24.0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24.0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24.0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24.0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24.0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24.0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24.0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24.0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24.0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24.0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24.0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24.0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24.0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24.0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24.0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24.0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24.0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24.0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24.0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24.0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24.0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24.0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24.0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24.0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24.0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24.0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24.0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24.0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24.0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24.0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24.0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24.0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24.0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24.0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24.0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24.0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24.0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24.0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24.0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24.0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24.0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24.0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24.0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24.0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24.0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24.0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24.0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24.0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24.0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24.0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24.0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24.0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24.0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24.0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24.0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24.0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24.0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24.0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24.0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24.0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24.0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24.0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24.0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24.0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24.0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24.0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24.0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24.0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24.0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24.0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24.0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24.0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24.0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24.0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24.0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24.0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24.0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24.0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24.0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24.0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24.0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24.0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24.0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24.0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24.0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24.0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24.0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24.0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24.0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24.0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24.0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24.0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24.0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24.0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24.0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24.0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24.0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24.0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24.0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24.0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24.0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24.0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24.0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24.0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24.0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24.0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24.0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24.0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24.0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24.0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5" width="7.88"/>
  </cols>
  <sheetData>
    <row r="1" ht="37.5" customHeight="1">
      <c r="A1" s="65" t="s">
        <v>44</v>
      </c>
      <c r="B1" s="66" t="s">
        <v>45</v>
      </c>
      <c r="H1" s="67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3.25" customHeight="1">
      <c r="A2" s="66"/>
      <c r="B2" s="66"/>
      <c r="C2" s="66"/>
      <c r="D2" s="66"/>
      <c r="E2" s="68"/>
      <c r="G2" s="69"/>
      <c r="H2" s="66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3.25" customHeight="1">
      <c r="A3" s="65"/>
      <c r="B3" s="70"/>
      <c r="C3" s="65"/>
      <c r="D3" s="65"/>
      <c r="E3" s="68" t="s">
        <v>46</v>
      </c>
      <c r="G3" s="84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34.5" customHeight="1">
      <c r="A4" s="65"/>
      <c r="B4" s="72" t="str">
        <f>'すまい請求書'!A2</f>
        <v>荒木のり子</v>
      </c>
      <c r="C4" s="52"/>
      <c r="D4" s="65" t="s">
        <v>12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2.5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48.0" customHeight="1">
      <c r="A6" s="65"/>
      <c r="B6" s="73"/>
      <c r="C6" s="74">
        <v>135000.0</v>
      </c>
      <c r="D6" s="75"/>
      <c r="E6" s="75"/>
      <c r="F6" s="73"/>
      <c r="G6" s="73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27.75" customHeight="1">
      <c r="A7" s="65"/>
      <c r="B7" s="76" t="s">
        <v>48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38.25" customHeight="1">
      <c r="A8" s="65"/>
      <c r="B8" s="65"/>
      <c r="C8" s="77" t="s">
        <v>49</v>
      </c>
      <c r="D8" s="65"/>
      <c r="E8" s="78"/>
      <c r="F8" s="78"/>
      <c r="G8" s="78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26.25" customHeight="1">
      <c r="A9" s="65"/>
      <c r="B9" s="65"/>
      <c r="C9" s="79" t="s">
        <v>50</v>
      </c>
      <c r="G9" s="80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5.75" customHeight="1">
      <c r="A10" s="65"/>
      <c r="B10" s="65"/>
      <c r="C10" s="81" t="s">
        <v>51</v>
      </c>
      <c r="D10" s="81"/>
      <c r="E10" s="82"/>
      <c r="F10" s="65"/>
      <c r="G10" s="7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75" customHeight="1">
      <c r="A11" s="65"/>
      <c r="B11" s="65"/>
      <c r="C11" s="81" t="s">
        <v>23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65"/>
      <c r="B12" s="65"/>
      <c r="C12" s="83" t="s">
        <v>52</v>
      </c>
      <c r="D12" s="82"/>
      <c r="E12" s="82"/>
      <c r="F12" s="82"/>
      <c r="G12" s="77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7.25" customHeight="1">
      <c r="A13" s="80"/>
      <c r="B13" s="80"/>
      <c r="C13" s="81"/>
      <c r="D13" s="82"/>
      <c r="E13" s="82"/>
      <c r="F13" s="80"/>
      <c r="G13" s="77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7.25" customHeight="1">
      <c r="A14" s="80"/>
      <c r="B14" s="80"/>
      <c r="C14" s="81"/>
      <c r="D14" s="82"/>
      <c r="E14" s="82"/>
      <c r="F14" s="80"/>
      <c r="G14" s="77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7.25" customHeight="1">
      <c r="A15" s="80"/>
      <c r="B15" s="80"/>
      <c r="C15" s="80"/>
      <c r="D15" s="80"/>
      <c r="E15" s="80"/>
      <c r="F15" s="80"/>
      <c r="G15" s="77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24.0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0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24.0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24.0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24.0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24.0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24.0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24.0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24.0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4.2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24.0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0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22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22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22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0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24.0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24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24.0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24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24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24.0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24.0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24.0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24.0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24.0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24.0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24.0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24.0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24.0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24.0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24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24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24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24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24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24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24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24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24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24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24.0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24.0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24.0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24.0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24.0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24.0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24.0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24.0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24.0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24.0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24.0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24.0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24.0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24.0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24.0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24.0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24.0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24.0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24.0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24.0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24.0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24.0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24.0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24.0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24.0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24.0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24.0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24.0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24.0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24.0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24.0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24.0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24.0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24.0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24.0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24.0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24.0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24.0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24.0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24.0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24.0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24.0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24.0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24.0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24.0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24.0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24.0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24.0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24.0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24.0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24.0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24.0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24.0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24.0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24.0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24.0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24.0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24.0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24.0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24.0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24.0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24.0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24.0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24.0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24.0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24.0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24.0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24.0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24.0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24.0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24.0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24.0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24.0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24.0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24.0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24.0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24.0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24.0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24.0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24.0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24.0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24.0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24.0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24.0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24.0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24.0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24.0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24.0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24.0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24.0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24.0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24.0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24.0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24.0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24.0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24.0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24.0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24.0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24.0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24.0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24.0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24.0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24.0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24.0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24.0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24.0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24.0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24.0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24.0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24.0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24.0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24.0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24.0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24.0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24.0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24.0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24.0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24.0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24.0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24.0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24.0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24.0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24.0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24.0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24.0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24.0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24.0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24.0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24.0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24.0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24.0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24.0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24.0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24.0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24.0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24.0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24.0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24.0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24.0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24.0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24.0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24.0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24.0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24.0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24.0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24.0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24.0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24.0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24.0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24.0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24.0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24.0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24.0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24.0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24.0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24.0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24.0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24.0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24.0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24.0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24.0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24.0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24.0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24.0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9" width="8.25"/>
    <col customWidth="1" min="10" max="26" width="7.13"/>
  </cols>
  <sheetData>
    <row r="1" ht="33.0" customHeight="1">
      <c r="A1" s="85" t="s">
        <v>53</v>
      </c>
      <c r="J1" s="85"/>
      <c r="K1" s="85"/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荒木のり子</v>
      </c>
      <c r="E2" s="8" t="s">
        <v>12</v>
      </c>
      <c r="F2" s="9" t="s">
        <v>13</v>
      </c>
      <c r="H2" s="10">
        <v>46056.0</v>
      </c>
      <c r="L2" s="11"/>
      <c r="M2" s="12" t="s">
        <v>14</v>
      </c>
      <c r="N2" s="1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14"/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5" t="s">
        <v>18</v>
      </c>
      <c r="F4" s="14">
        <v>1006.0</v>
      </c>
      <c r="G4" s="5" t="s">
        <v>19</v>
      </c>
      <c r="H4" s="16"/>
      <c r="I4" s="16"/>
      <c r="J4" s="16"/>
      <c r="K4" s="1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/>
      <c r="B5" s="14"/>
      <c r="C5" s="14"/>
      <c r="D5" s="5"/>
      <c r="E5" s="5"/>
      <c r="F5" s="5"/>
      <c r="G5" s="5"/>
      <c r="H5" s="16"/>
      <c r="I5" s="16"/>
      <c r="J5" s="16"/>
      <c r="K5" s="16"/>
      <c r="L5" s="17"/>
      <c r="M5" s="17"/>
      <c r="N5" s="17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23"/>
      <c r="M6" s="23"/>
      <c r="N6" s="2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B7" s="86" t="s">
        <v>54</v>
      </c>
      <c r="C7" s="19"/>
      <c r="D7" s="20">
        <f>SUM(C10:C12)</f>
        <v>135000</v>
      </c>
      <c r="E7" s="21"/>
      <c r="F7" s="21"/>
      <c r="G7" s="21"/>
      <c r="H7" s="19"/>
      <c r="I7" s="8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88" t="s">
        <v>24</v>
      </c>
      <c r="B9" s="89"/>
      <c r="C9" s="90" t="s">
        <v>55</v>
      </c>
      <c r="D9" s="89"/>
      <c r="E9" s="90" t="s">
        <v>56</v>
      </c>
      <c r="F9" s="89"/>
      <c r="G9" s="90" t="s">
        <v>28</v>
      </c>
      <c r="H9" s="91"/>
      <c r="I9" s="8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92" t="s">
        <v>57</v>
      </c>
      <c r="B10" s="55"/>
      <c r="C10" s="93">
        <f t="array" ref="C10">VLOOKUP(F$4,INDIRECT(M$2&amp;"!A3:Y109"),23,FALSE)</f>
        <v>113345</v>
      </c>
      <c r="D10" s="55"/>
      <c r="E10" s="94">
        <f>H2+20</f>
        <v>46076</v>
      </c>
      <c r="F10" s="19"/>
      <c r="G10" s="95" t="s">
        <v>58</v>
      </c>
      <c r="H10" s="52"/>
      <c r="I10" s="5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92" t="s">
        <v>59</v>
      </c>
      <c r="B11" s="55"/>
      <c r="C11" s="93">
        <f t="array" ref="C11">VLOOKUP(F$4,INDIRECT(M$2&amp;"!A3:Y109"),24,FALSE)</f>
        <v>21655</v>
      </c>
      <c r="D11" s="55"/>
      <c r="E11" s="94">
        <f>H2+20</f>
        <v>46076</v>
      </c>
      <c r="F11" s="19"/>
      <c r="G11" s="95" t="s">
        <v>58</v>
      </c>
      <c r="H11" s="52"/>
      <c r="I11" s="55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2.5" customHeight="1">
      <c r="A12" s="92" t="s">
        <v>60</v>
      </c>
      <c r="B12" s="55"/>
      <c r="C12" s="93" t="str">
        <f t="array" ref="C12">VLOOKUP(F$4,INDIRECT(M$2&amp;"!A3:Y109"),25,FALSE)</f>
        <v/>
      </c>
      <c r="D12" s="55"/>
      <c r="E12" s="94">
        <f>H2+25</f>
        <v>46081</v>
      </c>
      <c r="F12" s="19"/>
      <c r="G12" s="95" t="s">
        <v>58</v>
      </c>
      <c r="H12" s="52"/>
      <c r="I12" s="55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6.5" customHeight="1">
      <c r="A13" s="96"/>
      <c r="B13" s="25"/>
      <c r="C13" s="25"/>
      <c r="D13" s="25"/>
      <c r="E13" s="25"/>
      <c r="F13" s="25"/>
      <c r="G13" s="25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5" t="s">
        <v>61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97" t="s">
        <v>62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5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8.0" customHeight="1">
      <c r="A17" s="62" t="s">
        <v>63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8.0" customHeight="1">
      <c r="A18" s="62" t="s">
        <v>64</v>
      </c>
      <c r="C18" s="63" t="s">
        <v>65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8.0" customHeight="1">
      <c r="A19" s="62" t="s">
        <v>66</v>
      </c>
      <c r="C19" s="63" t="s">
        <v>67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9.5" customHeight="1">
      <c r="A20" s="62" t="s">
        <v>68</v>
      </c>
      <c r="C20" s="63" t="s">
        <v>69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24.0" customHeight="1">
      <c r="A21" s="62" t="s">
        <v>70</v>
      </c>
      <c r="C21" s="63" t="s">
        <v>71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24.0" customHeight="1">
      <c r="C22" s="63" t="s">
        <v>72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24.0" customHeight="1">
      <c r="A23" s="58"/>
      <c r="B23" s="58"/>
      <c r="C23" s="58"/>
      <c r="D23" s="58"/>
      <c r="E23" s="58"/>
      <c r="F23" s="58"/>
      <c r="G23" s="5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4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D3"/>
    <mergeCell ref="E2:E3"/>
    <mergeCell ref="F2:G2"/>
    <mergeCell ref="H2:I2"/>
    <mergeCell ref="M2:N2"/>
    <mergeCell ref="A4:E4"/>
    <mergeCell ref="B7:C7"/>
    <mergeCell ref="D7:H7"/>
    <mergeCell ref="A9:B9"/>
    <mergeCell ref="C9:D9"/>
    <mergeCell ref="E9:F9"/>
    <mergeCell ref="G9:I9"/>
    <mergeCell ref="A10:B10"/>
    <mergeCell ref="G10:I10"/>
    <mergeCell ref="C12:D12"/>
    <mergeCell ref="E12:F12"/>
    <mergeCell ref="A12:B12"/>
    <mergeCell ref="A13:G13"/>
    <mergeCell ref="A17:B17"/>
    <mergeCell ref="A18:B18"/>
    <mergeCell ref="A19:B19"/>
    <mergeCell ref="A20:B20"/>
    <mergeCell ref="A21:B22"/>
    <mergeCell ref="C10:D10"/>
    <mergeCell ref="E10:F10"/>
    <mergeCell ref="A11:B11"/>
    <mergeCell ref="C11:D11"/>
    <mergeCell ref="E11:F11"/>
    <mergeCell ref="G11:I11"/>
    <mergeCell ref="G12:I12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46053.0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2">
        <v>608.0</v>
      </c>
      <c r="B3" s="107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/>
      <c r="J3" s="110"/>
      <c r="K3" s="111">
        <v>0.0</v>
      </c>
      <c r="L3" s="111">
        <v>0.0</v>
      </c>
      <c r="M3" s="109"/>
      <c r="N3" s="108"/>
      <c r="O3" s="108"/>
      <c r="P3" s="108"/>
      <c r="Q3" s="109"/>
      <c r="R3" s="112"/>
      <c r="S3" s="112"/>
      <c r="T3" s="113"/>
      <c r="U3" s="112"/>
      <c r="V3" s="112"/>
      <c r="W3" s="114">
        <f t="shared" ref="W3:W110" si="1">SUM(D3:V3)</f>
        <v>62000</v>
      </c>
      <c r="X3" s="115"/>
      <c r="Y3" s="115"/>
      <c r="Z3" s="116">
        <f t="shared" ref="Z3:Z109" si="2">SUM(W3:Y3)</f>
        <v>62000</v>
      </c>
      <c r="AA3" s="117"/>
      <c r="AB3" s="58" t="s">
        <v>122</v>
      </c>
      <c r="AC3" s="118">
        <f t="shared" ref="AC3:AC4" si="3">C3-M3</f>
        <v>0</v>
      </c>
    </row>
    <row r="4" ht="22.5" customHeight="1">
      <c r="A4" s="2">
        <v>703.0</v>
      </c>
      <c r="B4" s="3" t="s">
        <v>3</v>
      </c>
      <c r="C4" s="119"/>
      <c r="D4" s="109">
        <v>40000.0</v>
      </c>
      <c r="E4" s="109">
        <v>5000.0</v>
      </c>
      <c r="F4" s="109">
        <v>5000.0</v>
      </c>
      <c r="G4" s="109">
        <v>2000.0</v>
      </c>
      <c r="H4" s="109">
        <v>10000.0</v>
      </c>
      <c r="I4" s="109">
        <v>16500.0</v>
      </c>
      <c r="J4" s="120">
        <v>-45578.0</v>
      </c>
      <c r="K4" s="108">
        <v>11253.0</v>
      </c>
      <c r="L4" s="108">
        <v>2263.0</v>
      </c>
      <c r="M4" s="108"/>
      <c r="N4" s="108"/>
      <c r="O4" s="108"/>
      <c r="P4" s="108"/>
      <c r="Q4" s="108">
        <v>3982.0</v>
      </c>
      <c r="R4" s="108"/>
      <c r="S4" s="108"/>
      <c r="T4" s="108"/>
      <c r="U4" s="108"/>
      <c r="V4" s="108"/>
      <c r="W4" s="114">
        <f t="shared" si="1"/>
        <v>50420</v>
      </c>
      <c r="X4" s="115">
        <v>39580.0</v>
      </c>
      <c r="Y4" s="115"/>
      <c r="Z4" s="116">
        <f t="shared" si="2"/>
        <v>90000</v>
      </c>
      <c r="AA4" s="117" t="s">
        <v>123</v>
      </c>
      <c r="AB4" s="58" t="s">
        <v>122</v>
      </c>
      <c r="AC4" s="121">
        <f t="shared" si="3"/>
        <v>0</v>
      </c>
    </row>
    <row r="5" ht="22.5" customHeight="1">
      <c r="A5" s="2">
        <v>801.0</v>
      </c>
      <c r="B5" s="107"/>
      <c r="C5" s="122"/>
      <c r="D5" s="109">
        <v>0.0</v>
      </c>
      <c r="E5" s="109">
        <v>0.0</v>
      </c>
      <c r="F5" s="109">
        <v>0.0</v>
      </c>
      <c r="G5" s="109">
        <v>0.0</v>
      </c>
      <c r="H5" s="109">
        <v>0.0</v>
      </c>
      <c r="I5" s="109"/>
      <c r="J5" s="110"/>
      <c r="K5" s="109"/>
      <c r="L5" s="109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14">
        <f t="shared" si="1"/>
        <v>0</v>
      </c>
      <c r="X5" s="115"/>
      <c r="Y5" s="115"/>
      <c r="Z5" s="116">
        <f t="shared" si="2"/>
        <v>0</v>
      </c>
      <c r="AA5" s="117"/>
      <c r="AB5" s="58" t="s">
        <v>122</v>
      </c>
      <c r="AC5" s="123">
        <v>0.0</v>
      </c>
    </row>
    <row r="6" ht="22.5" customHeight="1">
      <c r="A6" s="1">
        <v>813.0</v>
      </c>
      <c r="B6" s="3" t="s">
        <v>124</v>
      </c>
      <c r="C6" s="119"/>
      <c r="D6" s="109">
        <v>40000.0</v>
      </c>
      <c r="E6" s="109">
        <v>5000.0</v>
      </c>
      <c r="F6" s="109">
        <v>5000.0</v>
      </c>
      <c r="G6" s="109">
        <v>2000.0</v>
      </c>
      <c r="H6" s="109">
        <v>10000.0</v>
      </c>
      <c r="I6" s="109"/>
      <c r="J6" s="110"/>
      <c r="K6" s="116"/>
      <c r="L6" s="116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14">
        <f t="shared" si="1"/>
        <v>62000</v>
      </c>
      <c r="X6" s="115"/>
      <c r="Y6" s="115"/>
      <c r="Z6" s="116">
        <f t="shared" si="2"/>
        <v>62000</v>
      </c>
      <c r="AA6" s="117" t="s">
        <v>125</v>
      </c>
      <c r="AB6" s="58" t="s">
        <v>122</v>
      </c>
      <c r="AC6" s="121">
        <f t="shared" ref="AC6:AC109" si="4">C6-M6</f>
        <v>0</v>
      </c>
    </row>
    <row r="7" ht="22.5" customHeight="1">
      <c r="A7" s="1">
        <v>906.0</v>
      </c>
      <c r="B7" s="3" t="s">
        <v>5</v>
      </c>
      <c r="C7" s="119">
        <v>62000.0</v>
      </c>
      <c r="D7" s="109">
        <v>40000.0</v>
      </c>
      <c r="E7" s="109">
        <v>5000.0</v>
      </c>
      <c r="F7" s="109">
        <v>5000.0</v>
      </c>
      <c r="G7" s="109">
        <v>2000.0</v>
      </c>
      <c r="H7" s="109">
        <v>10000.0</v>
      </c>
      <c r="I7" s="109">
        <v>42900.0</v>
      </c>
      <c r="J7" s="110">
        <v>-32266.0</v>
      </c>
      <c r="K7" s="108"/>
      <c r="L7" s="108">
        <v>2263.0</v>
      </c>
      <c r="M7" s="108">
        <v>10000.0</v>
      </c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84897</v>
      </c>
      <c r="X7" s="118">
        <v>20103.0</v>
      </c>
      <c r="Y7" s="118">
        <v>5000.0</v>
      </c>
      <c r="Z7" s="116">
        <f t="shared" si="2"/>
        <v>110000</v>
      </c>
      <c r="AA7" s="117" t="s">
        <v>126</v>
      </c>
      <c r="AB7" s="58" t="s">
        <v>122</v>
      </c>
      <c r="AC7" s="121">
        <f t="shared" si="4"/>
        <v>52000</v>
      </c>
    </row>
    <row r="8" ht="22.5" customHeight="1">
      <c r="A8" s="1">
        <v>913.0</v>
      </c>
      <c r="B8" s="3" t="s">
        <v>127</v>
      </c>
      <c r="C8" s="122">
        <v>47000.0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9">
        <v>39380.0</v>
      </c>
      <c r="J8" s="110"/>
      <c r="K8" s="108">
        <v>11253.0</v>
      </c>
      <c r="L8" s="108">
        <v>2263.0</v>
      </c>
      <c r="M8" s="108">
        <v>10000.0</v>
      </c>
      <c r="N8" s="108"/>
      <c r="O8" s="124"/>
      <c r="P8" s="108"/>
      <c r="Q8" s="108">
        <v>6662.0</v>
      </c>
      <c r="R8" s="108"/>
      <c r="S8" s="108"/>
      <c r="T8" s="108"/>
      <c r="U8" s="108"/>
      <c r="V8" s="108"/>
      <c r="W8" s="114">
        <f t="shared" si="1"/>
        <v>131558</v>
      </c>
      <c r="X8" s="118">
        <v>22241.0</v>
      </c>
      <c r="Y8" s="118"/>
      <c r="Z8" s="116">
        <f t="shared" si="2"/>
        <v>153799</v>
      </c>
      <c r="AA8" s="117" t="s">
        <v>128</v>
      </c>
      <c r="AB8" s="58" t="s">
        <v>122</v>
      </c>
      <c r="AC8" s="121">
        <f t="shared" si="4"/>
        <v>37000</v>
      </c>
    </row>
    <row r="9" ht="22.5" customHeight="1">
      <c r="A9" s="1">
        <v>915.0</v>
      </c>
      <c r="B9" s="3" t="s">
        <v>7</v>
      </c>
      <c r="C9" s="122">
        <v>110000.0</v>
      </c>
      <c r="D9" s="109">
        <v>0.0</v>
      </c>
      <c r="E9" s="109">
        <v>0.0</v>
      </c>
      <c r="F9" s="109">
        <v>0.0</v>
      </c>
      <c r="G9" s="109">
        <v>0.0</v>
      </c>
      <c r="H9" s="109">
        <v>0.0</v>
      </c>
      <c r="I9" s="109"/>
      <c r="J9" s="110"/>
      <c r="K9" s="108"/>
      <c r="L9" s="108"/>
      <c r="M9" s="108">
        <v>10000.0</v>
      </c>
      <c r="N9" s="108"/>
      <c r="O9" s="108"/>
      <c r="P9" s="108"/>
      <c r="Q9" s="108">
        <v>3460.0</v>
      </c>
      <c r="R9" s="108"/>
      <c r="S9" s="108"/>
      <c r="T9" s="108"/>
      <c r="U9" s="108"/>
      <c r="V9" s="108"/>
      <c r="W9" s="114">
        <f t="shared" si="1"/>
        <v>13460</v>
      </c>
      <c r="X9" s="115">
        <v>3541.0</v>
      </c>
      <c r="Y9" s="115"/>
      <c r="Z9" s="116">
        <f t="shared" si="2"/>
        <v>17001</v>
      </c>
      <c r="AA9" s="125">
        <v>13.0</v>
      </c>
      <c r="AB9" s="58" t="s">
        <v>122</v>
      </c>
      <c r="AC9" s="121">
        <f t="shared" si="4"/>
        <v>100000</v>
      </c>
    </row>
    <row r="10" ht="22.5" customHeight="1">
      <c r="A10" s="1">
        <v>1005.0</v>
      </c>
      <c r="B10" s="3"/>
      <c r="C10" s="122"/>
      <c r="D10" s="109"/>
      <c r="E10" s="109"/>
      <c r="F10" s="109"/>
      <c r="G10" s="109"/>
      <c r="H10" s="109"/>
      <c r="I10" s="109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4">
        <f t="shared" si="1"/>
        <v>0</v>
      </c>
      <c r="X10" s="126"/>
      <c r="Y10" s="126"/>
      <c r="Z10" s="116">
        <f t="shared" si="2"/>
        <v>0</v>
      </c>
      <c r="AA10" s="117"/>
      <c r="AB10" s="58" t="s">
        <v>122</v>
      </c>
      <c r="AC10" s="121">
        <f t="shared" si="4"/>
        <v>0</v>
      </c>
    </row>
    <row r="11" ht="22.5" customHeight="1">
      <c r="A11" s="1">
        <v>1006.0</v>
      </c>
      <c r="B11" s="3" t="s">
        <v>8</v>
      </c>
      <c r="C11" s="122">
        <v>110000.0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9">
        <v>31900.0</v>
      </c>
      <c r="J11" s="110"/>
      <c r="K11" s="108"/>
      <c r="L11" s="108">
        <v>2263.0</v>
      </c>
      <c r="M11" s="108">
        <v>10000.0</v>
      </c>
      <c r="N11" s="108"/>
      <c r="O11" s="108"/>
      <c r="P11" s="108"/>
      <c r="Q11" s="108">
        <v>7182.0</v>
      </c>
      <c r="R11" s="108"/>
      <c r="S11" s="108"/>
      <c r="T11" s="108"/>
      <c r="U11" s="108"/>
      <c r="V11" s="108"/>
      <c r="W11" s="114">
        <f t="shared" si="1"/>
        <v>113345</v>
      </c>
      <c r="X11" s="115">
        <v>21655.0</v>
      </c>
      <c r="Y11" s="115"/>
      <c r="Z11" s="116">
        <f t="shared" si="2"/>
        <v>135000</v>
      </c>
      <c r="AA11" s="117" t="s">
        <v>129</v>
      </c>
      <c r="AB11" s="58" t="s">
        <v>122</v>
      </c>
      <c r="AC11" s="121">
        <f t="shared" si="4"/>
        <v>100000</v>
      </c>
    </row>
    <row r="12" ht="22.5" customHeight="1">
      <c r="A12" s="1">
        <v>1012.0</v>
      </c>
      <c r="B12" s="3"/>
      <c r="C12" s="122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2"/>
        <v>0</v>
      </c>
      <c r="AA12" s="117"/>
      <c r="AB12" s="58" t="s">
        <v>122</v>
      </c>
      <c r="AC12" s="121">
        <f t="shared" si="4"/>
        <v>0</v>
      </c>
    </row>
    <row r="13" ht="22.5" customHeight="1">
      <c r="A13" s="1"/>
      <c r="B13" s="3"/>
      <c r="C13" s="119"/>
      <c r="D13" s="109"/>
      <c r="E13" s="109"/>
      <c r="F13" s="109"/>
      <c r="G13" s="109"/>
      <c r="H13" s="109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2"/>
        <v>0</v>
      </c>
      <c r="AA13" s="117"/>
      <c r="AB13" s="58" t="s">
        <v>122</v>
      </c>
      <c r="AC13" s="121">
        <f t="shared" si="4"/>
        <v>0</v>
      </c>
    </row>
    <row r="14" ht="22.5" customHeight="1">
      <c r="A14" s="1" t="str">
        <f>'入居者'!A13</f>
        <v/>
      </c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2"/>
        <v>0</v>
      </c>
      <c r="AA14" s="127"/>
      <c r="AB14" s="128"/>
      <c r="AC14" s="121">
        <f t="shared" si="4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2"/>
        <v>0</v>
      </c>
      <c r="AA15" s="127"/>
      <c r="AB15" s="128"/>
      <c r="AC15" s="121">
        <f t="shared" si="4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2"/>
        <v>0</v>
      </c>
      <c r="AA16" s="127"/>
      <c r="AB16" s="128"/>
      <c r="AC16" s="121">
        <f t="shared" si="4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2"/>
        <v>0</v>
      </c>
      <c r="AA17" s="127"/>
      <c r="AB17" s="128"/>
      <c r="AC17" s="121">
        <f t="shared" si="4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2"/>
        <v>0</v>
      </c>
      <c r="AA18" s="127"/>
      <c r="AB18" s="128"/>
      <c r="AC18" s="121">
        <f t="shared" si="4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2"/>
        <v>0</v>
      </c>
      <c r="AA19" s="127"/>
      <c r="AB19" s="128"/>
      <c r="AC19" s="121">
        <f t="shared" si="4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2"/>
        <v>0</v>
      </c>
      <c r="AA20" s="127"/>
      <c r="AB20" s="128"/>
      <c r="AC20" s="121">
        <f t="shared" si="4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2"/>
        <v>0</v>
      </c>
      <c r="AA21" s="127"/>
      <c r="AB21" s="128"/>
      <c r="AC21" s="121">
        <f t="shared" si="4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2"/>
        <v>0</v>
      </c>
      <c r="AA22" s="127"/>
      <c r="AB22" s="128"/>
      <c r="AC22" s="121">
        <f t="shared" si="4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2"/>
        <v>0</v>
      </c>
      <c r="AA23" s="127"/>
      <c r="AB23" s="128"/>
      <c r="AC23" s="121">
        <f t="shared" si="4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2"/>
        <v>0</v>
      </c>
      <c r="AA24" s="127"/>
      <c r="AB24" s="128"/>
      <c r="AC24" s="121">
        <f t="shared" si="4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2"/>
        <v>0</v>
      </c>
      <c r="AA25" s="127"/>
      <c r="AB25" s="128"/>
      <c r="AC25" s="121">
        <f t="shared" si="4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2"/>
        <v>0</v>
      </c>
      <c r="AA26" s="127"/>
      <c r="AB26" s="128"/>
      <c r="AC26" s="121">
        <f t="shared" si="4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2"/>
        <v>0</v>
      </c>
      <c r="AA27" s="127"/>
      <c r="AB27" s="128"/>
      <c r="AC27" s="121">
        <f t="shared" si="4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2"/>
        <v>0</v>
      </c>
      <c r="AA28" s="127"/>
      <c r="AB28" s="128"/>
      <c r="AC28" s="121">
        <f t="shared" si="4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2"/>
        <v>0</v>
      </c>
      <c r="AA29" s="127"/>
      <c r="AB29" s="128"/>
      <c r="AC29" s="121">
        <f t="shared" si="4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2"/>
        <v>0</v>
      </c>
      <c r="AA30" s="127"/>
      <c r="AB30" s="128"/>
      <c r="AC30" s="121">
        <f t="shared" si="4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2"/>
        <v>0</v>
      </c>
      <c r="AA31" s="127"/>
      <c r="AB31" s="128"/>
      <c r="AC31" s="121">
        <f t="shared" si="4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2"/>
        <v>0</v>
      </c>
      <c r="AA32" s="127"/>
      <c r="AB32" s="128"/>
      <c r="AC32" s="121">
        <f t="shared" si="4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2"/>
        <v>0</v>
      </c>
      <c r="AA33" s="127"/>
      <c r="AB33" s="128"/>
      <c r="AC33" s="121">
        <f t="shared" si="4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2"/>
        <v>0</v>
      </c>
      <c r="AA34" s="127"/>
      <c r="AB34" s="128"/>
      <c r="AC34" s="121">
        <f t="shared" si="4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2"/>
        <v>0</v>
      </c>
      <c r="AA35" s="127"/>
      <c r="AB35" s="128"/>
      <c r="AC35" s="121">
        <f t="shared" si="4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2"/>
        <v>0</v>
      </c>
      <c r="AA36" s="127"/>
      <c r="AB36" s="128"/>
      <c r="AC36" s="121">
        <f t="shared" si="4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2"/>
        <v>0</v>
      </c>
      <c r="AA37" s="127"/>
      <c r="AB37" s="128"/>
      <c r="AC37" s="121">
        <f t="shared" si="4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2"/>
        <v>0</v>
      </c>
      <c r="AA38" s="127"/>
      <c r="AB38" s="128"/>
      <c r="AC38" s="121">
        <f t="shared" si="4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2"/>
        <v>0</v>
      </c>
      <c r="AA39" s="127"/>
      <c r="AB39" s="128"/>
      <c r="AC39" s="121">
        <f t="shared" si="4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2"/>
        <v>0</v>
      </c>
      <c r="AA40" s="127"/>
      <c r="AB40" s="128"/>
      <c r="AC40" s="121">
        <f t="shared" si="4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2"/>
        <v>0</v>
      </c>
      <c r="AA41" s="127"/>
      <c r="AB41" s="128"/>
      <c r="AC41" s="121">
        <f t="shared" si="4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2"/>
        <v>0</v>
      </c>
      <c r="AA42" s="127"/>
      <c r="AB42" s="128"/>
      <c r="AC42" s="121">
        <f t="shared" si="4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2"/>
        <v>0</v>
      </c>
      <c r="AA43" s="127"/>
      <c r="AB43" s="128"/>
      <c r="AC43" s="121">
        <f t="shared" si="4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2"/>
        <v>0</v>
      </c>
      <c r="AA44" s="127"/>
      <c r="AB44" s="128"/>
      <c r="AC44" s="121">
        <f t="shared" si="4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2"/>
        <v>0</v>
      </c>
      <c r="AA45" s="127"/>
      <c r="AB45" s="128"/>
      <c r="AC45" s="121">
        <f t="shared" si="4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2"/>
        <v>0</v>
      </c>
      <c r="AA46" s="127"/>
      <c r="AB46" s="128"/>
      <c r="AC46" s="121">
        <f t="shared" si="4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2"/>
        <v>0</v>
      </c>
      <c r="AA47" s="127"/>
      <c r="AB47" s="128"/>
      <c r="AC47" s="121">
        <f t="shared" si="4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2"/>
        <v>0</v>
      </c>
      <c r="AA48" s="127"/>
      <c r="AB48" s="128"/>
      <c r="AC48" s="121">
        <f t="shared" si="4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2"/>
        <v>0</v>
      </c>
      <c r="AA49" s="127"/>
      <c r="AB49" s="128"/>
      <c r="AC49" s="121">
        <f t="shared" si="4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2"/>
        <v>0</v>
      </c>
      <c r="AA50" s="127"/>
      <c r="AB50" s="128"/>
      <c r="AC50" s="121">
        <f t="shared" si="4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2"/>
        <v>0</v>
      </c>
      <c r="AA51" s="127"/>
      <c r="AB51" s="128"/>
      <c r="AC51" s="121">
        <f t="shared" si="4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2"/>
        <v>0</v>
      </c>
      <c r="AA52" s="127"/>
      <c r="AB52" s="128"/>
      <c r="AC52" s="121">
        <f t="shared" si="4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2"/>
        <v>0</v>
      </c>
      <c r="AA53" s="127"/>
      <c r="AB53" s="128"/>
      <c r="AC53" s="121">
        <f t="shared" si="4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2"/>
        <v>0</v>
      </c>
      <c r="AA54" s="127"/>
      <c r="AB54" s="128"/>
      <c r="AC54" s="121">
        <f t="shared" si="4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2"/>
        <v>0</v>
      </c>
      <c r="AA55" s="127"/>
      <c r="AB55" s="128"/>
      <c r="AC55" s="121">
        <f t="shared" si="4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2"/>
        <v>0</v>
      </c>
      <c r="AA56" s="127"/>
      <c r="AB56" s="128"/>
      <c r="AC56" s="121">
        <f t="shared" si="4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2"/>
        <v>0</v>
      </c>
      <c r="AA57" s="127"/>
      <c r="AB57" s="128"/>
      <c r="AC57" s="121">
        <f t="shared" si="4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2"/>
        <v>0</v>
      </c>
      <c r="AA58" s="127"/>
      <c r="AB58" s="128"/>
      <c r="AC58" s="121">
        <f t="shared" si="4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2"/>
        <v>0</v>
      </c>
      <c r="AA59" s="127"/>
      <c r="AB59" s="128"/>
      <c r="AC59" s="121">
        <f t="shared" si="4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2"/>
        <v>0</v>
      </c>
      <c r="AA60" s="127"/>
      <c r="AB60" s="128"/>
      <c r="AC60" s="121">
        <f t="shared" si="4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2"/>
        <v>0</v>
      </c>
      <c r="AA61" s="127"/>
      <c r="AB61" s="128"/>
      <c r="AC61" s="121">
        <f t="shared" si="4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2"/>
        <v>0</v>
      </c>
      <c r="AA62" s="127"/>
      <c r="AB62" s="128"/>
      <c r="AC62" s="121">
        <f t="shared" si="4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2"/>
        <v>0</v>
      </c>
      <c r="AA63" s="127"/>
      <c r="AB63" s="128"/>
      <c r="AC63" s="121">
        <f t="shared" si="4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2"/>
        <v>0</v>
      </c>
      <c r="AA64" s="127"/>
      <c r="AB64" s="128"/>
      <c r="AC64" s="121">
        <f t="shared" si="4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2"/>
        <v>0</v>
      </c>
      <c r="AA65" s="127"/>
      <c r="AB65" s="128"/>
      <c r="AC65" s="121">
        <f t="shared" si="4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2"/>
        <v>0</v>
      </c>
      <c r="AA66" s="127"/>
      <c r="AB66" s="128"/>
      <c r="AC66" s="121">
        <f t="shared" si="4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2"/>
        <v>0</v>
      </c>
      <c r="AA67" s="127"/>
      <c r="AB67" s="128"/>
      <c r="AC67" s="121">
        <f t="shared" si="4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2"/>
        <v>0</v>
      </c>
      <c r="AA68" s="127"/>
      <c r="AB68" s="128"/>
      <c r="AC68" s="121">
        <f t="shared" si="4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2"/>
        <v>0</v>
      </c>
      <c r="AA69" s="127"/>
      <c r="AB69" s="128"/>
      <c r="AC69" s="121">
        <f t="shared" si="4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2"/>
        <v>0</v>
      </c>
      <c r="AA70" s="127"/>
      <c r="AB70" s="128"/>
      <c r="AC70" s="121">
        <f t="shared" si="4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2"/>
        <v>0</v>
      </c>
      <c r="AA71" s="127"/>
      <c r="AB71" s="128"/>
      <c r="AC71" s="121">
        <f t="shared" si="4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2"/>
        <v>0</v>
      </c>
      <c r="AA72" s="127"/>
      <c r="AB72" s="128"/>
      <c r="AC72" s="121">
        <f t="shared" si="4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2"/>
        <v>0</v>
      </c>
      <c r="AA73" s="127"/>
      <c r="AB73" s="128"/>
      <c r="AC73" s="121">
        <f t="shared" si="4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2"/>
        <v>0</v>
      </c>
      <c r="AA74" s="127"/>
      <c r="AB74" s="128"/>
      <c r="AC74" s="121">
        <f t="shared" si="4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2"/>
        <v>0</v>
      </c>
      <c r="AA75" s="127"/>
      <c r="AB75" s="128"/>
      <c r="AC75" s="121">
        <f t="shared" si="4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2"/>
        <v>0</v>
      </c>
      <c r="AA76" s="127"/>
      <c r="AB76" s="128"/>
      <c r="AC76" s="121">
        <f t="shared" si="4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2"/>
        <v>0</v>
      </c>
      <c r="AA77" s="127"/>
      <c r="AB77" s="128"/>
      <c r="AC77" s="121">
        <f t="shared" si="4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2"/>
        <v>0</v>
      </c>
      <c r="AA78" s="127"/>
      <c r="AB78" s="128"/>
      <c r="AC78" s="121">
        <f t="shared" si="4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2"/>
        <v>0</v>
      </c>
      <c r="AA79" s="127"/>
      <c r="AB79" s="128"/>
      <c r="AC79" s="121">
        <f t="shared" si="4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2"/>
        <v>0</v>
      </c>
      <c r="AA80" s="127"/>
      <c r="AB80" s="128"/>
      <c r="AC80" s="121">
        <f t="shared" si="4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2"/>
        <v>0</v>
      </c>
      <c r="AA81" s="127"/>
      <c r="AB81" s="128"/>
      <c r="AC81" s="121">
        <f t="shared" si="4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2"/>
        <v>0</v>
      </c>
      <c r="AA82" s="127"/>
      <c r="AB82" s="128"/>
      <c r="AC82" s="121">
        <f t="shared" si="4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2"/>
        <v>0</v>
      </c>
      <c r="AA83" s="127"/>
      <c r="AB83" s="128"/>
      <c r="AC83" s="121">
        <f t="shared" si="4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2"/>
        <v>0</v>
      </c>
      <c r="AA84" s="127"/>
      <c r="AB84" s="128"/>
      <c r="AC84" s="121">
        <f t="shared" si="4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2"/>
        <v>0</v>
      </c>
      <c r="AA85" s="127"/>
      <c r="AB85" s="128"/>
      <c r="AC85" s="121">
        <f t="shared" si="4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2"/>
        <v>0</v>
      </c>
      <c r="AA86" s="127"/>
      <c r="AB86" s="128"/>
      <c r="AC86" s="121">
        <f t="shared" si="4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2"/>
        <v>0</v>
      </c>
      <c r="AA87" s="127"/>
      <c r="AB87" s="128"/>
      <c r="AC87" s="121">
        <f t="shared" si="4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2"/>
        <v>0</v>
      </c>
      <c r="AA88" s="127"/>
      <c r="AB88" s="128"/>
      <c r="AC88" s="121">
        <f t="shared" si="4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2"/>
        <v>0</v>
      </c>
      <c r="AA89" s="127"/>
      <c r="AB89" s="128"/>
      <c r="AC89" s="121">
        <f t="shared" si="4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2"/>
        <v>0</v>
      </c>
      <c r="AA90" s="127"/>
      <c r="AB90" s="128"/>
      <c r="AC90" s="121">
        <f t="shared" si="4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2"/>
        <v>0</v>
      </c>
      <c r="AA91" s="127"/>
      <c r="AB91" s="128"/>
      <c r="AC91" s="121">
        <f t="shared" si="4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2"/>
        <v>0</v>
      </c>
      <c r="AA92" s="127"/>
      <c r="AB92" s="128"/>
      <c r="AC92" s="121">
        <f t="shared" si="4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2"/>
        <v>0</v>
      </c>
      <c r="AA93" s="127"/>
      <c r="AB93" s="128"/>
      <c r="AC93" s="121">
        <f t="shared" si="4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2"/>
        <v>0</v>
      </c>
      <c r="AA94" s="127"/>
      <c r="AB94" s="128"/>
      <c r="AC94" s="121">
        <f t="shared" si="4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2"/>
        <v>0</v>
      </c>
      <c r="AA95" s="127"/>
      <c r="AB95" s="128"/>
      <c r="AC95" s="121">
        <f t="shared" si="4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2"/>
        <v>0</v>
      </c>
      <c r="AA96" s="127"/>
      <c r="AB96" s="128"/>
      <c r="AC96" s="121">
        <f t="shared" si="4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2"/>
        <v>0</v>
      </c>
      <c r="AA97" s="127"/>
      <c r="AB97" s="128"/>
      <c r="AC97" s="121">
        <f t="shared" si="4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2"/>
        <v>0</v>
      </c>
      <c r="AA98" s="127"/>
      <c r="AB98" s="128"/>
      <c r="AC98" s="121">
        <f t="shared" si="4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2"/>
        <v>0</v>
      </c>
      <c r="AA99" s="127"/>
      <c r="AB99" s="128"/>
      <c r="AC99" s="121">
        <f t="shared" si="4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2"/>
        <v>0</v>
      </c>
      <c r="AA100" s="127"/>
      <c r="AB100" s="128"/>
      <c r="AC100" s="121">
        <f t="shared" si="4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2"/>
        <v>0</v>
      </c>
      <c r="AA101" s="127"/>
      <c r="AB101" s="128"/>
      <c r="AC101" s="121">
        <f t="shared" si="4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2"/>
        <v>0</v>
      </c>
      <c r="AA102" s="127"/>
      <c r="AB102" s="128"/>
      <c r="AC102" s="121">
        <f t="shared" si="4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2"/>
        <v>0</v>
      </c>
      <c r="AA103" s="127"/>
      <c r="AB103" s="128"/>
      <c r="AC103" s="121">
        <f t="shared" si="4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2"/>
        <v>0</v>
      </c>
      <c r="AA104" s="127"/>
      <c r="AB104" s="128"/>
      <c r="AC104" s="121">
        <f t="shared" si="4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2"/>
        <v>0</v>
      </c>
      <c r="AA105" s="127"/>
      <c r="AB105" s="128"/>
      <c r="AC105" s="121">
        <f t="shared" si="4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2"/>
        <v>0</v>
      </c>
      <c r="AA106" s="127"/>
      <c r="AB106" s="128"/>
      <c r="AC106" s="121">
        <f t="shared" si="4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2"/>
        <v>0</v>
      </c>
      <c r="AA107" s="127"/>
      <c r="AB107" s="128"/>
      <c r="AC107" s="121">
        <f t="shared" si="4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2"/>
        <v>0</v>
      </c>
      <c r="AA108" s="127"/>
      <c r="AB108" s="128"/>
      <c r="AC108" s="121">
        <f t="shared" si="4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2"/>
        <v>0</v>
      </c>
      <c r="AA109" s="127"/>
      <c r="AB109" s="128"/>
      <c r="AC109" s="121">
        <f t="shared" si="4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240000</v>
      </c>
      <c r="E110" s="116">
        <f t="shared" si="5"/>
        <v>30000</v>
      </c>
      <c r="F110" s="116">
        <f t="shared" si="5"/>
        <v>30000</v>
      </c>
      <c r="G110" s="116">
        <f t="shared" si="5"/>
        <v>12000</v>
      </c>
      <c r="H110" s="116">
        <f t="shared" si="5"/>
        <v>60000</v>
      </c>
      <c r="I110" s="116">
        <f t="shared" si="5"/>
        <v>130680</v>
      </c>
      <c r="J110" s="129">
        <f t="shared" si="5"/>
        <v>-77844</v>
      </c>
      <c r="K110" s="116">
        <f t="shared" si="5"/>
        <v>22506</v>
      </c>
      <c r="L110" s="116">
        <f t="shared" si="5"/>
        <v>9052</v>
      </c>
      <c r="M110" s="116">
        <f t="shared" si="5"/>
        <v>40000</v>
      </c>
      <c r="N110" s="116">
        <f t="shared" si="5"/>
        <v>0</v>
      </c>
      <c r="O110" s="116">
        <f t="shared" si="5"/>
        <v>0</v>
      </c>
      <c r="P110" s="116">
        <f t="shared" si="5"/>
        <v>0</v>
      </c>
      <c r="Q110" s="116">
        <f t="shared" si="5"/>
        <v>21286</v>
      </c>
      <c r="R110" s="116">
        <f t="shared" si="5"/>
        <v>0</v>
      </c>
      <c r="S110" s="116">
        <f t="shared" si="5"/>
        <v>0</v>
      </c>
      <c r="T110" s="116">
        <f t="shared" si="5"/>
        <v>0</v>
      </c>
      <c r="U110" s="116">
        <f t="shared" si="5"/>
        <v>0</v>
      </c>
      <c r="V110" s="116">
        <f t="shared" si="5"/>
        <v>0</v>
      </c>
      <c r="W110" s="114">
        <f t="shared" si="1"/>
        <v>517680</v>
      </c>
      <c r="X110" s="116">
        <f t="shared" ref="X110:Z110" si="6">SUM(X3:X109)</f>
        <v>107120</v>
      </c>
      <c r="Y110" s="116">
        <f t="shared" si="6"/>
        <v>5000</v>
      </c>
      <c r="Z110" s="116">
        <f t="shared" si="6"/>
        <v>629800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46022.0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2">
        <v>608.0</v>
      </c>
      <c r="B3" s="107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/>
      <c r="J3" s="110"/>
      <c r="K3" s="111">
        <v>0.0</v>
      </c>
      <c r="L3" s="111">
        <v>0.0</v>
      </c>
      <c r="M3" s="109"/>
      <c r="N3" s="108"/>
      <c r="O3" s="108"/>
      <c r="P3" s="108"/>
      <c r="Q3" s="109">
        <v>31998.0</v>
      </c>
      <c r="R3" s="112"/>
      <c r="S3" s="112"/>
      <c r="T3" s="113"/>
      <c r="U3" s="112"/>
      <c r="V3" s="112"/>
      <c r="W3" s="114">
        <f t="shared" ref="W3:W110" si="1">SUM(D3:V3)</f>
        <v>93998</v>
      </c>
      <c r="X3" s="115">
        <v>23519.0</v>
      </c>
      <c r="Y3" s="115">
        <v>8000.0</v>
      </c>
      <c r="Z3" s="116">
        <f t="shared" ref="Z3:Z109" si="2">SUM(W3:Y3)</f>
        <v>125517</v>
      </c>
      <c r="AA3" s="117"/>
      <c r="AB3" s="58" t="s">
        <v>122</v>
      </c>
      <c r="AC3" s="118">
        <f t="shared" ref="AC3:AC4" si="3">C3-M3</f>
        <v>0</v>
      </c>
    </row>
    <row r="4" ht="22.5" customHeight="1">
      <c r="A4" s="2">
        <v>703.0</v>
      </c>
      <c r="B4" s="3" t="s">
        <v>3</v>
      </c>
      <c r="C4" s="119"/>
      <c r="D4" s="109">
        <v>40000.0</v>
      </c>
      <c r="E4" s="109">
        <v>5000.0</v>
      </c>
      <c r="F4" s="109">
        <v>5000.0</v>
      </c>
      <c r="G4" s="109">
        <v>2000.0</v>
      </c>
      <c r="H4" s="109">
        <v>10000.0</v>
      </c>
      <c r="I4" s="108">
        <v>32450.0</v>
      </c>
      <c r="J4" s="120">
        <v>-68872.0</v>
      </c>
      <c r="K4" s="108">
        <v>11253.0</v>
      </c>
      <c r="L4" s="108">
        <v>2263.0</v>
      </c>
      <c r="M4" s="108"/>
      <c r="N4" s="108"/>
      <c r="O4" s="108"/>
      <c r="P4" s="108"/>
      <c r="Q4" s="108">
        <v>11255.0</v>
      </c>
      <c r="R4" s="108"/>
      <c r="S4" s="108"/>
      <c r="T4" s="108"/>
      <c r="U4" s="108"/>
      <c r="V4" s="108"/>
      <c r="W4" s="114">
        <f t="shared" si="1"/>
        <v>50349</v>
      </c>
      <c r="X4" s="115">
        <v>39651.0</v>
      </c>
      <c r="Y4" s="115"/>
      <c r="Z4" s="116">
        <f t="shared" si="2"/>
        <v>90000</v>
      </c>
      <c r="AA4" s="117" t="s">
        <v>123</v>
      </c>
      <c r="AB4" s="58" t="s">
        <v>122</v>
      </c>
      <c r="AC4" s="121">
        <f t="shared" si="3"/>
        <v>0</v>
      </c>
    </row>
    <row r="5" ht="22.5" customHeight="1">
      <c r="A5" s="2">
        <v>801.0</v>
      </c>
      <c r="B5" s="107" t="s">
        <v>130</v>
      </c>
      <c r="C5" s="122"/>
      <c r="D5" s="109">
        <v>0.0</v>
      </c>
      <c r="E5" s="109">
        <v>0.0</v>
      </c>
      <c r="F5" s="109">
        <v>0.0</v>
      </c>
      <c r="G5" s="109">
        <v>0.0</v>
      </c>
      <c r="H5" s="109">
        <v>0.0</v>
      </c>
      <c r="I5" s="108"/>
      <c r="J5" s="110"/>
      <c r="K5" s="109"/>
      <c r="L5" s="109"/>
      <c r="M5" s="108"/>
      <c r="N5" s="108"/>
      <c r="O5" s="108"/>
      <c r="P5" s="108"/>
      <c r="Q5" s="108">
        <v>5114.0</v>
      </c>
      <c r="R5" s="108"/>
      <c r="S5" s="108"/>
      <c r="T5" s="108"/>
      <c r="U5" s="108"/>
      <c r="V5" s="108"/>
      <c r="W5" s="114">
        <f t="shared" si="1"/>
        <v>5114</v>
      </c>
      <c r="X5" s="115">
        <v>26202.0</v>
      </c>
      <c r="Y5" s="115"/>
      <c r="Z5" s="116">
        <f t="shared" si="2"/>
        <v>31316</v>
      </c>
      <c r="AA5" s="117"/>
      <c r="AB5" s="58" t="s">
        <v>122</v>
      </c>
      <c r="AC5" s="123">
        <v>0.0</v>
      </c>
    </row>
    <row r="6" ht="22.5" customHeight="1">
      <c r="A6" s="1">
        <v>813.0</v>
      </c>
      <c r="B6" s="3" t="s">
        <v>124</v>
      </c>
      <c r="C6" s="119"/>
      <c r="D6" s="109">
        <v>40000.0</v>
      </c>
      <c r="E6" s="109">
        <v>5000.0</v>
      </c>
      <c r="F6" s="109">
        <v>5000.0</v>
      </c>
      <c r="G6" s="109">
        <v>2000.0</v>
      </c>
      <c r="H6" s="109">
        <v>10000.0</v>
      </c>
      <c r="I6" s="108"/>
      <c r="J6" s="110">
        <v>-32000.0</v>
      </c>
      <c r="K6" s="116"/>
      <c r="L6" s="116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14">
        <f t="shared" si="1"/>
        <v>30000</v>
      </c>
      <c r="X6" s="115"/>
      <c r="Y6" s="115"/>
      <c r="Z6" s="116">
        <f t="shared" si="2"/>
        <v>30000</v>
      </c>
      <c r="AA6" s="117" t="s">
        <v>125</v>
      </c>
      <c r="AB6" s="58" t="s">
        <v>122</v>
      </c>
      <c r="AC6" s="121">
        <f t="shared" ref="AC6:AC109" si="4">C6-M6</f>
        <v>0</v>
      </c>
    </row>
    <row r="7" ht="22.5" customHeight="1">
      <c r="A7" s="1">
        <v>906.0</v>
      </c>
      <c r="B7" s="3" t="s">
        <v>5</v>
      </c>
      <c r="C7" s="119">
        <v>72000.0</v>
      </c>
      <c r="D7" s="109">
        <v>40000.0</v>
      </c>
      <c r="E7" s="109">
        <v>5000.0</v>
      </c>
      <c r="F7" s="109">
        <v>5000.0</v>
      </c>
      <c r="G7" s="109">
        <v>2000.0</v>
      </c>
      <c r="H7" s="109">
        <v>10000.0</v>
      </c>
      <c r="I7" s="108">
        <v>39930.0</v>
      </c>
      <c r="J7" s="110">
        <v>-29061.0</v>
      </c>
      <c r="K7" s="108"/>
      <c r="L7" s="108">
        <v>2263.0</v>
      </c>
      <c r="M7" s="108">
        <v>10000.0</v>
      </c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85132</v>
      </c>
      <c r="X7" s="118">
        <v>19868.0</v>
      </c>
      <c r="Y7" s="118">
        <v>5000.0</v>
      </c>
      <c r="Z7" s="116">
        <f t="shared" si="2"/>
        <v>110000</v>
      </c>
      <c r="AA7" s="117" t="s">
        <v>126</v>
      </c>
      <c r="AB7" s="58" t="s">
        <v>122</v>
      </c>
      <c r="AC7" s="121">
        <f t="shared" si="4"/>
        <v>62000</v>
      </c>
    </row>
    <row r="8" ht="22.5" customHeight="1">
      <c r="A8" s="1">
        <v>913.0</v>
      </c>
      <c r="B8" s="3" t="s">
        <v>127</v>
      </c>
      <c r="C8" s="122">
        <v>47000.0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8">
        <v>39380.0</v>
      </c>
      <c r="J8" s="110">
        <v>-59513.0</v>
      </c>
      <c r="K8" s="108">
        <v>11253.0</v>
      </c>
      <c r="L8" s="108">
        <v>2263.0</v>
      </c>
      <c r="M8" s="108">
        <v>10000.0</v>
      </c>
      <c r="N8" s="108"/>
      <c r="O8" s="108">
        <v>18286.0</v>
      </c>
      <c r="P8" s="108"/>
      <c r="Q8" s="108">
        <v>3562.0</v>
      </c>
      <c r="R8" s="108"/>
      <c r="S8" s="108"/>
      <c r="T8" s="108"/>
      <c r="U8" s="108"/>
      <c r="V8" s="108"/>
      <c r="W8" s="114">
        <f t="shared" si="1"/>
        <v>87231</v>
      </c>
      <c r="X8" s="118">
        <v>22769.0</v>
      </c>
      <c r="Y8" s="118"/>
      <c r="Z8" s="116">
        <f t="shared" si="2"/>
        <v>110000</v>
      </c>
      <c r="AA8" s="117" t="s">
        <v>128</v>
      </c>
      <c r="AB8" s="58" t="s">
        <v>122</v>
      </c>
      <c r="AC8" s="121">
        <f t="shared" si="4"/>
        <v>37000</v>
      </c>
    </row>
    <row r="9" ht="22.5" customHeight="1">
      <c r="A9" s="1">
        <v>915.0</v>
      </c>
      <c r="B9" s="3" t="s">
        <v>7</v>
      </c>
      <c r="C9" s="122">
        <v>110000.0</v>
      </c>
      <c r="D9" s="109">
        <v>0.0</v>
      </c>
      <c r="E9" s="109">
        <v>0.0</v>
      </c>
      <c r="F9" s="109">
        <v>0.0</v>
      </c>
      <c r="G9" s="109">
        <v>0.0</v>
      </c>
      <c r="H9" s="109">
        <v>0.0</v>
      </c>
      <c r="I9" s="108">
        <v>4290.0</v>
      </c>
      <c r="J9" s="110"/>
      <c r="K9" s="108">
        <v>484.0</v>
      </c>
      <c r="L9" s="108">
        <v>292.0</v>
      </c>
      <c r="M9" s="108">
        <v>10000.0</v>
      </c>
      <c r="N9" s="108"/>
      <c r="O9" s="108"/>
      <c r="P9" s="108"/>
      <c r="Q9" s="108">
        <v>25702.0</v>
      </c>
      <c r="R9" s="108"/>
      <c r="S9" s="108"/>
      <c r="T9" s="108"/>
      <c r="U9" s="108"/>
      <c r="V9" s="108"/>
      <c r="W9" s="114">
        <f t="shared" si="1"/>
        <v>40768</v>
      </c>
      <c r="X9" s="115">
        <v>29823.0</v>
      </c>
      <c r="Y9" s="115"/>
      <c r="Z9" s="116">
        <f t="shared" si="2"/>
        <v>70591</v>
      </c>
      <c r="AA9" s="125">
        <v>13.0</v>
      </c>
      <c r="AB9" s="58" t="s">
        <v>122</v>
      </c>
      <c r="AC9" s="121">
        <f t="shared" si="4"/>
        <v>100000</v>
      </c>
    </row>
    <row r="10" ht="22.5" customHeight="1">
      <c r="A10" s="1">
        <v>1005.0</v>
      </c>
      <c r="B10" s="3"/>
      <c r="C10" s="122"/>
      <c r="D10" s="109"/>
      <c r="E10" s="109"/>
      <c r="F10" s="109"/>
      <c r="G10" s="109"/>
      <c r="H10" s="109"/>
      <c r="I10" s="108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4">
        <f t="shared" si="1"/>
        <v>0</v>
      </c>
      <c r="X10" s="126"/>
      <c r="Y10" s="126"/>
      <c r="Z10" s="116">
        <f t="shared" si="2"/>
        <v>0</v>
      </c>
      <c r="AA10" s="117"/>
      <c r="AB10" s="58" t="s">
        <v>122</v>
      </c>
      <c r="AC10" s="121">
        <f t="shared" si="4"/>
        <v>0</v>
      </c>
    </row>
    <row r="11" ht="22.5" customHeight="1">
      <c r="A11" s="1">
        <v>1006.0</v>
      </c>
      <c r="B11" s="3" t="s">
        <v>8</v>
      </c>
      <c r="C11" s="122">
        <v>120000.0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8">
        <v>29700.0</v>
      </c>
      <c r="J11" s="110"/>
      <c r="K11" s="108">
        <v>0.0</v>
      </c>
      <c r="L11" s="108">
        <v>0.0</v>
      </c>
      <c r="M11" s="108">
        <v>10000.0</v>
      </c>
      <c r="N11" s="108"/>
      <c r="O11" s="108"/>
      <c r="P11" s="108"/>
      <c r="Q11" s="108">
        <v>20334.0</v>
      </c>
      <c r="R11" s="108"/>
      <c r="S11" s="108"/>
      <c r="T11" s="108"/>
      <c r="U11" s="108"/>
      <c r="V11" s="108"/>
      <c r="W11" s="114">
        <f t="shared" si="1"/>
        <v>122034</v>
      </c>
      <c r="X11" s="115"/>
      <c r="Y11" s="115"/>
      <c r="Z11" s="116">
        <f t="shared" si="2"/>
        <v>122034</v>
      </c>
      <c r="AA11" s="117" t="s">
        <v>129</v>
      </c>
      <c r="AB11" s="58" t="s">
        <v>122</v>
      </c>
      <c r="AC11" s="121">
        <f t="shared" si="4"/>
        <v>110000</v>
      </c>
    </row>
    <row r="12" ht="22.5" customHeight="1">
      <c r="A12" s="1">
        <v>1012.0</v>
      </c>
      <c r="B12" s="3"/>
      <c r="C12" s="122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2"/>
        <v>0</v>
      </c>
      <c r="AA12" s="117"/>
      <c r="AB12" s="58" t="s">
        <v>122</v>
      </c>
      <c r="AC12" s="121">
        <f t="shared" si="4"/>
        <v>0</v>
      </c>
    </row>
    <row r="13" ht="22.5" customHeight="1">
      <c r="A13" s="1"/>
      <c r="B13" s="3"/>
      <c r="C13" s="119"/>
      <c r="D13" s="109"/>
      <c r="E13" s="109"/>
      <c r="F13" s="109"/>
      <c r="G13" s="109"/>
      <c r="H13" s="109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2"/>
        <v>0</v>
      </c>
      <c r="AA13" s="117"/>
      <c r="AB13" s="58" t="s">
        <v>122</v>
      </c>
      <c r="AC13" s="121">
        <f t="shared" si="4"/>
        <v>0</v>
      </c>
    </row>
    <row r="14" ht="22.5" customHeight="1">
      <c r="A14" s="1" t="str">
        <f>'入居者'!A13</f>
        <v/>
      </c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2"/>
        <v>0</v>
      </c>
      <c r="AA14" s="127"/>
      <c r="AB14" s="128"/>
      <c r="AC14" s="121">
        <f t="shared" si="4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2"/>
        <v>0</v>
      </c>
      <c r="AA15" s="127"/>
      <c r="AB15" s="128"/>
      <c r="AC15" s="121">
        <f t="shared" si="4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2"/>
        <v>0</v>
      </c>
      <c r="AA16" s="127"/>
      <c r="AB16" s="128"/>
      <c r="AC16" s="121">
        <f t="shared" si="4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2"/>
        <v>0</v>
      </c>
      <c r="AA17" s="127"/>
      <c r="AB17" s="128"/>
      <c r="AC17" s="121">
        <f t="shared" si="4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2"/>
        <v>0</v>
      </c>
      <c r="AA18" s="127"/>
      <c r="AB18" s="128"/>
      <c r="AC18" s="121">
        <f t="shared" si="4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2"/>
        <v>0</v>
      </c>
      <c r="AA19" s="127"/>
      <c r="AB19" s="128"/>
      <c r="AC19" s="121">
        <f t="shared" si="4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2"/>
        <v>0</v>
      </c>
      <c r="AA20" s="127"/>
      <c r="AB20" s="128"/>
      <c r="AC20" s="121">
        <f t="shared" si="4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2"/>
        <v>0</v>
      </c>
      <c r="AA21" s="127"/>
      <c r="AB21" s="128"/>
      <c r="AC21" s="121">
        <f t="shared" si="4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2"/>
        <v>0</v>
      </c>
      <c r="AA22" s="127"/>
      <c r="AB22" s="128"/>
      <c r="AC22" s="121">
        <f t="shared" si="4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2"/>
        <v>0</v>
      </c>
      <c r="AA23" s="127"/>
      <c r="AB23" s="128"/>
      <c r="AC23" s="121">
        <f t="shared" si="4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2"/>
        <v>0</v>
      </c>
      <c r="AA24" s="127"/>
      <c r="AB24" s="128"/>
      <c r="AC24" s="121">
        <f t="shared" si="4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2"/>
        <v>0</v>
      </c>
      <c r="AA25" s="127"/>
      <c r="AB25" s="128"/>
      <c r="AC25" s="121">
        <f t="shared" si="4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2"/>
        <v>0</v>
      </c>
      <c r="AA26" s="127"/>
      <c r="AB26" s="128"/>
      <c r="AC26" s="121">
        <f t="shared" si="4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2"/>
        <v>0</v>
      </c>
      <c r="AA27" s="127"/>
      <c r="AB27" s="128"/>
      <c r="AC27" s="121">
        <f t="shared" si="4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2"/>
        <v>0</v>
      </c>
      <c r="AA28" s="127"/>
      <c r="AB28" s="128"/>
      <c r="AC28" s="121">
        <f t="shared" si="4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2"/>
        <v>0</v>
      </c>
      <c r="AA29" s="127"/>
      <c r="AB29" s="128"/>
      <c r="AC29" s="121">
        <f t="shared" si="4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2"/>
        <v>0</v>
      </c>
      <c r="AA30" s="127"/>
      <c r="AB30" s="128"/>
      <c r="AC30" s="121">
        <f t="shared" si="4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2"/>
        <v>0</v>
      </c>
      <c r="AA31" s="127"/>
      <c r="AB31" s="128"/>
      <c r="AC31" s="121">
        <f t="shared" si="4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2"/>
        <v>0</v>
      </c>
      <c r="AA32" s="127"/>
      <c r="AB32" s="128"/>
      <c r="AC32" s="121">
        <f t="shared" si="4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2"/>
        <v>0</v>
      </c>
      <c r="AA33" s="127"/>
      <c r="AB33" s="128"/>
      <c r="AC33" s="121">
        <f t="shared" si="4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2"/>
        <v>0</v>
      </c>
      <c r="AA34" s="127"/>
      <c r="AB34" s="128"/>
      <c r="AC34" s="121">
        <f t="shared" si="4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2"/>
        <v>0</v>
      </c>
      <c r="AA35" s="127"/>
      <c r="AB35" s="128"/>
      <c r="AC35" s="121">
        <f t="shared" si="4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2"/>
        <v>0</v>
      </c>
      <c r="AA36" s="127"/>
      <c r="AB36" s="128"/>
      <c r="AC36" s="121">
        <f t="shared" si="4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2"/>
        <v>0</v>
      </c>
      <c r="AA37" s="127"/>
      <c r="AB37" s="128"/>
      <c r="AC37" s="121">
        <f t="shared" si="4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2"/>
        <v>0</v>
      </c>
      <c r="AA38" s="127"/>
      <c r="AB38" s="128"/>
      <c r="AC38" s="121">
        <f t="shared" si="4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2"/>
        <v>0</v>
      </c>
      <c r="AA39" s="127"/>
      <c r="AB39" s="128"/>
      <c r="AC39" s="121">
        <f t="shared" si="4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2"/>
        <v>0</v>
      </c>
      <c r="AA40" s="127"/>
      <c r="AB40" s="128"/>
      <c r="AC40" s="121">
        <f t="shared" si="4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2"/>
        <v>0</v>
      </c>
      <c r="AA41" s="127"/>
      <c r="AB41" s="128"/>
      <c r="AC41" s="121">
        <f t="shared" si="4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2"/>
        <v>0</v>
      </c>
      <c r="AA42" s="127"/>
      <c r="AB42" s="128"/>
      <c r="AC42" s="121">
        <f t="shared" si="4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2"/>
        <v>0</v>
      </c>
      <c r="AA43" s="127"/>
      <c r="AB43" s="128"/>
      <c r="AC43" s="121">
        <f t="shared" si="4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2"/>
        <v>0</v>
      </c>
      <c r="AA44" s="127"/>
      <c r="AB44" s="128"/>
      <c r="AC44" s="121">
        <f t="shared" si="4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2"/>
        <v>0</v>
      </c>
      <c r="AA45" s="127"/>
      <c r="AB45" s="128"/>
      <c r="AC45" s="121">
        <f t="shared" si="4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2"/>
        <v>0</v>
      </c>
      <c r="AA46" s="127"/>
      <c r="AB46" s="128"/>
      <c r="AC46" s="121">
        <f t="shared" si="4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2"/>
        <v>0</v>
      </c>
      <c r="AA47" s="127"/>
      <c r="AB47" s="128"/>
      <c r="AC47" s="121">
        <f t="shared" si="4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2"/>
        <v>0</v>
      </c>
      <c r="AA48" s="127"/>
      <c r="AB48" s="128"/>
      <c r="AC48" s="121">
        <f t="shared" si="4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2"/>
        <v>0</v>
      </c>
      <c r="AA49" s="127"/>
      <c r="AB49" s="128"/>
      <c r="AC49" s="121">
        <f t="shared" si="4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2"/>
        <v>0</v>
      </c>
      <c r="AA50" s="127"/>
      <c r="AB50" s="128"/>
      <c r="AC50" s="121">
        <f t="shared" si="4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2"/>
        <v>0</v>
      </c>
      <c r="AA51" s="127"/>
      <c r="AB51" s="128"/>
      <c r="AC51" s="121">
        <f t="shared" si="4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2"/>
        <v>0</v>
      </c>
      <c r="AA52" s="127"/>
      <c r="AB52" s="128"/>
      <c r="AC52" s="121">
        <f t="shared" si="4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2"/>
        <v>0</v>
      </c>
      <c r="AA53" s="127"/>
      <c r="AB53" s="128"/>
      <c r="AC53" s="121">
        <f t="shared" si="4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2"/>
        <v>0</v>
      </c>
      <c r="AA54" s="127"/>
      <c r="AB54" s="128"/>
      <c r="AC54" s="121">
        <f t="shared" si="4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2"/>
        <v>0</v>
      </c>
      <c r="AA55" s="127"/>
      <c r="AB55" s="128"/>
      <c r="AC55" s="121">
        <f t="shared" si="4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2"/>
        <v>0</v>
      </c>
      <c r="AA56" s="127"/>
      <c r="AB56" s="128"/>
      <c r="AC56" s="121">
        <f t="shared" si="4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2"/>
        <v>0</v>
      </c>
      <c r="AA57" s="127"/>
      <c r="AB57" s="128"/>
      <c r="AC57" s="121">
        <f t="shared" si="4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2"/>
        <v>0</v>
      </c>
      <c r="AA58" s="127"/>
      <c r="AB58" s="128"/>
      <c r="AC58" s="121">
        <f t="shared" si="4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2"/>
        <v>0</v>
      </c>
      <c r="AA59" s="127"/>
      <c r="AB59" s="128"/>
      <c r="AC59" s="121">
        <f t="shared" si="4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2"/>
        <v>0</v>
      </c>
      <c r="AA60" s="127"/>
      <c r="AB60" s="128"/>
      <c r="AC60" s="121">
        <f t="shared" si="4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2"/>
        <v>0</v>
      </c>
      <c r="AA61" s="127"/>
      <c r="AB61" s="128"/>
      <c r="AC61" s="121">
        <f t="shared" si="4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2"/>
        <v>0</v>
      </c>
      <c r="AA62" s="127"/>
      <c r="AB62" s="128"/>
      <c r="AC62" s="121">
        <f t="shared" si="4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2"/>
        <v>0</v>
      </c>
      <c r="AA63" s="127"/>
      <c r="AB63" s="128"/>
      <c r="AC63" s="121">
        <f t="shared" si="4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2"/>
        <v>0</v>
      </c>
      <c r="AA64" s="127"/>
      <c r="AB64" s="128"/>
      <c r="AC64" s="121">
        <f t="shared" si="4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2"/>
        <v>0</v>
      </c>
      <c r="AA65" s="127"/>
      <c r="AB65" s="128"/>
      <c r="AC65" s="121">
        <f t="shared" si="4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2"/>
        <v>0</v>
      </c>
      <c r="AA66" s="127"/>
      <c r="AB66" s="128"/>
      <c r="AC66" s="121">
        <f t="shared" si="4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2"/>
        <v>0</v>
      </c>
      <c r="AA67" s="127"/>
      <c r="AB67" s="128"/>
      <c r="AC67" s="121">
        <f t="shared" si="4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2"/>
        <v>0</v>
      </c>
      <c r="AA68" s="127"/>
      <c r="AB68" s="128"/>
      <c r="AC68" s="121">
        <f t="shared" si="4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2"/>
        <v>0</v>
      </c>
      <c r="AA69" s="127"/>
      <c r="AB69" s="128"/>
      <c r="AC69" s="121">
        <f t="shared" si="4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2"/>
        <v>0</v>
      </c>
      <c r="AA70" s="127"/>
      <c r="AB70" s="128"/>
      <c r="AC70" s="121">
        <f t="shared" si="4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2"/>
        <v>0</v>
      </c>
      <c r="AA71" s="127"/>
      <c r="AB71" s="128"/>
      <c r="AC71" s="121">
        <f t="shared" si="4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2"/>
        <v>0</v>
      </c>
      <c r="AA72" s="127"/>
      <c r="AB72" s="128"/>
      <c r="AC72" s="121">
        <f t="shared" si="4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2"/>
        <v>0</v>
      </c>
      <c r="AA73" s="127"/>
      <c r="AB73" s="128"/>
      <c r="AC73" s="121">
        <f t="shared" si="4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2"/>
        <v>0</v>
      </c>
      <c r="AA74" s="127"/>
      <c r="AB74" s="128"/>
      <c r="AC74" s="121">
        <f t="shared" si="4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2"/>
        <v>0</v>
      </c>
      <c r="AA75" s="127"/>
      <c r="AB75" s="128"/>
      <c r="AC75" s="121">
        <f t="shared" si="4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2"/>
        <v>0</v>
      </c>
      <c r="AA76" s="127"/>
      <c r="AB76" s="128"/>
      <c r="AC76" s="121">
        <f t="shared" si="4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2"/>
        <v>0</v>
      </c>
      <c r="AA77" s="127"/>
      <c r="AB77" s="128"/>
      <c r="AC77" s="121">
        <f t="shared" si="4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2"/>
        <v>0</v>
      </c>
      <c r="AA78" s="127"/>
      <c r="AB78" s="128"/>
      <c r="AC78" s="121">
        <f t="shared" si="4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2"/>
        <v>0</v>
      </c>
      <c r="AA79" s="127"/>
      <c r="AB79" s="128"/>
      <c r="AC79" s="121">
        <f t="shared" si="4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2"/>
        <v>0</v>
      </c>
      <c r="AA80" s="127"/>
      <c r="AB80" s="128"/>
      <c r="AC80" s="121">
        <f t="shared" si="4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2"/>
        <v>0</v>
      </c>
      <c r="AA81" s="127"/>
      <c r="AB81" s="128"/>
      <c r="AC81" s="121">
        <f t="shared" si="4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2"/>
        <v>0</v>
      </c>
      <c r="AA82" s="127"/>
      <c r="AB82" s="128"/>
      <c r="AC82" s="121">
        <f t="shared" si="4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2"/>
        <v>0</v>
      </c>
      <c r="AA83" s="127"/>
      <c r="AB83" s="128"/>
      <c r="AC83" s="121">
        <f t="shared" si="4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2"/>
        <v>0</v>
      </c>
      <c r="AA84" s="127"/>
      <c r="AB84" s="128"/>
      <c r="AC84" s="121">
        <f t="shared" si="4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2"/>
        <v>0</v>
      </c>
      <c r="AA85" s="127"/>
      <c r="AB85" s="128"/>
      <c r="AC85" s="121">
        <f t="shared" si="4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2"/>
        <v>0</v>
      </c>
      <c r="AA86" s="127"/>
      <c r="AB86" s="128"/>
      <c r="AC86" s="121">
        <f t="shared" si="4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2"/>
        <v>0</v>
      </c>
      <c r="AA87" s="127"/>
      <c r="AB87" s="128"/>
      <c r="AC87" s="121">
        <f t="shared" si="4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2"/>
        <v>0</v>
      </c>
      <c r="AA88" s="127"/>
      <c r="AB88" s="128"/>
      <c r="AC88" s="121">
        <f t="shared" si="4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2"/>
        <v>0</v>
      </c>
      <c r="AA89" s="127"/>
      <c r="AB89" s="128"/>
      <c r="AC89" s="121">
        <f t="shared" si="4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2"/>
        <v>0</v>
      </c>
      <c r="AA90" s="127"/>
      <c r="AB90" s="128"/>
      <c r="AC90" s="121">
        <f t="shared" si="4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2"/>
        <v>0</v>
      </c>
      <c r="AA91" s="127"/>
      <c r="AB91" s="128"/>
      <c r="AC91" s="121">
        <f t="shared" si="4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2"/>
        <v>0</v>
      </c>
      <c r="AA92" s="127"/>
      <c r="AB92" s="128"/>
      <c r="AC92" s="121">
        <f t="shared" si="4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2"/>
        <v>0</v>
      </c>
      <c r="AA93" s="127"/>
      <c r="AB93" s="128"/>
      <c r="AC93" s="121">
        <f t="shared" si="4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2"/>
        <v>0</v>
      </c>
      <c r="AA94" s="127"/>
      <c r="AB94" s="128"/>
      <c r="AC94" s="121">
        <f t="shared" si="4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2"/>
        <v>0</v>
      </c>
      <c r="AA95" s="127"/>
      <c r="AB95" s="128"/>
      <c r="AC95" s="121">
        <f t="shared" si="4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2"/>
        <v>0</v>
      </c>
      <c r="AA96" s="127"/>
      <c r="AB96" s="128"/>
      <c r="AC96" s="121">
        <f t="shared" si="4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2"/>
        <v>0</v>
      </c>
      <c r="AA97" s="127"/>
      <c r="AB97" s="128"/>
      <c r="AC97" s="121">
        <f t="shared" si="4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2"/>
        <v>0</v>
      </c>
      <c r="AA98" s="127"/>
      <c r="AB98" s="128"/>
      <c r="AC98" s="121">
        <f t="shared" si="4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2"/>
        <v>0</v>
      </c>
      <c r="AA99" s="127"/>
      <c r="AB99" s="128"/>
      <c r="AC99" s="121">
        <f t="shared" si="4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2"/>
        <v>0</v>
      </c>
      <c r="AA100" s="127"/>
      <c r="AB100" s="128"/>
      <c r="AC100" s="121">
        <f t="shared" si="4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2"/>
        <v>0</v>
      </c>
      <c r="AA101" s="127"/>
      <c r="AB101" s="128"/>
      <c r="AC101" s="121">
        <f t="shared" si="4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2"/>
        <v>0</v>
      </c>
      <c r="AA102" s="127"/>
      <c r="AB102" s="128"/>
      <c r="AC102" s="121">
        <f t="shared" si="4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2"/>
        <v>0</v>
      </c>
      <c r="AA103" s="127"/>
      <c r="AB103" s="128"/>
      <c r="AC103" s="121">
        <f t="shared" si="4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2"/>
        <v>0</v>
      </c>
      <c r="AA104" s="127"/>
      <c r="AB104" s="128"/>
      <c r="AC104" s="121">
        <f t="shared" si="4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2"/>
        <v>0</v>
      </c>
      <c r="AA105" s="127"/>
      <c r="AB105" s="128"/>
      <c r="AC105" s="121">
        <f t="shared" si="4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2"/>
        <v>0</v>
      </c>
      <c r="AA106" s="127"/>
      <c r="AB106" s="128"/>
      <c r="AC106" s="121">
        <f t="shared" si="4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2"/>
        <v>0</v>
      </c>
      <c r="AA107" s="127"/>
      <c r="AB107" s="128"/>
      <c r="AC107" s="121">
        <f t="shared" si="4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2"/>
        <v>0</v>
      </c>
      <c r="AA108" s="127"/>
      <c r="AB108" s="128"/>
      <c r="AC108" s="121">
        <f t="shared" si="4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2"/>
        <v>0</v>
      </c>
      <c r="AA109" s="127"/>
      <c r="AB109" s="128"/>
      <c r="AC109" s="121">
        <f t="shared" si="4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240000</v>
      </c>
      <c r="E110" s="116">
        <f t="shared" si="5"/>
        <v>30000</v>
      </c>
      <c r="F110" s="116">
        <f t="shared" si="5"/>
        <v>30000</v>
      </c>
      <c r="G110" s="116">
        <f t="shared" si="5"/>
        <v>12000</v>
      </c>
      <c r="H110" s="116">
        <f t="shared" si="5"/>
        <v>60000</v>
      </c>
      <c r="I110" s="116">
        <f t="shared" si="5"/>
        <v>145750</v>
      </c>
      <c r="J110" s="129">
        <f t="shared" si="5"/>
        <v>-189446</v>
      </c>
      <c r="K110" s="116">
        <f t="shared" si="5"/>
        <v>22990</v>
      </c>
      <c r="L110" s="116">
        <f t="shared" si="5"/>
        <v>7081</v>
      </c>
      <c r="M110" s="116">
        <f t="shared" si="5"/>
        <v>40000</v>
      </c>
      <c r="N110" s="116">
        <f t="shared" si="5"/>
        <v>0</v>
      </c>
      <c r="O110" s="116">
        <f t="shared" si="5"/>
        <v>18286</v>
      </c>
      <c r="P110" s="116">
        <f t="shared" si="5"/>
        <v>0</v>
      </c>
      <c r="Q110" s="116">
        <f t="shared" si="5"/>
        <v>97965</v>
      </c>
      <c r="R110" s="116">
        <f t="shared" si="5"/>
        <v>0</v>
      </c>
      <c r="S110" s="116">
        <f t="shared" si="5"/>
        <v>0</v>
      </c>
      <c r="T110" s="116">
        <f t="shared" si="5"/>
        <v>0</v>
      </c>
      <c r="U110" s="116">
        <f t="shared" si="5"/>
        <v>0</v>
      </c>
      <c r="V110" s="116">
        <f t="shared" si="5"/>
        <v>0</v>
      </c>
      <c r="W110" s="114">
        <f t="shared" si="1"/>
        <v>514626</v>
      </c>
      <c r="X110" s="116">
        <f t="shared" ref="X110:Z110" si="6">SUM(X3:X109)</f>
        <v>161832</v>
      </c>
      <c r="Y110" s="116">
        <f t="shared" si="6"/>
        <v>13000</v>
      </c>
      <c r="Z110" s="116">
        <f t="shared" si="6"/>
        <v>689458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45991.0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2">
        <v>608.0</v>
      </c>
      <c r="B3" s="107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/>
      <c r="J3" s="110"/>
      <c r="K3" s="111">
        <v>0.0</v>
      </c>
      <c r="L3" s="111">
        <v>0.0</v>
      </c>
      <c r="M3" s="109"/>
      <c r="N3" s="108"/>
      <c r="O3" s="108"/>
      <c r="P3" s="108"/>
      <c r="Q3" s="109"/>
      <c r="R3" s="112"/>
      <c r="S3" s="112"/>
      <c r="T3" s="113"/>
      <c r="U3" s="112"/>
      <c r="V3" s="112"/>
      <c r="W3" s="114">
        <f t="shared" ref="W3:W110" si="1">SUM(D3:V3)</f>
        <v>62000</v>
      </c>
      <c r="X3" s="115">
        <v>23993.0</v>
      </c>
      <c r="Y3" s="115">
        <v>8000.0</v>
      </c>
      <c r="Z3" s="116">
        <f t="shared" ref="Z3:Z109" si="2">SUM(W3:Y3)</f>
        <v>93993</v>
      </c>
      <c r="AA3" s="117"/>
      <c r="AB3" s="58" t="s">
        <v>122</v>
      </c>
      <c r="AC3" s="118">
        <f t="shared" ref="AC3:AC4" si="3">C3-M3</f>
        <v>0</v>
      </c>
    </row>
    <row r="4" ht="22.5" customHeight="1">
      <c r="A4" s="2">
        <v>703.0</v>
      </c>
      <c r="B4" s="3" t="s">
        <v>3</v>
      </c>
      <c r="C4" s="119"/>
      <c r="D4" s="109">
        <v>40000.0</v>
      </c>
      <c r="E4" s="109">
        <v>5000.0</v>
      </c>
      <c r="F4" s="109">
        <v>5000.0</v>
      </c>
      <c r="G4" s="109">
        <v>2000.0</v>
      </c>
      <c r="H4" s="109">
        <v>10000.0</v>
      </c>
      <c r="I4" s="108">
        <v>1650.0</v>
      </c>
      <c r="J4" s="120">
        <v>-21330.0</v>
      </c>
      <c r="K4" s="116"/>
      <c r="L4" s="116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14">
        <f t="shared" si="1"/>
        <v>42320</v>
      </c>
      <c r="X4" s="115">
        <v>39680.0</v>
      </c>
      <c r="Y4" s="115">
        <v>8000.0</v>
      </c>
      <c r="Z4" s="116">
        <f t="shared" si="2"/>
        <v>90000</v>
      </c>
      <c r="AA4" s="117" t="s">
        <v>123</v>
      </c>
      <c r="AB4" s="58" t="s">
        <v>122</v>
      </c>
      <c r="AC4" s="121">
        <f t="shared" si="3"/>
        <v>0</v>
      </c>
    </row>
    <row r="5" ht="22.5" customHeight="1">
      <c r="A5" s="2">
        <v>801.0</v>
      </c>
      <c r="B5" s="107" t="s">
        <v>130</v>
      </c>
      <c r="C5" s="122"/>
      <c r="D5" s="109">
        <v>0.0</v>
      </c>
      <c r="E5" s="109">
        <v>0.0</v>
      </c>
      <c r="F5" s="109">
        <v>0.0</v>
      </c>
      <c r="G5" s="109">
        <v>0.0</v>
      </c>
      <c r="H5" s="109">
        <v>10000.0</v>
      </c>
      <c r="I5" s="108">
        <v>31460.0</v>
      </c>
      <c r="J5" s="110"/>
      <c r="K5" s="109">
        <v>8395.0</v>
      </c>
      <c r="L5" s="109">
        <v>2190.0</v>
      </c>
      <c r="M5" s="108"/>
      <c r="N5" s="108"/>
      <c r="O5" s="108"/>
      <c r="P5" s="108"/>
      <c r="Q5" s="108">
        <v>6432.0</v>
      </c>
      <c r="R5" s="108"/>
      <c r="S5" s="108"/>
      <c r="T5" s="108"/>
      <c r="U5" s="108"/>
      <c r="V5" s="108"/>
      <c r="W5" s="114">
        <f t="shared" si="1"/>
        <v>58477</v>
      </c>
      <c r="X5" s="115">
        <v>36518.0</v>
      </c>
      <c r="Y5" s="115"/>
      <c r="Z5" s="116">
        <f t="shared" si="2"/>
        <v>94995</v>
      </c>
      <c r="AA5" s="117"/>
      <c r="AB5" s="58" t="s">
        <v>122</v>
      </c>
      <c r="AC5" s="123">
        <v>0.0</v>
      </c>
    </row>
    <row r="6" ht="22.5" customHeight="1">
      <c r="A6" s="1">
        <v>813.0</v>
      </c>
      <c r="B6" s="3" t="s">
        <v>124</v>
      </c>
      <c r="C6" s="119"/>
      <c r="D6" s="109">
        <v>40000.0</v>
      </c>
      <c r="E6" s="109">
        <v>5000.0</v>
      </c>
      <c r="F6" s="109">
        <v>5000.0</v>
      </c>
      <c r="G6" s="109">
        <v>2000.0</v>
      </c>
      <c r="H6" s="109">
        <v>10000.0</v>
      </c>
      <c r="I6" s="108"/>
      <c r="J6" s="110"/>
      <c r="K6" s="116"/>
      <c r="L6" s="116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14">
        <f t="shared" si="1"/>
        <v>62000</v>
      </c>
      <c r="X6" s="115"/>
      <c r="Y6" s="115"/>
      <c r="Z6" s="116">
        <f t="shared" si="2"/>
        <v>62000</v>
      </c>
      <c r="AA6" s="117" t="s">
        <v>125</v>
      </c>
      <c r="AB6" s="58" t="s">
        <v>122</v>
      </c>
      <c r="AC6" s="121">
        <f t="shared" ref="AC6:AC109" si="4">C6-M6</f>
        <v>0</v>
      </c>
    </row>
    <row r="7" ht="22.5" customHeight="1">
      <c r="A7" s="1">
        <v>906.0</v>
      </c>
      <c r="B7" s="3"/>
      <c r="C7" s="119"/>
      <c r="D7" s="108"/>
      <c r="E7" s="108"/>
      <c r="F7" s="108"/>
      <c r="G7" s="108"/>
      <c r="H7" s="108"/>
      <c r="I7" s="108"/>
      <c r="J7" s="11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0</v>
      </c>
      <c r="X7" s="118"/>
      <c r="Y7" s="118"/>
      <c r="Z7" s="116">
        <f t="shared" si="2"/>
        <v>0</v>
      </c>
      <c r="AA7" s="117"/>
      <c r="AB7" s="58" t="s">
        <v>122</v>
      </c>
      <c r="AC7" s="121">
        <f t="shared" si="4"/>
        <v>0</v>
      </c>
    </row>
    <row r="8" ht="22.5" customHeight="1">
      <c r="A8" s="1">
        <v>913.0</v>
      </c>
      <c r="B8" s="3" t="s">
        <v>127</v>
      </c>
      <c r="C8" s="122">
        <v>57000.0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8">
        <v>38500.0</v>
      </c>
      <c r="J8" s="110">
        <v>-50697.0</v>
      </c>
      <c r="K8" s="108">
        <v>10890.0</v>
      </c>
      <c r="L8" s="108">
        <v>2190.0</v>
      </c>
      <c r="M8" s="108">
        <v>10000.0</v>
      </c>
      <c r="N8" s="108"/>
      <c r="O8" s="108">
        <v>7281.0</v>
      </c>
      <c r="P8" s="108"/>
      <c r="Q8" s="108">
        <v>4722.0</v>
      </c>
      <c r="R8" s="108"/>
      <c r="S8" s="108"/>
      <c r="T8" s="108"/>
      <c r="U8" s="108"/>
      <c r="V8" s="108"/>
      <c r="W8" s="114">
        <f t="shared" si="1"/>
        <v>84886</v>
      </c>
      <c r="X8" s="118">
        <v>25114.0</v>
      </c>
      <c r="Y8" s="118"/>
      <c r="Z8" s="116">
        <f t="shared" si="2"/>
        <v>110000</v>
      </c>
      <c r="AA8" s="117" t="s">
        <v>128</v>
      </c>
      <c r="AB8" s="58" t="s">
        <v>122</v>
      </c>
      <c r="AC8" s="121">
        <f t="shared" si="4"/>
        <v>47000</v>
      </c>
    </row>
    <row r="9" ht="22.5" customHeight="1">
      <c r="A9" s="1">
        <v>915.0</v>
      </c>
      <c r="B9" s="3" t="s">
        <v>7</v>
      </c>
      <c r="C9" s="122">
        <v>120000.0</v>
      </c>
      <c r="D9" s="109">
        <v>40000.0</v>
      </c>
      <c r="E9" s="109">
        <v>5000.0</v>
      </c>
      <c r="F9" s="109">
        <v>5000.0</v>
      </c>
      <c r="G9" s="109">
        <v>2000.0</v>
      </c>
      <c r="H9" s="109">
        <v>10000.0</v>
      </c>
      <c r="I9" s="108">
        <v>38280.0</v>
      </c>
      <c r="J9" s="110">
        <v>4565.0</v>
      </c>
      <c r="K9" s="108">
        <v>3630.0</v>
      </c>
      <c r="L9" s="108">
        <v>2190.0</v>
      </c>
      <c r="M9" s="108">
        <v>10000.0</v>
      </c>
      <c r="N9" s="108"/>
      <c r="O9" s="108"/>
      <c r="P9" s="108"/>
      <c r="Q9" s="108"/>
      <c r="R9" s="108"/>
      <c r="S9" s="108"/>
      <c r="T9" s="108"/>
      <c r="U9" s="108"/>
      <c r="V9" s="108"/>
      <c r="W9" s="114">
        <f t="shared" si="1"/>
        <v>120665</v>
      </c>
      <c r="X9" s="115">
        <v>9335.0</v>
      </c>
      <c r="Y9" s="115"/>
      <c r="Z9" s="116">
        <f t="shared" si="2"/>
        <v>130000</v>
      </c>
      <c r="AA9" s="125">
        <v>13.0</v>
      </c>
      <c r="AB9" s="58" t="s">
        <v>122</v>
      </c>
      <c r="AC9" s="121">
        <f t="shared" si="4"/>
        <v>110000</v>
      </c>
    </row>
    <row r="10" ht="22.5" customHeight="1">
      <c r="A10" s="1">
        <v>1005.0</v>
      </c>
      <c r="B10" s="3"/>
      <c r="C10" s="122"/>
      <c r="D10" s="109"/>
      <c r="E10" s="109"/>
      <c r="F10" s="109"/>
      <c r="G10" s="109"/>
      <c r="H10" s="109"/>
      <c r="I10" s="108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4">
        <f t="shared" si="1"/>
        <v>0</v>
      </c>
      <c r="X10" s="126"/>
      <c r="Y10" s="126"/>
      <c r="Z10" s="116">
        <f t="shared" si="2"/>
        <v>0</v>
      </c>
      <c r="AA10" s="117"/>
      <c r="AB10" s="58" t="s">
        <v>122</v>
      </c>
      <c r="AC10" s="121">
        <f t="shared" si="4"/>
        <v>0</v>
      </c>
    </row>
    <row r="11" ht="22.5" customHeight="1">
      <c r="A11" s="1">
        <v>1006.0</v>
      </c>
      <c r="B11" s="3" t="s">
        <v>8</v>
      </c>
      <c r="C11" s="122">
        <v>130000.0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8">
        <v>31900.0</v>
      </c>
      <c r="J11" s="110"/>
      <c r="K11" s="108">
        <v>0.0</v>
      </c>
      <c r="L11" s="108">
        <v>0.0</v>
      </c>
      <c r="M11" s="108">
        <v>10000.0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14">
        <f t="shared" si="1"/>
        <v>103900</v>
      </c>
      <c r="X11" s="115"/>
      <c r="Y11" s="115"/>
      <c r="Z11" s="116">
        <f t="shared" si="2"/>
        <v>103900</v>
      </c>
      <c r="AA11" s="117" t="s">
        <v>129</v>
      </c>
      <c r="AB11" s="58" t="s">
        <v>122</v>
      </c>
      <c r="AC11" s="121">
        <f t="shared" si="4"/>
        <v>120000</v>
      </c>
    </row>
    <row r="12" ht="22.5" customHeight="1">
      <c r="A12" s="1">
        <v>1012.0</v>
      </c>
      <c r="B12" s="3"/>
      <c r="C12" s="122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2"/>
        <v>0</v>
      </c>
      <c r="AA12" s="117"/>
      <c r="AB12" s="58" t="s">
        <v>122</v>
      </c>
      <c r="AC12" s="121">
        <f t="shared" si="4"/>
        <v>0</v>
      </c>
    </row>
    <row r="13" ht="22.5" customHeight="1">
      <c r="A13" s="1"/>
      <c r="B13" s="3"/>
      <c r="C13" s="119"/>
      <c r="D13" s="109"/>
      <c r="E13" s="109"/>
      <c r="F13" s="109"/>
      <c r="G13" s="109"/>
      <c r="H13" s="109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2"/>
        <v>0</v>
      </c>
      <c r="AA13" s="117"/>
      <c r="AB13" s="58" t="s">
        <v>122</v>
      </c>
      <c r="AC13" s="121">
        <f t="shared" si="4"/>
        <v>0</v>
      </c>
    </row>
    <row r="14" ht="22.5" customHeight="1">
      <c r="A14" s="1" t="str">
        <f>'入居者'!A13</f>
        <v/>
      </c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2"/>
        <v>0</v>
      </c>
      <c r="AA14" s="127"/>
      <c r="AB14" s="128"/>
      <c r="AC14" s="121">
        <f t="shared" si="4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2"/>
        <v>0</v>
      </c>
      <c r="AA15" s="127"/>
      <c r="AB15" s="128"/>
      <c r="AC15" s="121">
        <f t="shared" si="4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2"/>
        <v>0</v>
      </c>
      <c r="AA16" s="127"/>
      <c r="AB16" s="128"/>
      <c r="AC16" s="121">
        <f t="shared" si="4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2"/>
        <v>0</v>
      </c>
      <c r="AA17" s="127"/>
      <c r="AB17" s="128"/>
      <c r="AC17" s="121">
        <f t="shared" si="4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2"/>
        <v>0</v>
      </c>
      <c r="AA18" s="127"/>
      <c r="AB18" s="128"/>
      <c r="AC18" s="121">
        <f t="shared" si="4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2"/>
        <v>0</v>
      </c>
      <c r="AA19" s="127"/>
      <c r="AB19" s="128"/>
      <c r="AC19" s="121">
        <f t="shared" si="4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2"/>
        <v>0</v>
      </c>
      <c r="AA20" s="127"/>
      <c r="AB20" s="128"/>
      <c r="AC20" s="121">
        <f t="shared" si="4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2"/>
        <v>0</v>
      </c>
      <c r="AA21" s="127"/>
      <c r="AB21" s="128"/>
      <c r="AC21" s="121">
        <f t="shared" si="4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2"/>
        <v>0</v>
      </c>
      <c r="AA22" s="127"/>
      <c r="AB22" s="128"/>
      <c r="AC22" s="121">
        <f t="shared" si="4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2"/>
        <v>0</v>
      </c>
      <c r="AA23" s="127"/>
      <c r="AB23" s="128"/>
      <c r="AC23" s="121">
        <f t="shared" si="4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2"/>
        <v>0</v>
      </c>
      <c r="AA24" s="127"/>
      <c r="AB24" s="128"/>
      <c r="AC24" s="121">
        <f t="shared" si="4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2"/>
        <v>0</v>
      </c>
      <c r="AA25" s="127"/>
      <c r="AB25" s="128"/>
      <c r="AC25" s="121">
        <f t="shared" si="4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2"/>
        <v>0</v>
      </c>
      <c r="AA26" s="127"/>
      <c r="AB26" s="128"/>
      <c r="AC26" s="121">
        <f t="shared" si="4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2"/>
        <v>0</v>
      </c>
      <c r="AA27" s="127"/>
      <c r="AB27" s="128"/>
      <c r="AC27" s="121">
        <f t="shared" si="4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2"/>
        <v>0</v>
      </c>
      <c r="AA28" s="127"/>
      <c r="AB28" s="128"/>
      <c r="AC28" s="121">
        <f t="shared" si="4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2"/>
        <v>0</v>
      </c>
      <c r="AA29" s="127"/>
      <c r="AB29" s="128"/>
      <c r="AC29" s="121">
        <f t="shared" si="4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2"/>
        <v>0</v>
      </c>
      <c r="AA30" s="127"/>
      <c r="AB30" s="128"/>
      <c r="AC30" s="121">
        <f t="shared" si="4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2"/>
        <v>0</v>
      </c>
      <c r="AA31" s="127"/>
      <c r="AB31" s="128"/>
      <c r="AC31" s="121">
        <f t="shared" si="4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2"/>
        <v>0</v>
      </c>
      <c r="AA32" s="127"/>
      <c r="AB32" s="128"/>
      <c r="AC32" s="121">
        <f t="shared" si="4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2"/>
        <v>0</v>
      </c>
      <c r="AA33" s="127"/>
      <c r="AB33" s="128"/>
      <c r="AC33" s="121">
        <f t="shared" si="4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2"/>
        <v>0</v>
      </c>
      <c r="AA34" s="127"/>
      <c r="AB34" s="128"/>
      <c r="AC34" s="121">
        <f t="shared" si="4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2"/>
        <v>0</v>
      </c>
      <c r="AA35" s="127"/>
      <c r="AB35" s="128"/>
      <c r="AC35" s="121">
        <f t="shared" si="4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2"/>
        <v>0</v>
      </c>
      <c r="AA36" s="127"/>
      <c r="AB36" s="128"/>
      <c r="AC36" s="121">
        <f t="shared" si="4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2"/>
        <v>0</v>
      </c>
      <c r="AA37" s="127"/>
      <c r="AB37" s="128"/>
      <c r="AC37" s="121">
        <f t="shared" si="4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2"/>
        <v>0</v>
      </c>
      <c r="AA38" s="127"/>
      <c r="AB38" s="128"/>
      <c r="AC38" s="121">
        <f t="shared" si="4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2"/>
        <v>0</v>
      </c>
      <c r="AA39" s="127"/>
      <c r="AB39" s="128"/>
      <c r="AC39" s="121">
        <f t="shared" si="4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2"/>
        <v>0</v>
      </c>
      <c r="AA40" s="127"/>
      <c r="AB40" s="128"/>
      <c r="AC40" s="121">
        <f t="shared" si="4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2"/>
        <v>0</v>
      </c>
      <c r="AA41" s="127"/>
      <c r="AB41" s="128"/>
      <c r="AC41" s="121">
        <f t="shared" si="4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2"/>
        <v>0</v>
      </c>
      <c r="AA42" s="127"/>
      <c r="AB42" s="128"/>
      <c r="AC42" s="121">
        <f t="shared" si="4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2"/>
        <v>0</v>
      </c>
      <c r="AA43" s="127"/>
      <c r="AB43" s="128"/>
      <c r="AC43" s="121">
        <f t="shared" si="4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2"/>
        <v>0</v>
      </c>
      <c r="AA44" s="127"/>
      <c r="AB44" s="128"/>
      <c r="AC44" s="121">
        <f t="shared" si="4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2"/>
        <v>0</v>
      </c>
      <c r="AA45" s="127"/>
      <c r="AB45" s="128"/>
      <c r="AC45" s="121">
        <f t="shared" si="4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2"/>
        <v>0</v>
      </c>
      <c r="AA46" s="127"/>
      <c r="AB46" s="128"/>
      <c r="AC46" s="121">
        <f t="shared" si="4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2"/>
        <v>0</v>
      </c>
      <c r="AA47" s="127"/>
      <c r="AB47" s="128"/>
      <c r="AC47" s="121">
        <f t="shared" si="4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2"/>
        <v>0</v>
      </c>
      <c r="AA48" s="127"/>
      <c r="AB48" s="128"/>
      <c r="AC48" s="121">
        <f t="shared" si="4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2"/>
        <v>0</v>
      </c>
      <c r="AA49" s="127"/>
      <c r="AB49" s="128"/>
      <c r="AC49" s="121">
        <f t="shared" si="4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2"/>
        <v>0</v>
      </c>
      <c r="AA50" s="127"/>
      <c r="AB50" s="128"/>
      <c r="AC50" s="121">
        <f t="shared" si="4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2"/>
        <v>0</v>
      </c>
      <c r="AA51" s="127"/>
      <c r="AB51" s="128"/>
      <c r="AC51" s="121">
        <f t="shared" si="4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2"/>
        <v>0</v>
      </c>
      <c r="AA52" s="127"/>
      <c r="AB52" s="128"/>
      <c r="AC52" s="121">
        <f t="shared" si="4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2"/>
        <v>0</v>
      </c>
      <c r="AA53" s="127"/>
      <c r="AB53" s="128"/>
      <c r="AC53" s="121">
        <f t="shared" si="4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2"/>
        <v>0</v>
      </c>
      <c r="AA54" s="127"/>
      <c r="AB54" s="128"/>
      <c r="AC54" s="121">
        <f t="shared" si="4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2"/>
        <v>0</v>
      </c>
      <c r="AA55" s="127"/>
      <c r="AB55" s="128"/>
      <c r="AC55" s="121">
        <f t="shared" si="4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2"/>
        <v>0</v>
      </c>
      <c r="AA56" s="127"/>
      <c r="AB56" s="128"/>
      <c r="AC56" s="121">
        <f t="shared" si="4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2"/>
        <v>0</v>
      </c>
      <c r="AA57" s="127"/>
      <c r="AB57" s="128"/>
      <c r="AC57" s="121">
        <f t="shared" si="4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2"/>
        <v>0</v>
      </c>
      <c r="AA58" s="127"/>
      <c r="AB58" s="128"/>
      <c r="AC58" s="121">
        <f t="shared" si="4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2"/>
        <v>0</v>
      </c>
      <c r="AA59" s="127"/>
      <c r="AB59" s="128"/>
      <c r="AC59" s="121">
        <f t="shared" si="4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2"/>
        <v>0</v>
      </c>
      <c r="AA60" s="127"/>
      <c r="AB60" s="128"/>
      <c r="AC60" s="121">
        <f t="shared" si="4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2"/>
        <v>0</v>
      </c>
      <c r="AA61" s="127"/>
      <c r="AB61" s="128"/>
      <c r="AC61" s="121">
        <f t="shared" si="4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2"/>
        <v>0</v>
      </c>
      <c r="AA62" s="127"/>
      <c r="AB62" s="128"/>
      <c r="AC62" s="121">
        <f t="shared" si="4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2"/>
        <v>0</v>
      </c>
      <c r="AA63" s="127"/>
      <c r="AB63" s="128"/>
      <c r="AC63" s="121">
        <f t="shared" si="4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2"/>
        <v>0</v>
      </c>
      <c r="AA64" s="127"/>
      <c r="AB64" s="128"/>
      <c r="AC64" s="121">
        <f t="shared" si="4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2"/>
        <v>0</v>
      </c>
      <c r="AA65" s="127"/>
      <c r="AB65" s="128"/>
      <c r="AC65" s="121">
        <f t="shared" si="4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2"/>
        <v>0</v>
      </c>
      <c r="AA66" s="127"/>
      <c r="AB66" s="128"/>
      <c r="AC66" s="121">
        <f t="shared" si="4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2"/>
        <v>0</v>
      </c>
      <c r="AA67" s="127"/>
      <c r="AB67" s="128"/>
      <c r="AC67" s="121">
        <f t="shared" si="4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2"/>
        <v>0</v>
      </c>
      <c r="AA68" s="127"/>
      <c r="AB68" s="128"/>
      <c r="AC68" s="121">
        <f t="shared" si="4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2"/>
        <v>0</v>
      </c>
      <c r="AA69" s="127"/>
      <c r="AB69" s="128"/>
      <c r="AC69" s="121">
        <f t="shared" si="4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2"/>
        <v>0</v>
      </c>
      <c r="AA70" s="127"/>
      <c r="AB70" s="128"/>
      <c r="AC70" s="121">
        <f t="shared" si="4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2"/>
        <v>0</v>
      </c>
      <c r="AA71" s="127"/>
      <c r="AB71" s="128"/>
      <c r="AC71" s="121">
        <f t="shared" si="4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2"/>
        <v>0</v>
      </c>
      <c r="AA72" s="127"/>
      <c r="AB72" s="128"/>
      <c r="AC72" s="121">
        <f t="shared" si="4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2"/>
        <v>0</v>
      </c>
      <c r="AA73" s="127"/>
      <c r="AB73" s="128"/>
      <c r="AC73" s="121">
        <f t="shared" si="4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2"/>
        <v>0</v>
      </c>
      <c r="AA74" s="127"/>
      <c r="AB74" s="128"/>
      <c r="AC74" s="121">
        <f t="shared" si="4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2"/>
        <v>0</v>
      </c>
      <c r="AA75" s="127"/>
      <c r="AB75" s="128"/>
      <c r="AC75" s="121">
        <f t="shared" si="4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2"/>
        <v>0</v>
      </c>
      <c r="AA76" s="127"/>
      <c r="AB76" s="128"/>
      <c r="AC76" s="121">
        <f t="shared" si="4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2"/>
        <v>0</v>
      </c>
      <c r="AA77" s="127"/>
      <c r="AB77" s="128"/>
      <c r="AC77" s="121">
        <f t="shared" si="4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2"/>
        <v>0</v>
      </c>
      <c r="AA78" s="127"/>
      <c r="AB78" s="128"/>
      <c r="AC78" s="121">
        <f t="shared" si="4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2"/>
        <v>0</v>
      </c>
      <c r="AA79" s="127"/>
      <c r="AB79" s="128"/>
      <c r="AC79" s="121">
        <f t="shared" si="4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2"/>
        <v>0</v>
      </c>
      <c r="AA80" s="127"/>
      <c r="AB80" s="128"/>
      <c r="AC80" s="121">
        <f t="shared" si="4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2"/>
        <v>0</v>
      </c>
      <c r="AA81" s="127"/>
      <c r="AB81" s="128"/>
      <c r="AC81" s="121">
        <f t="shared" si="4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2"/>
        <v>0</v>
      </c>
      <c r="AA82" s="127"/>
      <c r="AB82" s="128"/>
      <c r="AC82" s="121">
        <f t="shared" si="4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2"/>
        <v>0</v>
      </c>
      <c r="AA83" s="127"/>
      <c r="AB83" s="128"/>
      <c r="AC83" s="121">
        <f t="shared" si="4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2"/>
        <v>0</v>
      </c>
      <c r="AA84" s="127"/>
      <c r="AB84" s="128"/>
      <c r="AC84" s="121">
        <f t="shared" si="4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2"/>
        <v>0</v>
      </c>
      <c r="AA85" s="127"/>
      <c r="AB85" s="128"/>
      <c r="AC85" s="121">
        <f t="shared" si="4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2"/>
        <v>0</v>
      </c>
      <c r="AA86" s="127"/>
      <c r="AB86" s="128"/>
      <c r="AC86" s="121">
        <f t="shared" si="4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2"/>
        <v>0</v>
      </c>
      <c r="AA87" s="127"/>
      <c r="AB87" s="128"/>
      <c r="AC87" s="121">
        <f t="shared" si="4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2"/>
        <v>0</v>
      </c>
      <c r="AA88" s="127"/>
      <c r="AB88" s="128"/>
      <c r="AC88" s="121">
        <f t="shared" si="4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2"/>
        <v>0</v>
      </c>
      <c r="AA89" s="127"/>
      <c r="AB89" s="128"/>
      <c r="AC89" s="121">
        <f t="shared" si="4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2"/>
        <v>0</v>
      </c>
      <c r="AA90" s="127"/>
      <c r="AB90" s="128"/>
      <c r="AC90" s="121">
        <f t="shared" si="4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2"/>
        <v>0</v>
      </c>
      <c r="AA91" s="127"/>
      <c r="AB91" s="128"/>
      <c r="AC91" s="121">
        <f t="shared" si="4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2"/>
        <v>0</v>
      </c>
      <c r="AA92" s="127"/>
      <c r="AB92" s="128"/>
      <c r="AC92" s="121">
        <f t="shared" si="4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2"/>
        <v>0</v>
      </c>
      <c r="AA93" s="127"/>
      <c r="AB93" s="128"/>
      <c r="AC93" s="121">
        <f t="shared" si="4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2"/>
        <v>0</v>
      </c>
      <c r="AA94" s="127"/>
      <c r="AB94" s="128"/>
      <c r="AC94" s="121">
        <f t="shared" si="4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2"/>
        <v>0</v>
      </c>
      <c r="AA95" s="127"/>
      <c r="AB95" s="128"/>
      <c r="AC95" s="121">
        <f t="shared" si="4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2"/>
        <v>0</v>
      </c>
      <c r="AA96" s="127"/>
      <c r="AB96" s="128"/>
      <c r="AC96" s="121">
        <f t="shared" si="4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2"/>
        <v>0</v>
      </c>
      <c r="AA97" s="127"/>
      <c r="AB97" s="128"/>
      <c r="AC97" s="121">
        <f t="shared" si="4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2"/>
        <v>0</v>
      </c>
      <c r="AA98" s="127"/>
      <c r="AB98" s="128"/>
      <c r="AC98" s="121">
        <f t="shared" si="4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2"/>
        <v>0</v>
      </c>
      <c r="AA99" s="127"/>
      <c r="AB99" s="128"/>
      <c r="AC99" s="121">
        <f t="shared" si="4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2"/>
        <v>0</v>
      </c>
      <c r="AA100" s="127"/>
      <c r="AB100" s="128"/>
      <c r="AC100" s="121">
        <f t="shared" si="4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2"/>
        <v>0</v>
      </c>
      <c r="AA101" s="127"/>
      <c r="AB101" s="128"/>
      <c r="AC101" s="121">
        <f t="shared" si="4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2"/>
        <v>0</v>
      </c>
      <c r="AA102" s="127"/>
      <c r="AB102" s="128"/>
      <c r="AC102" s="121">
        <f t="shared" si="4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2"/>
        <v>0</v>
      </c>
      <c r="AA103" s="127"/>
      <c r="AB103" s="128"/>
      <c r="AC103" s="121">
        <f t="shared" si="4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2"/>
        <v>0</v>
      </c>
      <c r="AA104" s="127"/>
      <c r="AB104" s="128"/>
      <c r="AC104" s="121">
        <f t="shared" si="4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2"/>
        <v>0</v>
      </c>
      <c r="AA105" s="127"/>
      <c r="AB105" s="128"/>
      <c r="AC105" s="121">
        <f t="shared" si="4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2"/>
        <v>0</v>
      </c>
      <c r="AA106" s="127"/>
      <c r="AB106" s="128"/>
      <c r="AC106" s="121">
        <f t="shared" si="4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2"/>
        <v>0</v>
      </c>
      <c r="AA107" s="127"/>
      <c r="AB107" s="128"/>
      <c r="AC107" s="121">
        <f t="shared" si="4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2"/>
        <v>0</v>
      </c>
      <c r="AA108" s="127"/>
      <c r="AB108" s="128"/>
      <c r="AC108" s="121">
        <f t="shared" si="4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2"/>
        <v>0</v>
      </c>
      <c r="AA109" s="127"/>
      <c r="AB109" s="128"/>
      <c r="AC109" s="121">
        <f t="shared" si="4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240000</v>
      </c>
      <c r="E110" s="116">
        <f t="shared" si="5"/>
        <v>30000</v>
      </c>
      <c r="F110" s="116">
        <f t="shared" si="5"/>
        <v>30000</v>
      </c>
      <c r="G110" s="116">
        <f t="shared" si="5"/>
        <v>12000</v>
      </c>
      <c r="H110" s="116">
        <f t="shared" si="5"/>
        <v>70000</v>
      </c>
      <c r="I110" s="116">
        <f t="shared" si="5"/>
        <v>141790</v>
      </c>
      <c r="J110" s="129">
        <f t="shared" si="5"/>
        <v>-67462</v>
      </c>
      <c r="K110" s="116">
        <f t="shared" si="5"/>
        <v>22915</v>
      </c>
      <c r="L110" s="116">
        <f t="shared" si="5"/>
        <v>6570</v>
      </c>
      <c r="M110" s="116">
        <f t="shared" si="5"/>
        <v>30000</v>
      </c>
      <c r="N110" s="116">
        <f t="shared" si="5"/>
        <v>0</v>
      </c>
      <c r="O110" s="116">
        <f t="shared" si="5"/>
        <v>7281</v>
      </c>
      <c r="P110" s="116">
        <f t="shared" si="5"/>
        <v>0</v>
      </c>
      <c r="Q110" s="116">
        <f t="shared" si="5"/>
        <v>11154</v>
      </c>
      <c r="R110" s="116">
        <f t="shared" si="5"/>
        <v>0</v>
      </c>
      <c r="S110" s="116">
        <f t="shared" si="5"/>
        <v>0</v>
      </c>
      <c r="T110" s="116">
        <f t="shared" si="5"/>
        <v>0</v>
      </c>
      <c r="U110" s="116">
        <f t="shared" si="5"/>
        <v>0</v>
      </c>
      <c r="V110" s="116">
        <f t="shared" si="5"/>
        <v>0</v>
      </c>
      <c r="W110" s="114">
        <f t="shared" si="1"/>
        <v>534248</v>
      </c>
      <c r="X110" s="116">
        <f t="shared" ref="X110:Z110" si="6">SUM(X3:X109)</f>
        <v>134640</v>
      </c>
      <c r="Y110" s="116">
        <f t="shared" si="6"/>
        <v>16000</v>
      </c>
      <c r="Z110" s="116">
        <f t="shared" si="6"/>
        <v>684888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45961.0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2">
        <v>608.0</v>
      </c>
      <c r="B3" s="107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>
        <v>0.0</v>
      </c>
      <c r="J3" s="110"/>
      <c r="K3" s="111">
        <v>0.0</v>
      </c>
      <c r="L3" s="111">
        <v>0.0</v>
      </c>
      <c r="M3" s="109"/>
      <c r="N3" s="108"/>
      <c r="O3" s="108"/>
      <c r="P3" s="108"/>
      <c r="Q3" s="109"/>
      <c r="R3" s="112"/>
      <c r="S3" s="112"/>
      <c r="T3" s="113"/>
      <c r="U3" s="112"/>
      <c r="V3" s="112"/>
      <c r="W3" s="114">
        <f t="shared" ref="W3:W110" si="1">SUM(D3:V3)</f>
        <v>62000</v>
      </c>
      <c r="X3" s="115">
        <v>23525.0</v>
      </c>
      <c r="Y3" s="115">
        <v>8000.0</v>
      </c>
      <c r="Z3" s="116">
        <f t="shared" ref="Z3:Z109" si="2">SUM(W3:Y3)</f>
        <v>93525</v>
      </c>
      <c r="AA3" s="117"/>
      <c r="AB3" s="58" t="s">
        <v>122</v>
      </c>
      <c r="AC3" s="118">
        <f t="shared" ref="AC3:AC4" si="3">C3-M3</f>
        <v>0</v>
      </c>
    </row>
    <row r="4" ht="22.5" customHeight="1">
      <c r="A4" s="2">
        <v>703.0</v>
      </c>
      <c r="B4" s="3" t="s">
        <v>3</v>
      </c>
      <c r="C4" s="119"/>
      <c r="D4" s="109">
        <v>40000.0</v>
      </c>
      <c r="E4" s="109">
        <v>5000.0</v>
      </c>
      <c r="F4" s="109">
        <v>5000.0</v>
      </c>
      <c r="G4" s="109">
        <v>2000.0</v>
      </c>
      <c r="H4" s="109">
        <v>10000.0</v>
      </c>
      <c r="I4" s="108">
        <v>22330.0</v>
      </c>
      <c r="J4" s="110"/>
      <c r="K4" s="116"/>
      <c r="L4" s="116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14">
        <f t="shared" si="1"/>
        <v>84330</v>
      </c>
      <c r="X4" s="115"/>
      <c r="Y4" s="115"/>
      <c r="Z4" s="116">
        <f t="shared" si="2"/>
        <v>84330</v>
      </c>
      <c r="AA4" s="117" t="s">
        <v>123</v>
      </c>
      <c r="AB4" s="58" t="s">
        <v>122</v>
      </c>
      <c r="AC4" s="121">
        <f t="shared" si="3"/>
        <v>0</v>
      </c>
    </row>
    <row r="5" ht="22.5" customHeight="1">
      <c r="A5" s="2">
        <v>801.0</v>
      </c>
      <c r="B5" s="107" t="s">
        <v>130</v>
      </c>
      <c r="C5" s="122"/>
      <c r="D5" s="109">
        <v>40000.0</v>
      </c>
      <c r="E5" s="109">
        <v>5000.0</v>
      </c>
      <c r="F5" s="109">
        <v>5000.0</v>
      </c>
      <c r="G5" s="109">
        <v>2000.0</v>
      </c>
      <c r="H5" s="109">
        <v>10000.0</v>
      </c>
      <c r="I5" s="108">
        <v>44330.0</v>
      </c>
      <c r="J5" s="110"/>
      <c r="K5" s="108">
        <v>11253.0</v>
      </c>
      <c r="L5" s="109">
        <v>2263.0</v>
      </c>
      <c r="M5" s="108"/>
      <c r="N5" s="108"/>
      <c r="O5" s="108"/>
      <c r="P5" s="108"/>
      <c r="Q5" s="108">
        <v>5534.0</v>
      </c>
      <c r="R5" s="108"/>
      <c r="S5" s="108"/>
      <c r="T5" s="108"/>
      <c r="U5" s="108"/>
      <c r="V5" s="108"/>
      <c r="W5" s="114">
        <f t="shared" si="1"/>
        <v>125380</v>
      </c>
      <c r="X5" s="115"/>
      <c r="Y5" s="115"/>
      <c r="Z5" s="116">
        <f t="shared" si="2"/>
        <v>125380</v>
      </c>
      <c r="AA5" s="117"/>
      <c r="AB5" s="58" t="s">
        <v>122</v>
      </c>
      <c r="AC5" s="123">
        <v>0.0</v>
      </c>
    </row>
    <row r="6" ht="22.5" customHeight="1">
      <c r="A6" s="1">
        <v>813.0</v>
      </c>
      <c r="B6" s="3" t="s">
        <v>124</v>
      </c>
      <c r="C6" s="119"/>
      <c r="D6" s="109">
        <v>40000.0</v>
      </c>
      <c r="E6" s="109">
        <v>5000.0</v>
      </c>
      <c r="F6" s="109">
        <v>5000.0</v>
      </c>
      <c r="G6" s="109">
        <v>2000.0</v>
      </c>
      <c r="H6" s="109">
        <v>10000.0</v>
      </c>
      <c r="I6" s="108">
        <v>30360.0</v>
      </c>
      <c r="J6" s="110"/>
      <c r="K6" s="116"/>
      <c r="L6" s="116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14">
        <f t="shared" si="1"/>
        <v>92360</v>
      </c>
      <c r="X6" s="115"/>
      <c r="Y6" s="115"/>
      <c r="Z6" s="116">
        <f t="shared" si="2"/>
        <v>92360</v>
      </c>
      <c r="AA6" s="117" t="s">
        <v>125</v>
      </c>
      <c r="AB6" s="58" t="s">
        <v>122</v>
      </c>
      <c r="AC6" s="121">
        <f t="shared" ref="AC6:AC109" si="4">C6-M6</f>
        <v>0</v>
      </c>
    </row>
    <row r="7" ht="22.5" customHeight="1">
      <c r="A7" s="1">
        <v>906.0</v>
      </c>
      <c r="B7" s="3"/>
      <c r="C7" s="119"/>
      <c r="D7" s="108"/>
      <c r="E7" s="108"/>
      <c r="F7" s="108"/>
      <c r="G7" s="108"/>
      <c r="H7" s="108"/>
      <c r="I7" s="108"/>
      <c r="J7" s="11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0</v>
      </c>
      <c r="X7" s="118"/>
      <c r="Y7" s="118"/>
      <c r="Z7" s="116">
        <f t="shared" si="2"/>
        <v>0</v>
      </c>
      <c r="AA7" s="117"/>
      <c r="AB7" s="58" t="s">
        <v>122</v>
      </c>
      <c r="AC7" s="121">
        <f t="shared" si="4"/>
        <v>0</v>
      </c>
    </row>
    <row r="8" ht="22.5" customHeight="1">
      <c r="A8" s="1">
        <v>913.0</v>
      </c>
      <c r="B8" s="3" t="s">
        <v>127</v>
      </c>
      <c r="C8" s="122">
        <v>67000.0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8">
        <v>41030.0</v>
      </c>
      <c r="J8" s="110">
        <v>-46231.0</v>
      </c>
      <c r="K8" s="108">
        <v>11253.0</v>
      </c>
      <c r="L8" s="108">
        <v>2263.0</v>
      </c>
      <c r="M8" s="108">
        <v>10000.0</v>
      </c>
      <c r="N8" s="108"/>
      <c r="O8" s="108"/>
      <c r="P8" s="108"/>
      <c r="Q8" s="108">
        <v>4642.0</v>
      </c>
      <c r="R8" s="108"/>
      <c r="S8" s="108"/>
      <c r="T8" s="108"/>
      <c r="U8" s="108"/>
      <c r="V8" s="108"/>
      <c r="W8" s="114">
        <f t="shared" si="1"/>
        <v>84957</v>
      </c>
      <c r="X8" s="118">
        <v>25043.0</v>
      </c>
      <c r="Y8" s="118"/>
      <c r="Z8" s="116">
        <f t="shared" si="2"/>
        <v>110000</v>
      </c>
      <c r="AA8" s="117" t="s">
        <v>128</v>
      </c>
      <c r="AB8" s="58" t="s">
        <v>122</v>
      </c>
      <c r="AC8" s="121">
        <f t="shared" si="4"/>
        <v>57000</v>
      </c>
    </row>
    <row r="9" ht="22.5" customHeight="1">
      <c r="A9" s="1">
        <v>915.0</v>
      </c>
      <c r="B9" s="3" t="s">
        <v>7</v>
      </c>
      <c r="C9" s="122">
        <v>130000.0</v>
      </c>
      <c r="D9" s="109">
        <v>40000.0</v>
      </c>
      <c r="E9" s="109">
        <v>5000.0</v>
      </c>
      <c r="F9" s="109">
        <v>5000.0</v>
      </c>
      <c r="G9" s="109">
        <v>2000.0</v>
      </c>
      <c r="H9" s="109">
        <v>10000.0</v>
      </c>
      <c r="I9" s="108">
        <v>16060.0</v>
      </c>
      <c r="J9" s="110">
        <v>0.0</v>
      </c>
      <c r="K9" s="108">
        <v>1573.0</v>
      </c>
      <c r="L9" s="108">
        <v>949.0</v>
      </c>
      <c r="M9" s="108">
        <v>10000.0</v>
      </c>
      <c r="N9" s="108"/>
      <c r="O9" s="108"/>
      <c r="P9" s="108"/>
      <c r="Q9" s="108"/>
      <c r="R9" s="108"/>
      <c r="S9" s="108"/>
      <c r="T9" s="108"/>
      <c r="U9" s="108"/>
      <c r="V9" s="108"/>
      <c r="W9" s="114">
        <f t="shared" si="1"/>
        <v>90582</v>
      </c>
      <c r="X9" s="115">
        <v>25520.0</v>
      </c>
      <c r="Y9" s="115"/>
      <c r="Z9" s="116">
        <f t="shared" si="2"/>
        <v>116102</v>
      </c>
      <c r="AA9" s="131">
        <v>45974.0</v>
      </c>
      <c r="AB9" s="58" t="s">
        <v>122</v>
      </c>
      <c r="AC9" s="121">
        <f t="shared" si="4"/>
        <v>120000</v>
      </c>
    </row>
    <row r="10" ht="22.5" customHeight="1">
      <c r="A10" s="1">
        <v>1005.0</v>
      </c>
      <c r="B10" s="3"/>
      <c r="C10" s="122"/>
      <c r="D10" s="109"/>
      <c r="E10" s="109"/>
      <c r="F10" s="109"/>
      <c r="G10" s="109"/>
      <c r="H10" s="109"/>
      <c r="I10" s="108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4">
        <f t="shared" si="1"/>
        <v>0</v>
      </c>
      <c r="X10" s="126"/>
      <c r="Y10" s="126"/>
      <c r="Z10" s="116">
        <f t="shared" si="2"/>
        <v>0</v>
      </c>
      <c r="AA10" s="117"/>
      <c r="AB10" s="58" t="s">
        <v>122</v>
      </c>
      <c r="AC10" s="121">
        <f t="shared" si="4"/>
        <v>0</v>
      </c>
    </row>
    <row r="11" ht="22.5" customHeight="1">
      <c r="A11" s="1">
        <v>1006.0</v>
      </c>
      <c r="B11" s="3" t="s">
        <v>8</v>
      </c>
      <c r="C11" s="122">
        <v>140000.0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8">
        <v>27500.0</v>
      </c>
      <c r="J11" s="110"/>
      <c r="K11" s="108">
        <v>0.0</v>
      </c>
      <c r="L11" s="108">
        <v>0.0</v>
      </c>
      <c r="M11" s="108">
        <v>10000.0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14">
        <f t="shared" si="1"/>
        <v>99500</v>
      </c>
      <c r="X11" s="115"/>
      <c r="Y11" s="115">
        <f>8780+14210</f>
        <v>22990</v>
      </c>
      <c r="Z11" s="116">
        <f t="shared" si="2"/>
        <v>122490</v>
      </c>
      <c r="AA11" s="117" t="s">
        <v>129</v>
      </c>
      <c r="AB11" s="58" t="s">
        <v>122</v>
      </c>
      <c r="AC11" s="121">
        <f t="shared" si="4"/>
        <v>130000</v>
      </c>
    </row>
    <row r="12" ht="22.5" customHeight="1">
      <c r="A12" s="1">
        <v>1012.0</v>
      </c>
      <c r="B12" s="3"/>
      <c r="C12" s="122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2"/>
        <v>0</v>
      </c>
      <c r="AA12" s="117"/>
      <c r="AB12" s="58" t="s">
        <v>122</v>
      </c>
      <c r="AC12" s="121">
        <f t="shared" si="4"/>
        <v>0</v>
      </c>
    </row>
    <row r="13" ht="22.5" customHeight="1">
      <c r="A13" s="1"/>
      <c r="B13" s="3"/>
      <c r="C13" s="119"/>
      <c r="D13" s="109"/>
      <c r="E13" s="109"/>
      <c r="F13" s="109"/>
      <c r="G13" s="109"/>
      <c r="H13" s="109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2"/>
        <v>0</v>
      </c>
      <c r="AA13" s="117"/>
      <c r="AB13" s="58" t="s">
        <v>122</v>
      </c>
      <c r="AC13" s="121">
        <f t="shared" si="4"/>
        <v>0</v>
      </c>
    </row>
    <row r="14" ht="22.5" customHeight="1">
      <c r="A14" s="1" t="str">
        <f>'入居者'!A13</f>
        <v/>
      </c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2"/>
        <v>0</v>
      </c>
      <c r="AA14" s="127"/>
      <c r="AB14" s="128"/>
      <c r="AC14" s="121">
        <f t="shared" si="4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2"/>
        <v>0</v>
      </c>
      <c r="AA15" s="127"/>
      <c r="AB15" s="128"/>
      <c r="AC15" s="121">
        <f t="shared" si="4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2"/>
        <v>0</v>
      </c>
      <c r="AA16" s="127"/>
      <c r="AB16" s="128"/>
      <c r="AC16" s="121">
        <f t="shared" si="4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2"/>
        <v>0</v>
      </c>
      <c r="AA17" s="127"/>
      <c r="AB17" s="128"/>
      <c r="AC17" s="121">
        <f t="shared" si="4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2"/>
        <v>0</v>
      </c>
      <c r="AA18" s="127"/>
      <c r="AB18" s="128"/>
      <c r="AC18" s="121">
        <f t="shared" si="4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2"/>
        <v>0</v>
      </c>
      <c r="AA19" s="127"/>
      <c r="AB19" s="128"/>
      <c r="AC19" s="121">
        <f t="shared" si="4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2"/>
        <v>0</v>
      </c>
      <c r="AA20" s="127"/>
      <c r="AB20" s="128"/>
      <c r="AC20" s="121">
        <f t="shared" si="4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2"/>
        <v>0</v>
      </c>
      <c r="AA21" s="127"/>
      <c r="AB21" s="128"/>
      <c r="AC21" s="121">
        <f t="shared" si="4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2"/>
        <v>0</v>
      </c>
      <c r="AA22" s="127"/>
      <c r="AB22" s="128"/>
      <c r="AC22" s="121">
        <f t="shared" si="4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2"/>
        <v>0</v>
      </c>
      <c r="AA23" s="127"/>
      <c r="AB23" s="128"/>
      <c r="AC23" s="121">
        <f t="shared" si="4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2"/>
        <v>0</v>
      </c>
      <c r="AA24" s="127"/>
      <c r="AB24" s="128"/>
      <c r="AC24" s="121">
        <f t="shared" si="4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2"/>
        <v>0</v>
      </c>
      <c r="AA25" s="127"/>
      <c r="AB25" s="128"/>
      <c r="AC25" s="121">
        <f t="shared" si="4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2"/>
        <v>0</v>
      </c>
      <c r="AA26" s="127"/>
      <c r="AB26" s="128"/>
      <c r="AC26" s="121">
        <f t="shared" si="4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2"/>
        <v>0</v>
      </c>
      <c r="AA27" s="127"/>
      <c r="AB27" s="128"/>
      <c r="AC27" s="121">
        <f t="shared" si="4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2"/>
        <v>0</v>
      </c>
      <c r="AA28" s="127"/>
      <c r="AB28" s="128"/>
      <c r="AC28" s="121">
        <f t="shared" si="4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2"/>
        <v>0</v>
      </c>
      <c r="AA29" s="127"/>
      <c r="AB29" s="128"/>
      <c r="AC29" s="121">
        <f t="shared" si="4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2"/>
        <v>0</v>
      </c>
      <c r="AA30" s="127"/>
      <c r="AB30" s="128"/>
      <c r="AC30" s="121">
        <f t="shared" si="4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2"/>
        <v>0</v>
      </c>
      <c r="AA31" s="127"/>
      <c r="AB31" s="128"/>
      <c r="AC31" s="121">
        <f t="shared" si="4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2"/>
        <v>0</v>
      </c>
      <c r="AA32" s="127"/>
      <c r="AB32" s="128"/>
      <c r="AC32" s="121">
        <f t="shared" si="4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2"/>
        <v>0</v>
      </c>
      <c r="AA33" s="127"/>
      <c r="AB33" s="128"/>
      <c r="AC33" s="121">
        <f t="shared" si="4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2"/>
        <v>0</v>
      </c>
      <c r="AA34" s="127"/>
      <c r="AB34" s="128"/>
      <c r="AC34" s="121">
        <f t="shared" si="4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2"/>
        <v>0</v>
      </c>
      <c r="AA35" s="127"/>
      <c r="AB35" s="128"/>
      <c r="AC35" s="121">
        <f t="shared" si="4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2"/>
        <v>0</v>
      </c>
      <c r="AA36" s="127"/>
      <c r="AB36" s="128"/>
      <c r="AC36" s="121">
        <f t="shared" si="4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2"/>
        <v>0</v>
      </c>
      <c r="AA37" s="127"/>
      <c r="AB37" s="128"/>
      <c r="AC37" s="121">
        <f t="shared" si="4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2"/>
        <v>0</v>
      </c>
      <c r="AA38" s="127"/>
      <c r="AB38" s="128"/>
      <c r="AC38" s="121">
        <f t="shared" si="4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2"/>
        <v>0</v>
      </c>
      <c r="AA39" s="127"/>
      <c r="AB39" s="128"/>
      <c r="AC39" s="121">
        <f t="shared" si="4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2"/>
        <v>0</v>
      </c>
      <c r="AA40" s="127"/>
      <c r="AB40" s="128"/>
      <c r="AC40" s="121">
        <f t="shared" si="4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2"/>
        <v>0</v>
      </c>
      <c r="AA41" s="127"/>
      <c r="AB41" s="128"/>
      <c r="AC41" s="121">
        <f t="shared" si="4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2"/>
        <v>0</v>
      </c>
      <c r="AA42" s="127"/>
      <c r="AB42" s="128"/>
      <c r="AC42" s="121">
        <f t="shared" si="4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2"/>
        <v>0</v>
      </c>
      <c r="AA43" s="127"/>
      <c r="AB43" s="128"/>
      <c r="AC43" s="121">
        <f t="shared" si="4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2"/>
        <v>0</v>
      </c>
      <c r="AA44" s="127"/>
      <c r="AB44" s="128"/>
      <c r="AC44" s="121">
        <f t="shared" si="4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2"/>
        <v>0</v>
      </c>
      <c r="AA45" s="127"/>
      <c r="AB45" s="128"/>
      <c r="AC45" s="121">
        <f t="shared" si="4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2"/>
        <v>0</v>
      </c>
      <c r="AA46" s="127"/>
      <c r="AB46" s="128"/>
      <c r="AC46" s="121">
        <f t="shared" si="4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2"/>
        <v>0</v>
      </c>
      <c r="AA47" s="127"/>
      <c r="AB47" s="128"/>
      <c r="AC47" s="121">
        <f t="shared" si="4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2"/>
        <v>0</v>
      </c>
      <c r="AA48" s="127"/>
      <c r="AB48" s="128"/>
      <c r="AC48" s="121">
        <f t="shared" si="4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2"/>
        <v>0</v>
      </c>
      <c r="AA49" s="127"/>
      <c r="AB49" s="128"/>
      <c r="AC49" s="121">
        <f t="shared" si="4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2"/>
        <v>0</v>
      </c>
      <c r="AA50" s="127"/>
      <c r="AB50" s="128"/>
      <c r="AC50" s="121">
        <f t="shared" si="4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2"/>
        <v>0</v>
      </c>
      <c r="AA51" s="127"/>
      <c r="AB51" s="128"/>
      <c r="AC51" s="121">
        <f t="shared" si="4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2"/>
        <v>0</v>
      </c>
      <c r="AA52" s="127"/>
      <c r="AB52" s="128"/>
      <c r="AC52" s="121">
        <f t="shared" si="4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2"/>
        <v>0</v>
      </c>
      <c r="AA53" s="127"/>
      <c r="AB53" s="128"/>
      <c r="AC53" s="121">
        <f t="shared" si="4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2"/>
        <v>0</v>
      </c>
      <c r="AA54" s="127"/>
      <c r="AB54" s="128"/>
      <c r="AC54" s="121">
        <f t="shared" si="4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2"/>
        <v>0</v>
      </c>
      <c r="AA55" s="127"/>
      <c r="AB55" s="128"/>
      <c r="AC55" s="121">
        <f t="shared" si="4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2"/>
        <v>0</v>
      </c>
      <c r="AA56" s="127"/>
      <c r="AB56" s="128"/>
      <c r="AC56" s="121">
        <f t="shared" si="4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2"/>
        <v>0</v>
      </c>
      <c r="AA57" s="127"/>
      <c r="AB57" s="128"/>
      <c r="AC57" s="121">
        <f t="shared" si="4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2"/>
        <v>0</v>
      </c>
      <c r="AA58" s="127"/>
      <c r="AB58" s="128"/>
      <c r="AC58" s="121">
        <f t="shared" si="4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2"/>
        <v>0</v>
      </c>
      <c r="AA59" s="127"/>
      <c r="AB59" s="128"/>
      <c r="AC59" s="121">
        <f t="shared" si="4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2"/>
        <v>0</v>
      </c>
      <c r="AA60" s="127"/>
      <c r="AB60" s="128"/>
      <c r="AC60" s="121">
        <f t="shared" si="4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2"/>
        <v>0</v>
      </c>
      <c r="AA61" s="127"/>
      <c r="AB61" s="128"/>
      <c r="AC61" s="121">
        <f t="shared" si="4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2"/>
        <v>0</v>
      </c>
      <c r="AA62" s="127"/>
      <c r="AB62" s="128"/>
      <c r="AC62" s="121">
        <f t="shared" si="4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2"/>
        <v>0</v>
      </c>
      <c r="AA63" s="127"/>
      <c r="AB63" s="128"/>
      <c r="AC63" s="121">
        <f t="shared" si="4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2"/>
        <v>0</v>
      </c>
      <c r="AA64" s="127"/>
      <c r="AB64" s="128"/>
      <c r="AC64" s="121">
        <f t="shared" si="4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2"/>
        <v>0</v>
      </c>
      <c r="AA65" s="127"/>
      <c r="AB65" s="128"/>
      <c r="AC65" s="121">
        <f t="shared" si="4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2"/>
        <v>0</v>
      </c>
      <c r="AA66" s="127"/>
      <c r="AB66" s="128"/>
      <c r="AC66" s="121">
        <f t="shared" si="4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2"/>
        <v>0</v>
      </c>
      <c r="AA67" s="127"/>
      <c r="AB67" s="128"/>
      <c r="AC67" s="121">
        <f t="shared" si="4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2"/>
        <v>0</v>
      </c>
      <c r="AA68" s="127"/>
      <c r="AB68" s="128"/>
      <c r="AC68" s="121">
        <f t="shared" si="4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2"/>
        <v>0</v>
      </c>
      <c r="AA69" s="127"/>
      <c r="AB69" s="128"/>
      <c r="AC69" s="121">
        <f t="shared" si="4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2"/>
        <v>0</v>
      </c>
      <c r="AA70" s="127"/>
      <c r="AB70" s="128"/>
      <c r="AC70" s="121">
        <f t="shared" si="4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2"/>
        <v>0</v>
      </c>
      <c r="AA71" s="127"/>
      <c r="AB71" s="128"/>
      <c r="AC71" s="121">
        <f t="shared" si="4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2"/>
        <v>0</v>
      </c>
      <c r="AA72" s="127"/>
      <c r="AB72" s="128"/>
      <c r="AC72" s="121">
        <f t="shared" si="4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2"/>
        <v>0</v>
      </c>
      <c r="AA73" s="127"/>
      <c r="AB73" s="128"/>
      <c r="AC73" s="121">
        <f t="shared" si="4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2"/>
        <v>0</v>
      </c>
      <c r="AA74" s="127"/>
      <c r="AB74" s="128"/>
      <c r="AC74" s="121">
        <f t="shared" si="4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2"/>
        <v>0</v>
      </c>
      <c r="AA75" s="127"/>
      <c r="AB75" s="128"/>
      <c r="AC75" s="121">
        <f t="shared" si="4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2"/>
        <v>0</v>
      </c>
      <c r="AA76" s="127"/>
      <c r="AB76" s="128"/>
      <c r="AC76" s="121">
        <f t="shared" si="4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2"/>
        <v>0</v>
      </c>
      <c r="AA77" s="127"/>
      <c r="AB77" s="128"/>
      <c r="AC77" s="121">
        <f t="shared" si="4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2"/>
        <v>0</v>
      </c>
      <c r="AA78" s="127"/>
      <c r="AB78" s="128"/>
      <c r="AC78" s="121">
        <f t="shared" si="4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2"/>
        <v>0</v>
      </c>
      <c r="AA79" s="127"/>
      <c r="AB79" s="128"/>
      <c r="AC79" s="121">
        <f t="shared" si="4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2"/>
        <v>0</v>
      </c>
      <c r="AA80" s="127"/>
      <c r="AB80" s="128"/>
      <c r="AC80" s="121">
        <f t="shared" si="4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2"/>
        <v>0</v>
      </c>
      <c r="AA81" s="127"/>
      <c r="AB81" s="128"/>
      <c r="AC81" s="121">
        <f t="shared" si="4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2"/>
        <v>0</v>
      </c>
      <c r="AA82" s="127"/>
      <c r="AB82" s="128"/>
      <c r="AC82" s="121">
        <f t="shared" si="4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2"/>
        <v>0</v>
      </c>
      <c r="AA83" s="127"/>
      <c r="AB83" s="128"/>
      <c r="AC83" s="121">
        <f t="shared" si="4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2"/>
        <v>0</v>
      </c>
      <c r="AA84" s="127"/>
      <c r="AB84" s="128"/>
      <c r="AC84" s="121">
        <f t="shared" si="4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2"/>
        <v>0</v>
      </c>
      <c r="AA85" s="127"/>
      <c r="AB85" s="128"/>
      <c r="AC85" s="121">
        <f t="shared" si="4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2"/>
        <v>0</v>
      </c>
      <c r="AA86" s="127"/>
      <c r="AB86" s="128"/>
      <c r="AC86" s="121">
        <f t="shared" si="4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2"/>
        <v>0</v>
      </c>
      <c r="AA87" s="127"/>
      <c r="AB87" s="128"/>
      <c r="AC87" s="121">
        <f t="shared" si="4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2"/>
        <v>0</v>
      </c>
      <c r="AA88" s="127"/>
      <c r="AB88" s="128"/>
      <c r="AC88" s="121">
        <f t="shared" si="4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2"/>
        <v>0</v>
      </c>
      <c r="AA89" s="127"/>
      <c r="AB89" s="128"/>
      <c r="AC89" s="121">
        <f t="shared" si="4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2"/>
        <v>0</v>
      </c>
      <c r="AA90" s="127"/>
      <c r="AB90" s="128"/>
      <c r="AC90" s="121">
        <f t="shared" si="4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2"/>
        <v>0</v>
      </c>
      <c r="AA91" s="127"/>
      <c r="AB91" s="128"/>
      <c r="AC91" s="121">
        <f t="shared" si="4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2"/>
        <v>0</v>
      </c>
      <c r="AA92" s="127"/>
      <c r="AB92" s="128"/>
      <c r="AC92" s="121">
        <f t="shared" si="4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2"/>
        <v>0</v>
      </c>
      <c r="AA93" s="127"/>
      <c r="AB93" s="128"/>
      <c r="AC93" s="121">
        <f t="shared" si="4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2"/>
        <v>0</v>
      </c>
      <c r="AA94" s="127"/>
      <c r="AB94" s="128"/>
      <c r="AC94" s="121">
        <f t="shared" si="4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2"/>
        <v>0</v>
      </c>
      <c r="AA95" s="127"/>
      <c r="AB95" s="128"/>
      <c r="AC95" s="121">
        <f t="shared" si="4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2"/>
        <v>0</v>
      </c>
      <c r="AA96" s="127"/>
      <c r="AB96" s="128"/>
      <c r="AC96" s="121">
        <f t="shared" si="4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2"/>
        <v>0</v>
      </c>
      <c r="AA97" s="127"/>
      <c r="AB97" s="128"/>
      <c r="AC97" s="121">
        <f t="shared" si="4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2"/>
        <v>0</v>
      </c>
      <c r="AA98" s="127"/>
      <c r="AB98" s="128"/>
      <c r="AC98" s="121">
        <f t="shared" si="4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2"/>
        <v>0</v>
      </c>
      <c r="AA99" s="127"/>
      <c r="AB99" s="128"/>
      <c r="AC99" s="121">
        <f t="shared" si="4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2"/>
        <v>0</v>
      </c>
      <c r="AA100" s="127"/>
      <c r="AB100" s="128"/>
      <c r="AC100" s="121">
        <f t="shared" si="4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2"/>
        <v>0</v>
      </c>
      <c r="AA101" s="127"/>
      <c r="AB101" s="128"/>
      <c r="AC101" s="121">
        <f t="shared" si="4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2"/>
        <v>0</v>
      </c>
      <c r="AA102" s="127"/>
      <c r="AB102" s="128"/>
      <c r="AC102" s="121">
        <f t="shared" si="4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2"/>
        <v>0</v>
      </c>
      <c r="AA103" s="127"/>
      <c r="AB103" s="128"/>
      <c r="AC103" s="121">
        <f t="shared" si="4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2"/>
        <v>0</v>
      </c>
      <c r="AA104" s="127"/>
      <c r="AB104" s="128"/>
      <c r="AC104" s="121">
        <f t="shared" si="4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2"/>
        <v>0</v>
      </c>
      <c r="AA105" s="127"/>
      <c r="AB105" s="128"/>
      <c r="AC105" s="121">
        <f t="shared" si="4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2"/>
        <v>0</v>
      </c>
      <c r="AA106" s="127"/>
      <c r="AB106" s="128"/>
      <c r="AC106" s="121">
        <f t="shared" si="4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2"/>
        <v>0</v>
      </c>
      <c r="AA107" s="127"/>
      <c r="AB107" s="128"/>
      <c r="AC107" s="121">
        <f t="shared" si="4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2"/>
        <v>0</v>
      </c>
      <c r="AA108" s="127"/>
      <c r="AB108" s="128"/>
      <c r="AC108" s="121">
        <f t="shared" si="4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2"/>
        <v>0</v>
      </c>
      <c r="AA109" s="127"/>
      <c r="AB109" s="128"/>
      <c r="AC109" s="121">
        <f t="shared" si="4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280000</v>
      </c>
      <c r="E110" s="116">
        <f t="shared" si="5"/>
        <v>35000</v>
      </c>
      <c r="F110" s="116">
        <f t="shared" si="5"/>
        <v>35000</v>
      </c>
      <c r="G110" s="116">
        <f t="shared" si="5"/>
        <v>14000</v>
      </c>
      <c r="H110" s="116">
        <f t="shared" si="5"/>
        <v>70000</v>
      </c>
      <c r="I110" s="116">
        <f t="shared" si="5"/>
        <v>181610</v>
      </c>
      <c r="J110" s="129">
        <f t="shared" si="5"/>
        <v>-46231</v>
      </c>
      <c r="K110" s="116">
        <f t="shared" si="5"/>
        <v>24079</v>
      </c>
      <c r="L110" s="116">
        <f t="shared" si="5"/>
        <v>5475</v>
      </c>
      <c r="M110" s="116">
        <f t="shared" si="5"/>
        <v>30000</v>
      </c>
      <c r="N110" s="116">
        <f t="shared" si="5"/>
        <v>0</v>
      </c>
      <c r="O110" s="116">
        <f t="shared" si="5"/>
        <v>0</v>
      </c>
      <c r="P110" s="116">
        <f t="shared" si="5"/>
        <v>0</v>
      </c>
      <c r="Q110" s="116">
        <f t="shared" si="5"/>
        <v>10176</v>
      </c>
      <c r="R110" s="116">
        <f t="shared" si="5"/>
        <v>0</v>
      </c>
      <c r="S110" s="116">
        <f t="shared" si="5"/>
        <v>0</v>
      </c>
      <c r="T110" s="116">
        <f t="shared" si="5"/>
        <v>0</v>
      </c>
      <c r="U110" s="116">
        <f t="shared" si="5"/>
        <v>0</v>
      </c>
      <c r="V110" s="116">
        <f t="shared" si="5"/>
        <v>0</v>
      </c>
      <c r="W110" s="114">
        <f t="shared" si="1"/>
        <v>639109</v>
      </c>
      <c r="X110" s="116">
        <f t="shared" ref="X110:Z110" si="6">SUM(X3:X109)</f>
        <v>74088</v>
      </c>
      <c r="Y110" s="116">
        <f t="shared" si="6"/>
        <v>30990</v>
      </c>
      <c r="Z110" s="116">
        <f t="shared" si="6"/>
        <v>744187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45930.0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2">
        <v>608.0</v>
      </c>
      <c r="B3" s="107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>
        <v>0.0</v>
      </c>
      <c r="J3" s="110"/>
      <c r="K3" s="111">
        <v>0.0</v>
      </c>
      <c r="L3" s="111">
        <v>0.0</v>
      </c>
      <c r="M3" s="109"/>
      <c r="N3" s="108"/>
      <c r="O3" s="108"/>
      <c r="P3" s="108"/>
      <c r="Q3" s="109"/>
      <c r="R3" s="112"/>
      <c r="S3" s="112"/>
      <c r="T3" s="113"/>
      <c r="U3" s="112"/>
      <c r="V3" s="112"/>
      <c r="W3" s="114">
        <f t="shared" ref="W3:W110" si="1">SUM(D3:V3)</f>
        <v>62000</v>
      </c>
      <c r="X3" s="115">
        <v>23993.0</v>
      </c>
      <c r="Y3" s="115"/>
      <c r="Z3" s="116">
        <f t="shared" ref="Z3:Z109" si="2">SUM(W3:Y3)</f>
        <v>85993</v>
      </c>
      <c r="AA3" s="117"/>
      <c r="AB3" s="58" t="s">
        <v>122</v>
      </c>
      <c r="AC3" s="118">
        <f t="shared" ref="AC3:AC4" si="3">C3-M3</f>
        <v>0</v>
      </c>
    </row>
    <row r="4" ht="22.5" customHeight="1">
      <c r="A4" s="2">
        <v>703.0</v>
      </c>
      <c r="B4" s="3" t="s">
        <v>3</v>
      </c>
      <c r="C4" s="119"/>
      <c r="D4" s="109">
        <v>40000.0</v>
      </c>
      <c r="E4" s="109">
        <v>5000.0</v>
      </c>
      <c r="F4" s="109">
        <v>5000.0</v>
      </c>
      <c r="G4" s="109">
        <v>2000.0</v>
      </c>
      <c r="H4" s="109">
        <v>10000.0</v>
      </c>
      <c r="I4" s="108">
        <v>1100.0</v>
      </c>
      <c r="J4" s="110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14">
        <f t="shared" si="1"/>
        <v>63100</v>
      </c>
      <c r="X4" s="115"/>
      <c r="Y4" s="115"/>
      <c r="Z4" s="116">
        <f t="shared" si="2"/>
        <v>63100</v>
      </c>
      <c r="AA4" s="117"/>
      <c r="AB4" s="58" t="s">
        <v>122</v>
      </c>
      <c r="AC4" s="121">
        <f t="shared" si="3"/>
        <v>0</v>
      </c>
    </row>
    <row r="5" ht="22.5" customHeight="1">
      <c r="A5" s="2">
        <v>801.0</v>
      </c>
      <c r="B5" s="107" t="s">
        <v>130</v>
      </c>
      <c r="C5" s="122"/>
      <c r="D5" s="109">
        <v>40000.0</v>
      </c>
      <c r="E5" s="109">
        <v>5000.0</v>
      </c>
      <c r="F5" s="109">
        <v>5000.0</v>
      </c>
      <c r="G5" s="109">
        <v>2000.0</v>
      </c>
      <c r="H5" s="109">
        <v>10000.0</v>
      </c>
      <c r="I5" s="108">
        <v>26840.0</v>
      </c>
      <c r="J5" s="110"/>
      <c r="K5" s="116">
        <v>6897.0</v>
      </c>
      <c r="L5" s="132">
        <v>1387.0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14">
        <f t="shared" si="1"/>
        <v>97124</v>
      </c>
      <c r="X5" s="115"/>
      <c r="Y5" s="115"/>
      <c r="Z5" s="116">
        <f t="shared" si="2"/>
        <v>97124</v>
      </c>
      <c r="AA5" s="117"/>
      <c r="AB5" s="58" t="s">
        <v>122</v>
      </c>
      <c r="AC5" s="123">
        <v>0.0</v>
      </c>
    </row>
    <row r="6" ht="22.5" customHeight="1">
      <c r="A6" s="1">
        <v>813.0</v>
      </c>
      <c r="B6" s="3" t="s">
        <v>124</v>
      </c>
      <c r="C6" s="119"/>
      <c r="D6" s="109">
        <v>40000.0</v>
      </c>
      <c r="E6" s="109">
        <v>5000.0</v>
      </c>
      <c r="F6" s="109">
        <v>5000.0</v>
      </c>
      <c r="G6" s="109">
        <v>2000.0</v>
      </c>
      <c r="H6" s="109">
        <v>10000.0</v>
      </c>
      <c r="I6" s="108">
        <v>1100.0</v>
      </c>
      <c r="J6" s="110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14">
        <f t="shared" si="1"/>
        <v>63100</v>
      </c>
      <c r="X6" s="115"/>
      <c r="Y6" s="115"/>
      <c r="Z6" s="116">
        <f t="shared" si="2"/>
        <v>63100</v>
      </c>
      <c r="AA6" s="117"/>
      <c r="AB6" s="58" t="s">
        <v>122</v>
      </c>
      <c r="AC6" s="121">
        <f t="shared" ref="AC6:AC109" si="4">C6-M6</f>
        <v>0</v>
      </c>
    </row>
    <row r="7" ht="22.5" customHeight="1">
      <c r="A7" s="1">
        <v>906.0</v>
      </c>
      <c r="B7" s="3"/>
      <c r="C7" s="119"/>
      <c r="D7" s="108"/>
      <c r="E7" s="108"/>
      <c r="F7" s="108"/>
      <c r="G7" s="108"/>
      <c r="H7" s="108"/>
      <c r="I7" s="108"/>
      <c r="J7" s="11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0</v>
      </c>
      <c r="X7" s="118"/>
      <c r="Y7" s="118"/>
      <c r="Z7" s="116">
        <f t="shared" si="2"/>
        <v>0</v>
      </c>
      <c r="AA7" s="117"/>
      <c r="AB7" s="58" t="s">
        <v>122</v>
      </c>
      <c r="AC7" s="121">
        <f t="shared" si="4"/>
        <v>0</v>
      </c>
    </row>
    <row r="8" ht="22.5" customHeight="1">
      <c r="A8" s="1">
        <v>913.0</v>
      </c>
      <c r="B8" s="3" t="s">
        <v>127</v>
      </c>
      <c r="C8" s="122">
        <v>77000.0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8">
        <v>40150.0</v>
      </c>
      <c r="J8" s="110">
        <v>-83160.0</v>
      </c>
      <c r="K8" s="108">
        <v>10890.0</v>
      </c>
      <c r="L8" s="108">
        <v>2190.0</v>
      </c>
      <c r="M8" s="108">
        <v>10000.0</v>
      </c>
      <c r="N8" s="108"/>
      <c r="O8" s="108"/>
      <c r="P8" s="108"/>
      <c r="Q8" s="108">
        <v>9906.0</v>
      </c>
      <c r="R8" s="108"/>
      <c r="S8" s="108"/>
      <c r="T8" s="108"/>
      <c r="U8" s="108"/>
      <c r="V8" s="108"/>
      <c r="W8" s="114">
        <f t="shared" si="1"/>
        <v>51976</v>
      </c>
      <c r="X8" s="118">
        <v>45894.0</v>
      </c>
      <c r="Y8" s="118">
        <v>12130.0</v>
      </c>
      <c r="Z8" s="116">
        <f t="shared" si="2"/>
        <v>110000</v>
      </c>
      <c r="AA8" s="117" t="s">
        <v>128</v>
      </c>
      <c r="AB8" s="58" t="s">
        <v>122</v>
      </c>
      <c r="AC8" s="121">
        <f t="shared" si="4"/>
        <v>67000</v>
      </c>
    </row>
    <row r="9" ht="22.5" customHeight="1">
      <c r="A9" s="1">
        <v>915.0</v>
      </c>
      <c r="B9" s="3" t="s">
        <v>7</v>
      </c>
      <c r="C9" s="122">
        <v>140000.0</v>
      </c>
      <c r="D9" s="109">
        <v>40000.0</v>
      </c>
      <c r="E9" s="109">
        <v>5000.0</v>
      </c>
      <c r="F9" s="109">
        <v>5000.0</v>
      </c>
      <c r="G9" s="109">
        <v>2000.0</v>
      </c>
      <c r="H9" s="109">
        <v>10000.0</v>
      </c>
      <c r="I9" s="108">
        <v>42900.0</v>
      </c>
      <c r="J9" s="110">
        <v>-33190.0</v>
      </c>
      <c r="K9" s="108">
        <v>7260.0</v>
      </c>
      <c r="L9" s="108">
        <v>2190.0</v>
      </c>
      <c r="M9" s="108">
        <v>10000.0</v>
      </c>
      <c r="N9" s="108"/>
      <c r="O9" s="108"/>
      <c r="P9" s="108"/>
      <c r="Q9" s="108">
        <v>7550.0</v>
      </c>
      <c r="R9" s="108"/>
      <c r="S9" s="108"/>
      <c r="T9" s="108"/>
      <c r="U9" s="108"/>
      <c r="V9" s="108"/>
      <c r="W9" s="114">
        <f t="shared" si="1"/>
        <v>98710</v>
      </c>
      <c r="X9" s="115">
        <v>31290.0</v>
      </c>
      <c r="Y9" s="115"/>
      <c r="Z9" s="116">
        <f t="shared" si="2"/>
        <v>130000</v>
      </c>
      <c r="AA9" s="133">
        <v>45974.0</v>
      </c>
      <c r="AB9" s="58" t="s">
        <v>122</v>
      </c>
      <c r="AC9" s="121">
        <f t="shared" si="4"/>
        <v>130000</v>
      </c>
    </row>
    <row r="10" ht="22.5" customHeight="1">
      <c r="A10" s="1">
        <v>1005.0</v>
      </c>
      <c r="B10" s="3"/>
      <c r="C10" s="122"/>
      <c r="D10" s="109"/>
      <c r="E10" s="109"/>
      <c r="F10" s="109"/>
      <c r="G10" s="109"/>
      <c r="H10" s="109"/>
      <c r="I10" s="108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4">
        <f t="shared" si="1"/>
        <v>0</v>
      </c>
      <c r="X10" s="126"/>
      <c r="Y10" s="126"/>
      <c r="Z10" s="116">
        <f t="shared" si="2"/>
        <v>0</v>
      </c>
      <c r="AA10" s="117"/>
      <c r="AB10" s="58" t="s">
        <v>122</v>
      </c>
      <c r="AC10" s="121">
        <f t="shared" si="4"/>
        <v>0</v>
      </c>
    </row>
    <row r="11" ht="22.5" customHeight="1">
      <c r="A11" s="1">
        <v>1006.0</v>
      </c>
      <c r="B11" s="3" t="s">
        <v>8</v>
      </c>
      <c r="C11" s="122">
        <v>150000.0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8">
        <v>30800.0</v>
      </c>
      <c r="J11" s="110"/>
      <c r="K11" s="108">
        <v>0.0</v>
      </c>
      <c r="L11" s="108">
        <v>0.0</v>
      </c>
      <c r="M11" s="108">
        <v>10000.0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14">
        <f t="shared" si="1"/>
        <v>102800</v>
      </c>
      <c r="X11" s="115"/>
      <c r="Y11" s="115"/>
      <c r="Z11" s="116">
        <f t="shared" si="2"/>
        <v>102800</v>
      </c>
      <c r="AA11" s="117" t="s">
        <v>129</v>
      </c>
      <c r="AB11" s="58" t="s">
        <v>122</v>
      </c>
      <c r="AC11" s="121">
        <f t="shared" si="4"/>
        <v>140000</v>
      </c>
    </row>
    <row r="12" ht="22.5" customHeight="1">
      <c r="A12" s="1">
        <v>1012.0</v>
      </c>
      <c r="B12" s="3"/>
      <c r="C12" s="122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2"/>
        <v>0</v>
      </c>
      <c r="AA12" s="117"/>
      <c r="AB12" s="58" t="s">
        <v>122</v>
      </c>
      <c r="AC12" s="121">
        <f t="shared" si="4"/>
        <v>0</v>
      </c>
    </row>
    <row r="13" ht="22.5" customHeight="1">
      <c r="A13" s="1"/>
      <c r="B13" s="3"/>
      <c r="C13" s="119"/>
      <c r="D13" s="109"/>
      <c r="E13" s="109"/>
      <c r="F13" s="109"/>
      <c r="G13" s="109"/>
      <c r="H13" s="109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2"/>
        <v>0</v>
      </c>
      <c r="AA13" s="117"/>
      <c r="AB13" s="58" t="s">
        <v>122</v>
      </c>
      <c r="AC13" s="121">
        <f t="shared" si="4"/>
        <v>0</v>
      </c>
    </row>
    <row r="14" ht="22.5" customHeight="1">
      <c r="A14" s="1" t="str">
        <f>'入居者'!A13</f>
        <v/>
      </c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2"/>
        <v>0</v>
      </c>
      <c r="AA14" s="127"/>
      <c r="AB14" s="128"/>
      <c r="AC14" s="121">
        <f t="shared" si="4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2"/>
        <v>0</v>
      </c>
      <c r="AA15" s="127"/>
      <c r="AB15" s="128"/>
      <c r="AC15" s="121">
        <f t="shared" si="4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2"/>
        <v>0</v>
      </c>
      <c r="AA16" s="127"/>
      <c r="AB16" s="128"/>
      <c r="AC16" s="121">
        <f t="shared" si="4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2"/>
        <v>0</v>
      </c>
      <c r="AA17" s="127"/>
      <c r="AB17" s="128"/>
      <c r="AC17" s="121">
        <f t="shared" si="4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2"/>
        <v>0</v>
      </c>
      <c r="AA18" s="127"/>
      <c r="AB18" s="128"/>
      <c r="AC18" s="121">
        <f t="shared" si="4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2"/>
        <v>0</v>
      </c>
      <c r="AA19" s="127"/>
      <c r="AB19" s="128"/>
      <c r="AC19" s="121">
        <f t="shared" si="4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2"/>
        <v>0</v>
      </c>
      <c r="AA20" s="127"/>
      <c r="AB20" s="128"/>
      <c r="AC20" s="121">
        <f t="shared" si="4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2"/>
        <v>0</v>
      </c>
      <c r="AA21" s="127"/>
      <c r="AB21" s="128"/>
      <c r="AC21" s="121">
        <f t="shared" si="4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2"/>
        <v>0</v>
      </c>
      <c r="AA22" s="127"/>
      <c r="AB22" s="128"/>
      <c r="AC22" s="121">
        <f t="shared" si="4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2"/>
        <v>0</v>
      </c>
      <c r="AA23" s="127"/>
      <c r="AB23" s="128"/>
      <c r="AC23" s="121">
        <f t="shared" si="4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2"/>
        <v>0</v>
      </c>
      <c r="AA24" s="127"/>
      <c r="AB24" s="128"/>
      <c r="AC24" s="121">
        <f t="shared" si="4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2"/>
        <v>0</v>
      </c>
      <c r="AA25" s="127"/>
      <c r="AB25" s="128"/>
      <c r="AC25" s="121">
        <f t="shared" si="4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2"/>
        <v>0</v>
      </c>
      <c r="AA26" s="127"/>
      <c r="AB26" s="128"/>
      <c r="AC26" s="121">
        <f t="shared" si="4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2"/>
        <v>0</v>
      </c>
      <c r="AA27" s="127"/>
      <c r="AB27" s="128"/>
      <c r="AC27" s="121">
        <f t="shared" si="4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2"/>
        <v>0</v>
      </c>
      <c r="AA28" s="127"/>
      <c r="AB28" s="128"/>
      <c r="AC28" s="121">
        <f t="shared" si="4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2"/>
        <v>0</v>
      </c>
      <c r="AA29" s="127"/>
      <c r="AB29" s="128"/>
      <c r="AC29" s="121">
        <f t="shared" si="4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2"/>
        <v>0</v>
      </c>
      <c r="AA30" s="127"/>
      <c r="AB30" s="128"/>
      <c r="AC30" s="121">
        <f t="shared" si="4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2"/>
        <v>0</v>
      </c>
      <c r="AA31" s="127"/>
      <c r="AB31" s="128"/>
      <c r="AC31" s="121">
        <f t="shared" si="4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2"/>
        <v>0</v>
      </c>
      <c r="AA32" s="127"/>
      <c r="AB32" s="128"/>
      <c r="AC32" s="121">
        <f t="shared" si="4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2"/>
        <v>0</v>
      </c>
      <c r="AA33" s="127"/>
      <c r="AB33" s="128"/>
      <c r="AC33" s="121">
        <f t="shared" si="4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2"/>
        <v>0</v>
      </c>
      <c r="AA34" s="127"/>
      <c r="AB34" s="128"/>
      <c r="AC34" s="121">
        <f t="shared" si="4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2"/>
        <v>0</v>
      </c>
      <c r="AA35" s="127"/>
      <c r="AB35" s="128"/>
      <c r="AC35" s="121">
        <f t="shared" si="4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2"/>
        <v>0</v>
      </c>
      <c r="AA36" s="127"/>
      <c r="AB36" s="128"/>
      <c r="AC36" s="121">
        <f t="shared" si="4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2"/>
        <v>0</v>
      </c>
      <c r="AA37" s="127"/>
      <c r="AB37" s="128"/>
      <c r="AC37" s="121">
        <f t="shared" si="4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2"/>
        <v>0</v>
      </c>
      <c r="AA38" s="127"/>
      <c r="AB38" s="128"/>
      <c r="AC38" s="121">
        <f t="shared" si="4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2"/>
        <v>0</v>
      </c>
      <c r="AA39" s="127"/>
      <c r="AB39" s="128"/>
      <c r="AC39" s="121">
        <f t="shared" si="4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2"/>
        <v>0</v>
      </c>
      <c r="AA40" s="127"/>
      <c r="AB40" s="128"/>
      <c r="AC40" s="121">
        <f t="shared" si="4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2"/>
        <v>0</v>
      </c>
      <c r="AA41" s="127"/>
      <c r="AB41" s="128"/>
      <c r="AC41" s="121">
        <f t="shared" si="4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2"/>
        <v>0</v>
      </c>
      <c r="AA42" s="127"/>
      <c r="AB42" s="128"/>
      <c r="AC42" s="121">
        <f t="shared" si="4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2"/>
        <v>0</v>
      </c>
      <c r="AA43" s="127"/>
      <c r="AB43" s="128"/>
      <c r="AC43" s="121">
        <f t="shared" si="4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2"/>
        <v>0</v>
      </c>
      <c r="AA44" s="127"/>
      <c r="AB44" s="128"/>
      <c r="AC44" s="121">
        <f t="shared" si="4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2"/>
        <v>0</v>
      </c>
      <c r="AA45" s="127"/>
      <c r="AB45" s="128"/>
      <c r="AC45" s="121">
        <f t="shared" si="4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2"/>
        <v>0</v>
      </c>
      <c r="AA46" s="127"/>
      <c r="AB46" s="128"/>
      <c r="AC46" s="121">
        <f t="shared" si="4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2"/>
        <v>0</v>
      </c>
      <c r="AA47" s="127"/>
      <c r="AB47" s="128"/>
      <c r="AC47" s="121">
        <f t="shared" si="4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2"/>
        <v>0</v>
      </c>
      <c r="AA48" s="127"/>
      <c r="AB48" s="128"/>
      <c r="AC48" s="121">
        <f t="shared" si="4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2"/>
        <v>0</v>
      </c>
      <c r="AA49" s="127"/>
      <c r="AB49" s="128"/>
      <c r="AC49" s="121">
        <f t="shared" si="4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2"/>
        <v>0</v>
      </c>
      <c r="AA50" s="127"/>
      <c r="AB50" s="128"/>
      <c r="AC50" s="121">
        <f t="shared" si="4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2"/>
        <v>0</v>
      </c>
      <c r="AA51" s="127"/>
      <c r="AB51" s="128"/>
      <c r="AC51" s="121">
        <f t="shared" si="4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2"/>
        <v>0</v>
      </c>
      <c r="AA52" s="127"/>
      <c r="AB52" s="128"/>
      <c r="AC52" s="121">
        <f t="shared" si="4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2"/>
        <v>0</v>
      </c>
      <c r="AA53" s="127"/>
      <c r="AB53" s="128"/>
      <c r="AC53" s="121">
        <f t="shared" si="4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2"/>
        <v>0</v>
      </c>
      <c r="AA54" s="127"/>
      <c r="AB54" s="128"/>
      <c r="AC54" s="121">
        <f t="shared" si="4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2"/>
        <v>0</v>
      </c>
      <c r="AA55" s="127"/>
      <c r="AB55" s="128"/>
      <c r="AC55" s="121">
        <f t="shared" si="4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2"/>
        <v>0</v>
      </c>
      <c r="AA56" s="127"/>
      <c r="AB56" s="128"/>
      <c r="AC56" s="121">
        <f t="shared" si="4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2"/>
        <v>0</v>
      </c>
      <c r="AA57" s="127"/>
      <c r="AB57" s="128"/>
      <c r="AC57" s="121">
        <f t="shared" si="4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2"/>
        <v>0</v>
      </c>
      <c r="AA58" s="127"/>
      <c r="AB58" s="128"/>
      <c r="AC58" s="121">
        <f t="shared" si="4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2"/>
        <v>0</v>
      </c>
      <c r="AA59" s="127"/>
      <c r="AB59" s="128"/>
      <c r="AC59" s="121">
        <f t="shared" si="4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2"/>
        <v>0</v>
      </c>
      <c r="AA60" s="127"/>
      <c r="AB60" s="128"/>
      <c r="AC60" s="121">
        <f t="shared" si="4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2"/>
        <v>0</v>
      </c>
      <c r="AA61" s="127"/>
      <c r="AB61" s="128"/>
      <c r="AC61" s="121">
        <f t="shared" si="4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2"/>
        <v>0</v>
      </c>
      <c r="AA62" s="127"/>
      <c r="AB62" s="128"/>
      <c r="AC62" s="121">
        <f t="shared" si="4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2"/>
        <v>0</v>
      </c>
      <c r="AA63" s="127"/>
      <c r="AB63" s="128"/>
      <c r="AC63" s="121">
        <f t="shared" si="4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2"/>
        <v>0</v>
      </c>
      <c r="AA64" s="127"/>
      <c r="AB64" s="128"/>
      <c r="AC64" s="121">
        <f t="shared" si="4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2"/>
        <v>0</v>
      </c>
      <c r="AA65" s="127"/>
      <c r="AB65" s="128"/>
      <c r="AC65" s="121">
        <f t="shared" si="4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2"/>
        <v>0</v>
      </c>
      <c r="AA66" s="127"/>
      <c r="AB66" s="128"/>
      <c r="AC66" s="121">
        <f t="shared" si="4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2"/>
        <v>0</v>
      </c>
      <c r="AA67" s="127"/>
      <c r="AB67" s="128"/>
      <c r="AC67" s="121">
        <f t="shared" si="4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2"/>
        <v>0</v>
      </c>
      <c r="AA68" s="127"/>
      <c r="AB68" s="128"/>
      <c r="AC68" s="121">
        <f t="shared" si="4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2"/>
        <v>0</v>
      </c>
      <c r="AA69" s="127"/>
      <c r="AB69" s="128"/>
      <c r="AC69" s="121">
        <f t="shared" si="4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2"/>
        <v>0</v>
      </c>
      <c r="AA70" s="127"/>
      <c r="AB70" s="128"/>
      <c r="AC70" s="121">
        <f t="shared" si="4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2"/>
        <v>0</v>
      </c>
      <c r="AA71" s="127"/>
      <c r="AB71" s="128"/>
      <c r="AC71" s="121">
        <f t="shared" si="4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2"/>
        <v>0</v>
      </c>
      <c r="AA72" s="127"/>
      <c r="AB72" s="128"/>
      <c r="AC72" s="121">
        <f t="shared" si="4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2"/>
        <v>0</v>
      </c>
      <c r="AA73" s="127"/>
      <c r="AB73" s="128"/>
      <c r="AC73" s="121">
        <f t="shared" si="4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2"/>
        <v>0</v>
      </c>
      <c r="AA74" s="127"/>
      <c r="AB74" s="128"/>
      <c r="AC74" s="121">
        <f t="shared" si="4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2"/>
        <v>0</v>
      </c>
      <c r="AA75" s="127"/>
      <c r="AB75" s="128"/>
      <c r="AC75" s="121">
        <f t="shared" si="4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2"/>
        <v>0</v>
      </c>
      <c r="AA76" s="127"/>
      <c r="AB76" s="128"/>
      <c r="AC76" s="121">
        <f t="shared" si="4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2"/>
        <v>0</v>
      </c>
      <c r="AA77" s="127"/>
      <c r="AB77" s="128"/>
      <c r="AC77" s="121">
        <f t="shared" si="4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2"/>
        <v>0</v>
      </c>
      <c r="AA78" s="127"/>
      <c r="AB78" s="128"/>
      <c r="AC78" s="121">
        <f t="shared" si="4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2"/>
        <v>0</v>
      </c>
      <c r="AA79" s="127"/>
      <c r="AB79" s="128"/>
      <c r="AC79" s="121">
        <f t="shared" si="4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2"/>
        <v>0</v>
      </c>
      <c r="AA80" s="127"/>
      <c r="AB80" s="128"/>
      <c r="AC80" s="121">
        <f t="shared" si="4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2"/>
        <v>0</v>
      </c>
      <c r="AA81" s="127"/>
      <c r="AB81" s="128"/>
      <c r="AC81" s="121">
        <f t="shared" si="4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2"/>
        <v>0</v>
      </c>
      <c r="AA82" s="127"/>
      <c r="AB82" s="128"/>
      <c r="AC82" s="121">
        <f t="shared" si="4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2"/>
        <v>0</v>
      </c>
      <c r="AA83" s="127"/>
      <c r="AB83" s="128"/>
      <c r="AC83" s="121">
        <f t="shared" si="4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2"/>
        <v>0</v>
      </c>
      <c r="AA84" s="127"/>
      <c r="AB84" s="128"/>
      <c r="AC84" s="121">
        <f t="shared" si="4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2"/>
        <v>0</v>
      </c>
      <c r="AA85" s="127"/>
      <c r="AB85" s="128"/>
      <c r="AC85" s="121">
        <f t="shared" si="4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2"/>
        <v>0</v>
      </c>
      <c r="AA86" s="127"/>
      <c r="AB86" s="128"/>
      <c r="AC86" s="121">
        <f t="shared" si="4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2"/>
        <v>0</v>
      </c>
      <c r="AA87" s="127"/>
      <c r="AB87" s="128"/>
      <c r="AC87" s="121">
        <f t="shared" si="4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2"/>
        <v>0</v>
      </c>
      <c r="AA88" s="127"/>
      <c r="AB88" s="128"/>
      <c r="AC88" s="121">
        <f t="shared" si="4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2"/>
        <v>0</v>
      </c>
      <c r="AA89" s="127"/>
      <c r="AB89" s="128"/>
      <c r="AC89" s="121">
        <f t="shared" si="4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2"/>
        <v>0</v>
      </c>
      <c r="AA90" s="127"/>
      <c r="AB90" s="128"/>
      <c r="AC90" s="121">
        <f t="shared" si="4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2"/>
        <v>0</v>
      </c>
      <c r="AA91" s="127"/>
      <c r="AB91" s="128"/>
      <c r="AC91" s="121">
        <f t="shared" si="4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2"/>
        <v>0</v>
      </c>
      <c r="AA92" s="127"/>
      <c r="AB92" s="128"/>
      <c r="AC92" s="121">
        <f t="shared" si="4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2"/>
        <v>0</v>
      </c>
      <c r="AA93" s="127"/>
      <c r="AB93" s="128"/>
      <c r="AC93" s="121">
        <f t="shared" si="4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2"/>
        <v>0</v>
      </c>
      <c r="AA94" s="127"/>
      <c r="AB94" s="128"/>
      <c r="AC94" s="121">
        <f t="shared" si="4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2"/>
        <v>0</v>
      </c>
      <c r="AA95" s="127"/>
      <c r="AB95" s="128"/>
      <c r="AC95" s="121">
        <f t="shared" si="4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2"/>
        <v>0</v>
      </c>
      <c r="AA96" s="127"/>
      <c r="AB96" s="128"/>
      <c r="AC96" s="121">
        <f t="shared" si="4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2"/>
        <v>0</v>
      </c>
      <c r="AA97" s="127"/>
      <c r="AB97" s="128"/>
      <c r="AC97" s="121">
        <f t="shared" si="4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2"/>
        <v>0</v>
      </c>
      <c r="AA98" s="127"/>
      <c r="AB98" s="128"/>
      <c r="AC98" s="121">
        <f t="shared" si="4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2"/>
        <v>0</v>
      </c>
      <c r="AA99" s="127"/>
      <c r="AB99" s="128"/>
      <c r="AC99" s="121">
        <f t="shared" si="4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2"/>
        <v>0</v>
      </c>
      <c r="AA100" s="127"/>
      <c r="AB100" s="128"/>
      <c r="AC100" s="121">
        <f t="shared" si="4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2"/>
        <v>0</v>
      </c>
      <c r="AA101" s="127"/>
      <c r="AB101" s="128"/>
      <c r="AC101" s="121">
        <f t="shared" si="4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2"/>
        <v>0</v>
      </c>
      <c r="AA102" s="127"/>
      <c r="AB102" s="128"/>
      <c r="AC102" s="121">
        <f t="shared" si="4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2"/>
        <v>0</v>
      </c>
      <c r="AA103" s="127"/>
      <c r="AB103" s="128"/>
      <c r="AC103" s="121">
        <f t="shared" si="4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2"/>
        <v>0</v>
      </c>
      <c r="AA104" s="127"/>
      <c r="AB104" s="128"/>
      <c r="AC104" s="121">
        <f t="shared" si="4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2"/>
        <v>0</v>
      </c>
      <c r="AA105" s="127"/>
      <c r="AB105" s="128"/>
      <c r="AC105" s="121">
        <f t="shared" si="4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2"/>
        <v>0</v>
      </c>
      <c r="AA106" s="127"/>
      <c r="AB106" s="128"/>
      <c r="AC106" s="121">
        <f t="shared" si="4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2"/>
        <v>0</v>
      </c>
      <c r="AA107" s="127"/>
      <c r="AB107" s="128"/>
      <c r="AC107" s="121">
        <f t="shared" si="4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2"/>
        <v>0</v>
      </c>
      <c r="AA108" s="127"/>
      <c r="AB108" s="128"/>
      <c r="AC108" s="121">
        <f t="shared" si="4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2"/>
        <v>0</v>
      </c>
      <c r="AA109" s="127"/>
      <c r="AB109" s="128"/>
      <c r="AC109" s="121">
        <f t="shared" si="4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280000</v>
      </c>
      <c r="E110" s="116">
        <f t="shared" si="5"/>
        <v>35000</v>
      </c>
      <c r="F110" s="116">
        <f t="shared" si="5"/>
        <v>35000</v>
      </c>
      <c r="G110" s="116">
        <f t="shared" si="5"/>
        <v>14000</v>
      </c>
      <c r="H110" s="116">
        <f t="shared" si="5"/>
        <v>70000</v>
      </c>
      <c r="I110" s="116">
        <f t="shared" si="5"/>
        <v>142890</v>
      </c>
      <c r="J110" s="129">
        <f t="shared" si="5"/>
        <v>-116350</v>
      </c>
      <c r="K110" s="116">
        <f t="shared" si="5"/>
        <v>25047</v>
      </c>
      <c r="L110" s="116">
        <f t="shared" si="5"/>
        <v>5767</v>
      </c>
      <c r="M110" s="116">
        <f t="shared" si="5"/>
        <v>30000</v>
      </c>
      <c r="N110" s="116">
        <f t="shared" si="5"/>
        <v>0</v>
      </c>
      <c r="O110" s="116">
        <f t="shared" si="5"/>
        <v>0</v>
      </c>
      <c r="P110" s="116">
        <f t="shared" si="5"/>
        <v>0</v>
      </c>
      <c r="Q110" s="116">
        <f t="shared" si="5"/>
        <v>17456</v>
      </c>
      <c r="R110" s="116">
        <f t="shared" si="5"/>
        <v>0</v>
      </c>
      <c r="S110" s="116">
        <f t="shared" si="5"/>
        <v>0</v>
      </c>
      <c r="T110" s="116">
        <f t="shared" si="5"/>
        <v>0</v>
      </c>
      <c r="U110" s="116">
        <f t="shared" si="5"/>
        <v>0</v>
      </c>
      <c r="V110" s="116">
        <f t="shared" si="5"/>
        <v>0</v>
      </c>
      <c r="W110" s="114">
        <f t="shared" si="1"/>
        <v>538810</v>
      </c>
      <c r="X110" s="116">
        <f t="shared" ref="X110:Z110" si="6">SUM(X3:X109)</f>
        <v>101177</v>
      </c>
      <c r="Y110" s="116">
        <f t="shared" si="6"/>
        <v>12130</v>
      </c>
      <c r="Z110" s="116">
        <f t="shared" si="6"/>
        <v>652117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98">
        <v>45900.0</v>
      </c>
      <c r="C1" s="99" t="s">
        <v>73</v>
      </c>
      <c r="D1" s="100" t="s">
        <v>74</v>
      </c>
      <c r="E1" s="100" t="s">
        <v>75</v>
      </c>
      <c r="F1" s="100" t="s">
        <v>76</v>
      </c>
      <c r="G1" s="100" t="s">
        <v>77</v>
      </c>
      <c r="H1" s="100" t="s">
        <v>78</v>
      </c>
      <c r="I1" s="100" t="s">
        <v>79</v>
      </c>
      <c r="J1" s="100" t="s">
        <v>80</v>
      </c>
      <c r="K1" s="100" t="s">
        <v>81</v>
      </c>
      <c r="L1" s="100" t="s">
        <v>82</v>
      </c>
      <c r="M1" s="100" t="s">
        <v>83</v>
      </c>
      <c r="N1" s="100" t="s">
        <v>84</v>
      </c>
      <c r="O1" s="100" t="s">
        <v>85</v>
      </c>
      <c r="P1" s="100" t="s">
        <v>86</v>
      </c>
      <c r="Q1" s="100" t="s">
        <v>87</v>
      </c>
      <c r="R1" s="100" t="s">
        <v>88</v>
      </c>
      <c r="S1" s="100" t="s">
        <v>89</v>
      </c>
      <c r="T1" s="100" t="s">
        <v>90</v>
      </c>
      <c r="U1" s="100" t="s">
        <v>91</v>
      </c>
      <c r="V1" s="100" t="s">
        <v>92</v>
      </c>
      <c r="W1" s="100" t="s">
        <v>93</v>
      </c>
      <c r="X1" s="100" t="s">
        <v>94</v>
      </c>
      <c r="Y1" s="100" t="s">
        <v>95</v>
      </c>
      <c r="Z1" s="100" t="s">
        <v>96</v>
      </c>
      <c r="AA1" s="100" t="s">
        <v>97</v>
      </c>
      <c r="AB1" s="100" t="s">
        <v>98</v>
      </c>
    </row>
    <row r="2" ht="22.5" customHeight="1">
      <c r="A2" s="1" t="s">
        <v>0</v>
      </c>
      <c r="B2" s="1" t="s">
        <v>1</v>
      </c>
      <c r="C2" s="3" t="s">
        <v>99</v>
      </c>
      <c r="D2" s="101" t="s">
        <v>15</v>
      </c>
      <c r="E2" s="101" t="s">
        <v>100</v>
      </c>
      <c r="F2" s="101" t="s">
        <v>101</v>
      </c>
      <c r="G2" s="101" t="s">
        <v>102</v>
      </c>
      <c r="H2" s="102" t="s">
        <v>103</v>
      </c>
      <c r="I2" s="102" t="s">
        <v>104</v>
      </c>
      <c r="J2" s="103" t="s">
        <v>105</v>
      </c>
      <c r="K2" s="102" t="s">
        <v>106</v>
      </c>
      <c r="L2" s="102" t="s">
        <v>107</v>
      </c>
      <c r="M2" s="102" t="s">
        <v>108</v>
      </c>
      <c r="N2" s="102" t="s">
        <v>109</v>
      </c>
      <c r="O2" s="102" t="s">
        <v>110</v>
      </c>
      <c r="P2" s="101" t="s">
        <v>111</v>
      </c>
      <c r="Q2" s="101" t="s">
        <v>112</v>
      </c>
      <c r="R2" s="101" t="s">
        <v>113</v>
      </c>
      <c r="S2" s="101" t="s">
        <v>114</v>
      </c>
      <c r="T2" s="101" t="s">
        <v>115</v>
      </c>
      <c r="U2" s="101"/>
      <c r="V2" s="101"/>
      <c r="W2" s="104" t="s">
        <v>116</v>
      </c>
      <c r="X2" s="3" t="s">
        <v>117</v>
      </c>
      <c r="Y2" s="3" t="s">
        <v>118</v>
      </c>
      <c r="Z2" s="105" t="s">
        <v>119</v>
      </c>
      <c r="AA2" s="106" t="s">
        <v>28</v>
      </c>
      <c r="AB2" s="106" t="s">
        <v>120</v>
      </c>
      <c r="AC2" s="1" t="s">
        <v>121</v>
      </c>
      <c r="AD2" s="106"/>
      <c r="AE2" s="106"/>
      <c r="AF2" s="106"/>
      <c r="AG2" s="106"/>
      <c r="AH2" s="106"/>
      <c r="AI2" s="106"/>
      <c r="AJ2" s="106"/>
    </row>
    <row r="3" ht="22.5" customHeight="1">
      <c r="A3" s="1">
        <v>608.0</v>
      </c>
      <c r="B3" s="3" t="s">
        <v>2</v>
      </c>
      <c r="C3" s="108"/>
      <c r="D3" s="109">
        <v>40000.0</v>
      </c>
      <c r="E3" s="109">
        <v>5000.0</v>
      </c>
      <c r="F3" s="109">
        <v>5000.0</v>
      </c>
      <c r="G3" s="109">
        <v>2000.0</v>
      </c>
      <c r="H3" s="109">
        <v>10000.0</v>
      </c>
      <c r="I3" s="109">
        <v>0.0</v>
      </c>
      <c r="J3" s="110">
        <v>-2618.0</v>
      </c>
      <c r="K3" s="111">
        <v>0.0</v>
      </c>
      <c r="L3" s="111">
        <v>0.0</v>
      </c>
      <c r="M3" s="109">
        <v>0.0</v>
      </c>
      <c r="N3" s="108"/>
      <c r="O3" s="108"/>
      <c r="P3" s="108"/>
      <c r="Q3" s="109">
        <v>3386.0</v>
      </c>
      <c r="R3" s="112"/>
      <c r="S3" s="112"/>
      <c r="T3" s="113">
        <v>16500.0</v>
      </c>
      <c r="U3" s="112"/>
      <c r="V3" s="112"/>
      <c r="W3" s="114">
        <f t="shared" ref="W3:W110" si="1">SUM(D3:V3)</f>
        <v>79268</v>
      </c>
      <c r="X3" s="115">
        <v>23872.0</v>
      </c>
      <c r="Y3" s="115"/>
      <c r="Z3" s="116">
        <f>SUM(W3:Y3)</f>
        <v>103140</v>
      </c>
      <c r="AA3" s="117"/>
      <c r="AB3" s="58" t="s">
        <v>122</v>
      </c>
      <c r="AC3" s="118">
        <f t="shared" ref="AC3:AC109" si="2">C3-M3</f>
        <v>0</v>
      </c>
    </row>
    <row r="4" ht="22.5" customHeight="1">
      <c r="A4" s="1">
        <v>703.0</v>
      </c>
      <c r="B4" s="3"/>
      <c r="C4" s="119"/>
      <c r="D4" s="108"/>
      <c r="E4" s="108"/>
      <c r="F4" s="108"/>
      <c r="G4" s="108"/>
      <c r="H4" s="108"/>
      <c r="I4" s="108"/>
      <c r="J4" s="110"/>
      <c r="K4" s="108"/>
      <c r="L4" s="108"/>
      <c r="M4" s="108"/>
      <c r="N4" s="108"/>
      <c r="O4" s="108"/>
      <c r="P4" s="108"/>
      <c r="Q4" s="108"/>
      <c r="R4" s="108"/>
      <c r="S4" s="108"/>
      <c r="T4" s="108">
        <v>0.0</v>
      </c>
      <c r="U4" s="108"/>
      <c r="V4" s="108"/>
      <c r="W4" s="114">
        <f t="shared" si="1"/>
        <v>0</v>
      </c>
      <c r="X4" s="115"/>
      <c r="Y4" s="115"/>
      <c r="Z4" s="116">
        <f t="shared" ref="Z4:Z109" si="3">SUM(D4:R4)</f>
        <v>0</v>
      </c>
      <c r="AA4" s="117"/>
      <c r="AB4" s="58" t="s">
        <v>122</v>
      </c>
      <c r="AC4" s="121">
        <f t="shared" si="2"/>
        <v>0</v>
      </c>
    </row>
    <row r="5" ht="22.5" customHeight="1">
      <c r="A5" s="1">
        <v>801.0</v>
      </c>
      <c r="B5" s="3" t="s">
        <v>10</v>
      </c>
      <c r="C5" s="119"/>
      <c r="D5" s="109">
        <v>40000.0</v>
      </c>
      <c r="E5" s="109">
        <v>5000.0</v>
      </c>
      <c r="F5" s="109">
        <v>5000.0</v>
      </c>
      <c r="G5" s="109">
        <v>2000.0</v>
      </c>
      <c r="H5" s="109">
        <v>10000.0</v>
      </c>
      <c r="I5" s="108">
        <v>41030.0</v>
      </c>
      <c r="J5" s="110">
        <v>-16546.0</v>
      </c>
      <c r="K5" s="108">
        <f>363*31</f>
        <v>11253</v>
      </c>
      <c r="L5" s="109">
        <f>73*31</f>
        <v>2263</v>
      </c>
      <c r="M5" s="108">
        <v>10000.0</v>
      </c>
      <c r="N5" s="108"/>
      <c r="O5" s="108"/>
      <c r="P5" s="108"/>
      <c r="Q5" s="108"/>
      <c r="R5" s="108"/>
      <c r="S5" s="108"/>
      <c r="T5" s="108">
        <v>0.0</v>
      </c>
      <c r="U5" s="108"/>
      <c r="V5" s="108"/>
      <c r="W5" s="114">
        <f t="shared" si="1"/>
        <v>110000</v>
      </c>
      <c r="X5" s="115"/>
      <c r="Y5" s="115"/>
      <c r="Z5" s="116">
        <f t="shared" si="3"/>
        <v>110000</v>
      </c>
      <c r="AA5" s="117" t="s">
        <v>131</v>
      </c>
      <c r="AB5" s="58" t="s">
        <v>122</v>
      </c>
      <c r="AC5" s="121">
        <f t="shared" si="2"/>
        <v>-10000</v>
      </c>
    </row>
    <row r="6" ht="22.5" customHeight="1">
      <c r="A6" s="1">
        <v>813.0</v>
      </c>
      <c r="B6" s="3"/>
      <c r="C6" s="119"/>
      <c r="D6" s="108"/>
      <c r="E6" s="108"/>
      <c r="F6" s="108"/>
      <c r="G6" s="108"/>
      <c r="H6" s="108"/>
      <c r="I6" s="108"/>
      <c r="J6" s="110"/>
      <c r="K6" s="108"/>
      <c r="L6" s="108"/>
      <c r="M6" s="108"/>
      <c r="N6" s="108"/>
      <c r="O6" s="108"/>
      <c r="P6" s="108"/>
      <c r="Q6" s="108"/>
      <c r="R6" s="108"/>
      <c r="S6" s="108"/>
      <c r="T6" s="108">
        <v>0.0</v>
      </c>
      <c r="U6" s="108"/>
      <c r="V6" s="108"/>
      <c r="W6" s="114">
        <f t="shared" si="1"/>
        <v>0</v>
      </c>
      <c r="X6" s="115"/>
      <c r="Y6" s="115"/>
      <c r="Z6" s="116">
        <f t="shared" si="3"/>
        <v>0</v>
      </c>
      <c r="AA6" s="117"/>
      <c r="AB6" s="58" t="s">
        <v>122</v>
      </c>
      <c r="AC6" s="121">
        <f t="shared" si="2"/>
        <v>0</v>
      </c>
    </row>
    <row r="7" ht="22.5" customHeight="1">
      <c r="A7" s="1">
        <v>906.0</v>
      </c>
      <c r="B7" s="3"/>
      <c r="C7" s="119"/>
      <c r="D7" s="108"/>
      <c r="E7" s="108"/>
      <c r="F7" s="108"/>
      <c r="G7" s="108"/>
      <c r="H7" s="108"/>
      <c r="I7" s="108"/>
      <c r="J7" s="11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14">
        <f t="shared" si="1"/>
        <v>0</v>
      </c>
      <c r="X7" s="118"/>
      <c r="Y7" s="118"/>
      <c r="Z7" s="116">
        <f t="shared" si="3"/>
        <v>0</v>
      </c>
      <c r="AA7" s="117"/>
      <c r="AB7" s="58" t="s">
        <v>122</v>
      </c>
      <c r="AC7" s="121">
        <f t="shared" si="2"/>
        <v>0</v>
      </c>
    </row>
    <row r="8" ht="22.5" customHeight="1">
      <c r="A8" s="1">
        <v>913.0</v>
      </c>
      <c r="B8" s="3" t="s">
        <v>127</v>
      </c>
      <c r="C8" s="119">
        <v>87000.0</v>
      </c>
      <c r="D8" s="109">
        <v>40000.0</v>
      </c>
      <c r="E8" s="109">
        <v>5000.0</v>
      </c>
      <c r="F8" s="109">
        <v>5000.0</v>
      </c>
      <c r="G8" s="109">
        <v>2000.0</v>
      </c>
      <c r="H8" s="109">
        <v>10000.0</v>
      </c>
      <c r="I8" s="108">
        <v>42130.0</v>
      </c>
      <c r="J8" s="110">
        <v>-17646.0</v>
      </c>
      <c r="K8" s="108">
        <f>363*31</f>
        <v>11253</v>
      </c>
      <c r="L8" s="108">
        <f t="shared" ref="L8:L9" si="4">73*31</f>
        <v>2263</v>
      </c>
      <c r="M8" s="108">
        <v>10000.0</v>
      </c>
      <c r="N8" s="108"/>
      <c r="O8" s="108"/>
      <c r="P8" s="108"/>
      <c r="Q8" s="108"/>
      <c r="R8" s="108"/>
      <c r="S8" s="108"/>
      <c r="T8" s="108"/>
      <c r="U8" s="108"/>
      <c r="V8" s="108"/>
      <c r="W8" s="114">
        <f t="shared" si="1"/>
        <v>110000</v>
      </c>
      <c r="X8" s="118"/>
      <c r="Y8" s="118"/>
      <c r="Z8" s="116">
        <f t="shared" si="3"/>
        <v>110000</v>
      </c>
      <c r="AA8" s="117" t="s">
        <v>128</v>
      </c>
      <c r="AB8" s="58" t="s">
        <v>122</v>
      </c>
      <c r="AC8" s="121">
        <f t="shared" si="2"/>
        <v>77000</v>
      </c>
    </row>
    <row r="9" ht="22.5" customHeight="1">
      <c r="A9" s="1">
        <v>915.0</v>
      </c>
      <c r="B9" s="3" t="s">
        <v>7</v>
      </c>
      <c r="C9" s="119">
        <v>150000.0</v>
      </c>
      <c r="D9" s="109">
        <v>40000.0</v>
      </c>
      <c r="E9" s="109">
        <v>5000.0</v>
      </c>
      <c r="F9" s="109">
        <v>5000.0</v>
      </c>
      <c r="G9" s="109">
        <v>2000.0</v>
      </c>
      <c r="H9" s="109">
        <v>10000.0</v>
      </c>
      <c r="I9" s="108">
        <v>44330.0</v>
      </c>
      <c r="J9" s="110"/>
      <c r="K9" s="108">
        <f>242*31</f>
        <v>7502</v>
      </c>
      <c r="L9" s="108">
        <f t="shared" si="4"/>
        <v>2263</v>
      </c>
      <c r="M9" s="108">
        <v>10000.0</v>
      </c>
      <c r="N9" s="108"/>
      <c r="O9" s="108"/>
      <c r="P9" s="108"/>
      <c r="Q9" s="108"/>
      <c r="R9" s="108"/>
      <c r="S9" s="108"/>
      <c r="T9" s="108">
        <v>0.0</v>
      </c>
      <c r="U9" s="108"/>
      <c r="V9" s="108"/>
      <c r="W9" s="114">
        <f t="shared" si="1"/>
        <v>126095</v>
      </c>
      <c r="X9" s="115"/>
      <c r="Y9" s="115"/>
      <c r="Z9" s="116">
        <f t="shared" si="3"/>
        <v>126095</v>
      </c>
      <c r="AA9" s="117"/>
      <c r="AB9" s="58" t="s">
        <v>122</v>
      </c>
      <c r="AC9" s="121">
        <f t="shared" si="2"/>
        <v>140000</v>
      </c>
    </row>
    <row r="10" ht="22.5" customHeight="1">
      <c r="A10" s="1">
        <v>1005.0</v>
      </c>
      <c r="B10" s="3"/>
      <c r="C10" s="119"/>
      <c r="D10" s="109"/>
      <c r="E10" s="109"/>
      <c r="F10" s="109"/>
      <c r="G10" s="109"/>
      <c r="H10" s="109"/>
      <c r="I10" s="108"/>
      <c r="J10" s="110"/>
      <c r="K10" s="108"/>
      <c r="L10" s="108"/>
      <c r="M10" s="108"/>
      <c r="N10" s="108"/>
      <c r="O10" s="108"/>
      <c r="P10" s="108"/>
      <c r="Q10" s="108"/>
      <c r="R10" s="108"/>
      <c r="S10" s="108"/>
      <c r="T10" s="108">
        <v>0.0</v>
      </c>
      <c r="U10" s="108"/>
      <c r="V10" s="108"/>
      <c r="W10" s="114">
        <f t="shared" si="1"/>
        <v>0</v>
      </c>
      <c r="X10" s="126"/>
      <c r="Y10" s="126"/>
      <c r="Z10" s="116">
        <f t="shared" si="3"/>
        <v>0</v>
      </c>
      <c r="AA10" s="117" t="s">
        <v>129</v>
      </c>
      <c r="AB10" s="58" t="s">
        <v>122</v>
      </c>
      <c r="AC10" s="121">
        <f t="shared" si="2"/>
        <v>0</v>
      </c>
    </row>
    <row r="11" ht="22.5" customHeight="1">
      <c r="A11" s="1">
        <v>1006.0</v>
      </c>
      <c r="B11" s="3" t="s">
        <v>8</v>
      </c>
      <c r="C11" s="119">
        <v>160000.0</v>
      </c>
      <c r="D11" s="109">
        <v>40000.0</v>
      </c>
      <c r="E11" s="109">
        <v>5000.0</v>
      </c>
      <c r="F11" s="109">
        <v>5000.0</v>
      </c>
      <c r="G11" s="109">
        <v>2000.0</v>
      </c>
      <c r="H11" s="109">
        <v>10000.0</v>
      </c>
      <c r="I11" s="108">
        <v>4400.0</v>
      </c>
      <c r="J11" s="110"/>
      <c r="K11" s="134">
        <v>0.0</v>
      </c>
      <c r="L11" s="134">
        <v>0.0</v>
      </c>
      <c r="M11" s="116">
        <v>10000.0</v>
      </c>
      <c r="N11" s="108">
        <v>1500.0</v>
      </c>
      <c r="O11" s="108"/>
      <c r="P11" s="108"/>
      <c r="Q11" s="108"/>
      <c r="R11" s="108"/>
      <c r="S11" s="108"/>
      <c r="T11" s="108">
        <v>0.0</v>
      </c>
      <c r="U11" s="108"/>
      <c r="V11" s="108"/>
      <c r="W11" s="114">
        <f t="shared" si="1"/>
        <v>77900</v>
      </c>
      <c r="X11" s="115"/>
      <c r="Y11" s="115"/>
      <c r="Z11" s="116">
        <f t="shared" si="3"/>
        <v>77900</v>
      </c>
      <c r="AA11" s="117"/>
      <c r="AB11" s="58" t="s">
        <v>122</v>
      </c>
      <c r="AC11" s="121">
        <f t="shared" si="2"/>
        <v>150000</v>
      </c>
    </row>
    <row r="12" ht="22.5" customHeight="1">
      <c r="A12" s="1">
        <v>1012.0</v>
      </c>
      <c r="B12" s="3"/>
      <c r="C12" s="119"/>
      <c r="D12" s="109"/>
      <c r="E12" s="109"/>
      <c r="F12" s="109"/>
      <c r="G12" s="109"/>
      <c r="H12" s="109"/>
      <c r="I12" s="108"/>
      <c r="J12" s="1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14">
        <f t="shared" si="1"/>
        <v>0</v>
      </c>
      <c r="X12" s="126"/>
      <c r="Y12" s="126"/>
      <c r="Z12" s="116">
        <f t="shared" si="3"/>
        <v>0</v>
      </c>
      <c r="AA12" s="117" t="s">
        <v>132</v>
      </c>
      <c r="AB12" s="58" t="s">
        <v>122</v>
      </c>
      <c r="AC12" s="121">
        <f t="shared" si="2"/>
        <v>0</v>
      </c>
    </row>
    <row r="13" ht="22.5" customHeight="1">
      <c r="A13" s="1"/>
      <c r="B13" s="3"/>
      <c r="C13" s="119"/>
      <c r="D13" s="108"/>
      <c r="E13" s="108"/>
      <c r="F13" s="108"/>
      <c r="G13" s="108"/>
      <c r="H13" s="108"/>
      <c r="I13" s="108"/>
      <c r="J13" s="1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4">
        <f t="shared" si="1"/>
        <v>0</v>
      </c>
      <c r="X13" s="126"/>
      <c r="Y13" s="126"/>
      <c r="Z13" s="116">
        <f t="shared" si="3"/>
        <v>0</v>
      </c>
      <c r="AA13" s="117"/>
      <c r="AB13" s="58" t="s">
        <v>122</v>
      </c>
      <c r="AC13" s="121">
        <f t="shared" si="2"/>
        <v>0</v>
      </c>
    </row>
    <row r="14" ht="22.5" customHeight="1">
      <c r="A14" s="1"/>
      <c r="B14" s="3"/>
      <c r="C14" s="119"/>
      <c r="D14" s="108"/>
      <c r="E14" s="108"/>
      <c r="F14" s="108"/>
      <c r="G14" s="108"/>
      <c r="H14" s="108"/>
      <c r="I14" s="108"/>
      <c r="J14" s="1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14">
        <f t="shared" si="1"/>
        <v>0</v>
      </c>
      <c r="X14" s="108"/>
      <c r="Y14" s="108"/>
      <c r="Z14" s="116">
        <f t="shared" si="3"/>
        <v>0</v>
      </c>
      <c r="AA14" s="127"/>
      <c r="AB14" s="128"/>
      <c r="AC14" s="121">
        <f t="shared" si="2"/>
        <v>0</v>
      </c>
      <c r="AD14" s="128"/>
      <c r="AE14" s="128"/>
      <c r="AF14" s="128"/>
      <c r="AG14" s="128"/>
      <c r="AH14" s="128"/>
      <c r="AI14" s="128"/>
      <c r="AJ14" s="128"/>
    </row>
    <row r="15" ht="22.5" customHeight="1">
      <c r="A15" s="3"/>
      <c r="B15" s="3"/>
      <c r="C15" s="119"/>
      <c r="D15" s="108"/>
      <c r="E15" s="108"/>
      <c r="F15" s="108"/>
      <c r="G15" s="108"/>
      <c r="H15" s="108"/>
      <c r="I15" s="108"/>
      <c r="J15" s="1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4">
        <f t="shared" si="1"/>
        <v>0</v>
      </c>
      <c r="X15" s="108"/>
      <c r="Y15" s="108"/>
      <c r="Z15" s="116">
        <f t="shared" si="3"/>
        <v>0</v>
      </c>
      <c r="AA15" s="127"/>
      <c r="AB15" s="128"/>
      <c r="AC15" s="121">
        <f t="shared" si="2"/>
        <v>0</v>
      </c>
      <c r="AD15" s="128"/>
      <c r="AE15" s="128"/>
      <c r="AF15" s="128"/>
      <c r="AG15" s="128"/>
      <c r="AH15" s="128"/>
      <c r="AI15" s="128"/>
      <c r="AJ15" s="128"/>
    </row>
    <row r="16" ht="22.5" customHeight="1">
      <c r="A16" s="3"/>
      <c r="B16" s="3"/>
      <c r="C16" s="119"/>
      <c r="D16" s="108"/>
      <c r="E16" s="108"/>
      <c r="F16" s="108"/>
      <c r="G16" s="108"/>
      <c r="H16" s="108"/>
      <c r="I16" s="108"/>
      <c r="J16" s="1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14">
        <f t="shared" si="1"/>
        <v>0</v>
      </c>
      <c r="X16" s="108"/>
      <c r="Y16" s="108"/>
      <c r="Z16" s="116">
        <f t="shared" si="3"/>
        <v>0</v>
      </c>
      <c r="AA16" s="127"/>
      <c r="AB16" s="128"/>
      <c r="AC16" s="121">
        <f t="shared" si="2"/>
        <v>0</v>
      </c>
      <c r="AD16" s="128"/>
      <c r="AE16" s="128"/>
      <c r="AF16" s="128"/>
      <c r="AG16" s="128"/>
      <c r="AH16" s="128"/>
      <c r="AI16" s="128"/>
      <c r="AJ16" s="128"/>
    </row>
    <row r="17" ht="22.5" customHeight="1">
      <c r="A17" s="3"/>
      <c r="B17" s="3"/>
      <c r="C17" s="119"/>
      <c r="D17" s="108"/>
      <c r="E17" s="108"/>
      <c r="F17" s="108"/>
      <c r="G17" s="108"/>
      <c r="H17" s="108"/>
      <c r="I17" s="108"/>
      <c r="J17" s="1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4">
        <f t="shared" si="1"/>
        <v>0</v>
      </c>
      <c r="X17" s="108"/>
      <c r="Y17" s="108"/>
      <c r="Z17" s="116">
        <f t="shared" si="3"/>
        <v>0</v>
      </c>
      <c r="AA17" s="127"/>
      <c r="AB17" s="128"/>
      <c r="AC17" s="121">
        <f t="shared" si="2"/>
        <v>0</v>
      </c>
      <c r="AD17" s="128"/>
      <c r="AE17" s="128"/>
      <c r="AF17" s="128"/>
      <c r="AG17" s="128"/>
      <c r="AH17" s="128"/>
      <c r="AI17" s="128"/>
      <c r="AJ17" s="128"/>
    </row>
    <row r="18" ht="22.5" customHeight="1">
      <c r="A18" s="3"/>
      <c r="B18" s="3"/>
      <c r="C18" s="119"/>
      <c r="D18" s="108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14">
        <f t="shared" si="1"/>
        <v>0</v>
      </c>
      <c r="X18" s="108"/>
      <c r="Y18" s="108"/>
      <c r="Z18" s="116">
        <f t="shared" si="3"/>
        <v>0</v>
      </c>
      <c r="AA18" s="127"/>
      <c r="AB18" s="128"/>
      <c r="AC18" s="121">
        <f t="shared" si="2"/>
        <v>0</v>
      </c>
      <c r="AD18" s="128"/>
      <c r="AE18" s="128"/>
      <c r="AF18" s="128"/>
      <c r="AG18" s="128"/>
      <c r="AH18" s="128"/>
      <c r="AI18" s="128"/>
      <c r="AJ18" s="128"/>
    </row>
    <row r="19" ht="22.5" customHeight="1">
      <c r="A19" s="3"/>
      <c r="B19" s="3"/>
      <c r="C19" s="119"/>
      <c r="D19" s="108"/>
      <c r="E19" s="108"/>
      <c r="F19" s="108"/>
      <c r="G19" s="108"/>
      <c r="H19" s="108"/>
      <c r="I19" s="108"/>
      <c r="J19" s="1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4">
        <f t="shared" si="1"/>
        <v>0</v>
      </c>
      <c r="X19" s="108"/>
      <c r="Y19" s="108"/>
      <c r="Z19" s="116">
        <f t="shared" si="3"/>
        <v>0</v>
      </c>
      <c r="AA19" s="127"/>
      <c r="AB19" s="128"/>
      <c r="AC19" s="121">
        <f t="shared" si="2"/>
        <v>0</v>
      </c>
      <c r="AD19" s="128"/>
      <c r="AE19" s="128"/>
      <c r="AF19" s="128"/>
      <c r="AG19" s="128"/>
      <c r="AH19" s="128"/>
      <c r="AI19" s="128"/>
      <c r="AJ19" s="128"/>
    </row>
    <row r="20" ht="22.5" customHeight="1">
      <c r="A20" s="3"/>
      <c r="B20" s="3"/>
      <c r="C20" s="119"/>
      <c r="D20" s="108"/>
      <c r="E20" s="108"/>
      <c r="F20" s="108"/>
      <c r="G20" s="108"/>
      <c r="H20" s="108"/>
      <c r="I20" s="108"/>
      <c r="J20" s="1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14">
        <f t="shared" si="1"/>
        <v>0</v>
      </c>
      <c r="X20" s="108"/>
      <c r="Y20" s="108"/>
      <c r="Z20" s="116">
        <f t="shared" si="3"/>
        <v>0</v>
      </c>
      <c r="AA20" s="127"/>
      <c r="AB20" s="128"/>
      <c r="AC20" s="121">
        <f t="shared" si="2"/>
        <v>0</v>
      </c>
      <c r="AD20" s="128"/>
      <c r="AE20" s="128"/>
      <c r="AF20" s="128"/>
      <c r="AG20" s="128"/>
      <c r="AH20" s="128"/>
      <c r="AI20" s="128"/>
      <c r="AJ20" s="128"/>
    </row>
    <row r="21" ht="22.5" customHeight="1">
      <c r="A21" s="3"/>
      <c r="B21" s="3"/>
      <c r="C21" s="119"/>
      <c r="D21" s="108"/>
      <c r="E21" s="108"/>
      <c r="F21" s="108"/>
      <c r="G21" s="108"/>
      <c r="H21" s="108"/>
      <c r="I21" s="108"/>
      <c r="J21" s="1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4">
        <f t="shared" si="1"/>
        <v>0</v>
      </c>
      <c r="X21" s="108"/>
      <c r="Y21" s="108"/>
      <c r="Z21" s="116">
        <f t="shared" si="3"/>
        <v>0</v>
      </c>
      <c r="AA21" s="127"/>
      <c r="AB21" s="128"/>
      <c r="AC21" s="121">
        <f t="shared" si="2"/>
        <v>0</v>
      </c>
      <c r="AD21" s="128"/>
      <c r="AE21" s="128"/>
      <c r="AF21" s="128"/>
      <c r="AG21" s="128"/>
      <c r="AH21" s="128"/>
      <c r="AI21" s="128"/>
      <c r="AJ21" s="128"/>
    </row>
    <row r="22" ht="22.5" hidden="1" customHeight="1">
      <c r="A22" s="3"/>
      <c r="B22" s="3"/>
      <c r="C22" s="119"/>
      <c r="D22" s="108"/>
      <c r="E22" s="108"/>
      <c r="F22" s="108"/>
      <c r="G22" s="108"/>
      <c r="H22" s="108"/>
      <c r="I22" s="108"/>
      <c r="J22" s="1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14">
        <f t="shared" si="1"/>
        <v>0</v>
      </c>
      <c r="X22" s="108"/>
      <c r="Y22" s="108"/>
      <c r="Z22" s="116">
        <f t="shared" si="3"/>
        <v>0</v>
      </c>
      <c r="AA22" s="127"/>
      <c r="AB22" s="128"/>
      <c r="AC22" s="121">
        <f t="shared" si="2"/>
        <v>0</v>
      </c>
      <c r="AD22" s="128"/>
      <c r="AE22" s="128"/>
      <c r="AF22" s="128"/>
      <c r="AG22" s="128"/>
      <c r="AH22" s="128"/>
      <c r="AI22" s="128"/>
      <c r="AJ22" s="128"/>
    </row>
    <row r="23" ht="22.5" hidden="1" customHeight="1">
      <c r="A23" s="3"/>
      <c r="B23" s="3"/>
      <c r="C23" s="119"/>
      <c r="D23" s="108"/>
      <c r="E23" s="108"/>
      <c r="F23" s="108"/>
      <c r="G23" s="108"/>
      <c r="H23" s="108"/>
      <c r="I23" s="108"/>
      <c r="J23" s="1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14">
        <f t="shared" si="1"/>
        <v>0</v>
      </c>
      <c r="X23" s="108"/>
      <c r="Y23" s="108"/>
      <c r="Z23" s="116">
        <f t="shared" si="3"/>
        <v>0</v>
      </c>
      <c r="AA23" s="127"/>
      <c r="AB23" s="128"/>
      <c r="AC23" s="121">
        <f t="shared" si="2"/>
        <v>0</v>
      </c>
      <c r="AD23" s="128"/>
      <c r="AE23" s="128"/>
      <c r="AF23" s="128"/>
      <c r="AG23" s="128"/>
      <c r="AH23" s="128"/>
      <c r="AI23" s="128"/>
      <c r="AJ23" s="128"/>
    </row>
    <row r="24" ht="22.5" hidden="1" customHeight="1">
      <c r="A24" s="3"/>
      <c r="B24" s="3"/>
      <c r="C24" s="119"/>
      <c r="D24" s="108"/>
      <c r="E24" s="108"/>
      <c r="F24" s="108"/>
      <c r="G24" s="108"/>
      <c r="H24" s="108"/>
      <c r="I24" s="108"/>
      <c r="J24" s="1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14">
        <f t="shared" si="1"/>
        <v>0</v>
      </c>
      <c r="X24" s="108"/>
      <c r="Y24" s="108"/>
      <c r="Z24" s="116">
        <f t="shared" si="3"/>
        <v>0</v>
      </c>
      <c r="AA24" s="127"/>
      <c r="AB24" s="128"/>
      <c r="AC24" s="121">
        <f t="shared" si="2"/>
        <v>0</v>
      </c>
      <c r="AD24" s="128"/>
      <c r="AE24" s="128"/>
      <c r="AF24" s="128"/>
      <c r="AG24" s="128"/>
      <c r="AH24" s="128"/>
      <c r="AI24" s="128"/>
      <c r="AJ24" s="128"/>
    </row>
    <row r="25" ht="22.5" hidden="1" customHeight="1">
      <c r="A25" s="3"/>
      <c r="B25" s="3"/>
      <c r="C25" s="119"/>
      <c r="D25" s="108"/>
      <c r="E25" s="108"/>
      <c r="F25" s="108"/>
      <c r="G25" s="108"/>
      <c r="H25" s="108"/>
      <c r="I25" s="108"/>
      <c r="J25" s="1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14">
        <f t="shared" si="1"/>
        <v>0</v>
      </c>
      <c r="X25" s="108"/>
      <c r="Y25" s="108"/>
      <c r="Z25" s="116">
        <f t="shared" si="3"/>
        <v>0</v>
      </c>
      <c r="AA25" s="127"/>
      <c r="AB25" s="128"/>
      <c r="AC25" s="121">
        <f t="shared" si="2"/>
        <v>0</v>
      </c>
      <c r="AD25" s="128"/>
      <c r="AE25" s="128"/>
      <c r="AF25" s="128"/>
      <c r="AG25" s="128"/>
      <c r="AH25" s="128"/>
      <c r="AI25" s="128"/>
      <c r="AJ25" s="128"/>
    </row>
    <row r="26" ht="22.5" hidden="1" customHeight="1">
      <c r="A26" s="3"/>
      <c r="B26" s="3"/>
      <c r="C26" s="119"/>
      <c r="D26" s="108"/>
      <c r="E26" s="108"/>
      <c r="F26" s="108"/>
      <c r="G26" s="108"/>
      <c r="H26" s="108"/>
      <c r="I26" s="108"/>
      <c r="J26" s="1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14">
        <f t="shared" si="1"/>
        <v>0</v>
      </c>
      <c r="X26" s="108"/>
      <c r="Y26" s="108"/>
      <c r="Z26" s="116">
        <f t="shared" si="3"/>
        <v>0</v>
      </c>
      <c r="AA26" s="127"/>
      <c r="AB26" s="128"/>
      <c r="AC26" s="121">
        <f t="shared" si="2"/>
        <v>0</v>
      </c>
      <c r="AD26" s="128"/>
      <c r="AE26" s="128"/>
      <c r="AF26" s="128"/>
      <c r="AG26" s="128"/>
      <c r="AH26" s="128"/>
      <c r="AI26" s="128"/>
      <c r="AJ26" s="128"/>
    </row>
    <row r="27" ht="22.5" hidden="1" customHeight="1">
      <c r="A27" s="3"/>
      <c r="B27" s="3"/>
      <c r="C27" s="119"/>
      <c r="D27" s="108"/>
      <c r="E27" s="108"/>
      <c r="F27" s="108"/>
      <c r="G27" s="108"/>
      <c r="H27" s="108"/>
      <c r="I27" s="108"/>
      <c r="J27" s="1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14">
        <f t="shared" si="1"/>
        <v>0</v>
      </c>
      <c r="X27" s="108"/>
      <c r="Y27" s="108"/>
      <c r="Z27" s="116">
        <f t="shared" si="3"/>
        <v>0</v>
      </c>
      <c r="AA27" s="127"/>
      <c r="AB27" s="128"/>
      <c r="AC27" s="121">
        <f t="shared" si="2"/>
        <v>0</v>
      </c>
      <c r="AD27" s="128"/>
      <c r="AE27" s="128"/>
      <c r="AF27" s="128"/>
      <c r="AG27" s="128"/>
      <c r="AH27" s="128"/>
      <c r="AI27" s="128"/>
      <c r="AJ27" s="128"/>
    </row>
    <row r="28" ht="22.5" hidden="1" customHeight="1">
      <c r="A28" s="3"/>
      <c r="B28" s="3"/>
      <c r="C28" s="119"/>
      <c r="D28" s="108"/>
      <c r="E28" s="108"/>
      <c r="F28" s="108"/>
      <c r="G28" s="108"/>
      <c r="H28" s="108"/>
      <c r="I28" s="108"/>
      <c r="J28" s="1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14">
        <f t="shared" si="1"/>
        <v>0</v>
      </c>
      <c r="X28" s="108"/>
      <c r="Y28" s="108"/>
      <c r="Z28" s="116">
        <f t="shared" si="3"/>
        <v>0</v>
      </c>
      <c r="AA28" s="127"/>
      <c r="AB28" s="128"/>
      <c r="AC28" s="121">
        <f t="shared" si="2"/>
        <v>0</v>
      </c>
      <c r="AD28" s="128"/>
      <c r="AE28" s="128"/>
      <c r="AF28" s="128"/>
      <c r="AG28" s="128"/>
      <c r="AH28" s="128"/>
      <c r="AI28" s="128"/>
      <c r="AJ28" s="128"/>
    </row>
    <row r="29" ht="22.5" hidden="1" customHeight="1">
      <c r="A29" s="3"/>
      <c r="B29" s="3"/>
      <c r="C29" s="119"/>
      <c r="D29" s="108"/>
      <c r="E29" s="108"/>
      <c r="F29" s="108"/>
      <c r="G29" s="108"/>
      <c r="H29" s="108"/>
      <c r="I29" s="108"/>
      <c r="J29" s="1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14">
        <f t="shared" si="1"/>
        <v>0</v>
      </c>
      <c r="X29" s="108"/>
      <c r="Y29" s="108"/>
      <c r="Z29" s="116">
        <f t="shared" si="3"/>
        <v>0</v>
      </c>
      <c r="AA29" s="127"/>
      <c r="AB29" s="128"/>
      <c r="AC29" s="121">
        <f t="shared" si="2"/>
        <v>0</v>
      </c>
      <c r="AD29" s="128"/>
      <c r="AE29" s="128"/>
      <c r="AF29" s="128"/>
      <c r="AG29" s="128"/>
      <c r="AH29" s="128"/>
      <c r="AI29" s="128"/>
      <c r="AJ29" s="128"/>
    </row>
    <row r="30" ht="22.5" hidden="1" customHeight="1">
      <c r="A30" s="3"/>
      <c r="B30" s="3"/>
      <c r="C30" s="119"/>
      <c r="D30" s="108"/>
      <c r="E30" s="108"/>
      <c r="F30" s="108"/>
      <c r="G30" s="108"/>
      <c r="H30" s="108"/>
      <c r="I30" s="108"/>
      <c r="J30" s="1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14">
        <f t="shared" si="1"/>
        <v>0</v>
      </c>
      <c r="X30" s="108"/>
      <c r="Y30" s="108"/>
      <c r="Z30" s="116">
        <f t="shared" si="3"/>
        <v>0</v>
      </c>
      <c r="AA30" s="127"/>
      <c r="AB30" s="128"/>
      <c r="AC30" s="121">
        <f t="shared" si="2"/>
        <v>0</v>
      </c>
      <c r="AD30" s="128"/>
      <c r="AE30" s="128"/>
      <c r="AF30" s="128"/>
      <c r="AG30" s="128"/>
      <c r="AH30" s="128"/>
      <c r="AI30" s="128"/>
      <c r="AJ30" s="128"/>
    </row>
    <row r="31" ht="22.5" hidden="1" customHeight="1">
      <c r="A31" s="3"/>
      <c r="B31" s="3"/>
      <c r="C31" s="119"/>
      <c r="D31" s="108"/>
      <c r="E31" s="108"/>
      <c r="F31" s="108"/>
      <c r="G31" s="108"/>
      <c r="H31" s="108"/>
      <c r="I31" s="108"/>
      <c r="J31" s="1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14">
        <f t="shared" si="1"/>
        <v>0</v>
      </c>
      <c r="X31" s="108"/>
      <c r="Y31" s="108"/>
      <c r="Z31" s="116">
        <f t="shared" si="3"/>
        <v>0</v>
      </c>
      <c r="AA31" s="127"/>
      <c r="AB31" s="128"/>
      <c r="AC31" s="121">
        <f t="shared" si="2"/>
        <v>0</v>
      </c>
      <c r="AD31" s="128"/>
      <c r="AE31" s="128"/>
      <c r="AF31" s="128"/>
      <c r="AG31" s="128"/>
      <c r="AH31" s="128"/>
      <c r="AI31" s="128"/>
      <c r="AJ31" s="128"/>
    </row>
    <row r="32" ht="22.5" hidden="1" customHeight="1">
      <c r="A32" s="3"/>
      <c r="B32" s="3"/>
      <c r="C32" s="119"/>
      <c r="D32" s="108"/>
      <c r="E32" s="108"/>
      <c r="F32" s="108"/>
      <c r="G32" s="108"/>
      <c r="H32" s="108"/>
      <c r="I32" s="108"/>
      <c r="J32" s="1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14">
        <f t="shared" si="1"/>
        <v>0</v>
      </c>
      <c r="X32" s="108"/>
      <c r="Y32" s="108"/>
      <c r="Z32" s="116">
        <f t="shared" si="3"/>
        <v>0</v>
      </c>
      <c r="AA32" s="127"/>
      <c r="AB32" s="128"/>
      <c r="AC32" s="121">
        <f t="shared" si="2"/>
        <v>0</v>
      </c>
      <c r="AD32" s="128"/>
      <c r="AE32" s="128"/>
      <c r="AF32" s="128"/>
      <c r="AG32" s="128"/>
      <c r="AH32" s="128"/>
      <c r="AI32" s="128"/>
      <c r="AJ32" s="128"/>
    </row>
    <row r="33" ht="22.5" hidden="1" customHeight="1">
      <c r="A33" s="3"/>
      <c r="B33" s="3"/>
      <c r="C33" s="119"/>
      <c r="D33" s="108"/>
      <c r="E33" s="108"/>
      <c r="F33" s="108"/>
      <c r="G33" s="108"/>
      <c r="H33" s="108"/>
      <c r="I33" s="108"/>
      <c r="J33" s="1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14">
        <f t="shared" si="1"/>
        <v>0</v>
      </c>
      <c r="X33" s="108"/>
      <c r="Y33" s="108"/>
      <c r="Z33" s="116">
        <f t="shared" si="3"/>
        <v>0</v>
      </c>
      <c r="AA33" s="127"/>
      <c r="AB33" s="128"/>
      <c r="AC33" s="121">
        <f t="shared" si="2"/>
        <v>0</v>
      </c>
      <c r="AD33" s="128"/>
      <c r="AE33" s="128"/>
      <c r="AF33" s="128"/>
      <c r="AG33" s="128"/>
      <c r="AH33" s="128"/>
      <c r="AI33" s="128"/>
      <c r="AJ33" s="128"/>
    </row>
    <row r="34" ht="22.5" hidden="1" customHeight="1">
      <c r="A34" s="3"/>
      <c r="B34" s="3"/>
      <c r="C34" s="119"/>
      <c r="D34" s="108"/>
      <c r="E34" s="108"/>
      <c r="F34" s="108"/>
      <c r="G34" s="108"/>
      <c r="H34" s="108"/>
      <c r="I34" s="108"/>
      <c r="J34" s="1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14">
        <f t="shared" si="1"/>
        <v>0</v>
      </c>
      <c r="X34" s="108"/>
      <c r="Y34" s="108"/>
      <c r="Z34" s="116">
        <f t="shared" si="3"/>
        <v>0</v>
      </c>
      <c r="AA34" s="127"/>
      <c r="AB34" s="128"/>
      <c r="AC34" s="121">
        <f t="shared" si="2"/>
        <v>0</v>
      </c>
      <c r="AD34" s="128"/>
      <c r="AE34" s="128"/>
      <c r="AF34" s="128"/>
      <c r="AG34" s="128"/>
      <c r="AH34" s="128"/>
      <c r="AI34" s="128"/>
      <c r="AJ34" s="128"/>
    </row>
    <row r="35" ht="22.5" hidden="1" customHeight="1">
      <c r="A35" s="3"/>
      <c r="B35" s="3"/>
      <c r="C35" s="119"/>
      <c r="D35" s="108"/>
      <c r="E35" s="108"/>
      <c r="F35" s="108"/>
      <c r="G35" s="108"/>
      <c r="H35" s="108"/>
      <c r="I35" s="108"/>
      <c r="J35" s="1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14">
        <f t="shared" si="1"/>
        <v>0</v>
      </c>
      <c r="X35" s="108"/>
      <c r="Y35" s="108"/>
      <c r="Z35" s="116">
        <f t="shared" si="3"/>
        <v>0</v>
      </c>
      <c r="AA35" s="127"/>
      <c r="AB35" s="128"/>
      <c r="AC35" s="121">
        <f t="shared" si="2"/>
        <v>0</v>
      </c>
      <c r="AD35" s="128"/>
      <c r="AE35" s="128"/>
      <c r="AF35" s="128"/>
      <c r="AG35" s="128"/>
      <c r="AH35" s="128"/>
      <c r="AI35" s="128"/>
      <c r="AJ35" s="128"/>
    </row>
    <row r="36" ht="22.5" hidden="1" customHeight="1">
      <c r="A36" s="3"/>
      <c r="B36" s="3"/>
      <c r="C36" s="119"/>
      <c r="D36" s="108"/>
      <c r="E36" s="108"/>
      <c r="F36" s="108"/>
      <c r="G36" s="108"/>
      <c r="H36" s="108"/>
      <c r="I36" s="108"/>
      <c r="J36" s="1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14">
        <f t="shared" si="1"/>
        <v>0</v>
      </c>
      <c r="X36" s="108"/>
      <c r="Y36" s="108"/>
      <c r="Z36" s="116">
        <f t="shared" si="3"/>
        <v>0</v>
      </c>
      <c r="AA36" s="127"/>
      <c r="AB36" s="128"/>
      <c r="AC36" s="121">
        <f t="shared" si="2"/>
        <v>0</v>
      </c>
      <c r="AD36" s="128"/>
      <c r="AE36" s="128"/>
      <c r="AF36" s="128"/>
      <c r="AG36" s="128"/>
      <c r="AH36" s="128"/>
      <c r="AI36" s="128"/>
      <c r="AJ36" s="128"/>
    </row>
    <row r="37" ht="22.5" hidden="1" customHeight="1">
      <c r="A37" s="3"/>
      <c r="B37" s="3"/>
      <c r="C37" s="119"/>
      <c r="D37" s="108"/>
      <c r="E37" s="108"/>
      <c r="F37" s="108"/>
      <c r="G37" s="108"/>
      <c r="H37" s="108"/>
      <c r="I37" s="108"/>
      <c r="J37" s="1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14">
        <f t="shared" si="1"/>
        <v>0</v>
      </c>
      <c r="X37" s="108"/>
      <c r="Y37" s="108"/>
      <c r="Z37" s="116">
        <f t="shared" si="3"/>
        <v>0</v>
      </c>
      <c r="AA37" s="127"/>
      <c r="AB37" s="128"/>
      <c r="AC37" s="121">
        <f t="shared" si="2"/>
        <v>0</v>
      </c>
      <c r="AD37" s="128"/>
      <c r="AE37" s="128"/>
      <c r="AF37" s="128"/>
      <c r="AG37" s="128"/>
      <c r="AH37" s="128"/>
      <c r="AI37" s="128"/>
      <c r="AJ37" s="128"/>
    </row>
    <row r="38" ht="22.5" hidden="1" customHeight="1">
      <c r="A38" s="3"/>
      <c r="B38" s="3"/>
      <c r="C38" s="119"/>
      <c r="D38" s="108"/>
      <c r="E38" s="108"/>
      <c r="F38" s="108"/>
      <c r="G38" s="108"/>
      <c r="H38" s="108"/>
      <c r="I38" s="108"/>
      <c r="J38" s="110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14">
        <f t="shared" si="1"/>
        <v>0</v>
      </c>
      <c r="X38" s="108"/>
      <c r="Y38" s="108"/>
      <c r="Z38" s="116">
        <f t="shared" si="3"/>
        <v>0</v>
      </c>
      <c r="AA38" s="127"/>
      <c r="AB38" s="128"/>
      <c r="AC38" s="121">
        <f t="shared" si="2"/>
        <v>0</v>
      </c>
      <c r="AD38" s="128"/>
      <c r="AE38" s="128"/>
      <c r="AF38" s="128"/>
      <c r="AG38" s="128"/>
      <c r="AH38" s="128"/>
      <c r="AI38" s="128"/>
      <c r="AJ38" s="128"/>
    </row>
    <row r="39" ht="22.5" hidden="1" customHeight="1">
      <c r="A39" s="3"/>
      <c r="B39" s="3"/>
      <c r="C39" s="119"/>
      <c r="D39" s="108"/>
      <c r="E39" s="108"/>
      <c r="F39" s="108"/>
      <c r="G39" s="108"/>
      <c r="H39" s="108"/>
      <c r="I39" s="108"/>
      <c r="J39" s="110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14">
        <f t="shared" si="1"/>
        <v>0</v>
      </c>
      <c r="X39" s="108"/>
      <c r="Y39" s="108"/>
      <c r="Z39" s="116">
        <f t="shared" si="3"/>
        <v>0</v>
      </c>
      <c r="AA39" s="127"/>
      <c r="AB39" s="128"/>
      <c r="AC39" s="121">
        <f t="shared" si="2"/>
        <v>0</v>
      </c>
      <c r="AD39" s="128"/>
      <c r="AE39" s="128"/>
      <c r="AF39" s="128"/>
      <c r="AG39" s="128"/>
      <c r="AH39" s="128"/>
      <c r="AI39" s="128"/>
      <c r="AJ39" s="128"/>
    </row>
    <row r="40" ht="22.5" hidden="1" customHeight="1">
      <c r="A40" s="3"/>
      <c r="B40" s="3"/>
      <c r="C40" s="119"/>
      <c r="D40" s="108"/>
      <c r="E40" s="108"/>
      <c r="F40" s="108"/>
      <c r="G40" s="108"/>
      <c r="H40" s="108"/>
      <c r="I40" s="108"/>
      <c r="J40" s="110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14">
        <f t="shared" si="1"/>
        <v>0</v>
      </c>
      <c r="X40" s="108"/>
      <c r="Y40" s="108"/>
      <c r="Z40" s="116">
        <f t="shared" si="3"/>
        <v>0</v>
      </c>
      <c r="AA40" s="127"/>
      <c r="AB40" s="128"/>
      <c r="AC40" s="121">
        <f t="shared" si="2"/>
        <v>0</v>
      </c>
      <c r="AD40" s="128"/>
      <c r="AE40" s="128"/>
      <c r="AF40" s="128"/>
      <c r="AG40" s="128"/>
      <c r="AH40" s="128"/>
      <c r="AI40" s="128"/>
      <c r="AJ40" s="128"/>
    </row>
    <row r="41" ht="22.5" hidden="1" customHeight="1">
      <c r="A41" s="3"/>
      <c r="B41" s="3"/>
      <c r="C41" s="119"/>
      <c r="D41" s="108"/>
      <c r="E41" s="108"/>
      <c r="F41" s="108"/>
      <c r="G41" s="108"/>
      <c r="H41" s="108"/>
      <c r="I41" s="108"/>
      <c r="J41" s="110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14">
        <f t="shared" si="1"/>
        <v>0</v>
      </c>
      <c r="X41" s="108"/>
      <c r="Y41" s="108"/>
      <c r="Z41" s="116">
        <f t="shared" si="3"/>
        <v>0</v>
      </c>
      <c r="AA41" s="127"/>
      <c r="AB41" s="128"/>
      <c r="AC41" s="121">
        <f t="shared" si="2"/>
        <v>0</v>
      </c>
      <c r="AD41" s="128"/>
      <c r="AE41" s="128"/>
      <c r="AF41" s="128"/>
      <c r="AG41" s="128"/>
      <c r="AH41" s="128"/>
      <c r="AI41" s="128"/>
      <c r="AJ41" s="128"/>
    </row>
    <row r="42" ht="22.5" hidden="1" customHeight="1">
      <c r="A42" s="3"/>
      <c r="B42" s="3"/>
      <c r="C42" s="119"/>
      <c r="D42" s="108"/>
      <c r="E42" s="108"/>
      <c r="F42" s="108"/>
      <c r="G42" s="108"/>
      <c r="H42" s="108"/>
      <c r="I42" s="108"/>
      <c r="J42" s="110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14">
        <f t="shared" si="1"/>
        <v>0</v>
      </c>
      <c r="X42" s="108"/>
      <c r="Y42" s="108"/>
      <c r="Z42" s="116">
        <f t="shared" si="3"/>
        <v>0</v>
      </c>
      <c r="AA42" s="127"/>
      <c r="AB42" s="128"/>
      <c r="AC42" s="121">
        <f t="shared" si="2"/>
        <v>0</v>
      </c>
      <c r="AD42" s="128"/>
      <c r="AE42" s="128"/>
      <c r="AF42" s="128"/>
      <c r="AG42" s="128"/>
      <c r="AH42" s="128"/>
      <c r="AI42" s="128"/>
      <c r="AJ42" s="128"/>
    </row>
    <row r="43" ht="22.5" hidden="1" customHeight="1">
      <c r="A43" s="3"/>
      <c r="B43" s="3"/>
      <c r="C43" s="119"/>
      <c r="D43" s="108"/>
      <c r="E43" s="108"/>
      <c r="F43" s="108"/>
      <c r="G43" s="108"/>
      <c r="H43" s="108"/>
      <c r="I43" s="108"/>
      <c r="J43" s="110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14">
        <f t="shared" si="1"/>
        <v>0</v>
      </c>
      <c r="X43" s="108"/>
      <c r="Y43" s="108"/>
      <c r="Z43" s="116">
        <f t="shared" si="3"/>
        <v>0</v>
      </c>
      <c r="AA43" s="127"/>
      <c r="AB43" s="128"/>
      <c r="AC43" s="121">
        <f t="shared" si="2"/>
        <v>0</v>
      </c>
      <c r="AD43" s="128"/>
      <c r="AE43" s="128"/>
      <c r="AF43" s="128"/>
      <c r="AG43" s="128"/>
      <c r="AH43" s="128"/>
      <c r="AI43" s="128"/>
      <c r="AJ43" s="128"/>
    </row>
    <row r="44" ht="22.5" hidden="1" customHeight="1">
      <c r="A44" s="3"/>
      <c r="B44" s="3"/>
      <c r="C44" s="119"/>
      <c r="D44" s="108"/>
      <c r="E44" s="108"/>
      <c r="F44" s="108"/>
      <c r="G44" s="108"/>
      <c r="H44" s="108"/>
      <c r="I44" s="108"/>
      <c r="J44" s="110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14">
        <f t="shared" si="1"/>
        <v>0</v>
      </c>
      <c r="X44" s="108"/>
      <c r="Y44" s="108"/>
      <c r="Z44" s="116">
        <f t="shared" si="3"/>
        <v>0</v>
      </c>
      <c r="AA44" s="127"/>
      <c r="AB44" s="128"/>
      <c r="AC44" s="121">
        <f t="shared" si="2"/>
        <v>0</v>
      </c>
      <c r="AD44" s="128"/>
      <c r="AE44" s="128"/>
      <c r="AF44" s="128"/>
      <c r="AG44" s="128"/>
      <c r="AH44" s="128"/>
      <c r="AI44" s="128"/>
      <c r="AJ44" s="128"/>
    </row>
    <row r="45" ht="22.5" hidden="1" customHeight="1">
      <c r="A45" s="3"/>
      <c r="B45" s="3"/>
      <c r="C45" s="119"/>
      <c r="D45" s="108"/>
      <c r="E45" s="108"/>
      <c r="F45" s="108"/>
      <c r="G45" s="108"/>
      <c r="H45" s="108"/>
      <c r="I45" s="108"/>
      <c r="J45" s="110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14">
        <f t="shared" si="1"/>
        <v>0</v>
      </c>
      <c r="X45" s="108"/>
      <c r="Y45" s="108"/>
      <c r="Z45" s="116">
        <f t="shared" si="3"/>
        <v>0</v>
      </c>
      <c r="AA45" s="127"/>
      <c r="AB45" s="128"/>
      <c r="AC45" s="121">
        <f t="shared" si="2"/>
        <v>0</v>
      </c>
      <c r="AD45" s="128"/>
      <c r="AE45" s="128"/>
      <c r="AF45" s="128"/>
      <c r="AG45" s="128"/>
      <c r="AH45" s="128"/>
      <c r="AI45" s="128"/>
      <c r="AJ45" s="128"/>
    </row>
    <row r="46" ht="22.5" hidden="1" customHeight="1">
      <c r="A46" s="3"/>
      <c r="B46" s="3"/>
      <c r="C46" s="119"/>
      <c r="D46" s="108"/>
      <c r="E46" s="108"/>
      <c r="F46" s="108"/>
      <c r="G46" s="108"/>
      <c r="H46" s="108"/>
      <c r="I46" s="108"/>
      <c r="J46" s="110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14">
        <f t="shared" si="1"/>
        <v>0</v>
      </c>
      <c r="X46" s="108"/>
      <c r="Y46" s="108"/>
      <c r="Z46" s="116">
        <f t="shared" si="3"/>
        <v>0</v>
      </c>
      <c r="AA46" s="127"/>
      <c r="AB46" s="128"/>
      <c r="AC46" s="121">
        <f t="shared" si="2"/>
        <v>0</v>
      </c>
      <c r="AD46" s="128"/>
      <c r="AE46" s="128"/>
      <c r="AF46" s="128"/>
      <c r="AG46" s="128"/>
      <c r="AH46" s="128"/>
      <c r="AI46" s="128"/>
      <c r="AJ46" s="128"/>
    </row>
    <row r="47" ht="22.5" hidden="1" customHeight="1">
      <c r="A47" s="3"/>
      <c r="B47" s="3"/>
      <c r="C47" s="119"/>
      <c r="D47" s="108"/>
      <c r="E47" s="108"/>
      <c r="F47" s="108"/>
      <c r="G47" s="108"/>
      <c r="H47" s="108"/>
      <c r="I47" s="108"/>
      <c r="J47" s="110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14">
        <f t="shared" si="1"/>
        <v>0</v>
      </c>
      <c r="X47" s="108"/>
      <c r="Y47" s="108"/>
      <c r="Z47" s="116">
        <f t="shared" si="3"/>
        <v>0</v>
      </c>
      <c r="AA47" s="127"/>
      <c r="AB47" s="128"/>
      <c r="AC47" s="121">
        <f t="shared" si="2"/>
        <v>0</v>
      </c>
      <c r="AD47" s="128"/>
      <c r="AE47" s="128"/>
      <c r="AF47" s="128"/>
      <c r="AG47" s="128"/>
      <c r="AH47" s="128"/>
      <c r="AI47" s="128"/>
      <c r="AJ47" s="128"/>
    </row>
    <row r="48" ht="22.5" hidden="1" customHeight="1">
      <c r="A48" s="3"/>
      <c r="B48" s="3"/>
      <c r="C48" s="119"/>
      <c r="D48" s="108"/>
      <c r="E48" s="108"/>
      <c r="F48" s="108"/>
      <c r="G48" s="108"/>
      <c r="H48" s="108"/>
      <c r="I48" s="108"/>
      <c r="J48" s="110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14">
        <f t="shared" si="1"/>
        <v>0</v>
      </c>
      <c r="X48" s="108"/>
      <c r="Y48" s="108"/>
      <c r="Z48" s="116">
        <f t="shared" si="3"/>
        <v>0</v>
      </c>
      <c r="AA48" s="127"/>
      <c r="AB48" s="128"/>
      <c r="AC48" s="121">
        <f t="shared" si="2"/>
        <v>0</v>
      </c>
      <c r="AD48" s="128"/>
      <c r="AE48" s="128"/>
      <c r="AF48" s="128"/>
      <c r="AG48" s="128"/>
      <c r="AH48" s="128"/>
      <c r="AI48" s="128"/>
      <c r="AJ48" s="128"/>
    </row>
    <row r="49" ht="22.5" hidden="1" customHeight="1">
      <c r="A49" s="3"/>
      <c r="B49" s="3"/>
      <c r="C49" s="119"/>
      <c r="D49" s="108"/>
      <c r="E49" s="108"/>
      <c r="F49" s="108"/>
      <c r="G49" s="108"/>
      <c r="H49" s="108"/>
      <c r="I49" s="108"/>
      <c r="J49" s="110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14">
        <f t="shared" si="1"/>
        <v>0</v>
      </c>
      <c r="X49" s="108"/>
      <c r="Y49" s="108"/>
      <c r="Z49" s="116">
        <f t="shared" si="3"/>
        <v>0</v>
      </c>
      <c r="AA49" s="127"/>
      <c r="AB49" s="128"/>
      <c r="AC49" s="121">
        <f t="shared" si="2"/>
        <v>0</v>
      </c>
      <c r="AD49" s="128"/>
      <c r="AE49" s="128"/>
      <c r="AF49" s="128"/>
      <c r="AG49" s="128"/>
      <c r="AH49" s="128"/>
      <c r="AI49" s="128"/>
      <c r="AJ49" s="128"/>
    </row>
    <row r="50" ht="22.5" hidden="1" customHeight="1">
      <c r="A50" s="3"/>
      <c r="B50" s="3"/>
      <c r="C50" s="119"/>
      <c r="D50" s="108"/>
      <c r="E50" s="108"/>
      <c r="F50" s="108"/>
      <c r="G50" s="108"/>
      <c r="H50" s="108"/>
      <c r="I50" s="108"/>
      <c r="J50" s="110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14">
        <f t="shared" si="1"/>
        <v>0</v>
      </c>
      <c r="X50" s="108"/>
      <c r="Y50" s="108"/>
      <c r="Z50" s="116">
        <f t="shared" si="3"/>
        <v>0</v>
      </c>
      <c r="AA50" s="127"/>
      <c r="AB50" s="128"/>
      <c r="AC50" s="121">
        <f t="shared" si="2"/>
        <v>0</v>
      </c>
      <c r="AD50" s="128"/>
      <c r="AE50" s="128"/>
      <c r="AF50" s="128"/>
      <c r="AG50" s="128"/>
      <c r="AH50" s="128"/>
      <c r="AI50" s="128"/>
      <c r="AJ50" s="128"/>
    </row>
    <row r="51" ht="22.5" hidden="1" customHeight="1">
      <c r="A51" s="3"/>
      <c r="B51" s="3"/>
      <c r="C51" s="119"/>
      <c r="D51" s="108"/>
      <c r="E51" s="108"/>
      <c r="F51" s="108"/>
      <c r="G51" s="108"/>
      <c r="H51" s="108"/>
      <c r="I51" s="108"/>
      <c r="J51" s="110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14">
        <f t="shared" si="1"/>
        <v>0</v>
      </c>
      <c r="X51" s="108"/>
      <c r="Y51" s="108"/>
      <c r="Z51" s="116">
        <f t="shared" si="3"/>
        <v>0</v>
      </c>
      <c r="AA51" s="127"/>
      <c r="AB51" s="128"/>
      <c r="AC51" s="121">
        <f t="shared" si="2"/>
        <v>0</v>
      </c>
      <c r="AD51" s="128"/>
      <c r="AE51" s="128"/>
      <c r="AF51" s="128"/>
      <c r="AG51" s="128"/>
      <c r="AH51" s="128"/>
      <c r="AI51" s="128"/>
      <c r="AJ51" s="128"/>
    </row>
    <row r="52" ht="22.5" hidden="1" customHeight="1">
      <c r="A52" s="3"/>
      <c r="B52" s="3"/>
      <c r="C52" s="119"/>
      <c r="D52" s="108"/>
      <c r="E52" s="108"/>
      <c r="F52" s="108"/>
      <c r="G52" s="108"/>
      <c r="H52" s="108"/>
      <c r="I52" s="108"/>
      <c r="J52" s="110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14">
        <f t="shared" si="1"/>
        <v>0</v>
      </c>
      <c r="X52" s="108"/>
      <c r="Y52" s="108"/>
      <c r="Z52" s="116">
        <f t="shared" si="3"/>
        <v>0</v>
      </c>
      <c r="AA52" s="127"/>
      <c r="AB52" s="128"/>
      <c r="AC52" s="121">
        <f t="shared" si="2"/>
        <v>0</v>
      </c>
      <c r="AD52" s="128"/>
      <c r="AE52" s="128"/>
      <c r="AF52" s="128"/>
      <c r="AG52" s="128"/>
      <c r="AH52" s="128"/>
      <c r="AI52" s="128"/>
      <c r="AJ52" s="128"/>
    </row>
    <row r="53" ht="22.5" hidden="1" customHeight="1">
      <c r="A53" s="3"/>
      <c r="B53" s="3"/>
      <c r="C53" s="119"/>
      <c r="D53" s="108"/>
      <c r="E53" s="108"/>
      <c r="F53" s="108"/>
      <c r="G53" s="108"/>
      <c r="H53" s="108"/>
      <c r="I53" s="108"/>
      <c r="J53" s="110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14">
        <f t="shared" si="1"/>
        <v>0</v>
      </c>
      <c r="X53" s="108"/>
      <c r="Y53" s="108"/>
      <c r="Z53" s="116">
        <f t="shared" si="3"/>
        <v>0</v>
      </c>
      <c r="AA53" s="127"/>
      <c r="AB53" s="128"/>
      <c r="AC53" s="121">
        <f t="shared" si="2"/>
        <v>0</v>
      </c>
      <c r="AD53" s="128"/>
      <c r="AE53" s="128"/>
      <c r="AF53" s="128"/>
      <c r="AG53" s="128"/>
      <c r="AH53" s="128"/>
      <c r="AI53" s="128"/>
      <c r="AJ53" s="128"/>
    </row>
    <row r="54" ht="22.5" hidden="1" customHeight="1">
      <c r="A54" s="3"/>
      <c r="B54" s="3"/>
      <c r="C54" s="119"/>
      <c r="D54" s="108"/>
      <c r="E54" s="108"/>
      <c r="F54" s="108"/>
      <c r="G54" s="108"/>
      <c r="H54" s="108"/>
      <c r="I54" s="108"/>
      <c r="J54" s="110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14">
        <f t="shared" si="1"/>
        <v>0</v>
      </c>
      <c r="X54" s="108"/>
      <c r="Y54" s="108"/>
      <c r="Z54" s="116">
        <f t="shared" si="3"/>
        <v>0</v>
      </c>
      <c r="AA54" s="127"/>
      <c r="AB54" s="128"/>
      <c r="AC54" s="121">
        <f t="shared" si="2"/>
        <v>0</v>
      </c>
      <c r="AD54" s="128"/>
      <c r="AE54" s="128"/>
      <c r="AF54" s="128"/>
      <c r="AG54" s="128"/>
      <c r="AH54" s="128"/>
      <c r="AI54" s="128"/>
      <c r="AJ54" s="128"/>
    </row>
    <row r="55" ht="22.5" hidden="1" customHeight="1">
      <c r="A55" s="3"/>
      <c r="B55" s="3"/>
      <c r="C55" s="119"/>
      <c r="D55" s="108"/>
      <c r="E55" s="108"/>
      <c r="F55" s="108"/>
      <c r="G55" s="108"/>
      <c r="H55" s="108"/>
      <c r="I55" s="108"/>
      <c r="J55" s="110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14">
        <f t="shared" si="1"/>
        <v>0</v>
      </c>
      <c r="X55" s="108"/>
      <c r="Y55" s="108"/>
      <c r="Z55" s="116">
        <f t="shared" si="3"/>
        <v>0</v>
      </c>
      <c r="AA55" s="127"/>
      <c r="AB55" s="128"/>
      <c r="AC55" s="121">
        <f t="shared" si="2"/>
        <v>0</v>
      </c>
      <c r="AD55" s="128"/>
      <c r="AE55" s="128"/>
      <c r="AF55" s="128"/>
      <c r="AG55" s="128"/>
      <c r="AH55" s="128"/>
      <c r="AI55" s="128"/>
      <c r="AJ55" s="128"/>
    </row>
    <row r="56" ht="22.5" hidden="1" customHeight="1">
      <c r="A56" s="3"/>
      <c r="B56" s="3"/>
      <c r="C56" s="119"/>
      <c r="D56" s="108"/>
      <c r="E56" s="108"/>
      <c r="F56" s="108"/>
      <c r="G56" s="108"/>
      <c r="H56" s="108"/>
      <c r="I56" s="108"/>
      <c r="J56" s="110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14">
        <f t="shared" si="1"/>
        <v>0</v>
      </c>
      <c r="X56" s="108"/>
      <c r="Y56" s="108"/>
      <c r="Z56" s="116">
        <f t="shared" si="3"/>
        <v>0</v>
      </c>
      <c r="AA56" s="127"/>
      <c r="AB56" s="128"/>
      <c r="AC56" s="121">
        <f t="shared" si="2"/>
        <v>0</v>
      </c>
      <c r="AD56" s="128"/>
      <c r="AE56" s="128"/>
      <c r="AF56" s="128"/>
      <c r="AG56" s="128"/>
      <c r="AH56" s="128"/>
      <c r="AI56" s="128"/>
      <c r="AJ56" s="128"/>
    </row>
    <row r="57" ht="22.5" hidden="1" customHeight="1">
      <c r="A57" s="3"/>
      <c r="B57" s="3"/>
      <c r="C57" s="119"/>
      <c r="D57" s="108"/>
      <c r="E57" s="108"/>
      <c r="F57" s="108"/>
      <c r="G57" s="108"/>
      <c r="H57" s="108"/>
      <c r="I57" s="108"/>
      <c r="J57" s="110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14">
        <f t="shared" si="1"/>
        <v>0</v>
      </c>
      <c r="X57" s="108"/>
      <c r="Y57" s="108"/>
      <c r="Z57" s="116">
        <f t="shared" si="3"/>
        <v>0</v>
      </c>
      <c r="AA57" s="127"/>
      <c r="AB57" s="128"/>
      <c r="AC57" s="121">
        <f t="shared" si="2"/>
        <v>0</v>
      </c>
      <c r="AD57" s="128"/>
      <c r="AE57" s="128"/>
      <c r="AF57" s="128"/>
      <c r="AG57" s="128"/>
      <c r="AH57" s="128"/>
      <c r="AI57" s="128"/>
      <c r="AJ57" s="128"/>
    </row>
    <row r="58" ht="22.5" hidden="1" customHeight="1">
      <c r="A58" s="3"/>
      <c r="B58" s="3"/>
      <c r="C58" s="119"/>
      <c r="D58" s="108"/>
      <c r="E58" s="108"/>
      <c r="F58" s="108"/>
      <c r="G58" s="108"/>
      <c r="H58" s="108"/>
      <c r="I58" s="108"/>
      <c r="J58" s="110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14">
        <f t="shared" si="1"/>
        <v>0</v>
      </c>
      <c r="X58" s="108"/>
      <c r="Y58" s="108"/>
      <c r="Z58" s="116">
        <f t="shared" si="3"/>
        <v>0</v>
      </c>
      <c r="AA58" s="127"/>
      <c r="AB58" s="128"/>
      <c r="AC58" s="121">
        <f t="shared" si="2"/>
        <v>0</v>
      </c>
      <c r="AD58" s="128"/>
      <c r="AE58" s="128"/>
      <c r="AF58" s="128"/>
      <c r="AG58" s="128"/>
      <c r="AH58" s="128"/>
      <c r="AI58" s="128"/>
      <c r="AJ58" s="128"/>
    </row>
    <row r="59" ht="22.5" hidden="1" customHeight="1">
      <c r="A59" s="3"/>
      <c r="B59" s="3"/>
      <c r="C59" s="119"/>
      <c r="D59" s="108"/>
      <c r="E59" s="108"/>
      <c r="F59" s="108"/>
      <c r="G59" s="108"/>
      <c r="H59" s="108"/>
      <c r="I59" s="108"/>
      <c r="J59" s="110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14">
        <f t="shared" si="1"/>
        <v>0</v>
      </c>
      <c r="X59" s="108"/>
      <c r="Y59" s="108"/>
      <c r="Z59" s="116">
        <f t="shared" si="3"/>
        <v>0</v>
      </c>
      <c r="AA59" s="127"/>
      <c r="AB59" s="128"/>
      <c r="AC59" s="121">
        <f t="shared" si="2"/>
        <v>0</v>
      </c>
      <c r="AD59" s="128"/>
      <c r="AE59" s="128"/>
      <c r="AF59" s="128"/>
      <c r="AG59" s="128"/>
      <c r="AH59" s="128"/>
      <c r="AI59" s="128"/>
      <c r="AJ59" s="128"/>
    </row>
    <row r="60" ht="22.5" hidden="1" customHeight="1">
      <c r="A60" s="3"/>
      <c r="B60" s="3"/>
      <c r="C60" s="119"/>
      <c r="D60" s="108"/>
      <c r="E60" s="108"/>
      <c r="F60" s="108"/>
      <c r="G60" s="108"/>
      <c r="H60" s="108"/>
      <c r="I60" s="108"/>
      <c r="J60" s="110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4">
        <f t="shared" si="1"/>
        <v>0</v>
      </c>
      <c r="X60" s="108"/>
      <c r="Y60" s="108"/>
      <c r="Z60" s="116">
        <f t="shared" si="3"/>
        <v>0</v>
      </c>
      <c r="AA60" s="127"/>
      <c r="AB60" s="128"/>
      <c r="AC60" s="121">
        <f t="shared" si="2"/>
        <v>0</v>
      </c>
      <c r="AD60" s="128"/>
      <c r="AE60" s="128"/>
      <c r="AF60" s="128"/>
      <c r="AG60" s="128"/>
      <c r="AH60" s="128"/>
      <c r="AI60" s="128"/>
      <c r="AJ60" s="128"/>
    </row>
    <row r="61" ht="22.5" hidden="1" customHeight="1">
      <c r="A61" s="3"/>
      <c r="B61" s="3"/>
      <c r="C61" s="119"/>
      <c r="D61" s="108"/>
      <c r="E61" s="108"/>
      <c r="F61" s="108"/>
      <c r="G61" s="108"/>
      <c r="H61" s="108"/>
      <c r="I61" s="108"/>
      <c r="J61" s="110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14">
        <f t="shared" si="1"/>
        <v>0</v>
      </c>
      <c r="X61" s="108"/>
      <c r="Y61" s="108"/>
      <c r="Z61" s="116">
        <f t="shared" si="3"/>
        <v>0</v>
      </c>
      <c r="AA61" s="127"/>
      <c r="AB61" s="128"/>
      <c r="AC61" s="121">
        <f t="shared" si="2"/>
        <v>0</v>
      </c>
      <c r="AD61" s="128"/>
      <c r="AE61" s="128"/>
      <c r="AF61" s="128"/>
      <c r="AG61" s="128"/>
      <c r="AH61" s="128"/>
      <c r="AI61" s="128"/>
      <c r="AJ61" s="128"/>
    </row>
    <row r="62" ht="22.5" hidden="1" customHeight="1">
      <c r="A62" s="3"/>
      <c r="B62" s="3"/>
      <c r="C62" s="119"/>
      <c r="D62" s="108"/>
      <c r="E62" s="108"/>
      <c r="F62" s="108"/>
      <c r="G62" s="108"/>
      <c r="H62" s="108"/>
      <c r="I62" s="108"/>
      <c r="J62" s="110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14">
        <f t="shared" si="1"/>
        <v>0</v>
      </c>
      <c r="X62" s="108"/>
      <c r="Y62" s="108"/>
      <c r="Z62" s="116">
        <f t="shared" si="3"/>
        <v>0</v>
      </c>
      <c r="AA62" s="127"/>
      <c r="AB62" s="128"/>
      <c r="AC62" s="121">
        <f t="shared" si="2"/>
        <v>0</v>
      </c>
      <c r="AD62" s="128"/>
      <c r="AE62" s="128"/>
      <c r="AF62" s="128"/>
      <c r="AG62" s="128"/>
      <c r="AH62" s="128"/>
      <c r="AI62" s="128"/>
      <c r="AJ62" s="128"/>
    </row>
    <row r="63" ht="22.5" hidden="1" customHeight="1">
      <c r="A63" s="3"/>
      <c r="B63" s="3"/>
      <c r="C63" s="119"/>
      <c r="D63" s="108"/>
      <c r="E63" s="108"/>
      <c r="F63" s="108"/>
      <c r="G63" s="108"/>
      <c r="H63" s="108"/>
      <c r="I63" s="108"/>
      <c r="J63" s="110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14">
        <f t="shared" si="1"/>
        <v>0</v>
      </c>
      <c r="X63" s="108"/>
      <c r="Y63" s="108"/>
      <c r="Z63" s="116">
        <f t="shared" si="3"/>
        <v>0</v>
      </c>
      <c r="AA63" s="127"/>
      <c r="AB63" s="128"/>
      <c r="AC63" s="121">
        <f t="shared" si="2"/>
        <v>0</v>
      </c>
      <c r="AD63" s="128"/>
      <c r="AE63" s="128"/>
      <c r="AF63" s="128"/>
      <c r="AG63" s="128"/>
      <c r="AH63" s="128"/>
      <c r="AI63" s="128"/>
      <c r="AJ63" s="128"/>
    </row>
    <row r="64" ht="22.5" hidden="1" customHeight="1">
      <c r="A64" s="3"/>
      <c r="B64" s="3"/>
      <c r="C64" s="119"/>
      <c r="D64" s="108"/>
      <c r="E64" s="108"/>
      <c r="F64" s="108"/>
      <c r="G64" s="108"/>
      <c r="H64" s="108"/>
      <c r="I64" s="108"/>
      <c r="J64" s="11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14">
        <f t="shared" si="1"/>
        <v>0</v>
      </c>
      <c r="X64" s="108"/>
      <c r="Y64" s="108"/>
      <c r="Z64" s="116">
        <f t="shared" si="3"/>
        <v>0</v>
      </c>
      <c r="AA64" s="127"/>
      <c r="AB64" s="128"/>
      <c r="AC64" s="121">
        <f t="shared" si="2"/>
        <v>0</v>
      </c>
      <c r="AD64" s="128"/>
      <c r="AE64" s="128"/>
      <c r="AF64" s="128"/>
      <c r="AG64" s="128"/>
      <c r="AH64" s="128"/>
      <c r="AI64" s="128"/>
      <c r="AJ64" s="128"/>
    </row>
    <row r="65" ht="22.5" hidden="1" customHeight="1">
      <c r="A65" s="3"/>
      <c r="B65" s="3"/>
      <c r="C65" s="119"/>
      <c r="D65" s="108"/>
      <c r="E65" s="108"/>
      <c r="F65" s="108"/>
      <c r="G65" s="108"/>
      <c r="H65" s="108"/>
      <c r="I65" s="108"/>
      <c r="J65" s="110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14">
        <f t="shared" si="1"/>
        <v>0</v>
      </c>
      <c r="X65" s="108"/>
      <c r="Y65" s="108"/>
      <c r="Z65" s="116">
        <f t="shared" si="3"/>
        <v>0</v>
      </c>
      <c r="AA65" s="127"/>
      <c r="AB65" s="128"/>
      <c r="AC65" s="121">
        <f t="shared" si="2"/>
        <v>0</v>
      </c>
      <c r="AD65" s="128"/>
      <c r="AE65" s="128"/>
      <c r="AF65" s="128"/>
      <c r="AG65" s="128"/>
      <c r="AH65" s="128"/>
      <c r="AI65" s="128"/>
      <c r="AJ65" s="128"/>
    </row>
    <row r="66" ht="22.5" hidden="1" customHeight="1">
      <c r="A66" s="3"/>
      <c r="B66" s="3"/>
      <c r="C66" s="119"/>
      <c r="D66" s="108"/>
      <c r="E66" s="108"/>
      <c r="F66" s="108"/>
      <c r="G66" s="108"/>
      <c r="H66" s="108"/>
      <c r="I66" s="108"/>
      <c r="J66" s="110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14">
        <f t="shared" si="1"/>
        <v>0</v>
      </c>
      <c r="X66" s="108"/>
      <c r="Y66" s="108"/>
      <c r="Z66" s="116">
        <f t="shared" si="3"/>
        <v>0</v>
      </c>
      <c r="AA66" s="127"/>
      <c r="AB66" s="128"/>
      <c r="AC66" s="121">
        <f t="shared" si="2"/>
        <v>0</v>
      </c>
      <c r="AD66" s="128"/>
      <c r="AE66" s="128"/>
      <c r="AF66" s="128"/>
      <c r="AG66" s="128"/>
      <c r="AH66" s="128"/>
      <c r="AI66" s="128"/>
      <c r="AJ66" s="128"/>
    </row>
    <row r="67" ht="22.5" hidden="1" customHeight="1">
      <c r="A67" s="3"/>
      <c r="B67" s="3"/>
      <c r="C67" s="119"/>
      <c r="D67" s="108"/>
      <c r="E67" s="108"/>
      <c r="F67" s="108"/>
      <c r="G67" s="108"/>
      <c r="H67" s="108"/>
      <c r="I67" s="108"/>
      <c r="J67" s="110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14">
        <f t="shared" si="1"/>
        <v>0</v>
      </c>
      <c r="X67" s="108"/>
      <c r="Y67" s="108"/>
      <c r="Z67" s="116">
        <f t="shared" si="3"/>
        <v>0</v>
      </c>
      <c r="AA67" s="127"/>
      <c r="AB67" s="128"/>
      <c r="AC67" s="121">
        <f t="shared" si="2"/>
        <v>0</v>
      </c>
      <c r="AD67" s="128"/>
      <c r="AE67" s="128"/>
      <c r="AF67" s="128"/>
      <c r="AG67" s="128"/>
      <c r="AH67" s="128"/>
      <c r="AI67" s="128"/>
      <c r="AJ67" s="128"/>
    </row>
    <row r="68" ht="22.5" hidden="1" customHeight="1">
      <c r="A68" s="3"/>
      <c r="B68" s="3"/>
      <c r="C68" s="119"/>
      <c r="D68" s="108"/>
      <c r="E68" s="108"/>
      <c r="F68" s="108"/>
      <c r="G68" s="108"/>
      <c r="H68" s="108"/>
      <c r="I68" s="108"/>
      <c r="J68" s="11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14">
        <f t="shared" si="1"/>
        <v>0</v>
      </c>
      <c r="X68" s="108"/>
      <c r="Y68" s="108"/>
      <c r="Z68" s="116">
        <f t="shared" si="3"/>
        <v>0</v>
      </c>
      <c r="AA68" s="127"/>
      <c r="AB68" s="128"/>
      <c r="AC68" s="121">
        <f t="shared" si="2"/>
        <v>0</v>
      </c>
      <c r="AD68" s="128"/>
      <c r="AE68" s="128"/>
      <c r="AF68" s="128"/>
      <c r="AG68" s="128"/>
      <c r="AH68" s="128"/>
      <c r="AI68" s="128"/>
      <c r="AJ68" s="128"/>
    </row>
    <row r="69" ht="22.5" hidden="1" customHeight="1">
      <c r="A69" s="3"/>
      <c r="B69" s="3"/>
      <c r="C69" s="119"/>
      <c r="D69" s="108"/>
      <c r="E69" s="108"/>
      <c r="F69" s="108"/>
      <c r="G69" s="108"/>
      <c r="H69" s="108"/>
      <c r="I69" s="108"/>
      <c r="J69" s="110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14">
        <f t="shared" si="1"/>
        <v>0</v>
      </c>
      <c r="X69" s="108"/>
      <c r="Y69" s="108"/>
      <c r="Z69" s="116">
        <f t="shared" si="3"/>
        <v>0</v>
      </c>
      <c r="AA69" s="127"/>
      <c r="AB69" s="128"/>
      <c r="AC69" s="121">
        <f t="shared" si="2"/>
        <v>0</v>
      </c>
      <c r="AD69" s="128"/>
      <c r="AE69" s="128"/>
      <c r="AF69" s="128"/>
      <c r="AG69" s="128"/>
      <c r="AH69" s="128"/>
      <c r="AI69" s="128"/>
      <c r="AJ69" s="128"/>
    </row>
    <row r="70" ht="22.5" hidden="1" customHeight="1">
      <c r="A70" s="3"/>
      <c r="B70" s="3"/>
      <c r="C70" s="119"/>
      <c r="D70" s="108"/>
      <c r="E70" s="108"/>
      <c r="F70" s="108"/>
      <c r="G70" s="108"/>
      <c r="H70" s="108"/>
      <c r="I70" s="108"/>
      <c r="J70" s="110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14">
        <f t="shared" si="1"/>
        <v>0</v>
      </c>
      <c r="X70" s="108"/>
      <c r="Y70" s="108"/>
      <c r="Z70" s="116">
        <f t="shared" si="3"/>
        <v>0</v>
      </c>
      <c r="AA70" s="127"/>
      <c r="AB70" s="128"/>
      <c r="AC70" s="121">
        <f t="shared" si="2"/>
        <v>0</v>
      </c>
      <c r="AD70" s="128"/>
      <c r="AE70" s="128"/>
      <c r="AF70" s="128"/>
      <c r="AG70" s="128"/>
      <c r="AH70" s="128"/>
      <c r="AI70" s="128"/>
      <c r="AJ70" s="128"/>
    </row>
    <row r="71" ht="22.5" hidden="1" customHeight="1">
      <c r="A71" s="3"/>
      <c r="B71" s="3"/>
      <c r="C71" s="119"/>
      <c r="D71" s="108"/>
      <c r="E71" s="108"/>
      <c r="F71" s="108"/>
      <c r="G71" s="108"/>
      <c r="H71" s="108"/>
      <c r="I71" s="108"/>
      <c r="J71" s="110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14">
        <f t="shared" si="1"/>
        <v>0</v>
      </c>
      <c r="X71" s="108"/>
      <c r="Y71" s="108"/>
      <c r="Z71" s="116">
        <f t="shared" si="3"/>
        <v>0</v>
      </c>
      <c r="AA71" s="127"/>
      <c r="AB71" s="128"/>
      <c r="AC71" s="121">
        <f t="shared" si="2"/>
        <v>0</v>
      </c>
      <c r="AD71" s="128"/>
      <c r="AE71" s="128"/>
      <c r="AF71" s="128"/>
      <c r="AG71" s="128"/>
      <c r="AH71" s="128"/>
      <c r="AI71" s="128"/>
      <c r="AJ71" s="128"/>
    </row>
    <row r="72" ht="22.5" hidden="1" customHeight="1">
      <c r="A72" s="3"/>
      <c r="B72" s="3"/>
      <c r="C72" s="119"/>
      <c r="D72" s="108"/>
      <c r="E72" s="108"/>
      <c r="F72" s="108"/>
      <c r="G72" s="108"/>
      <c r="H72" s="108"/>
      <c r="I72" s="108"/>
      <c r="J72" s="110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14">
        <f t="shared" si="1"/>
        <v>0</v>
      </c>
      <c r="X72" s="108"/>
      <c r="Y72" s="108"/>
      <c r="Z72" s="116">
        <f t="shared" si="3"/>
        <v>0</v>
      </c>
      <c r="AA72" s="127"/>
      <c r="AB72" s="128"/>
      <c r="AC72" s="121">
        <f t="shared" si="2"/>
        <v>0</v>
      </c>
      <c r="AD72" s="128"/>
      <c r="AE72" s="128"/>
      <c r="AF72" s="128"/>
      <c r="AG72" s="128"/>
      <c r="AH72" s="128"/>
      <c r="AI72" s="128"/>
      <c r="AJ72" s="128"/>
    </row>
    <row r="73" ht="22.5" hidden="1" customHeight="1">
      <c r="A73" s="3"/>
      <c r="B73" s="3"/>
      <c r="C73" s="119"/>
      <c r="D73" s="108"/>
      <c r="E73" s="108"/>
      <c r="F73" s="108"/>
      <c r="G73" s="108"/>
      <c r="H73" s="108"/>
      <c r="I73" s="108"/>
      <c r="J73" s="110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14">
        <f t="shared" si="1"/>
        <v>0</v>
      </c>
      <c r="X73" s="108"/>
      <c r="Y73" s="108"/>
      <c r="Z73" s="116">
        <f t="shared" si="3"/>
        <v>0</v>
      </c>
      <c r="AA73" s="127"/>
      <c r="AB73" s="128"/>
      <c r="AC73" s="121">
        <f t="shared" si="2"/>
        <v>0</v>
      </c>
      <c r="AD73" s="128"/>
      <c r="AE73" s="128"/>
      <c r="AF73" s="128"/>
      <c r="AG73" s="128"/>
      <c r="AH73" s="128"/>
      <c r="AI73" s="128"/>
      <c r="AJ73" s="128"/>
    </row>
    <row r="74" ht="22.5" hidden="1" customHeight="1">
      <c r="A74" s="3"/>
      <c r="B74" s="3"/>
      <c r="C74" s="119"/>
      <c r="D74" s="108"/>
      <c r="E74" s="108"/>
      <c r="F74" s="108"/>
      <c r="G74" s="108"/>
      <c r="H74" s="108"/>
      <c r="I74" s="108"/>
      <c r="J74" s="110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14">
        <f t="shared" si="1"/>
        <v>0</v>
      </c>
      <c r="X74" s="108"/>
      <c r="Y74" s="108"/>
      <c r="Z74" s="116">
        <f t="shared" si="3"/>
        <v>0</v>
      </c>
      <c r="AA74" s="127"/>
      <c r="AB74" s="128"/>
      <c r="AC74" s="121">
        <f t="shared" si="2"/>
        <v>0</v>
      </c>
      <c r="AD74" s="128"/>
      <c r="AE74" s="128"/>
      <c r="AF74" s="128"/>
      <c r="AG74" s="128"/>
      <c r="AH74" s="128"/>
      <c r="AI74" s="128"/>
      <c r="AJ74" s="128"/>
    </row>
    <row r="75" ht="22.5" hidden="1" customHeight="1">
      <c r="A75" s="3"/>
      <c r="B75" s="3"/>
      <c r="C75" s="119"/>
      <c r="D75" s="108"/>
      <c r="E75" s="108"/>
      <c r="F75" s="108"/>
      <c r="G75" s="108"/>
      <c r="H75" s="108"/>
      <c r="I75" s="108"/>
      <c r="J75" s="110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14">
        <f t="shared" si="1"/>
        <v>0</v>
      </c>
      <c r="X75" s="108"/>
      <c r="Y75" s="108"/>
      <c r="Z75" s="116">
        <f t="shared" si="3"/>
        <v>0</v>
      </c>
      <c r="AA75" s="127"/>
      <c r="AB75" s="128"/>
      <c r="AC75" s="121">
        <f t="shared" si="2"/>
        <v>0</v>
      </c>
      <c r="AD75" s="128"/>
      <c r="AE75" s="128"/>
      <c r="AF75" s="128"/>
      <c r="AG75" s="128"/>
      <c r="AH75" s="128"/>
      <c r="AI75" s="128"/>
      <c r="AJ75" s="128"/>
    </row>
    <row r="76" ht="22.5" hidden="1" customHeight="1">
      <c r="A76" s="3"/>
      <c r="B76" s="3"/>
      <c r="C76" s="119"/>
      <c r="D76" s="108"/>
      <c r="E76" s="108"/>
      <c r="F76" s="108"/>
      <c r="G76" s="108"/>
      <c r="H76" s="108"/>
      <c r="I76" s="108"/>
      <c r="J76" s="110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14">
        <f t="shared" si="1"/>
        <v>0</v>
      </c>
      <c r="X76" s="108"/>
      <c r="Y76" s="108"/>
      <c r="Z76" s="116">
        <f t="shared" si="3"/>
        <v>0</v>
      </c>
      <c r="AA76" s="127"/>
      <c r="AB76" s="128"/>
      <c r="AC76" s="121">
        <f t="shared" si="2"/>
        <v>0</v>
      </c>
      <c r="AD76" s="128"/>
      <c r="AE76" s="128"/>
      <c r="AF76" s="128"/>
      <c r="AG76" s="128"/>
      <c r="AH76" s="128"/>
      <c r="AI76" s="128"/>
      <c r="AJ76" s="128"/>
    </row>
    <row r="77" ht="22.5" hidden="1" customHeight="1">
      <c r="A77" s="3"/>
      <c r="B77" s="3"/>
      <c r="C77" s="119"/>
      <c r="D77" s="108"/>
      <c r="E77" s="108"/>
      <c r="F77" s="108"/>
      <c r="G77" s="108"/>
      <c r="H77" s="108"/>
      <c r="I77" s="108"/>
      <c r="J77" s="110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14">
        <f t="shared" si="1"/>
        <v>0</v>
      </c>
      <c r="X77" s="108"/>
      <c r="Y77" s="108"/>
      <c r="Z77" s="116">
        <f t="shared" si="3"/>
        <v>0</v>
      </c>
      <c r="AA77" s="127"/>
      <c r="AB77" s="128"/>
      <c r="AC77" s="121">
        <f t="shared" si="2"/>
        <v>0</v>
      </c>
      <c r="AD77" s="128"/>
      <c r="AE77" s="128"/>
      <c r="AF77" s="128"/>
      <c r="AG77" s="128"/>
      <c r="AH77" s="128"/>
      <c r="AI77" s="128"/>
      <c r="AJ77" s="128"/>
    </row>
    <row r="78" ht="22.5" hidden="1" customHeight="1">
      <c r="A78" s="3"/>
      <c r="B78" s="3"/>
      <c r="C78" s="119"/>
      <c r="D78" s="108"/>
      <c r="E78" s="108"/>
      <c r="F78" s="108"/>
      <c r="G78" s="108"/>
      <c r="H78" s="108"/>
      <c r="I78" s="108"/>
      <c r="J78" s="110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14">
        <f t="shared" si="1"/>
        <v>0</v>
      </c>
      <c r="X78" s="108"/>
      <c r="Y78" s="108"/>
      <c r="Z78" s="116">
        <f t="shared" si="3"/>
        <v>0</v>
      </c>
      <c r="AA78" s="127"/>
      <c r="AB78" s="128"/>
      <c r="AC78" s="121">
        <f t="shared" si="2"/>
        <v>0</v>
      </c>
      <c r="AD78" s="128"/>
      <c r="AE78" s="128"/>
      <c r="AF78" s="128"/>
      <c r="AG78" s="128"/>
      <c r="AH78" s="128"/>
      <c r="AI78" s="128"/>
      <c r="AJ78" s="128"/>
    </row>
    <row r="79" ht="22.5" hidden="1" customHeight="1">
      <c r="A79" s="3"/>
      <c r="B79" s="3"/>
      <c r="C79" s="119"/>
      <c r="D79" s="108"/>
      <c r="E79" s="108"/>
      <c r="F79" s="108"/>
      <c r="G79" s="108"/>
      <c r="H79" s="108"/>
      <c r="I79" s="108"/>
      <c r="J79" s="110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14">
        <f t="shared" si="1"/>
        <v>0</v>
      </c>
      <c r="X79" s="108"/>
      <c r="Y79" s="108"/>
      <c r="Z79" s="116">
        <f t="shared" si="3"/>
        <v>0</v>
      </c>
      <c r="AA79" s="127"/>
      <c r="AB79" s="128"/>
      <c r="AC79" s="121">
        <f t="shared" si="2"/>
        <v>0</v>
      </c>
      <c r="AD79" s="128"/>
      <c r="AE79" s="128"/>
      <c r="AF79" s="128"/>
      <c r="AG79" s="128"/>
      <c r="AH79" s="128"/>
      <c r="AI79" s="128"/>
      <c r="AJ79" s="128"/>
    </row>
    <row r="80" ht="22.5" hidden="1" customHeight="1">
      <c r="A80" s="3"/>
      <c r="B80" s="3"/>
      <c r="C80" s="119"/>
      <c r="D80" s="108"/>
      <c r="E80" s="108"/>
      <c r="F80" s="108"/>
      <c r="G80" s="108"/>
      <c r="H80" s="108"/>
      <c r="I80" s="108"/>
      <c r="J80" s="110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14">
        <f t="shared" si="1"/>
        <v>0</v>
      </c>
      <c r="X80" s="108"/>
      <c r="Y80" s="108"/>
      <c r="Z80" s="116">
        <f t="shared" si="3"/>
        <v>0</v>
      </c>
      <c r="AA80" s="127"/>
      <c r="AB80" s="128"/>
      <c r="AC80" s="121">
        <f t="shared" si="2"/>
        <v>0</v>
      </c>
      <c r="AD80" s="128"/>
      <c r="AE80" s="128"/>
      <c r="AF80" s="128"/>
      <c r="AG80" s="128"/>
      <c r="AH80" s="128"/>
      <c r="AI80" s="128"/>
      <c r="AJ80" s="128"/>
    </row>
    <row r="81" ht="22.5" hidden="1" customHeight="1">
      <c r="A81" s="3"/>
      <c r="B81" s="3"/>
      <c r="C81" s="119"/>
      <c r="D81" s="108"/>
      <c r="E81" s="108"/>
      <c r="F81" s="108"/>
      <c r="G81" s="108"/>
      <c r="H81" s="108"/>
      <c r="I81" s="108"/>
      <c r="J81" s="110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14">
        <f t="shared" si="1"/>
        <v>0</v>
      </c>
      <c r="X81" s="108"/>
      <c r="Y81" s="108"/>
      <c r="Z81" s="116">
        <f t="shared" si="3"/>
        <v>0</v>
      </c>
      <c r="AA81" s="127"/>
      <c r="AB81" s="128"/>
      <c r="AC81" s="121">
        <f t="shared" si="2"/>
        <v>0</v>
      </c>
      <c r="AD81" s="128"/>
      <c r="AE81" s="128"/>
      <c r="AF81" s="128"/>
      <c r="AG81" s="128"/>
      <c r="AH81" s="128"/>
      <c r="AI81" s="128"/>
      <c r="AJ81" s="128"/>
    </row>
    <row r="82" ht="22.5" hidden="1" customHeight="1">
      <c r="A82" s="3"/>
      <c r="B82" s="3"/>
      <c r="C82" s="119"/>
      <c r="D82" s="108"/>
      <c r="E82" s="108"/>
      <c r="F82" s="108"/>
      <c r="G82" s="108"/>
      <c r="H82" s="108"/>
      <c r="I82" s="108"/>
      <c r="J82" s="110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14">
        <f t="shared" si="1"/>
        <v>0</v>
      </c>
      <c r="X82" s="108"/>
      <c r="Y82" s="108"/>
      <c r="Z82" s="116">
        <f t="shared" si="3"/>
        <v>0</v>
      </c>
      <c r="AA82" s="127"/>
      <c r="AB82" s="128"/>
      <c r="AC82" s="121">
        <f t="shared" si="2"/>
        <v>0</v>
      </c>
      <c r="AD82" s="128"/>
      <c r="AE82" s="128"/>
      <c r="AF82" s="128"/>
      <c r="AG82" s="128"/>
      <c r="AH82" s="128"/>
      <c r="AI82" s="128"/>
      <c r="AJ82" s="128"/>
    </row>
    <row r="83" ht="22.5" hidden="1" customHeight="1">
      <c r="A83" s="3"/>
      <c r="B83" s="3"/>
      <c r="C83" s="119"/>
      <c r="D83" s="108"/>
      <c r="E83" s="108"/>
      <c r="F83" s="108"/>
      <c r="G83" s="108"/>
      <c r="H83" s="108"/>
      <c r="I83" s="108"/>
      <c r="J83" s="110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14">
        <f t="shared" si="1"/>
        <v>0</v>
      </c>
      <c r="X83" s="108"/>
      <c r="Y83" s="108"/>
      <c r="Z83" s="116">
        <f t="shared" si="3"/>
        <v>0</v>
      </c>
      <c r="AA83" s="127"/>
      <c r="AB83" s="128"/>
      <c r="AC83" s="121">
        <f t="shared" si="2"/>
        <v>0</v>
      </c>
      <c r="AD83" s="128"/>
      <c r="AE83" s="128"/>
      <c r="AF83" s="128"/>
      <c r="AG83" s="128"/>
      <c r="AH83" s="128"/>
      <c r="AI83" s="128"/>
      <c r="AJ83" s="128"/>
    </row>
    <row r="84" ht="22.5" hidden="1" customHeight="1">
      <c r="A84" s="3"/>
      <c r="B84" s="3"/>
      <c r="C84" s="119"/>
      <c r="D84" s="108"/>
      <c r="E84" s="108"/>
      <c r="F84" s="108"/>
      <c r="G84" s="108"/>
      <c r="H84" s="108"/>
      <c r="I84" s="108"/>
      <c r="J84" s="110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14">
        <f t="shared" si="1"/>
        <v>0</v>
      </c>
      <c r="X84" s="108"/>
      <c r="Y84" s="108"/>
      <c r="Z84" s="116">
        <f t="shared" si="3"/>
        <v>0</v>
      </c>
      <c r="AA84" s="127"/>
      <c r="AB84" s="128"/>
      <c r="AC84" s="121">
        <f t="shared" si="2"/>
        <v>0</v>
      </c>
      <c r="AD84" s="128"/>
      <c r="AE84" s="128"/>
      <c r="AF84" s="128"/>
      <c r="AG84" s="128"/>
      <c r="AH84" s="128"/>
      <c r="AI84" s="128"/>
      <c r="AJ84" s="128"/>
    </row>
    <row r="85" ht="22.5" hidden="1" customHeight="1">
      <c r="A85" s="3"/>
      <c r="B85" s="3"/>
      <c r="C85" s="119"/>
      <c r="D85" s="108"/>
      <c r="E85" s="108"/>
      <c r="F85" s="108"/>
      <c r="G85" s="108"/>
      <c r="H85" s="108"/>
      <c r="I85" s="108"/>
      <c r="J85" s="110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14">
        <f t="shared" si="1"/>
        <v>0</v>
      </c>
      <c r="X85" s="108"/>
      <c r="Y85" s="108"/>
      <c r="Z85" s="116">
        <f t="shared" si="3"/>
        <v>0</v>
      </c>
      <c r="AA85" s="127"/>
      <c r="AB85" s="128"/>
      <c r="AC85" s="121">
        <f t="shared" si="2"/>
        <v>0</v>
      </c>
      <c r="AD85" s="128"/>
      <c r="AE85" s="128"/>
      <c r="AF85" s="128"/>
      <c r="AG85" s="128"/>
      <c r="AH85" s="128"/>
      <c r="AI85" s="128"/>
      <c r="AJ85" s="128"/>
    </row>
    <row r="86" ht="22.5" hidden="1" customHeight="1">
      <c r="A86" s="3"/>
      <c r="B86" s="3"/>
      <c r="C86" s="119"/>
      <c r="D86" s="108"/>
      <c r="E86" s="108"/>
      <c r="F86" s="108"/>
      <c r="G86" s="108"/>
      <c r="H86" s="108"/>
      <c r="I86" s="108"/>
      <c r="J86" s="110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14">
        <f t="shared" si="1"/>
        <v>0</v>
      </c>
      <c r="X86" s="108"/>
      <c r="Y86" s="108"/>
      <c r="Z86" s="116">
        <f t="shared" si="3"/>
        <v>0</v>
      </c>
      <c r="AA86" s="127"/>
      <c r="AB86" s="128"/>
      <c r="AC86" s="121">
        <f t="shared" si="2"/>
        <v>0</v>
      </c>
      <c r="AD86" s="128"/>
      <c r="AE86" s="128"/>
      <c r="AF86" s="128"/>
      <c r="AG86" s="128"/>
      <c r="AH86" s="128"/>
      <c r="AI86" s="128"/>
      <c r="AJ86" s="128"/>
    </row>
    <row r="87" ht="22.5" hidden="1" customHeight="1">
      <c r="A87" s="3"/>
      <c r="B87" s="3"/>
      <c r="C87" s="119"/>
      <c r="D87" s="108"/>
      <c r="E87" s="108"/>
      <c r="F87" s="108"/>
      <c r="G87" s="108"/>
      <c r="H87" s="108"/>
      <c r="I87" s="108"/>
      <c r="J87" s="110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14">
        <f t="shared" si="1"/>
        <v>0</v>
      </c>
      <c r="X87" s="108"/>
      <c r="Y87" s="108"/>
      <c r="Z87" s="116">
        <f t="shared" si="3"/>
        <v>0</v>
      </c>
      <c r="AA87" s="127"/>
      <c r="AB87" s="128"/>
      <c r="AC87" s="121">
        <f t="shared" si="2"/>
        <v>0</v>
      </c>
      <c r="AD87" s="128"/>
      <c r="AE87" s="128"/>
      <c r="AF87" s="128"/>
      <c r="AG87" s="128"/>
      <c r="AH87" s="128"/>
      <c r="AI87" s="128"/>
      <c r="AJ87" s="128"/>
    </row>
    <row r="88" ht="22.5" hidden="1" customHeight="1">
      <c r="A88" s="3"/>
      <c r="B88" s="3"/>
      <c r="C88" s="119"/>
      <c r="D88" s="108"/>
      <c r="E88" s="108"/>
      <c r="F88" s="108"/>
      <c r="G88" s="108"/>
      <c r="H88" s="108"/>
      <c r="I88" s="108"/>
      <c r="J88" s="110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14">
        <f t="shared" si="1"/>
        <v>0</v>
      </c>
      <c r="X88" s="108"/>
      <c r="Y88" s="108"/>
      <c r="Z88" s="116">
        <f t="shared" si="3"/>
        <v>0</v>
      </c>
      <c r="AA88" s="127"/>
      <c r="AB88" s="128"/>
      <c r="AC88" s="121">
        <f t="shared" si="2"/>
        <v>0</v>
      </c>
      <c r="AD88" s="128"/>
      <c r="AE88" s="128"/>
      <c r="AF88" s="128"/>
      <c r="AG88" s="128"/>
      <c r="AH88" s="128"/>
      <c r="AI88" s="128"/>
      <c r="AJ88" s="128"/>
    </row>
    <row r="89" ht="22.5" hidden="1" customHeight="1">
      <c r="A89" s="3"/>
      <c r="B89" s="3"/>
      <c r="C89" s="119"/>
      <c r="D89" s="108"/>
      <c r="E89" s="108"/>
      <c r="F89" s="108"/>
      <c r="G89" s="108"/>
      <c r="H89" s="108"/>
      <c r="I89" s="108"/>
      <c r="J89" s="110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14">
        <f t="shared" si="1"/>
        <v>0</v>
      </c>
      <c r="X89" s="108"/>
      <c r="Y89" s="108"/>
      <c r="Z89" s="116">
        <f t="shared" si="3"/>
        <v>0</v>
      </c>
      <c r="AA89" s="127"/>
      <c r="AB89" s="128"/>
      <c r="AC89" s="121">
        <f t="shared" si="2"/>
        <v>0</v>
      </c>
      <c r="AD89" s="128"/>
      <c r="AE89" s="128"/>
      <c r="AF89" s="128"/>
      <c r="AG89" s="128"/>
      <c r="AH89" s="128"/>
      <c r="AI89" s="128"/>
      <c r="AJ89" s="128"/>
    </row>
    <row r="90" ht="22.5" hidden="1" customHeight="1">
      <c r="A90" s="3"/>
      <c r="B90" s="3"/>
      <c r="C90" s="119"/>
      <c r="D90" s="108"/>
      <c r="E90" s="108"/>
      <c r="F90" s="108"/>
      <c r="G90" s="108"/>
      <c r="H90" s="108"/>
      <c r="I90" s="108"/>
      <c r="J90" s="110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14">
        <f t="shared" si="1"/>
        <v>0</v>
      </c>
      <c r="X90" s="108"/>
      <c r="Y90" s="108"/>
      <c r="Z90" s="116">
        <f t="shared" si="3"/>
        <v>0</v>
      </c>
      <c r="AA90" s="127"/>
      <c r="AB90" s="128"/>
      <c r="AC90" s="121">
        <f t="shared" si="2"/>
        <v>0</v>
      </c>
      <c r="AD90" s="128"/>
      <c r="AE90" s="128"/>
      <c r="AF90" s="128"/>
      <c r="AG90" s="128"/>
      <c r="AH90" s="128"/>
      <c r="AI90" s="128"/>
      <c r="AJ90" s="128"/>
    </row>
    <row r="91" ht="22.5" hidden="1" customHeight="1">
      <c r="A91" s="3"/>
      <c r="B91" s="3"/>
      <c r="C91" s="119"/>
      <c r="D91" s="108"/>
      <c r="E91" s="108"/>
      <c r="F91" s="108"/>
      <c r="G91" s="108"/>
      <c r="H91" s="108"/>
      <c r="I91" s="108"/>
      <c r="J91" s="110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14">
        <f t="shared" si="1"/>
        <v>0</v>
      </c>
      <c r="X91" s="108"/>
      <c r="Y91" s="108"/>
      <c r="Z91" s="116">
        <f t="shared" si="3"/>
        <v>0</v>
      </c>
      <c r="AA91" s="127"/>
      <c r="AB91" s="128"/>
      <c r="AC91" s="121">
        <f t="shared" si="2"/>
        <v>0</v>
      </c>
      <c r="AD91" s="128"/>
      <c r="AE91" s="128"/>
      <c r="AF91" s="128"/>
      <c r="AG91" s="128"/>
      <c r="AH91" s="128"/>
      <c r="AI91" s="128"/>
      <c r="AJ91" s="128"/>
    </row>
    <row r="92" ht="22.5" hidden="1" customHeight="1">
      <c r="A92" s="3"/>
      <c r="B92" s="3"/>
      <c r="C92" s="119"/>
      <c r="D92" s="108"/>
      <c r="E92" s="108"/>
      <c r="F92" s="108"/>
      <c r="G92" s="108"/>
      <c r="H92" s="108"/>
      <c r="I92" s="108"/>
      <c r="J92" s="110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14">
        <f t="shared" si="1"/>
        <v>0</v>
      </c>
      <c r="X92" s="108"/>
      <c r="Y92" s="108"/>
      <c r="Z92" s="116">
        <f t="shared" si="3"/>
        <v>0</v>
      </c>
      <c r="AA92" s="127"/>
      <c r="AB92" s="128"/>
      <c r="AC92" s="121">
        <f t="shared" si="2"/>
        <v>0</v>
      </c>
      <c r="AD92" s="128"/>
      <c r="AE92" s="128"/>
      <c r="AF92" s="128"/>
      <c r="AG92" s="128"/>
      <c r="AH92" s="128"/>
      <c r="AI92" s="128"/>
      <c r="AJ92" s="128"/>
    </row>
    <row r="93" ht="22.5" hidden="1" customHeight="1">
      <c r="A93" s="3"/>
      <c r="B93" s="3"/>
      <c r="C93" s="119"/>
      <c r="D93" s="108"/>
      <c r="E93" s="108"/>
      <c r="F93" s="108"/>
      <c r="G93" s="108"/>
      <c r="H93" s="108"/>
      <c r="I93" s="108"/>
      <c r="J93" s="110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14">
        <f t="shared" si="1"/>
        <v>0</v>
      </c>
      <c r="X93" s="108"/>
      <c r="Y93" s="108"/>
      <c r="Z93" s="116">
        <f t="shared" si="3"/>
        <v>0</v>
      </c>
      <c r="AA93" s="127"/>
      <c r="AB93" s="128"/>
      <c r="AC93" s="121">
        <f t="shared" si="2"/>
        <v>0</v>
      </c>
      <c r="AD93" s="128"/>
      <c r="AE93" s="128"/>
      <c r="AF93" s="128"/>
      <c r="AG93" s="128"/>
      <c r="AH93" s="128"/>
      <c r="AI93" s="128"/>
      <c r="AJ93" s="128"/>
    </row>
    <row r="94" ht="22.5" hidden="1" customHeight="1">
      <c r="A94" s="3"/>
      <c r="B94" s="3"/>
      <c r="C94" s="119"/>
      <c r="D94" s="108"/>
      <c r="E94" s="108"/>
      <c r="F94" s="108"/>
      <c r="G94" s="108"/>
      <c r="H94" s="108"/>
      <c r="I94" s="108"/>
      <c r="J94" s="110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14">
        <f t="shared" si="1"/>
        <v>0</v>
      </c>
      <c r="X94" s="108"/>
      <c r="Y94" s="108"/>
      <c r="Z94" s="116">
        <f t="shared" si="3"/>
        <v>0</v>
      </c>
      <c r="AA94" s="127"/>
      <c r="AB94" s="128"/>
      <c r="AC94" s="121">
        <f t="shared" si="2"/>
        <v>0</v>
      </c>
      <c r="AD94" s="128"/>
      <c r="AE94" s="128"/>
      <c r="AF94" s="128"/>
      <c r="AG94" s="128"/>
      <c r="AH94" s="128"/>
      <c r="AI94" s="128"/>
      <c r="AJ94" s="128"/>
    </row>
    <row r="95" ht="22.5" hidden="1" customHeight="1">
      <c r="A95" s="3"/>
      <c r="B95" s="3"/>
      <c r="C95" s="119"/>
      <c r="D95" s="108"/>
      <c r="E95" s="108"/>
      <c r="F95" s="108"/>
      <c r="G95" s="108"/>
      <c r="H95" s="108"/>
      <c r="I95" s="108"/>
      <c r="J95" s="110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14">
        <f t="shared" si="1"/>
        <v>0</v>
      </c>
      <c r="X95" s="108"/>
      <c r="Y95" s="108"/>
      <c r="Z95" s="116">
        <f t="shared" si="3"/>
        <v>0</v>
      </c>
      <c r="AA95" s="127"/>
      <c r="AB95" s="128"/>
      <c r="AC95" s="121">
        <f t="shared" si="2"/>
        <v>0</v>
      </c>
      <c r="AD95" s="128"/>
      <c r="AE95" s="128"/>
      <c r="AF95" s="128"/>
      <c r="AG95" s="128"/>
      <c r="AH95" s="128"/>
      <c r="AI95" s="128"/>
      <c r="AJ95" s="128"/>
    </row>
    <row r="96" ht="22.5" hidden="1" customHeight="1">
      <c r="A96" s="3"/>
      <c r="B96" s="3"/>
      <c r="C96" s="119"/>
      <c r="D96" s="108"/>
      <c r="E96" s="108"/>
      <c r="F96" s="108"/>
      <c r="G96" s="108"/>
      <c r="H96" s="108"/>
      <c r="I96" s="108"/>
      <c r="J96" s="110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14">
        <f t="shared" si="1"/>
        <v>0</v>
      </c>
      <c r="X96" s="108"/>
      <c r="Y96" s="108"/>
      <c r="Z96" s="116">
        <f t="shared" si="3"/>
        <v>0</v>
      </c>
      <c r="AA96" s="127"/>
      <c r="AB96" s="128"/>
      <c r="AC96" s="121">
        <f t="shared" si="2"/>
        <v>0</v>
      </c>
      <c r="AD96" s="128"/>
      <c r="AE96" s="128"/>
      <c r="AF96" s="128"/>
      <c r="AG96" s="128"/>
      <c r="AH96" s="128"/>
      <c r="AI96" s="128"/>
      <c r="AJ96" s="128"/>
    </row>
    <row r="97" ht="22.5" hidden="1" customHeight="1">
      <c r="A97" s="3"/>
      <c r="B97" s="3"/>
      <c r="C97" s="119"/>
      <c r="D97" s="108"/>
      <c r="E97" s="108"/>
      <c r="F97" s="108"/>
      <c r="G97" s="108"/>
      <c r="H97" s="108"/>
      <c r="I97" s="108"/>
      <c r="J97" s="110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14">
        <f t="shared" si="1"/>
        <v>0</v>
      </c>
      <c r="X97" s="108"/>
      <c r="Y97" s="108"/>
      <c r="Z97" s="116">
        <f t="shared" si="3"/>
        <v>0</v>
      </c>
      <c r="AA97" s="127"/>
      <c r="AB97" s="128"/>
      <c r="AC97" s="121">
        <f t="shared" si="2"/>
        <v>0</v>
      </c>
      <c r="AD97" s="128"/>
      <c r="AE97" s="128"/>
      <c r="AF97" s="128"/>
      <c r="AG97" s="128"/>
      <c r="AH97" s="128"/>
      <c r="AI97" s="128"/>
      <c r="AJ97" s="128"/>
    </row>
    <row r="98" ht="22.5" hidden="1" customHeight="1">
      <c r="A98" s="3"/>
      <c r="B98" s="3"/>
      <c r="C98" s="119"/>
      <c r="D98" s="108"/>
      <c r="E98" s="108"/>
      <c r="F98" s="108"/>
      <c r="G98" s="108"/>
      <c r="H98" s="108"/>
      <c r="I98" s="108"/>
      <c r="J98" s="110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14">
        <f t="shared" si="1"/>
        <v>0</v>
      </c>
      <c r="X98" s="108"/>
      <c r="Y98" s="108"/>
      <c r="Z98" s="116">
        <f t="shared" si="3"/>
        <v>0</v>
      </c>
      <c r="AA98" s="127"/>
      <c r="AB98" s="128"/>
      <c r="AC98" s="121">
        <f t="shared" si="2"/>
        <v>0</v>
      </c>
      <c r="AD98" s="128"/>
      <c r="AE98" s="128"/>
      <c r="AF98" s="128"/>
      <c r="AG98" s="128"/>
      <c r="AH98" s="128"/>
      <c r="AI98" s="128"/>
      <c r="AJ98" s="128"/>
    </row>
    <row r="99" ht="22.5" hidden="1" customHeight="1">
      <c r="A99" s="3"/>
      <c r="B99" s="3"/>
      <c r="C99" s="119"/>
      <c r="D99" s="108"/>
      <c r="E99" s="108"/>
      <c r="F99" s="108"/>
      <c r="G99" s="108"/>
      <c r="H99" s="108"/>
      <c r="I99" s="108"/>
      <c r="J99" s="110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14">
        <f t="shared" si="1"/>
        <v>0</v>
      </c>
      <c r="X99" s="108"/>
      <c r="Y99" s="108"/>
      <c r="Z99" s="116">
        <f t="shared" si="3"/>
        <v>0</v>
      </c>
      <c r="AA99" s="127"/>
      <c r="AB99" s="128"/>
      <c r="AC99" s="121">
        <f t="shared" si="2"/>
        <v>0</v>
      </c>
      <c r="AD99" s="128"/>
      <c r="AE99" s="128"/>
      <c r="AF99" s="128"/>
      <c r="AG99" s="128"/>
      <c r="AH99" s="128"/>
      <c r="AI99" s="128"/>
      <c r="AJ99" s="128"/>
    </row>
    <row r="100" ht="22.5" hidden="1" customHeight="1">
      <c r="A100" s="3"/>
      <c r="B100" s="3"/>
      <c r="C100" s="119"/>
      <c r="D100" s="108"/>
      <c r="E100" s="108"/>
      <c r="F100" s="108"/>
      <c r="G100" s="108"/>
      <c r="H100" s="108"/>
      <c r="I100" s="108"/>
      <c r="J100" s="110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14">
        <f t="shared" si="1"/>
        <v>0</v>
      </c>
      <c r="X100" s="108"/>
      <c r="Y100" s="108"/>
      <c r="Z100" s="116">
        <f t="shared" si="3"/>
        <v>0</v>
      </c>
      <c r="AA100" s="127"/>
      <c r="AB100" s="128"/>
      <c r="AC100" s="121">
        <f t="shared" si="2"/>
        <v>0</v>
      </c>
      <c r="AD100" s="128"/>
      <c r="AE100" s="128"/>
      <c r="AF100" s="128"/>
      <c r="AG100" s="128"/>
      <c r="AH100" s="128"/>
      <c r="AI100" s="128"/>
      <c r="AJ100" s="128"/>
    </row>
    <row r="101" ht="22.5" hidden="1" customHeight="1">
      <c r="A101" s="3"/>
      <c r="B101" s="3"/>
      <c r="C101" s="119"/>
      <c r="D101" s="108"/>
      <c r="E101" s="108"/>
      <c r="F101" s="108"/>
      <c r="G101" s="108"/>
      <c r="H101" s="108"/>
      <c r="I101" s="108"/>
      <c r="J101" s="110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14">
        <f t="shared" si="1"/>
        <v>0</v>
      </c>
      <c r="X101" s="108"/>
      <c r="Y101" s="108"/>
      <c r="Z101" s="116">
        <f t="shared" si="3"/>
        <v>0</v>
      </c>
      <c r="AA101" s="127"/>
      <c r="AB101" s="128"/>
      <c r="AC101" s="121">
        <f t="shared" si="2"/>
        <v>0</v>
      </c>
      <c r="AD101" s="128"/>
      <c r="AE101" s="128"/>
      <c r="AF101" s="128"/>
      <c r="AG101" s="128"/>
      <c r="AH101" s="128"/>
      <c r="AI101" s="128"/>
      <c r="AJ101" s="128"/>
    </row>
    <row r="102" ht="22.5" hidden="1" customHeight="1">
      <c r="A102" s="3"/>
      <c r="B102" s="3"/>
      <c r="C102" s="119"/>
      <c r="D102" s="108"/>
      <c r="E102" s="108"/>
      <c r="F102" s="108"/>
      <c r="G102" s="108"/>
      <c r="H102" s="108"/>
      <c r="I102" s="108"/>
      <c r="J102" s="110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14">
        <f t="shared" si="1"/>
        <v>0</v>
      </c>
      <c r="X102" s="108"/>
      <c r="Y102" s="108"/>
      <c r="Z102" s="116">
        <f t="shared" si="3"/>
        <v>0</v>
      </c>
      <c r="AA102" s="127"/>
      <c r="AB102" s="128"/>
      <c r="AC102" s="121">
        <f t="shared" si="2"/>
        <v>0</v>
      </c>
      <c r="AD102" s="128"/>
      <c r="AE102" s="128"/>
      <c r="AF102" s="128"/>
      <c r="AG102" s="128"/>
      <c r="AH102" s="128"/>
      <c r="AI102" s="128"/>
      <c r="AJ102" s="128"/>
    </row>
    <row r="103" ht="22.5" hidden="1" customHeight="1">
      <c r="A103" s="3"/>
      <c r="B103" s="3"/>
      <c r="C103" s="119"/>
      <c r="D103" s="108"/>
      <c r="E103" s="108"/>
      <c r="F103" s="108"/>
      <c r="G103" s="108"/>
      <c r="H103" s="108"/>
      <c r="I103" s="108"/>
      <c r="J103" s="110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14">
        <f t="shared" si="1"/>
        <v>0</v>
      </c>
      <c r="X103" s="108"/>
      <c r="Y103" s="108"/>
      <c r="Z103" s="116">
        <f t="shared" si="3"/>
        <v>0</v>
      </c>
      <c r="AA103" s="127"/>
      <c r="AB103" s="128"/>
      <c r="AC103" s="121">
        <f t="shared" si="2"/>
        <v>0</v>
      </c>
      <c r="AD103" s="128"/>
      <c r="AE103" s="128"/>
      <c r="AF103" s="128"/>
      <c r="AG103" s="128"/>
      <c r="AH103" s="128"/>
      <c r="AI103" s="128"/>
      <c r="AJ103" s="128"/>
    </row>
    <row r="104" ht="22.5" hidden="1" customHeight="1">
      <c r="A104" s="3"/>
      <c r="B104" s="3"/>
      <c r="C104" s="119"/>
      <c r="D104" s="108"/>
      <c r="E104" s="108"/>
      <c r="F104" s="108"/>
      <c r="G104" s="108"/>
      <c r="H104" s="108"/>
      <c r="I104" s="108"/>
      <c r="J104" s="110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14">
        <f t="shared" si="1"/>
        <v>0</v>
      </c>
      <c r="X104" s="108"/>
      <c r="Y104" s="108"/>
      <c r="Z104" s="116">
        <f t="shared" si="3"/>
        <v>0</v>
      </c>
      <c r="AA104" s="127"/>
      <c r="AB104" s="128"/>
      <c r="AC104" s="121">
        <f t="shared" si="2"/>
        <v>0</v>
      </c>
      <c r="AD104" s="128"/>
      <c r="AE104" s="128"/>
      <c r="AF104" s="128"/>
      <c r="AG104" s="128"/>
      <c r="AH104" s="128"/>
      <c r="AI104" s="128"/>
      <c r="AJ104" s="128"/>
    </row>
    <row r="105" ht="22.5" hidden="1" customHeight="1">
      <c r="A105" s="3"/>
      <c r="B105" s="3"/>
      <c r="C105" s="119"/>
      <c r="D105" s="108"/>
      <c r="E105" s="108"/>
      <c r="F105" s="108"/>
      <c r="G105" s="108"/>
      <c r="H105" s="108"/>
      <c r="I105" s="108"/>
      <c r="J105" s="110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14">
        <f t="shared" si="1"/>
        <v>0</v>
      </c>
      <c r="X105" s="108"/>
      <c r="Y105" s="108"/>
      <c r="Z105" s="116">
        <f t="shared" si="3"/>
        <v>0</v>
      </c>
      <c r="AA105" s="127"/>
      <c r="AB105" s="128"/>
      <c r="AC105" s="121">
        <f t="shared" si="2"/>
        <v>0</v>
      </c>
      <c r="AD105" s="128"/>
      <c r="AE105" s="128"/>
      <c r="AF105" s="128"/>
      <c r="AG105" s="128"/>
      <c r="AH105" s="128"/>
      <c r="AI105" s="128"/>
      <c r="AJ105" s="128"/>
    </row>
    <row r="106" ht="22.5" hidden="1" customHeight="1">
      <c r="A106" s="3"/>
      <c r="B106" s="3"/>
      <c r="C106" s="119"/>
      <c r="D106" s="108"/>
      <c r="E106" s="108"/>
      <c r="F106" s="108"/>
      <c r="G106" s="108"/>
      <c r="H106" s="108"/>
      <c r="I106" s="108"/>
      <c r="J106" s="110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14">
        <f t="shared" si="1"/>
        <v>0</v>
      </c>
      <c r="X106" s="108"/>
      <c r="Y106" s="108"/>
      <c r="Z106" s="116">
        <f t="shared" si="3"/>
        <v>0</v>
      </c>
      <c r="AA106" s="127"/>
      <c r="AB106" s="128"/>
      <c r="AC106" s="121">
        <f t="shared" si="2"/>
        <v>0</v>
      </c>
      <c r="AD106" s="128"/>
      <c r="AE106" s="128"/>
      <c r="AF106" s="128"/>
      <c r="AG106" s="128"/>
      <c r="AH106" s="128"/>
      <c r="AI106" s="128"/>
      <c r="AJ106" s="128"/>
    </row>
    <row r="107" ht="22.5" hidden="1" customHeight="1">
      <c r="A107" s="3"/>
      <c r="B107" s="3"/>
      <c r="C107" s="119"/>
      <c r="D107" s="108"/>
      <c r="E107" s="108"/>
      <c r="F107" s="108"/>
      <c r="G107" s="108"/>
      <c r="H107" s="108"/>
      <c r="I107" s="108"/>
      <c r="J107" s="110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14">
        <f t="shared" si="1"/>
        <v>0</v>
      </c>
      <c r="X107" s="108"/>
      <c r="Y107" s="108"/>
      <c r="Z107" s="116">
        <f t="shared" si="3"/>
        <v>0</v>
      </c>
      <c r="AA107" s="127"/>
      <c r="AB107" s="128"/>
      <c r="AC107" s="121">
        <f t="shared" si="2"/>
        <v>0</v>
      </c>
      <c r="AD107" s="128"/>
      <c r="AE107" s="128"/>
      <c r="AF107" s="128"/>
      <c r="AG107" s="128"/>
      <c r="AH107" s="128"/>
      <c r="AI107" s="128"/>
      <c r="AJ107" s="128"/>
    </row>
    <row r="108" ht="22.5" hidden="1" customHeight="1">
      <c r="A108" s="3"/>
      <c r="B108" s="3"/>
      <c r="C108" s="119"/>
      <c r="D108" s="108"/>
      <c r="E108" s="108"/>
      <c r="F108" s="108"/>
      <c r="G108" s="108"/>
      <c r="H108" s="108"/>
      <c r="I108" s="108"/>
      <c r="J108" s="110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14">
        <f t="shared" si="1"/>
        <v>0</v>
      </c>
      <c r="X108" s="108"/>
      <c r="Y108" s="108"/>
      <c r="Z108" s="116">
        <f t="shared" si="3"/>
        <v>0</v>
      </c>
      <c r="AA108" s="127"/>
      <c r="AB108" s="128"/>
      <c r="AC108" s="121">
        <f t="shared" si="2"/>
        <v>0</v>
      </c>
      <c r="AD108" s="128"/>
      <c r="AE108" s="128"/>
      <c r="AF108" s="128"/>
      <c r="AG108" s="128"/>
      <c r="AH108" s="128"/>
      <c r="AI108" s="128"/>
      <c r="AJ108" s="128"/>
    </row>
    <row r="109" ht="22.5" customHeight="1">
      <c r="A109" s="3"/>
      <c r="B109" s="3"/>
      <c r="C109" s="119"/>
      <c r="D109" s="108"/>
      <c r="E109" s="108"/>
      <c r="F109" s="108"/>
      <c r="G109" s="108"/>
      <c r="H109" s="108"/>
      <c r="I109" s="108"/>
      <c r="J109" s="110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14">
        <f t="shared" si="1"/>
        <v>0</v>
      </c>
      <c r="X109" s="108"/>
      <c r="Y109" s="108"/>
      <c r="Z109" s="116">
        <f t="shared" si="3"/>
        <v>0</v>
      </c>
      <c r="AA109" s="127"/>
      <c r="AB109" s="128"/>
      <c r="AC109" s="121">
        <f t="shared" si="2"/>
        <v>0</v>
      </c>
      <c r="AD109" s="128"/>
      <c r="AE109" s="128"/>
      <c r="AF109" s="128"/>
      <c r="AG109" s="128"/>
      <c r="AH109" s="128"/>
      <c r="AI109" s="128"/>
      <c r="AJ109" s="128"/>
    </row>
    <row r="110" ht="22.5" customHeight="1">
      <c r="A110" s="105" t="s">
        <v>119</v>
      </c>
      <c r="B110" s="105"/>
      <c r="C110" s="116"/>
      <c r="D110" s="116">
        <f t="shared" ref="D110:V110" si="5">SUM(D3:D109)</f>
        <v>200000</v>
      </c>
      <c r="E110" s="116">
        <f t="shared" si="5"/>
        <v>25000</v>
      </c>
      <c r="F110" s="116">
        <f t="shared" si="5"/>
        <v>25000</v>
      </c>
      <c r="G110" s="116">
        <f t="shared" si="5"/>
        <v>10000</v>
      </c>
      <c r="H110" s="116">
        <f t="shared" si="5"/>
        <v>50000</v>
      </c>
      <c r="I110" s="116">
        <f t="shared" si="5"/>
        <v>131890</v>
      </c>
      <c r="J110" s="129">
        <f t="shared" si="5"/>
        <v>-36810</v>
      </c>
      <c r="K110" s="116">
        <f t="shared" si="5"/>
        <v>30008</v>
      </c>
      <c r="L110" s="116">
        <f t="shared" si="5"/>
        <v>6789</v>
      </c>
      <c r="M110" s="116">
        <f t="shared" si="5"/>
        <v>40000</v>
      </c>
      <c r="N110" s="116">
        <f t="shared" si="5"/>
        <v>1500</v>
      </c>
      <c r="O110" s="116">
        <f t="shared" si="5"/>
        <v>0</v>
      </c>
      <c r="P110" s="116">
        <f t="shared" si="5"/>
        <v>0</v>
      </c>
      <c r="Q110" s="116">
        <f t="shared" si="5"/>
        <v>3386</v>
      </c>
      <c r="R110" s="116">
        <f t="shared" si="5"/>
        <v>0</v>
      </c>
      <c r="S110" s="116">
        <f t="shared" si="5"/>
        <v>0</v>
      </c>
      <c r="T110" s="116">
        <f t="shared" si="5"/>
        <v>16500</v>
      </c>
      <c r="U110" s="116">
        <f t="shared" si="5"/>
        <v>0</v>
      </c>
      <c r="V110" s="116">
        <f t="shared" si="5"/>
        <v>0</v>
      </c>
      <c r="W110" s="114">
        <f t="shared" si="1"/>
        <v>503263</v>
      </c>
      <c r="X110" s="116">
        <f t="shared" ref="X110:Z110" si="6">SUM(X3:X109)</f>
        <v>23872</v>
      </c>
      <c r="Y110" s="116">
        <f t="shared" si="6"/>
        <v>0</v>
      </c>
      <c r="Z110" s="116">
        <f t="shared" si="6"/>
        <v>527135</v>
      </c>
      <c r="AA110" s="117"/>
      <c r="AC110" s="123"/>
    </row>
    <row r="111" ht="15.75" customHeight="1">
      <c r="A111" s="106"/>
      <c r="B111" s="10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ht="15.75" customHeight="1">
      <c r="A112" s="106"/>
      <c r="B112" s="106"/>
      <c r="C112" s="117"/>
      <c r="D112" s="130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ht="15.75" customHeight="1">
      <c r="A113" s="106"/>
      <c r="B113" s="10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ht="15.75" customHeight="1">
      <c r="A114" s="106"/>
      <c r="B114" s="10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ht="15.75" customHeight="1">
      <c r="A115" s="106"/>
      <c r="B115" s="10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ht="15.75" customHeight="1">
      <c r="A116" s="106"/>
      <c r="B116" s="10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ht="15.75" customHeight="1">
      <c r="A117" s="106"/>
      <c r="B117" s="10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ht="15.75" customHeight="1">
      <c r="A118" s="106"/>
      <c r="B118" s="10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ht="15.75" customHeight="1">
      <c r="A119" s="106"/>
      <c r="B119" s="10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ht="15.75" customHeight="1">
      <c r="A120" s="106"/>
      <c r="B120" s="10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ht="15.75" customHeight="1">
      <c r="A121" s="106"/>
      <c r="B121" s="10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ht="15.75" customHeight="1">
      <c r="A122" s="106"/>
      <c r="B122" s="10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ht="15.75" customHeight="1">
      <c r="A123" s="106"/>
      <c r="B123" s="10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ht="15.75" customHeight="1">
      <c r="A124" s="106"/>
      <c r="B124" s="10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ht="15.75" customHeight="1">
      <c r="A125" s="106"/>
      <c r="B125" s="10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ht="15.75" customHeight="1">
      <c r="A126" s="106"/>
      <c r="B126" s="10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>
      <c r="A228" s="106"/>
      <c r="B228" s="106"/>
    </row>
    <row r="229" ht="15.75" customHeight="1">
      <c r="A229" s="106"/>
      <c r="B229" s="106"/>
    </row>
    <row r="230" ht="15.75" customHeight="1">
      <c r="A230" s="106"/>
      <c r="B230" s="106"/>
    </row>
    <row r="231" ht="15.75" customHeight="1">
      <c r="A231" s="106"/>
      <c r="B231" s="106"/>
    </row>
    <row r="232" ht="15.75" customHeight="1">
      <c r="A232" s="106"/>
      <c r="B232" s="106"/>
    </row>
    <row r="233" ht="15.75" customHeight="1">
      <c r="A233" s="106"/>
      <c r="B233" s="106"/>
    </row>
    <row r="234" ht="15.75" customHeight="1">
      <c r="A234" s="106"/>
      <c r="B234" s="106"/>
    </row>
    <row r="235" ht="15.75" customHeight="1">
      <c r="A235" s="106"/>
      <c r="B235" s="106"/>
    </row>
    <row r="236" ht="15.75" customHeight="1">
      <c r="A236" s="106"/>
      <c r="B236" s="106"/>
    </row>
    <row r="237" ht="15.75" customHeight="1">
      <c r="A237" s="106"/>
      <c r="B237" s="106"/>
    </row>
    <row r="238" ht="15.75" customHeight="1">
      <c r="A238" s="106"/>
      <c r="B238" s="106"/>
    </row>
    <row r="239" ht="15.75" customHeight="1">
      <c r="A239" s="106"/>
      <c r="B239" s="106"/>
    </row>
    <row r="240" ht="15.75" customHeight="1">
      <c r="A240" s="106"/>
      <c r="B240" s="106"/>
    </row>
    <row r="241" ht="15.75" customHeight="1">
      <c r="A241" s="106"/>
      <c r="B241" s="106"/>
    </row>
    <row r="242" ht="15.75" customHeight="1">
      <c r="A242" s="106"/>
      <c r="B242" s="106"/>
    </row>
    <row r="243" ht="15.75" customHeight="1">
      <c r="A243" s="106"/>
      <c r="B243" s="106"/>
    </row>
    <row r="244" ht="15.75" customHeight="1">
      <c r="A244" s="106"/>
      <c r="B244" s="106"/>
    </row>
    <row r="245" ht="15.75" customHeight="1">
      <c r="A245" s="106"/>
      <c r="B245" s="106"/>
    </row>
    <row r="246" ht="15.75" customHeight="1">
      <c r="A246" s="106"/>
      <c r="B246" s="106"/>
    </row>
    <row r="247" ht="15.75" customHeight="1">
      <c r="A247" s="106"/>
      <c r="B247" s="106"/>
    </row>
    <row r="248" ht="15.75" customHeight="1">
      <c r="A248" s="106"/>
      <c r="B248" s="106"/>
    </row>
    <row r="249" ht="15.75" customHeight="1">
      <c r="A249" s="106"/>
      <c r="B249" s="106"/>
    </row>
    <row r="250" ht="15.75" customHeight="1">
      <c r="A250" s="106"/>
      <c r="B250" s="106"/>
    </row>
    <row r="251" ht="15.75" customHeight="1">
      <c r="A251" s="106"/>
      <c r="B251" s="106"/>
    </row>
    <row r="252" ht="15.75" customHeight="1">
      <c r="A252" s="106"/>
      <c r="B252" s="106"/>
    </row>
    <row r="253" ht="15.75" customHeight="1">
      <c r="A253" s="106"/>
      <c r="B253" s="106"/>
    </row>
    <row r="254" ht="15.75" customHeight="1">
      <c r="A254" s="106"/>
      <c r="B254" s="106"/>
    </row>
    <row r="255" ht="15.75" customHeight="1">
      <c r="A255" s="106"/>
      <c r="B255" s="106"/>
    </row>
    <row r="256" ht="15.75" customHeight="1">
      <c r="A256" s="106"/>
      <c r="B256" s="106"/>
    </row>
    <row r="257" ht="15.75" customHeight="1">
      <c r="A257" s="106"/>
      <c r="B257" s="106"/>
    </row>
    <row r="258" ht="15.75" customHeight="1">
      <c r="A258" s="106"/>
      <c r="B258" s="106"/>
    </row>
    <row r="259" ht="15.75" customHeight="1">
      <c r="A259" s="106"/>
      <c r="B259" s="106"/>
    </row>
    <row r="260" ht="15.75" customHeight="1">
      <c r="A260" s="106"/>
      <c r="B260" s="106"/>
    </row>
    <row r="261" ht="15.75" customHeight="1">
      <c r="A261" s="106"/>
      <c r="B261" s="106"/>
    </row>
    <row r="262" ht="15.75" customHeight="1">
      <c r="A262" s="106"/>
      <c r="B262" s="106"/>
    </row>
    <row r="263" ht="15.75" customHeight="1">
      <c r="A263" s="106"/>
      <c r="B263" s="106"/>
    </row>
    <row r="264" ht="15.75" customHeight="1">
      <c r="A264" s="106"/>
      <c r="B264" s="106"/>
    </row>
    <row r="265" ht="15.75" customHeight="1">
      <c r="A265" s="106"/>
      <c r="B265" s="106"/>
    </row>
    <row r="266" ht="15.75" customHeight="1">
      <c r="A266" s="106"/>
      <c r="B266" s="106"/>
    </row>
    <row r="267" ht="15.75" customHeight="1">
      <c r="A267" s="106"/>
      <c r="B267" s="106"/>
    </row>
    <row r="268" ht="15.75" customHeight="1">
      <c r="A268" s="106"/>
      <c r="B268" s="106"/>
    </row>
    <row r="269" ht="15.75" customHeight="1">
      <c r="A269" s="106"/>
      <c r="B269" s="106"/>
    </row>
    <row r="270" ht="15.75" customHeight="1">
      <c r="A270" s="106"/>
      <c r="B270" s="106"/>
    </row>
    <row r="271" ht="15.75" customHeight="1">
      <c r="A271" s="106"/>
      <c r="B271" s="106"/>
    </row>
    <row r="272" ht="15.75" customHeight="1">
      <c r="A272" s="106"/>
      <c r="B272" s="106"/>
    </row>
    <row r="273" ht="15.75" customHeight="1">
      <c r="A273" s="106"/>
      <c r="B273" s="106"/>
    </row>
    <row r="274" ht="15.75" customHeight="1">
      <c r="A274" s="106"/>
      <c r="B274" s="106"/>
    </row>
    <row r="275" ht="15.75" customHeight="1">
      <c r="A275" s="106"/>
      <c r="B275" s="106"/>
    </row>
    <row r="276" ht="15.75" customHeight="1">
      <c r="A276" s="106"/>
      <c r="B276" s="106"/>
    </row>
    <row r="277" ht="15.75" customHeight="1">
      <c r="A277" s="106"/>
      <c r="B277" s="106"/>
    </row>
    <row r="278" ht="15.75" customHeight="1">
      <c r="A278" s="106"/>
      <c r="B278" s="106"/>
    </row>
    <row r="279" ht="15.75" customHeight="1">
      <c r="A279" s="106"/>
      <c r="B279" s="106"/>
    </row>
    <row r="280" ht="15.75" customHeight="1">
      <c r="A280" s="106"/>
      <c r="B280" s="106"/>
    </row>
    <row r="281" ht="15.75" customHeight="1">
      <c r="A281" s="106"/>
      <c r="B281" s="106"/>
    </row>
    <row r="282" ht="15.75" customHeight="1">
      <c r="A282" s="106"/>
      <c r="B282" s="106"/>
    </row>
    <row r="283" ht="15.75" customHeight="1">
      <c r="A283" s="106"/>
      <c r="B283" s="106"/>
    </row>
    <row r="284" ht="15.75" customHeight="1">
      <c r="A284" s="106"/>
      <c r="B284" s="106"/>
    </row>
    <row r="285" ht="15.75" customHeight="1">
      <c r="A285" s="106"/>
      <c r="B285" s="106"/>
    </row>
    <row r="286" ht="15.75" customHeight="1">
      <c r="A286" s="106"/>
      <c r="B286" s="106"/>
    </row>
    <row r="287" ht="15.75" customHeight="1">
      <c r="A287" s="106"/>
      <c r="B287" s="106"/>
    </row>
    <row r="288" ht="15.75" customHeight="1">
      <c r="A288" s="106"/>
      <c r="B288" s="106"/>
    </row>
    <row r="289" ht="15.75" customHeight="1">
      <c r="A289" s="106"/>
      <c r="B289" s="106"/>
    </row>
    <row r="290" ht="15.75" customHeight="1">
      <c r="A290" s="106"/>
      <c r="B290" s="106"/>
    </row>
    <row r="291" ht="15.75" customHeight="1">
      <c r="A291" s="106"/>
      <c r="B291" s="106"/>
    </row>
    <row r="292" ht="15.75" customHeight="1">
      <c r="A292" s="106"/>
      <c r="B292" s="106"/>
    </row>
    <row r="293" ht="15.75" customHeight="1">
      <c r="A293" s="106"/>
      <c r="B293" s="106"/>
    </row>
    <row r="294" ht="15.75" customHeight="1">
      <c r="A294" s="106"/>
      <c r="B294" s="106"/>
    </row>
    <row r="295" ht="15.75" customHeight="1">
      <c r="A295" s="106"/>
      <c r="B295" s="106"/>
    </row>
    <row r="296" ht="15.75" customHeight="1">
      <c r="A296" s="106"/>
      <c r="B296" s="106"/>
    </row>
    <row r="297" ht="15.75" customHeight="1">
      <c r="A297" s="106"/>
      <c r="B297" s="106"/>
    </row>
    <row r="298" ht="15.75" customHeight="1">
      <c r="A298" s="106"/>
      <c r="B298" s="106"/>
    </row>
    <row r="299" ht="15.75" customHeight="1">
      <c r="A299" s="106"/>
      <c r="B299" s="106"/>
    </row>
    <row r="300" ht="15.75" customHeight="1">
      <c r="A300" s="106"/>
      <c r="B300" s="106"/>
    </row>
    <row r="301" ht="15.75" customHeight="1">
      <c r="A301" s="106"/>
      <c r="B301" s="106"/>
    </row>
    <row r="302" ht="15.75" customHeight="1">
      <c r="A302" s="106"/>
      <c r="B302" s="106"/>
    </row>
    <row r="303" ht="15.75" customHeight="1">
      <c r="A303" s="106"/>
      <c r="B303" s="106"/>
    </row>
    <row r="304" ht="15.75" customHeight="1">
      <c r="A304" s="106"/>
      <c r="B304" s="106"/>
    </row>
    <row r="305" ht="15.75" customHeight="1">
      <c r="A305" s="106"/>
      <c r="B305" s="106"/>
    </row>
    <row r="306" ht="15.75" customHeight="1">
      <c r="A306" s="106"/>
      <c r="B306" s="106"/>
    </row>
    <row r="307" ht="15.75" customHeight="1">
      <c r="A307" s="106"/>
      <c r="B307" s="106"/>
    </row>
    <row r="308" ht="15.75" customHeight="1">
      <c r="A308" s="106"/>
      <c r="B308" s="106"/>
    </row>
    <row r="309" ht="15.75" customHeight="1">
      <c r="A309" s="106"/>
      <c r="B309" s="106"/>
    </row>
    <row r="310" ht="15.75" customHeight="1">
      <c r="A310" s="106"/>
      <c r="B310" s="10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2" width="10.75"/>
    <col customWidth="1" min="23" max="23" width="10.63"/>
    <col customWidth="1" min="24" max="24" width="13.63"/>
  </cols>
  <sheetData>
    <row r="1" ht="15.75" customHeight="1">
      <c r="A1" s="98">
        <v>45869.0</v>
      </c>
      <c r="C1" s="58"/>
      <c r="D1" s="58"/>
    </row>
    <row r="2" ht="22.5" customHeight="1">
      <c r="A2" s="1" t="s">
        <v>0</v>
      </c>
      <c r="B2" s="1" t="s">
        <v>1</v>
      </c>
      <c r="C2" s="1" t="s">
        <v>133</v>
      </c>
      <c r="D2" s="101" t="s">
        <v>134</v>
      </c>
      <c r="E2" s="101" t="s">
        <v>135</v>
      </c>
      <c r="F2" s="101" t="s">
        <v>136</v>
      </c>
      <c r="G2" s="101" t="s">
        <v>137</v>
      </c>
      <c r="H2" s="3" t="s">
        <v>103</v>
      </c>
      <c r="I2" s="1" t="s">
        <v>104</v>
      </c>
      <c r="J2" s="1" t="s">
        <v>106</v>
      </c>
      <c r="K2" s="1" t="s">
        <v>107</v>
      </c>
      <c r="L2" s="1" t="s">
        <v>111</v>
      </c>
      <c r="M2" s="1" t="s">
        <v>138</v>
      </c>
      <c r="N2" s="1" t="s">
        <v>139</v>
      </c>
      <c r="O2" s="1" t="s">
        <v>140</v>
      </c>
      <c r="P2" s="1" t="s">
        <v>108</v>
      </c>
      <c r="Q2" s="135" t="s">
        <v>114</v>
      </c>
      <c r="R2" s="135" t="s">
        <v>109</v>
      </c>
      <c r="S2" s="135" t="s">
        <v>141</v>
      </c>
      <c r="T2" s="101" t="s">
        <v>142</v>
      </c>
      <c r="U2" s="135" t="s">
        <v>115</v>
      </c>
      <c r="V2" s="105" t="s">
        <v>119</v>
      </c>
      <c r="W2" s="106" t="s">
        <v>28</v>
      </c>
      <c r="X2" s="136" t="s">
        <v>120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ht="22.5" customHeight="1">
      <c r="A3" s="1">
        <v>608.0</v>
      </c>
      <c r="B3" s="1"/>
      <c r="C3" s="118"/>
      <c r="D3" s="118"/>
      <c r="E3" s="118"/>
      <c r="F3" s="118"/>
      <c r="G3" s="11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15"/>
      <c r="V3" s="116">
        <f t="shared" ref="V3:V27" si="1">SUM(D3:U3)</f>
        <v>0</v>
      </c>
      <c r="W3" s="117"/>
      <c r="X3" s="58"/>
    </row>
    <row r="4" ht="22.5" customHeight="1">
      <c r="A4" s="1">
        <v>703.0</v>
      </c>
      <c r="B4" s="1"/>
      <c r="C4" s="118"/>
      <c r="D4" s="118"/>
      <c r="E4" s="118"/>
      <c r="F4" s="118"/>
      <c r="G4" s="11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15"/>
      <c r="V4" s="116">
        <f t="shared" si="1"/>
        <v>0</v>
      </c>
      <c r="W4" s="117"/>
      <c r="X4" s="58"/>
    </row>
    <row r="5" ht="22.5" customHeight="1">
      <c r="A5" s="1">
        <v>801.0</v>
      </c>
      <c r="B5" s="1" t="s">
        <v>10</v>
      </c>
      <c r="C5" s="108">
        <v>160000.0</v>
      </c>
      <c r="D5" s="118">
        <v>40000.0</v>
      </c>
      <c r="E5" s="118">
        <v>5000.0</v>
      </c>
      <c r="F5" s="118">
        <v>5000.0</v>
      </c>
      <c r="G5" s="118">
        <v>2000.0</v>
      </c>
      <c r="H5" s="108">
        <v>10000.0</v>
      </c>
      <c r="I5" s="108">
        <v>20570.0</v>
      </c>
      <c r="J5" s="108"/>
      <c r="K5" s="108"/>
      <c r="L5" s="108"/>
      <c r="M5" s="108"/>
      <c r="N5" s="108"/>
      <c r="O5" s="108"/>
      <c r="P5" s="108">
        <v>10000.0</v>
      </c>
      <c r="Q5" s="108"/>
      <c r="R5" s="108"/>
      <c r="S5" s="108"/>
      <c r="T5" s="108">
        <v>0.0</v>
      </c>
      <c r="U5" s="115"/>
      <c r="V5" s="116">
        <f t="shared" si="1"/>
        <v>92570</v>
      </c>
      <c r="W5" s="117" t="s">
        <v>131</v>
      </c>
      <c r="X5" s="100" t="s">
        <v>143</v>
      </c>
      <c r="Y5" s="137" t="s">
        <v>144</v>
      </c>
    </row>
    <row r="6" ht="22.5" customHeight="1">
      <c r="A6" s="1">
        <v>813.0</v>
      </c>
      <c r="B6" s="1"/>
      <c r="C6" s="118"/>
      <c r="D6" s="118"/>
      <c r="E6" s="118"/>
      <c r="F6" s="118"/>
      <c r="G6" s="11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15"/>
      <c r="V6" s="116">
        <f t="shared" si="1"/>
        <v>0</v>
      </c>
      <c r="W6" s="117"/>
      <c r="X6" s="58"/>
    </row>
    <row r="7" ht="22.5" customHeight="1">
      <c r="A7" s="1">
        <v>906.0</v>
      </c>
      <c r="B7" s="1"/>
      <c r="C7" s="118"/>
      <c r="D7" s="118"/>
      <c r="E7" s="118"/>
      <c r="F7" s="118"/>
      <c r="G7" s="11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18"/>
      <c r="V7" s="116">
        <f t="shared" si="1"/>
        <v>0</v>
      </c>
      <c r="W7" s="117"/>
      <c r="X7" s="58"/>
    </row>
    <row r="8" ht="22.5" customHeight="1">
      <c r="A8" s="1">
        <v>913.0</v>
      </c>
      <c r="B8" s="1" t="s">
        <v>6</v>
      </c>
      <c r="C8" s="138">
        <v>219000.0</v>
      </c>
      <c r="D8" s="118">
        <v>40000.0</v>
      </c>
      <c r="E8" s="118">
        <v>5000.0</v>
      </c>
      <c r="F8" s="118">
        <v>5000.0</v>
      </c>
      <c r="G8" s="118">
        <v>2000.0</v>
      </c>
      <c r="H8" s="108">
        <v>10000.0</v>
      </c>
      <c r="I8" s="108">
        <v>27100.0</v>
      </c>
      <c r="J8" s="108">
        <f>363*25</f>
        <v>9075</v>
      </c>
      <c r="K8" s="108">
        <f>73*25</f>
        <v>1825</v>
      </c>
      <c r="L8" s="108"/>
      <c r="M8" s="108"/>
      <c r="N8" s="139"/>
      <c r="O8" s="139"/>
      <c r="P8" s="108">
        <v>10000.0</v>
      </c>
      <c r="Q8" s="108">
        <v>0.0</v>
      </c>
      <c r="R8" s="108"/>
      <c r="S8" s="108"/>
      <c r="T8" s="108">
        <v>0.0</v>
      </c>
      <c r="U8" s="118"/>
      <c r="V8" s="116">
        <f t="shared" si="1"/>
        <v>110000</v>
      </c>
      <c r="W8" s="117" t="s">
        <v>128</v>
      </c>
      <c r="X8" s="100" t="s">
        <v>145</v>
      </c>
      <c r="Y8" s="137" t="s">
        <v>97</v>
      </c>
    </row>
    <row r="9" ht="22.5" customHeight="1">
      <c r="A9" s="1">
        <v>1005.0</v>
      </c>
      <c r="B9" s="1"/>
      <c r="C9" s="118"/>
      <c r="D9" s="118"/>
      <c r="E9" s="118"/>
      <c r="F9" s="118"/>
      <c r="G9" s="11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15"/>
      <c r="V9" s="116">
        <f t="shared" si="1"/>
        <v>0</v>
      </c>
      <c r="W9" s="117"/>
      <c r="X9" s="58"/>
    </row>
    <row r="10" ht="22.5" customHeight="1">
      <c r="A10" s="1">
        <v>1006.0</v>
      </c>
      <c r="B10" s="1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18"/>
      <c r="V10" s="116">
        <f t="shared" si="1"/>
        <v>0</v>
      </c>
      <c r="W10" s="117"/>
      <c r="X10" s="58"/>
    </row>
    <row r="11" ht="22.5" customHeight="1">
      <c r="A11" s="1">
        <v>1012.0</v>
      </c>
      <c r="B11" s="1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15"/>
      <c r="V11" s="116">
        <f t="shared" si="1"/>
        <v>0</v>
      </c>
      <c r="W11" s="117"/>
      <c r="X11" s="58"/>
    </row>
    <row r="12" ht="22.5" customHeight="1">
      <c r="A12" s="1">
        <v>915.0</v>
      </c>
      <c r="B12" s="1" t="s">
        <v>7</v>
      </c>
      <c r="C12" s="108">
        <v>160000.0</v>
      </c>
      <c r="D12" s="118">
        <v>40000.0</v>
      </c>
      <c r="E12" s="118">
        <v>5000.0</v>
      </c>
      <c r="F12" s="118">
        <v>5000.0</v>
      </c>
      <c r="G12" s="118">
        <v>2000.0</v>
      </c>
      <c r="H12" s="108"/>
      <c r="I12" s="108">
        <v>2530.0</v>
      </c>
      <c r="J12" s="108"/>
      <c r="K12" s="108"/>
      <c r="L12" s="108"/>
      <c r="M12" s="108"/>
      <c r="N12" s="108"/>
      <c r="O12" s="108"/>
      <c r="P12" s="108">
        <v>10000.0</v>
      </c>
      <c r="Q12" s="108"/>
      <c r="R12" s="108"/>
      <c r="S12" s="108"/>
      <c r="T12" s="108"/>
      <c r="U12" s="115"/>
      <c r="V12" s="116">
        <f t="shared" si="1"/>
        <v>64530</v>
      </c>
      <c r="W12" s="117" t="s">
        <v>146</v>
      </c>
      <c r="X12" s="58" t="s">
        <v>122</v>
      </c>
      <c r="Y12" s="137" t="s">
        <v>144</v>
      </c>
    </row>
    <row r="13" ht="22.5" customHeight="1">
      <c r="A13" s="1"/>
      <c r="B13" s="1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18"/>
      <c r="V13" s="116">
        <f t="shared" si="1"/>
        <v>0</v>
      </c>
      <c r="W13" s="117"/>
      <c r="X13" s="58"/>
    </row>
    <row r="14" ht="22.5" customHeight="1">
      <c r="A14" s="1"/>
      <c r="B14" s="1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18"/>
      <c r="V14" s="116">
        <f t="shared" si="1"/>
        <v>0</v>
      </c>
      <c r="W14" s="117"/>
      <c r="X14" s="58"/>
    </row>
    <row r="15" ht="22.5" customHeight="1">
      <c r="A15" s="1"/>
      <c r="B15" s="1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18"/>
      <c r="V15" s="116">
        <f t="shared" si="1"/>
        <v>0</v>
      </c>
      <c r="W15" s="117"/>
      <c r="X15" s="58"/>
    </row>
    <row r="16" ht="22.5" customHeight="1">
      <c r="A16" s="1"/>
      <c r="B16" s="1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18"/>
      <c r="V16" s="116">
        <f t="shared" si="1"/>
        <v>0</v>
      </c>
      <c r="W16" s="117"/>
      <c r="X16" s="58"/>
    </row>
    <row r="17" ht="22.5" customHeight="1">
      <c r="A17" s="1"/>
      <c r="B17" s="1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18"/>
      <c r="V17" s="116">
        <f t="shared" si="1"/>
        <v>0</v>
      </c>
      <c r="W17" s="117"/>
      <c r="X17" s="58"/>
    </row>
    <row r="18" ht="22.5" customHeight="1">
      <c r="A18" s="1"/>
      <c r="B18" s="1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18"/>
      <c r="V18" s="116">
        <f t="shared" si="1"/>
        <v>0</v>
      </c>
      <c r="W18" s="117"/>
      <c r="X18" s="58"/>
    </row>
    <row r="19" ht="22.5" customHeight="1">
      <c r="A19" s="1"/>
      <c r="B19" s="1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18"/>
      <c r="V19" s="116">
        <f t="shared" si="1"/>
        <v>0</v>
      </c>
      <c r="W19" s="117"/>
      <c r="X19" s="58"/>
    </row>
    <row r="20" ht="22.5" customHeight="1">
      <c r="A20" s="1"/>
      <c r="B20" s="1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18"/>
      <c r="V20" s="116">
        <f t="shared" si="1"/>
        <v>0</v>
      </c>
      <c r="W20" s="117"/>
      <c r="X20" s="58"/>
    </row>
    <row r="21" ht="22.5" customHeight="1">
      <c r="A21" s="1"/>
      <c r="B21" s="1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18"/>
      <c r="V21" s="116">
        <f t="shared" si="1"/>
        <v>0</v>
      </c>
      <c r="W21" s="117"/>
      <c r="X21" s="58"/>
    </row>
    <row r="22" ht="22.5" customHeight="1">
      <c r="A22" s="1"/>
      <c r="B22" s="1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18"/>
      <c r="V22" s="116">
        <f t="shared" si="1"/>
        <v>0</v>
      </c>
      <c r="W22" s="117"/>
      <c r="X22" s="58"/>
    </row>
    <row r="23" ht="22.5" customHeight="1">
      <c r="A23" s="1"/>
      <c r="B23" s="1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18"/>
      <c r="V23" s="116">
        <f t="shared" si="1"/>
        <v>0</v>
      </c>
      <c r="W23" s="117"/>
      <c r="X23" s="58"/>
    </row>
    <row r="24" ht="22.5" customHeight="1">
      <c r="A24" s="1"/>
      <c r="B24" s="1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18"/>
      <c r="V24" s="116">
        <f t="shared" si="1"/>
        <v>0</v>
      </c>
      <c r="W24" s="117"/>
      <c r="X24" s="58"/>
    </row>
    <row r="25" ht="22.5" customHeight="1">
      <c r="A25" s="1"/>
      <c r="B25" s="1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39"/>
      <c r="O25" s="139"/>
      <c r="P25" s="108"/>
      <c r="Q25" s="108"/>
      <c r="R25" s="108"/>
      <c r="S25" s="108"/>
      <c r="T25" s="108"/>
      <c r="U25" s="118"/>
      <c r="V25" s="116">
        <f t="shared" si="1"/>
        <v>0</v>
      </c>
      <c r="W25" s="117"/>
      <c r="X25" s="58"/>
    </row>
    <row r="26" ht="22.5" customHeight="1">
      <c r="A26" s="1"/>
      <c r="B26" s="1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18"/>
      <c r="V26" s="116">
        <f t="shared" si="1"/>
        <v>0</v>
      </c>
      <c r="W26" s="117"/>
      <c r="X26" s="58"/>
    </row>
    <row r="27" ht="22.5" customHeight="1">
      <c r="A27" s="105" t="s">
        <v>119</v>
      </c>
      <c r="B27" s="105"/>
      <c r="C27" s="116"/>
      <c r="D27" s="116">
        <f t="shared" ref="D27:U27" si="2">SUM(D3:D26)</f>
        <v>120000</v>
      </c>
      <c r="E27" s="116">
        <f t="shared" si="2"/>
        <v>15000</v>
      </c>
      <c r="F27" s="116">
        <f t="shared" si="2"/>
        <v>15000</v>
      </c>
      <c r="G27" s="116">
        <f t="shared" si="2"/>
        <v>6000</v>
      </c>
      <c r="H27" s="116">
        <f t="shared" si="2"/>
        <v>20000</v>
      </c>
      <c r="I27" s="116">
        <f t="shared" si="2"/>
        <v>50200</v>
      </c>
      <c r="J27" s="116">
        <f t="shared" si="2"/>
        <v>9075</v>
      </c>
      <c r="K27" s="116">
        <f t="shared" si="2"/>
        <v>1825</v>
      </c>
      <c r="L27" s="116">
        <f t="shared" si="2"/>
        <v>0</v>
      </c>
      <c r="M27" s="116">
        <f t="shared" si="2"/>
        <v>0</v>
      </c>
      <c r="N27" s="116">
        <f t="shared" si="2"/>
        <v>0</v>
      </c>
      <c r="O27" s="116">
        <f t="shared" si="2"/>
        <v>0</v>
      </c>
      <c r="P27" s="116">
        <f t="shared" si="2"/>
        <v>30000</v>
      </c>
      <c r="Q27" s="116">
        <f t="shared" si="2"/>
        <v>0</v>
      </c>
      <c r="R27" s="116">
        <f t="shared" si="2"/>
        <v>0</v>
      </c>
      <c r="S27" s="116">
        <f t="shared" si="2"/>
        <v>0</v>
      </c>
      <c r="T27" s="116">
        <f t="shared" si="2"/>
        <v>0</v>
      </c>
      <c r="U27" s="116">
        <f t="shared" si="2"/>
        <v>0</v>
      </c>
      <c r="V27" s="116">
        <f t="shared" si="1"/>
        <v>267100</v>
      </c>
      <c r="W27" s="117"/>
    </row>
    <row r="28" ht="15.75" customHeight="1">
      <c r="A28" s="106"/>
      <c r="B28" s="10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</row>
    <row r="29" ht="15.75" customHeight="1">
      <c r="A29" s="106"/>
      <c r="B29" s="10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</row>
    <row r="30" ht="15.75" customHeight="1">
      <c r="A30" s="106"/>
      <c r="B30" s="10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</row>
    <row r="31" ht="15.75" customHeight="1">
      <c r="A31" s="106"/>
      <c r="B31" s="106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</row>
    <row r="32" ht="15.75" customHeight="1">
      <c r="A32" s="106"/>
      <c r="B32" s="10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</row>
    <row r="33" ht="15.75" customHeight="1">
      <c r="A33" s="106"/>
      <c r="B33" s="106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</row>
    <row r="34" ht="15.75" customHeight="1">
      <c r="A34" s="106"/>
      <c r="B34" s="10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</row>
    <row r="35" ht="15.75" customHeight="1">
      <c r="A35" s="106"/>
      <c r="B35" s="106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</row>
    <row r="36" ht="15.75" customHeight="1">
      <c r="A36" s="106"/>
      <c r="B36" s="106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</row>
    <row r="37" ht="15.75" customHeight="1">
      <c r="A37" s="106"/>
      <c r="B37" s="10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</row>
    <row r="38" ht="15.75" customHeight="1">
      <c r="A38" s="106"/>
      <c r="B38" s="106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</row>
    <row r="39" ht="15.75" customHeight="1">
      <c r="A39" s="106"/>
      <c r="B39" s="106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</row>
    <row r="40" ht="15.75" customHeight="1">
      <c r="A40" s="106"/>
      <c r="B40" s="106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</row>
    <row r="41" ht="15.75" customHeight="1">
      <c r="A41" s="106"/>
      <c r="B41" s="106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</row>
    <row r="42" ht="15.75" customHeight="1">
      <c r="A42" s="106"/>
      <c r="B42" s="106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</row>
    <row r="43" ht="15.75" customHeight="1">
      <c r="A43" s="106"/>
      <c r="B43" s="106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</row>
    <row r="44" ht="15.75" customHeight="1">
      <c r="A44" s="106"/>
      <c r="B44" s="106"/>
    </row>
    <row r="45" ht="15.75" customHeight="1">
      <c r="A45" s="106"/>
      <c r="B45" s="106"/>
    </row>
    <row r="46" ht="15.75" customHeight="1">
      <c r="A46" s="106"/>
      <c r="B46" s="106"/>
    </row>
    <row r="47" ht="15.75" customHeight="1">
      <c r="A47" s="106"/>
      <c r="B47" s="106"/>
    </row>
    <row r="48" ht="15.75" customHeight="1">
      <c r="A48" s="106"/>
      <c r="B48" s="106"/>
    </row>
    <row r="49" ht="15.75" customHeight="1">
      <c r="A49" s="106"/>
      <c r="B49" s="106"/>
    </row>
    <row r="50" ht="15.75" customHeight="1">
      <c r="A50" s="106"/>
      <c r="B50" s="106"/>
    </row>
    <row r="51" ht="15.75" customHeight="1">
      <c r="A51" s="106"/>
      <c r="B51" s="106"/>
    </row>
    <row r="52" ht="15.75" customHeight="1">
      <c r="A52" s="106"/>
      <c r="B52" s="106"/>
    </row>
    <row r="53" ht="15.75" customHeight="1">
      <c r="A53" s="106"/>
      <c r="B53" s="106"/>
    </row>
    <row r="54" ht="15.75" customHeight="1">
      <c r="A54" s="106"/>
      <c r="B54" s="106"/>
    </row>
    <row r="55" ht="15.75" customHeight="1">
      <c r="A55" s="106"/>
      <c r="B55" s="106"/>
    </row>
    <row r="56" ht="15.75" customHeight="1">
      <c r="A56" s="106"/>
      <c r="B56" s="106"/>
    </row>
    <row r="57" ht="15.75" customHeight="1">
      <c r="A57" s="106"/>
      <c r="B57" s="106"/>
    </row>
    <row r="58" ht="15.75" customHeight="1">
      <c r="A58" s="106"/>
      <c r="B58" s="106"/>
    </row>
    <row r="59" ht="15.75" customHeight="1">
      <c r="A59" s="106"/>
      <c r="B59" s="106"/>
    </row>
    <row r="60" ht="15.75" customHeight="1">
      <c r="A60" s="106"/>
      <c r="B60" s="106"/>
    </row>
    <row r="61" ht="15.75" customHeight="1">
      <c r="A61" s="106"/>
      <c r="B61" s="106"/>
    </row>
    <row r="62" ht="15.75" customHeight="1">
      <c r="A62" s="106"/>
      <c r="B62" s="106"/>
    </row>
    <row r="63" ht="15.75" customHeight="1">
      <c r="A63" s="106"/>
      <c r="B63" s="106"/>
    </row>
    <row r="64" ht="15.75" customHeight="1">
      <c r="A64" s="106"/>
      <c r="B64" s="106"/>
    </row>
    <row r="65" ht="15.75" customHeight="1">
      <c r="A65" s="106"/>
      <c r="B65" s="106"/>
    </row>
    <row r="66" ht="15.75" customHeight="1">
      <c r="A66" s="106"/>
      <c r="B66" s="106"/>
    </row>
    <row r="67" ht="15.75" customHeight="1">
      <c r="A67" s="106"/>
      <c r="B67" s="106"/>
    </row>
    <row r="68" ht="15.75" customHeight="1">
      <c r="A68" s="106"/>
      <c r="B68" s="106"/>
    </row>
    <row r="69" ht="15.75" customHeight="1">
      <c r="A69" s="106"/>
      <c r="B69" s="106"/>
    </row>
    <row r="70" ht="15.75" customHeight="1">
      <c r="A70" s="106"/>
      <c r="B70" s="106"/>
    </row>
    <row r="71" ht="15.75" customHeight="1">
      <c r="A71" s="106"/>
      <c r="B71" s="106"/>
    </row>
    <row r="72" ht="15.75" customHeight="1">
      <c r="A72" s="106"/>
      <c r="B72" s="106"/>
    </row>
    <row r="73" ht="15.75" customHeight="1">
      <c r="A73" s="106"/>
      <c r="B73" s="106"/>
    </row>
    <row r="74" ht="15.75" customHeight="1">
      <c r="A74" s="106"/>
      <c r="B74" s="106"/>
    </row>
    <row r="75" ht="15.75" customHeight="1">
      <c r="A75" s="106"/>
      <c r="B75" s="106"/>
    </row>
    <row r="76" ht="15.75" customHeight="1">
      <c r="A76" s="106"/>
      <c r="B76" s="106"/>
    </row>
    <row r="77" ht="15.75" customHeight="1">
      <c r="A77" s="106"/>
      <c r="B77" s="106"/>
    </row>
    <row r="78" ht="15.75" customHeight="1">
      <c r="A78" s="106"/>
      <c r="B78" s="106"/>
    </row>
    <row r="79" ht="15.75" customHeight="1">
      <c r="A79" s="106"/>
      <c r="B79" s="106"/>
    </row>
    <row r="80" ht="15.75" customHeight="1">
      <c r="A80" s="106"/>
      <c r="B80" s="106"/>
    </row>
    <row r="81" ht="15.75" customHeight="1">
      <c r="A81" s="106"/>
      <c r="B81" s="106"/>
    </row>
    <row r="82" ht="15.75" customHeight="1">
      <c r="A82" s="106"/>
      <c r="B82" s="106"/>
    </row>
    <row r="83" ht="15.75" customHeight="1">
      <c r="A83" s="106"/>
      <c r="B83" s="106"/>
    </row>
    <row r="84" ht="15.75" customHeight="1">
      <c r="A84" s="106"/>
      <c r="B84" s="106"/>
    </row>
    <row r="85" ht="15.75" customHeight="1">
      <c r="A85" s="106"/>
      <c r="B85" s="106"/>
    </row>
    <row r="86" ht="15.75" customHeight="1">
      <c r="A86" s="106"/>
      <c r="B86" s="106"/>
    </row>
    <row r="87" ht="15.75" customHeight="1">
      <c r="A87" s="106"/>
      <c r="B87" s="106"/>
    </row>
    <row r="88" ht="15.75" customHeight="1">
      <c r="A88" s="106"/>
      <c r="B88" s="106"/>
    </row>
    <row r="89" ht="15.75" customHeight="1">
      <c r="A89" s="106"/>
      <c r="B89" s="106"/>
    </row>
    <row r="90" ht="15.75" customHeight="1">
      <c r="A90" s="106"/>
      <c r="B90" s="106"/>
    </row>
    <row r="91" ht="15.75" customHeight="1">
      <c r="A91" s="106"/>
      <c r="B91" s="106"/>
    </row>
    <row r="92" ht="15.75" customHeight="1">
      <c r="A92" s="106"/>
      <c r="B92" s="106"/>
    </row>
    <row r="93" ht="15.75" customHeight="1">
      <c r="A93" s="106"/>
      <c r="B93" s="106"/>
    </row>
    <row r="94" ht="15.75" customHeight="1">
      <c r="A94" s="106"/>
      <c r="B94" s="106"/>
    </row>
    <row r="95" ht="15.75" customHeight="1">
      <c r="A95" s="106"/>
      <c r="B95" s="106"/>
    </row>
    <row r="96" ht="15.75" customHeight="1">
      <c r="A96" s="106"/>
      <c r="B96" s="106"/>
    </row>
    <row r="97" ht="15.75" customHeight="1">
      <c r="A97" s="106"/>
      <c r="B97" s="106"/>
    </row>
    <row r="98" ht="15.75" customHeight="1">
      <c r="A98" s="106"/>
      <c r="B98" s="106"/>
    </row>
    <row r="99" ht="15.75" customHeight="1">
      <c r="A99" s="106"/>
      <c r="B99" s="106"/>
    </row>
    <row r="100" ht="15.75" customHeight="1">
      <c r="A100" s="106"/>
      <c r="B100" s="106"/>
    </row>
    <row r="101" ht="15.75" customHeight="1">
      <c r="A101" s="106"/>
      <c r="B101" s="106"/>
    </row>
    <row r="102" ht="15.75" customHeight="1">
      <c r="A102" s="106"/>
      <c r="B102" s="106"/>
    </row>
    <row r="103" ht="15.75" customHeight="1">
      <c r="A103" s="106"/>
      <c r="B103" s="106"/>
    </row>
    <row r="104" ht="15.75" customHeight="1">
      <c r="A104" s="106"/>
      <c r="B104" s="106"/>
    </row>
    <row r="105" ht="15.75" customHeight="1">
      <c r="A105" s="106"/>
      <c r="B105" s="106"/>
    </row>
    <row r="106" ht="15.75" customHeight="1">
      <c r="A106" s="106"/>
      <c r="B106" s="106"/>
    </row>
    <row r="107" ht="15.75" customHeight="1">
      <c r="A107" s="106"/>
      <c r="B107" s="106"/>
    </row>
    <row r="108" ht="15.75" customHeight="1">
      <c r="A108" s="106"/>
      <c r="B108" s="106"/>
    </row>
    <row r="109" ht="15.75" customHeight="1">
      <c r="A109" s="106"/>
      <c r="B109" s="106"/>
    </row>
    <row r="110" ht="15.75" customHeight="1">
      <c r="A110" s="106"/>
      <c r="B110" s="106"/>
    </row>
    <row r="111" ht="15.75" customHeight="1">
      <c r="A111" s="106"/>
      <c r="B111" s="106"/>
    </row>
    <row r="112" ht="15.75" customHeight="1">
      <c r="A112" s="106"/>
      <c r="B112" s="106"/>
    </row>
    <row r="113" ht="15.75" customHeight="1">
      <c r="A113" s="106"/>
      <c r="B113" s="106"/>
    </row>
    <row r="114" ht="15.75" customHeight="1">
      <c r="A114" s="106"/>
      <c r="B114" s="106"/>
    </row>
    <row r="115" ht="15.75" customHeight="1">
      <c r="A115" s="106"/>
      <c r="B115" s="106"/>
    </row>
    <row r="116" ht="15.75" customHeight="1">
      <c r="A116" s="106"/>
      <c r="B116" s="106"/>
    </row>
    <row r="117" ht="15.75" customHeight="1">
      <c r="A117" s="106"/>
      <c r="B117" s="106"/>
    </row>
    <row r="118" ht="15.75" customHeight="1">
      <c r="A118" s="106"/>
      <c r="B118" s="106"/>
    </row>
    <row r="119" ht="15.75" customHeight="1">
      <c r="A119" s="106"/>
      <c r="B119" s="106"/>
    </row>
    <row r="120" ht="15.75" customHeight="1">
      <c r="A120" s="106"/>
      <c r="B120" s="106"/>
    </row>
    <row r="121" ht="15.75" customHeight="1">
      <c r="A121" s="106"/>
      <c r="B121" s="106"/>
    </row>
    <row r="122" ht="15.75" customHeight="1">
      <c r="A122" s="106"/>
      <c r="B122" s="106"/>
    </row>
    <row r="123" ht="15.75" customHeight="1">
      <c r="A123" s="106"/>
      <c r="B123" s="106"/>
    </row>
    <row r="124" ht="15.75" customHeight="1">
      <c r="A124" s="106"/>
      <c r="B124" s="106"/>
    </row>
    <row r="125" ht="15.75" customHeight="1">
      <c r="A125" s="106"/>
      <c r="B125" s="106"/>
    </row>
    <row r="126" ht="15.75" customHeight="1">
      <c r="A126" s="106"/>
      <c r="B126" s="106"/>
    </row>
    <row r="127" ht="15.75" customHeight="1">
      <c r="A127" s="106"/>
      <c r="B127" s="106"/>
    </row>
    <row r="128" ht="15.75" customHeight="1">
      <c r="A128" s="106"/>
      <c r="B128" s="106"/>
    </row>
    <row r="129" ht="15.75" customHeight="1">
      <c r="A129" s="106"/>
      <c r="B129" s="106"/>
    </row>
    <row r="130" ht="15.75" customHeight="1">
      <c r="A130" s="106"/>
      <c r="B130" s="106"/>
    </row>
    <row r="131" ht="15.75" customHeight="1">
      <c r="A131" s="106"/>
      <c r="B131" s="106"/>
    </row>
    <row r="132" ht="15.75" customHeight="1">
      <c r="A132" s="106"/>
      <c r="B132" s="106"/>
    </row>
    <row r="133" ht="15.75" customHeight="1">
      <c r="A133" s="106"/>
      <c r="B133" s="106"/>
    </row>
    <row r="134" ht="15.75" customHeight="1">
      <c r="A134" s="106"/>
      <c r="B134" s="106"/>
    </row>
    <row r="135" ht="15.75" customHeight="1">
      <c r="A135" s="106"/>
      <c r="B135" s="106"/>
    </row>
    <row r="136" ht="15.75" customHeight="1">
      <c r="A136" s="106"/>
      <c r="B136" s="106"/>
    </row>
    <row r="137" ht="15.75" customHeight="1">
      <c r="A137" s="106"/>
      <c r="B137" s="106"/>
    </row>
    <row r="138" ht="15.75" customHeight="1">
      <c r="A138" s="106"/>
      <c r="B138" s="106"/>
    </row>
    <row r="139" ht="15.75" customHeight="1">
      <c r="A139" s="106"/>
      <c r="B139" s="106"/>
    </row>
    <row r="140" ht="15.75" customHeight="1">
      <c r="A140" s="106"/>
      <c r="B140" s="106"/>
    </row>
    <row r="141" ht="15.75" customHeight="1">
      <c r="A141" s="106"/>
      <c r="B141" s="106"/>
    </row>
    <row r="142" ht="15.75" customHeight="1">
      <c r="A142" s="106"/>
      <c r="B142" s="106"/>
    </row>
    <row r="143" ht="15.75" customHeight="1">
      <c r="A143" s="106"/>
      <c r="B143" s="106"/>
    </row>
    <row r="144" ht="15.75" customHeight="1">
      <c r="A144" s="106"/>
      <c r="B144" s="106"/>
    </row>
    <row r="145" ht="15.75" customHeight="1">
      <c r="A145" s="106"/>
      <c r="B145" s="106"/>
    </row>
    <row r="146" ht="15.75" customHeight="1">
      <c r="A146" s="106"/>
      <c r="B146" s="106"/>
    </row>
    <row r="147" ht="15.75" customHeight="1">
      <c r="A147" s="106"/>
      <c r="B147" s="106"/>
    </row>
    <row r="148" ht="15.75" customHeight="1">
      <c r="A148" s="106"/>
      <c r="B148" s="106"/>
    </row>
    <row r="149" ht="15.75" customHeight="1">
      <c r="A149" s="106"/>
      <c r="B149" s="106"/>
    </row>
    <row r="150" ht="15.75" customHeight="1">
      <c r="A150" s="106"/>
      <c r="B150" s="106"/>
    </row>
    <row r="151" ht="15.75" customHeight="1">
      <c r="A151" s="106"/>
      <c r="B151" s="106"/>
    </row>
    <row r="152" ht="15.75" customHeight="1">
      <c r="A152" s="106"/>
      <c r="B152" s="106"/>
    </row>
    <row r="153" ht="15.75" customHeight="1">
      <c r="A153" s="106"/>
      <c r="B153" s="106"/>
    </row>
    <row r="154" ht="15.75" customHeight="1">
      <c r="A154" s="106"/>
      <c r="B154" s="106"/>
    </row>
    <row r="155" ht="15.75" customHeight="1">
      <c r="A155" s="106"/>
      <c r="B155" s="106"/>
    </row>
    <row r="156" ht="15.75" customHeight="1">
      <c r="A156" s="106"/>
      <c r="B156" s="106"/>
    </row>
    <row r="157" ht="15.75" customHeight="1">
      <c r="A157" s="106"/>
      <c r="B157" s="106"/>
    </row>
    <row r="158" ht="15.75" customHeight="1">
      <c r="A158" s="106"/>
      <c r="B158" s="106"/>
    </row>
    <row r="159" ht="15.75" customHeight="1">
      <c r="A159" s="106"/>
      <c r="B159" s="106"/>
    </row>
    <row r="160" ht="15.75" customHeight="1">
      <c r="A160" s="106"/>
      <c r="B160" s="106"/>
    </row>
    <row r="161" ht="15.75" customHeight="1">
      <c r="A161" s="106"/>
      <c r="B161" s="106"/>
    </row>
    <row r="162" ht="15.75" customHeight="1">
      <c r="A162" s="106"/>
      <c r="B162" s="106"/>
    </row>
    <row r="163" ht="15.75" customHeight="1">
      <c r="A163" s="106"/>
      <c r="B163" s="106"/>
    </row>
    <row r="164" ht="15.75" customHeight="1">
      <c r="A164" s="106"/>
      <c r="B164" s="106"/>
    </row>
    <row r="165" ht="15.75" customHeight="1">
      <c r="A165" s="106"/>
      <c r="B165" s="106"/>
    </row>
    <row r="166" ht="15.75" customHeight="1">
      <c r="A166" s="106"/>
      <c r="B166" s="106"/>
    </row>
    <row r="167" ht="15.75" customHeight="1">
      <c r="A167" s="106"/>
      <c r="B167" s="106"/>
    </row>
    <row r="168" ht="15.75" customHeight="1">
      <c r="A168" s="106"/>
      <c r="B168" s="106"/>
    </row>
    <row r="169" ht="15.75" customHeight="1">
      <c r="A169" s="106"/>
      <c r="B169" s="106"/>
    </row>
    <row r="170" ht="15.75" customHeight="1">
      <c r="A170" s="106"/>
      <c r="B170" s="106"/>
    </row>
    <row r="171" ht="15.75" customHeight="1">
      <c r="A171" s="106"/>
      <c r="B171" s="106"/>
    </row>
    <row r="172" ht="15.75" customHeight="1">
      <c r="A172" s="106"/>
      <c r="B172" s="106"/>
    </row>
    <row r="173" ht="15.75" customHeight="1">
      <c r="A173" s="106"/>
      <c r="B173" s="106"/>
    </row>
    <row r="174" ht="15.75" customHeight="1">
      <c r="A174" s="106"/>
      <c r="B174" s="106"/>
    </row>
    <row r="175" ht="15.75" customHeight="1">
      <c r="A175" s="106"/>
      <c r="B175" s="106"/>
    </row>
    <row r="176" ht="15.75" customHeight="1">
      <c r="A176" s="106"/>
      <c r="B176" s="106"/>
    </row>
    <row r="177" ht="15.75" customHeight="1">
      <c r="A177" s="106"/>
      <c r="B177" s="106"/>
    </row>
    <row r="178" ht="15.75" customHeight="1">
      <c r="A178" s="106"/>
      <c r="B178" s="106"/>
    </row>
    <row r="179" ht="15.75" customHeight="1">
      <c r="A179" s="106"/>
      <c r="B179" s="106"/>
    </row>
    <row r="180" ht="15.75" customHeight="1">
      <c r="A180" s="106"/>
      <c r="B180" s="106"/>
    </row>
    <row r="181" ht="15.75" customHeight="1">
      <c r="A181" s="106"/>
      <c r="B181" s="106"/>
    </row>
    <row r="182" ht="15.75" customHeight="1">
      <c r="A182" s="106"/>
      <c r="B182" s="106"/>
    </row>
    <row r="183" ht="15.75" customHeight="1">
      <c r="A183" s="106"/>
      <c r="B183" s="106"/>
    </row>
    <row r="184" ht="15.75" customHeight="1">
      <c r="A184" s="106"/>
      <c r="B184" s="106"/>
    </row>
    <row r="185" ht="15.75" customHeight="1">
      <c r="A185" s="106"/>
      <c r="B185" s="106"/>
    </row>
    <row r="186" ht="15.75" customHeight="1">
      <c r="A186" s="106"/>
      <c r="B186" s="106"/>
    </row>
    <row r="187" ht="15.75" customHeight="1">
      <c r="A187" s="106"/>
      <c r="B187" s="106"/>
    </row>
    <row r="188" ht="15.75" customHeight="1">
      <c r="A188" s="106"/>
      <c r="B188" s="106"/>
    </row>
    <row r="189" ht="15.75" customHeight="1">
      <c r="A189" s="106"/>
      <c r="B189" s="106"/>
    </row>
    <row r="190" ht="15.75" customHeight="1">
      <c r="A190" s="106"/>
      <c r="B190" s="106"/>
    </row>
    <row r="191" ht="15.75" customHeight="1">
      <c r="A191" s="106"/>
      <c r="B191" s="106"/>
    </row>
    <row r="192" ht="15.75" customHeight="1">
      <c r="A192" s="106"/>
      <c r="B192" s="106"/>
    </row>
    <row r="193" ht="15.75" customHeight="1">
      <c r="A193" s="106"/>
      <c r="B193" s="106"/>
    </row>
    <row r="194" ht="15.75" customHeight="1">
      <c r="A194" s="106"/>
      <c r="B194" s="106"/>
    </row>
    <row r="195" ht="15.75" customHeight="1">
      <c r="A195" s="106"/>
      <c r="B195" s="106"/>
    </row>
    <row r="196" ht="15.75" customHeight="1">
      <c r="A196" s="106"/>
      <c r="B196" s="106"/>
    </row>
    <row r="197" ht="15.75" customHeight="1">
      <c r="A197" s="106"/>
      <c r="B197" s="106"/>
    </row>
    <row r="198" ht="15.75" customHeight="1">
      <c r="A198" s="106"/>
      <c r="B198" s="106"/>
    </row>
    <row r="199" ht="15.75" customHeight="1">
      <c r="A199" s="106"/>
      <c r="B199" s="106"/>
    </row>
    <row r="200" ht="15.75" customHeight="1">
      <c r="A200" s="106"/>
      <c r="B200" s="106"/>
    </row>
    <row r="201" ht="15.75" customHeight="1">
      <c r="A201" s="106"/>
      <c r="B201" s="106"/>
    </row>
    <row r="202" ht="15.75" customHeight="1">
      <c r="A202" s="106"/>
      <c r="B202" s="106"/>
    </row>
    <row r="203" ht="15.75" customHeight="1">
      <c r="A203" s="106"/>
      <c r="B203" s="106"/>
    </row>
    <row r="204" ht="15.75" customHeight="1">
      <c r="A204" s="106"/>
      <c r="B204" s="106"/>
    </row>
    <row r="205" ht="15.75" customHeight="1">
      <c r="A205" s="106"/>
      <c r="B205" s="106"/>
    </row>
    <row r="206" ht="15.75" customHeight="1">
      <c r="A206" s="106"/>
      <c r="B206" s="106"/>
    </row>
    <row r="207" ht="15.75" customHeight="1">
      <c r="A207" s="106"/>
      <c r="B207" s="106"/>
    </row>
    <row r="208" ht="15.75" customHeight="1">
      <c r="A208" s="106"/>
      <c r="B208" s="106"/>
    </row>
    <row r="209" ht="15.75" customHeight="1">
      <c r="A209" s="106"/>
      <c r="B209" s="106"/>
    </row>
    <row r="210" ht="15.75" customHeight="1">
      <c r="A210" s="106"/>
      <c r="B210" s="106"/>
    </row>
    <row r="211" ht="15.75" customHeight="1">
      <c r="A211" s="106"/>
      <c r="B211" s="106"/>
    </row>
    <row r="212" ht="15.75" customHeight="1">
      <c r="A212" s="106"/>
      <c r="B212" s="106"/>
    </row>
    <row r="213" ht="15.75" customHeight="1">
      <c r="A213" s="106"/>
      <c r="B213" s="106"/>
    </row>
    <row r="214" ht="15.75" customHeight="1">
      <c r="A214" s="106"/>
      <c r="B214" s="106"/>
    </row>
    <row r="215" ht="15.75" customHeight="1">
      <c r="A215" s="106"/>
      <c r="B215" s="106"/>
    </row>
    <row r="216" ht="15.75" customHeight="1">
      <c r="A216" s="106"/>
      <c r="B216" s="106"/>
    </row>
    <row r="217" ht="15.75" customHeight="1">
      <c r="A217" s="106"/>
      <c r="B217" s="106"/>
    </row>
    <row r="218" ht="15.75" customHeight="1">
      <c r="A218" s="106"/>
      <c r="B218" s="106"/>
    </row>
    <row r="219" ht="15.75" customHeight="1">
      <c r="A219" s="106"/>
      <c r="B219" s="106"/>
    </row>
    <row r="220" ht="15.75" customHeight="1">
      <c r="A220" s="106"/>
      <c r="B220" s="106"/>
    </row>
    <row r="221" ht="15.75" customHeight="1">
      <c r="A221" s="106"/>
      <c r="B221" s="106"/>
    </row>
    <row r="222" ht="15.75" customHeight="1">
      <c r="A222" s="106"/>
      <c r="B222" s="106"/>
    </row>
    <row r="223" ht="15.75" customHeight="1">
      <c r="A223" s="106"/>
      <c r="B223" s="106"/>
    </row>
    <row r="224" ht="15.75" customHeight="1">
      <c r="A224" s="106"/>
      <c r="B224" s="106"/>
    </row>
    <row r="225" ht="15.75" customHeight="1">
      <c r="A225" s="106"/>
      <c r="B225" s="106"/>
    </row>
    <row r="226" ht="15.75" customHeight="1">
      <c r="A226" s="106"/>
      <c r="B226" s="106"/>
    </row>
    <row r="227" ht="15.75" customHeight="1">
      <c r="A227" s="106"/>
      <c r="B227" s="10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X3:X26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