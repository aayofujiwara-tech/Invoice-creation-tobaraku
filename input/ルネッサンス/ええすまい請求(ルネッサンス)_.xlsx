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居者" sheetId="1" r:id="rId5"/>
    <sheet state="visible" name="すまい請求書" sheetId="2" r:id="rId6"/>
    <sheet state="visible" name="領収書（自動）" sheetId="3" r:id="rId7"/>
    <sheet state="visible" name="領収書（手入力）" sheetId="4" r:id="rId8"/>
    <sheet state="visible" name="合算明細書" sheetId="5" r:id="rId9"/>
    <sheet state="visible" name="R8.1" sheetId="6" r:id="rId10"/>
    <sheet state="visible" name="R7.12" sheetId="7" r:id="rId11"/>
    <sheet state="visible" name="R7.11" sheetId="8" r:id="rId12"/>
    <sheet state="visible" name="R7.10" sheetId="9" r:id="rId13"/>
    <sheet state="visible" name="R7.9" sheetId="10" r:id="rId14"/>
    <sheet state="visible" name="R7.8" sheetId="11" r:id="rId15"/>
    <sheet state="visible" name="R7.7" sheetId="12" r:id="rId16"/>
    <sheet state="visible" name="R7.6" sheetId="13" r:id="rId17"/>
    <sheet state="visible" name="R7.5" sheetId="14" r:id="rId18"/>
    <sheet state="visible" name="R7.4" sheetId="15" r:id="rId19"/>
    <sheet state="visible" name="R7.3" sheetId="16" r:id="rId20"/>
    <sheet state="visible" name="R7.2" sheetId="17" r:id="rId21"/>
    <sheet state="visible" name="R7.1" sheetId="18" r:id="rId22"/>
    <sheet state="visible" name="R6.12" sheetId="19" r:id="rId23"/>
    <sheet state="visible" name="R6.11" sheetId="20" r:id="rId24"/>
    <sheet state="visible" name="R7.7✕" sheetId="21" r:id="rId25"/>
    <sheet state="visible" name="R7.6✕" sheetId="22" r:id="rId26"/>
    <sheet state="visible" name="R7.5✕" sheetId="23" r:id="rId27"/>
  </sheets>
  <definedNames>
    <definedName hidden="1" localSheetId="5" name="_xlnm._FilterDatabase">'R8.1'!$A$2:$AJ$111</definedName>
    <definedName hidden="1" localSheetId="6" name="_xlnm._FilterDatabase">'R7.12'!$A$2:$AJ$111</definedName>
    <definedName hidden="1" localSheetId="7" name="_xlnm._FilterDatabase">'R7.11'!$A$2:$AJ$111</definedName>
    <definedName hidden="1" localSheetId="8" name="_xlnm._FilterDatabase">'R7.10'!$A$2:$AJ$111</definedName>
    <definedName hidden="1" localSheetId="9" name="_xlnm._FilterDatabase">'R7.9'!$A$2:$AJ$110</definedName>
    <definedName hidden="1" localSheetId="10" name="_xlnm._FilterDatabase">'R7.8'!$A$2:$AJ$110</definedName>
    <definedName hidden="1" localSheetId="11" name="_xlnm._FilterDatabase">'R7.7'!$A$2:$AJ$110</definedName>
    <definedName hidden="1" localSheetId="12" name="_xlnm._FilterDatabase">'R7.6'!$A$2:$AJ$110</definedName>
    <definedName hidden="1" localSheetId="13" name="_xlnm._FilterDatabase">'R7.5'!$A$2:$AJ$110</definedName>
    <definedName hidden="1" localSheetId="14" name="_xlnm._FilterDatabase">'R7.4'!$A$2:$AJ$110</definedName>
    <definedName hidden="1" localSheetId="15" name="_xlnm._FilterDatabase">'R7.3'!$A$2:$AJ$110</definedName>
    <definedName hidden="1" localSheetId="16" name="_xlnm._FilterDatabase">'R7.2'!$A$2:$AJ$110</definedName>
    <definedName hidden="1" localSheetId="17" name="_xlnm._FilterDatabase">'R7.1'!$A$2:$AJ$110</definedName>
    <definedName hidden="1" localSheetId="18" name="_xlnm._FilterDatabase">'R6.12'!$A$2:$AJ$110</definedName>
    <definedName hidden="1" localSheetId="19" name="_xlnm._FilterDatabase">'R6.11'!$A$2:$AJ$110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tc={6b7bef0c-f2dd-49fb-ad29-5ab78df7ad48}</author>
    <author>tc={94326b6f-e27a-4afc-942a-30261977878b}</author>
    <author>tc={9ac046b9-5a34-48b4-be69-3603ca4a08fc}</author>
    <author>tc={b1dc9bca-0f09-4ad7-a78b-d05531cd2c22}</author>
    <author>tc={b59ff5b5-4a6f-4dc1-819b-c0dc6880567d}</author>
    <author>tc={d30dd769-10b1-4f04-b2a2-cd53c6739c7e}</author>
    <author>tc={d9b64c4c-825d-4691-94d1-b6d07d74ae5d}</author>
  </authors>
  <commentList>
    <comment authorId="0" xr:uid="{6b7bef0c-f2dd-49fb-ad29-5ab78df7ad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" xr:uid="{94326b6f-e27a-4afc-942a-3026197787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9ac046b9-5a34-48b4-be69-3603ca4a08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3" xr:uid="{b1dc9bca-0f09-4ad7-a78b-d05531cd2c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4" xr:uid="{b59ff5b5-4a6f-4dc1-819b-c0dc688056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5" xr:uid="{d30dd769-10b1-4f04-b2a2-cd53c6739c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6" xr:uid="{d9b64c4c-825d-4691-94d1-b6d07d74ae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145円/1日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tc={0e20e4c2-344f-4f66-96ac-99d74a9688e3}</author>
    <author>tc={14be0ebf-67c6-4207-9283-b8f56ebbc4cf}</author>
    <author>tc={2e8455e4-f08f-4cd4-a1f4-8d9d0d05f37c}</author>
    <author>tc={4ece0a7c-b9ea-486d-aa89-857564dccbbf}</author>
    <author>tc={a5aabbc9-3ee7-4e5e-b8ac-3c0d476f222e}</author>
    <author>tc={aa350a92-d5bf-43df-952f-8bddb0e3ff4f}</author>
    <author>tc={b51ff229-6156-4355-80eb-4bc6a95c3d20}</author>
  </authors>
  <commentList>
    <comment authorId="0" xr:uid="{0e20e4c2-344f-4f66-96ac-99d74a9688e3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1" xr:uid="{14be0ebf-67c6-4207-9283-b8f56ebbc4cf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2e8455e4-f08f-4cd4-a1f4-8d9d0d05f37c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3" xr:uid="{4ece0a7c-b9ea-486d-aa89-857564dccbbf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4" xr:uid="{a5aabbc9-3ee7-4e5e-b8ac-3c0d476f222e}" ref="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5" xr:uid="{aa350a92-d5bf-43df-952f-8bddb0e3ff4f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6" xr:uid="{b51ff229-6156-4355-80eb-4bc6a95c3d20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tc={566c24e1-9945-489c-a03b-3b1eb49b08e3}</author>
    <author>tc={5da1bab6-a1fb-44fb-bddb-599b24e90b41}</author>
    <author>tc={f9a25ab6-2b01-4602-a6b5-697510e6d9cf}</author>
  </authors>
  <commentList>
    <comment authorId="0" xr:uid="{566c24e1-9945-489c-a03b-3b1eb49b08e3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1か月19670円固定
</t>
      </text>
    </comment>
    <comment authorId="1" xr:uid="{5da1bab6-a1fb-44fb-bddb-599b24e90b41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73円/1日
</t>
      </text>
    </comment>
    <comment authorId="2" xr:uid="{f9a25ab6-2b01-4602-a6b5-697510e6d9cf}" ref="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242円/1日
</t>
      </text>
    </comment>
  </commentList>
</comments>
</file>

<file path=xl/sharedStrings.xml><?xml version="1.0" encoding="utf-8"?>
<sst xmlns="http://schemas.openxmlformats.org/spreadsheetml/2006/main" count="1621" uniqueCount="160">
  <si>
    <t>居室</t>
  </si>
  <si>
    <t>利用者名</t>
  </si>
  <si>
    <t>2A</t>
  </si>
  <si>
    <t>椎雅彦</t>
  </si>
  <si>
    <t>2B</t>
  </si>
  <si>
    <t>笠岡康志</t>
  </si>
  <si>
    <t>2E</t>
  </si>
  <si>
    <t>5B</t>
  </si>
  <si>
    <t>中込和人</t>
  </si>
  <si>
    <t>5C</t>
  </si>
  <si>
    <t>上田清江</t>
  </si>
  <si>
    <t>6A</t>
  </si>
  <si>
    <t>6B</t>
  </si>
  <si>
    <t>小山美由紀</t>
  </si>
  <si>
    <t>6C</t>
  </si>
  <si>
    <t>宮本浩行</t>
  </si>
  <si>
    <t>6D</t>
  </si>
  <si>
    <t>民徳正人</t>
  </si>
  <si>
    <t>6E</t>
  </si>
  <si>
    <t>岡村三男</t>
  </si>
  <si>
    <t>ええすまい請求書</t>
  </si>
  <si>
    <t>様</t>
  </si>
  <si>
    <t>発行日：</t>
  </si>
  <si>
    <t>当月</t>
  </si>
  <si>
    <t>R8.1</t>
  </si>
  <si>
    <t>前月</t>
  </si>
  <si>
    <t>R7.12</t>
  </si>
  <si>
    <t>翌月</t>
  </si>
  <si>
    <t>ルネッサンス塚本（ええすまい）</t>
  </si>
  <si>
    <t>号室</t>
  </si>
  <si>
    <t>株式会社AA
代表取締役 大石佐智子</t>
  </si>
  <si>
    <t>※分割払いの管理</t>
  </si>
  <si>
    <t>ご請求金額</t>
  </si>
  <si>
    <t>大阪市西淀川区柏里2-9-3-102</t>
  </si>
  <si>
    <t>内　　容</t>
  </si>
  <si>
    <t xml:space="preserve">単 価 </t>
  </si>
  <si>
    <t>数量</t>
  </si>
  <si>
    <t>小計</t>
  </si>
  <si>
    <t>備考</t>
  </si>
  <si>
    <t>1か月</t>
  </si>
  <si>
    <t>ご請求額合計</t>
  </si>
  <si>
    <t>※家賃、共益費、管理費、光熱費は消費税不要</t>
  </si>
  <si>
    <t>8%対象　合計</t>
  </si>
  <si>
    <t>未収・前払金</t>
  </si>
  <si>
    <t>10％対象　合計</t>
  </si>
  <si>
    <t>今月請求分合計額</t>
  </si>
  <si>
    <t xml:space="preserve">　</t>
  </si>
  <si>
    <t>領　収　書</t>
  </si>
  <si>
    <t>受領日</t>
  </si>
  <si>
    <t>但し　家賃、共益費、管理費、水道代、自費分として</t>
  </si>
  <si>
    <t>上記の金額正に受領いたしました</t>
  </si>
  <si>
    <t>株式会社AA</t>
  </si>
  <si>
    <t>〒555-0022</t>
  </si>
  <si>
    <t>TEL・FAX 06-4400-2901</t>
  </si>
  <si>
    <t>上田　清江</t>
  </si>
  <si>
    <t>ご利用金額のお知らせ</t>
  </si>
  <si>
    <t>合計金額</t>
  </si>
  <si>
    <t>請求金額</t>
  </si>
  <si>
    <t>お支払期限</t>
  </si>
  <si>
    <t>ええすまい</t>
  </si>
  <si>
    <t>請求書別紙</t>
  </si>
  <si>
    <t>ええかいご</t>
  </si>
  <si>
    <t>ええかんご</t>
  </si>
  <si>
    <t>お支払につきましては下記口座へお願いいたします。</t>
  </si>
  <si>
    <t>振込手数料につきましてはお客様ご負担にてお願い申し上げます。</t>
  </si>
  <si>
    <t>■振込先</t>
  </si>
  <si>
    <t>銀行名：</t>
  </si>
  <si>
    <t>住信ＳＢＩネット銀行（金融機関コード0038）</t>
  </si>
  <si>
    <t>支店名：</t>
  </si>
  <si>
    <t>法人第一支店（支店コード106）</t>
  </si>
  <si>
    <t>口座番号：</t>
  </si>
  <si>
    <t>普通 2555848</t>
  </si>
  <si>
    <t>口座名義：</t>
  </si>
  <si>
    <t>株式会社AA ええすまい塚本</t>
  </si>
  <si>
    <t>カ）エーエー</t>
  </si>
  <si>
    <t>請求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</si>
  <si>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</si>
  <si>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</si>
  <si>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</si>
  <si>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</si>
  <si>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</si>
  <si>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</si>
  <si>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</si>
  <si>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</si>
  <si>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</si>
  <si>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</si>
  <si>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</si>
  <si>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</si>
  <si>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</si>
  <si>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</si>
  <si>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</si>
  <si>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</si>
  <si>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</si>
  <si>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</si>
  <si>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</si>
  <si>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</si>
  <si>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</si>
  <si>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</si>
  <si>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</si>
  <si>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</si>
  <si>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</si>
  <si>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分納残</t>
  </si>
  <si>
    <t>家賃</t>
  </si>
  <si>
    <t>管理費</t>
  </si>
  <si>
    <t>共益費</t>
  </si>
  <si>
    <t>水道料金</t>
  </si>
  <si>
    <t>定額光熱費</t>
  </si>
  <si>
    <t>食事</t>
  </si>
  <si>
    <t>調整額</t>
  </si>
  <si>
    <t>オムツ</t>
  </si>
  <si>
    <t>日用品</t>
  </si>
  <si>
    <t>分割支払い</t>
  </si>
  <si>
    <t>事務手数料</t>
  </si>
  <si>
    <t>デイサービス</t>
  </si>
  <si>
    <t>福祉用具</t>
  </si>
  <si>
    <t>しろくま薬局</t>
  </si>
  <si>
    <t>往診診療費</t>
  </si>
  <si>
    <t>サポート費</t>
  </si>
  <si>
    <t>その他</t>
  </si>
  <si>
    <t>計</t>
  </si>
  <si>
    <t>一部負担(介護)</t>
  </si>
  <si>
    <t>一部負担(看護)</t>
  </si>
  <si>
    <t>合計</t>
  </si>
  <si>
    <t>請求書</t>
  </si>
  <si>
    <t>分割残高</t>
  </si>
  <si>
    <t>入金額</t>
  </si>
  <si>
    <t>過不足</t>
  </si>
  <si>
    <t>生保予定</t>
  </si>
  <si>
    <t>未作成</t>
  </si>
  <si>
    <t>通常請求</t>
  </si>
  <si>
    <t>↑来月の過不足へ反映</t>
  </si>
  <si>
    <t>数式修正</t>
  </si>
  <si>
    <t>藤本敏博</t>
  </si>
  <si>
    <t>入金日</t>
  </si>
  <si>
    <t>ルネッサンス塚本</t>
  </si>
  <si>
    <t>未納金額</t>
  </si>
  <si>
    <t>8月家賃</t>
  </si>
  <si>
    <t>8月管理費</t>
  </si>
  <si>
    <t>8月共益費</t>
  </si>
  <si>
    <t>8月水道料金</t>
  </si>
  <si>
    <t>介護一部負担</t>
  </si>
  <si>
    <t>介護保険料</t>
  </si>
  <si>
    <t>健康保険料</t>
  </si>
  <si>
    <t>外部利用</t>
  </si>
  <si>
    <t>6月一部負担</t>
  </si>
  <si>
    <t>発行済</t>
  </si>
  <si>
    <t>本人手渡し</t>
  </si>
  <si>
    <t>後見人郵送</t>
  </si>
  <si>
    <t>本人支払い</t>
  </si>
  <si>
    <t>国保連　月請求分</t>
  </si>
  <si>
    <t>杉田誠一</t>
  </si>
  <si>
    <t>林郁子</t>
  </si>
  <si>
    <t>北村繁弘</t>
  </si>
  <si>
    <t>鈴木信子</t>
  </si>
  <si>
    <t>長谷部融子</t>
  </si>
  <si>
    <t>金澤喜乎</t>
  </si>
  <si>
    <t>榎本裕子</t>
  </si>
  <si>
    <t>斧義也</t>
  </si>
  <si>
    <t>日川敬達</t>
  </si>
  <si>
    <t>内田克政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</si>
</sst>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"/>
    <numFmt numFmtId="165" formatCode="yyyy&quot;年&quot;m&quot;月&quot;d&quot;日&quot;"/>
    <numFmt numFmtId="166" formatCode="月分"/>
    <numFmt numFmtId="167" formatCode="&quot;¥&quot;#,##0;[Red]&quot;¥&quot;\-#,##0"/>
    <numFmt numFmtId="168" formatCode="&quot;¥&quot;#,##0;&quot;¥&quot;\-#,##0"/>
    <numFmt numFmtId="169" formatCode="0月分"/>
    <numFmt numFmtId="170" formatCode="&quot;¥&quot;#,##0\-_ ;&quot;¥&quot;\-#,##0\-_ ;_ &quot;¥&quot;* &quot;-&quot;_ ;_ @_ "/>
    <numFmt numFmtId="171" formatCode="[$-F800]dddd\,\ mmmm\ dd\,\ yyyy"/>
    <numFmt numFmtId="172" formatCode="0月ご利用分"/>
    <numFmt numFmtId="173" formatCode="yyyy/MM/dd"/>
    <numFmt numFmtId="174" formatCode="[$¥-411]#,##0"/>
    <numFmt numFmtId="175" formatCode="[$¥]#,##0"/>
  </numFmts>
  <fonts count="38">
    <font>
      <sz val="10.0"/>
      <color rgb="FF000000"/>
      <name val="Arial"/>
      <scheme val="minor"/>
    </font>
    <font>
      <color theme="1"/>
      <name val="Arial"/>
    </font>
    <font>
      <strike/>
      <color theme="1"/>
      <name val="Arial"/>
    </font>
    <font>
      <sz val="20.0"/>
      <color theme="1"/>
      <name val="游ゴシック"/>
    </font>
    <font>
      <sz val="11.0"/>
      <color theme="1"/>
      <name val="游ゴシック"/>
    </font>
    <font>
      <b/>
      <u/>
      <sz val="20.0"/>
      <color theme="1"/>
      <name val="游ゴシック"/>
    </font>
    <font>
      <sz val="14.0"/>
      <color theme="1"/>
      <name val="游ゴシック"/>
    </font>
    <font>
      <sz val="10.0"/>
      <color theme="1"/>
      <name val="游ゴシック"/>
    </font>
    <font>
      <b/>
      <sz val="11.0"/>
      <color theme="1"/>
      <name val="游ゴシック"/>
    </font>
    <font/>
    <font>
      <b/>
      <sz val="12.0"/>
      <color theme="1"/>
      <name val="游ゴシック"/>
    </font>
    <font>
      <b/>
      <sz val="18.0"/>
      <color theme="1"/>
      <name val="游ゴシック"/>
    </font>
    <font>
      <b/>
      <sz val="13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sz val="12.0"/>
      <color theme="1"/>
      <name val="游ゴシック"/>
    </font>
    <font>
      <sz val="12.0"/>
      <color rgb="FFFF0000"/>
      <name val="Arial"/>
    </font>
    <font>
      <sz val="9.0"/>
      <color theme="1"/>
      <name val="Arial"/>
    </font>
    <font>
      <color theme="1"/>
      <name val="Meiryo"/>
    </font>
    <font>
      <sz val="14.0"/>
      <color theme="1"/>
      <name val="Arial"/>
    </font>
    <font>
      <sz val="14.0"/>
      <color theme="1"/>
      <name val="游ゴシック light"/>
    </font>
    <font>
      <sz val="24.0"/>
      <color theme="1"/>
      <name val="游ゴシック light"/>
    </font>
    <font>
      <sz val="11.0"/>
      <color theme="1"/>
      <name val="游ゴシック light"/>
    </font>
    <font>
      <u/>
      <sz val="14.0"/>
      <color theme="1"/>
      <name val="游ゴシック light"/>
    </font>
    <font>
      <sz val="18.0"/>
      <color theme="1"/>
      <name val="游ゴシック light"/>
    </font>
    <font>
      <sz val="28.0"/>
      <color theme="1"/>
      <name val="游ゴシック light"/>
    </font>
    <font>
      <sz val="9.0"/>
      <color theme="1"/>
      <name val="游ゴシック light"/>
    </font>
    <font>
      <sz val="12.0"/>
      <color theme="1"/>
      <name val="游ゴシック light"/>
    </font>
    <font>
      <b/>
      <sz val="16.0"/>
      <color theme="1"/>
      <name val="游ゴシック light"/>
    </font>
    <font>
      <sz val="16.0"/>
      <color theme="1"/>
      <name val="游ゴシック light"/>
    </font>
    <font>
      <sz val="13.0"/>
      <color theme="1"/>
      <name val="Calibri"/>
    </font>
    <font>
      <sz val="9.0"/>
      <color theme="1"/>
      <name val="游ゴシック"/>
    </font>
    <font>
      <sz val="11.0"/>
      <color theme="1"/>
      <name val="Calibri"/>
    </font>
    <font>
      <b/>
      <sz val="15.0"/>
      <color theme="1"/>
      <name val="Arial"/>
    </font>
    <font>
      <sz val="11.0"/>
      <color theme="1"/>
      <name val="Arial"/>
    </font>
    <font>
      <color rgb="FFFF0000"/>
      <name val="Arial"/>
    </font>
    <font>
      <color rgb="FF000000"/>
      <name val="Arial"/>
    </font>
    <font>
      <sz val="11.0"/>
      <color rgb="FFFF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center"/>
    </xf>
    <xf borderId="0" fillId="0" fontId="4" numFmtId="165" xfId="0" applyAlignment="1" applyFont="1" applyNumberFormat="1">
      <alignment horizontal="center" vertical="center"/>
    </xf>
    <xf borderId="0" fillId="0" fontId="7" numFmtId="0" xfId="0" applyAlignment="1" applyFont="1">
      <alignment horizontal="right" vertical="center"/>
    </xf>
    <xf borderId="2" fillId="4" fontId="8" numFmtId="166" xfId="0" applyAlignment="1" applyBorder="1" applyFill="1" applyFont="1" applyNumberFormat="1">
      <alignment horizontal="center" vertical="center"/>
    </xf>
    <xf borderId="3" fillId="0" fontId="9" numFmtId="0" xfId="0" applyBorder="1" applyFont="1"/>
    <xf borderId="0" fillId="0" fontId="4" numFmtId="0" xfId="0" applyAlignment="1" applyFont="1">
      <alignment horizontal="right" vertical="center"/>
    </xf>
    <xf borderId="4" fillId="4" fontId="4" numFmtId="0" xfId="0" applyAlignment="1" applyBorder="1" applyFont="1">
      <alignment horizontal="center" vertical="center"/>
    </xf>
    <xf borderId="5" fillId="0" fontId="9" numFmtId="0" xfId="0" applyBorder="1" applyFont="1"/>
    <xf borderId="0" fillId="4" fontId="4" numFmtId="0" xfId="0" applyAlignment="1" applyFont="1">
      <alignment horizontal="center" vertical="center"/>
    </xf>
    <xf borderId="0" fillId="5" fontId="4" numFmtId="0" xfId="0" applyAlignment="1" applyFill="1" applyFont="1">
      <alignment vertical="center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4" fillId="3" fontId="4" numFmtId="0" xfId="0" applyAlignment="1" applyBorder="1" applyFont="1">
      <alignment horizontal="center" vertical="center"/>
    </xf>
    <xf borderId="4" fillId="0" fontId="11" numFmtId="167" xfId="0" applyAlignment="1" applyBorder="1" applyFont="1" applyNumberFormat="1">
      <alignment horizontal="center" vertical="center"/>
    </xf>
    <xf borderId="6" fillId="0" fontId="9" numFmtId="0" xfId="0" applyBorder="1" applyFont="1"/>
    <xf borderId="0" fillId="0" fontId="10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7" fillId="3" fontId="12" numFmtId="0" xfId="0" applyAlignment="1" applyBorder="1" applyFont="1">
      <alignment horizontal="center"/>
    </xf>
    <xf borderId="8" fillId="0" fontId="9" numFmtId="0" xfId="0" applyBorder="1" applyFont="1"/>
    <xf borderId="8" fillId="3" fontId="12" numFmtId="0" xfId="0" applyAlignment="1" applyBorder="1" applyFont="1">
      <alignment horizontal="center"/>
    </xf>
    <xf borderId="9" fillId="0" fontId="9" numFmtId="0" xfId="0" applyBorder="1" applyFont="1"/>
    <xf borderId="10" fillId="0" fontId="13" numFmtId="168" xfId="0" applyAlignment="1" applyBorder="1" applyFont="1" applyNumberFormat="1">
      <alignment horizontal="center"/>
    </xf>
    <xf borderId="0" fillId="0" fontId="13" numFmtId="167" xfId="0" applyAlignment="1" applyFont="1" applyNumberFormat="1">
      <alignment horizontal="right"/>
    </xf>
    <xf borderId="0" fillId="0" fontId="13" numFmtId="0" xfId="0" applyAlignment="1" applyFont="1">
      <alignment horizontal="center"/>
    </xf>
    <xf borderId="0" fillId="0" fontId="13" numFmtId="168" xfId="0" applyAlignment="1" applyFont="1" applyNumberFormat="1">
      <alignment horizontal="right"/>
    </xf>
    <xf borderId="0" fillId="0" fontId="14" numFmtId="169" xfId="0" applyAlignment="1" applyFont="1" applyNumberFormat="1">
      <alignment horizontal="center"/>
    </xf>
    <xf borderId="11" fillId="0" fontId="9" numFmtId="0" xfId="0" applyBorder="1" applyFont="1"/>
    <xf borderId="10" fillId="3" fontId="13" numFmtId="168" xfId="0" applyAlignment="1" applyBorder="1" applyFont="1" applyNumberFormat="1">
      <alignment horizontal="center"/>
    </xf>
    <xf borderId="0" fillId="3" fontId="13" numFmtId="167" xfId="0" applyAlignment="1" applyFont="1" applyNumberFormat="1">
      <alignment horizontal="right"/>
    </xf>
    <xf borderId="0" fillId="3" fontId="13" numFmtId="0" xfId="0" applyAlignment="1" applyFont="1">
      <alignment horizontal="center"/>
    </xf>
    <xf borderId="0" fillId="3" fontId="13" numFmtId="168" xfId="0" applyAlignment="1" applyFont="1" applyNumberFormat="1">
      <alignment horizontal="right"/>
    </xf>
    <xf borderId="0" fillId="3" fontId="14" numFmtId="169" xfId="0" applyAlignment="1" applyFont="1" applyNumberFormat="1">
      <alignment horizontal="center"/>
    </xf>
    <xf borderId="0" fillId="0" fontId="15" numFmtId="0" xfId="0" applyAlignment="1" applyFont="1">
      <alignment vertical="center"/>
    </xf>
    <xf borderId="0" fillId="3" fontId="13" numFmtId="167" xfId="0" applyFont="1" applyNumberFormat="1"/>
    <xf borderId="0" fillId="3" fontId="13" numFmtId="168" xfId="0" applyFont="1" applyNumberFormat="1"/>
    <xf borderId="0" fillId="0" fontId="13" numFmtId="167" xfId="0" applyFont="1" applyNumberFormat="1"/>
    <xf borderId="0" fillId="0" fontId="16" numFmtId="168" xfId="0" applyFont="1" applyNumberFormat="1"/>
    <xf borderId="0" fillId="0" fontId="13" numFmtId="168" xfId="0" applyFont="1" applyNumberFormat="1"/>
    <xf borderId="0" fillId="0" fontId="13" numFmtId="168" xfId="0" applyAlignment="1" applyFont="1" applyNumberFormat="1">
      <alignment horizontal="center"/>
    </xf>
    <xf borderId="0" fillId="3" fontId="13" numFmtId="168" xfId="0" applyAlignment="1" applyFont="1" applyNumberFormat="1">
      <alignment horizontal="center"/>
    </xf>
    <xf borderId="10" fillId="3" fontId="13" numFmtId="168" xfId="0" applyBorder="1" applyFont="1" applyNumberFormat="1"/>
    <xf borderId="0" fillId="3" fontId="13" numFmtId="169" xfId="0" applyFont="1" applyNumberFormat="1"/>
    <xf borderId="10" fillId="0" fontId="13" numFmtId="168" xfId="0" applyBorder="1" applyFont="1" applyNumberFormat="1"/>
    <xf borderId="0" fillId="0" fontId="13" numFmtId="169" xfId="0" applyFont="1" applyNumberFormat="1"/>
    <xf borderId="12" fillId="3" fontId="13" numFmtId="168" xfId="0" applyAlignment="1" applyBorder="1" applyFont="1" applyNumberFormat="1">
      <alignment horizontal="center"/>
    </xf>
    <xf borderId="13" fillId="0" fontId="9" numFmtId="0" xfId="0" applyBorder="1" applyFont="1"/>
    <xf borderId="13" fillId="3" fontId="13" numFmtId="168" xfId="0" applyAlignment="1" applyBorder="1" applyFont="1" applyNumberFormat="1">
      <alignment horizontal="right"/>
    </xf>
    <xf borderId="13" fillId="3" fontId="13" numFmtId="167" xfId="0" applyBorder="1" applyFont="1" applyNumberFormat="1"/>
    <xf borderId="14" fillId="0" fontId="9" numFmtId="0" xfId="0" applyBorder="1" applyFont="1"/>
    <xf borderId="0" fillId="0" fontId="17" numFmtId="0" xfId="0" applyFont="1"/>
    <xf borderId="0" fillId="0" fontId="1" numFmtId="168" xfId="0" applyFont="1" applyNumberFormat="1"/>
    <xf borderId="0" fillId="0" fontId="1" numFmtId="167" xfId="0" applyFont="1" applyNumberFormat="1"/>
    <xf borderId="0" fillId="0" fontId="1" numFmtId="0" xfId="0" applyFont="1"/>
    <xf borderId="4" fillId="2" fontId="18" numFmtId="0" xfId="0" applyAlignment="1" applyBorder="1" applyFont="1">
      <alignment horizontal="center"/>
    </xf>
    <xf borderId="4" fillId="0" fontId="13" numFmtId="167" xfId="0" applyAlignment="1" applyBorder="1" applyFont="1" applyNumberFormat="1">
      <alignment horizontal="right"/>
    </xf>
    <xf borderId="4" fillId="2" fontId="13" numFmtId="0" xfId="0" applyAlignment="1" applyBorder="1" applyFont="1">
      <alignment horizontal="center"/>
    </xf>
    <xf borderId="4" fillId="3" fontId="13" numFmtId="168" xfId="0" applyAlignment="1" applyBorder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19" numFmtId="0" xfId="0" applyFont="1"/>
    <xf borderId="0" fillId="0" fontId="6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right" vertical="center"/>
    </xf>
    <xf borderId="0" fillId="0" fontId="20" numFmtId="49" xfId="0" applyAlignment="1" applyFont="1" applyNumberFormat="1">
      <alignment horizontal="center" vertical="center"/>
    </xf>
    <xf borderId="0" fillId="0" fontId="23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13" fillId="0" fontId="24" numFmtId="0" xfId="0" applyAlignment="1" applyBorder="1" applyFont="1">
      <alignment horizontal="center" vertical="center"/>
    </xf>
    <xf borderId="15" fillId="6" fontId="20" numFmtId="0" xfId="0" applyAlignment="1" applyBorder="1" applyFill="1" applyFont="1">
      <alignment vertical="center"/>
    </xf>
    <xf borderId="16" fillId="6" fontId="25" numFmtId="170" xfId="0" applyAlignment="1" applyBorder="1" applyFont="1" applyNumberFormat="1">
      <alignment horizontal="center" vertical="center"/>
    </xf>
    <xf borderId="17" fillId="0" fontId="9" numFmtId="0" xfId="0" applyBorder="1" applyFont="1"/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vertical="center"/>
    </xf>
    <xf borderId="0" fillId="0" fontId="28" numFmtId="171" xfId="0" applyAlignment="1" applyFont="1" applyNumberFormat="1">
      <alignment vertical="center"/>
    </xf>
    <xf borderId="0" fillId="0" fontId="29" numFmtId="0" xfId="0" applyAlignment="1" applyFont="1">
      <alignment horizontal="left" vertical="center"/>
    </xf>
    <xf borderId="0" fillId="0" fontId="29" numFmtId="0" xfId="0" applyAlignment="1" applyFont="1">
      <alignment vertical="center"/>
    </xf>
    <xf borderId="0" fillId="0" fontId="22" numFmtId="0" xfId="0" applyAlignment="1" applyFont="1">
      <alignment horizontal="left" vertical="center"/>
    </xf>
    <xf borderId="0" fillId="0" fontId="22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22" numFmtId="165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18" fillId="7" fontId="15" numFmtId="0" xfId="0" applyAlignment="1" applyBorder="1" applyFill="1" applyFont="1">
      <alignment horizontal="center" vertical="center"/>
    </xf>
    <xf borderId="19" fillId="0" fontId="9" numFmtId="0" xfId="0" applyBorder="1" applyFont="1"/>
    <xf borderId="18" fillId="7" fontId="4" numFmtId="0" xfId="0" applyAlignment="1" applyBorder="1" applyFont="1">
      <alignment horizontal="center" vertical="center"/>
    </xf>
    <xf borderId="7" fillId="7" fontId="4" numFmtId="0" xfId="0" applyAlignment="1" applyBorder="1" applyFont="1">
      <alignment horizontal="center" vertical="center"/>
    </xf>
    <xf borderId="20" fillId="0" fontId="9" numFmtId="0" xfId="0" applyBorder="1" applyFont="1"/>
    <xf borderId="12" fillId="0" fontId="15" numFmtId="168" xfId="0" applyAlignment="1" applyBorder="1" applyFont="1" applyNumberFormat="1">
      <alignment horizontal="center" shrinkToFit="1" vertical="center" wrapText="0"/>
    </xf>
    <xf borderId="12" fillId="0" fontId="15" numFmtId="167" xfId="0" applyAlignment="1" applyBorder="1" applyFont="1" applyNumberFormat="1">
      <alignment horizontal="right" vertical="center"/>
    </xf>
    <xf borderId="4" fillId="0" fontId="15" numFmtId="165" xfId="0" applyAlignment="1" applyBorder="1" applyFont="1" applyNumberFormat="1">
      <alignment horizontal="center" vertical="center"/>
    </xf>
    <xf borderId="12" fillId="0" fontId="30" numFmtId="172" xfId="0" applyAlignment="1" applyBorder="1" applyFont="1" applyNumberFormat="1">
      <alignment horizontal="center" vertical="center"/>
    </xf>
    <xf borderId="8" fillId="0" fontId="31" numFmtId="0" xfId="0" applyAlignment="1" applyBorder="1" applyFont="1">
      <alignment horizontal="left" vertical="center"/>
    </xf>
    <xf borderId="0" fillId="0" fontId="32" numFmtId="0" xfId="0" applyAlignment="1" applyFont="1">
      <alignment vertical="center"/>
    </xf>
    <xf borderId="0" fillId="0" fontId="33" numFmtId="173" xfId="0" applyAlignment="1" applyFont="1" applyNumberFormat="1">
      <alignment horizontal="right"/>
    </xf>
    <xf borderId="0" fillId="0" fontId="33" numFmtId="0" xfId="0" applyFont="1"/>
    <xf borderId="0" fillId="0" fontId="34" numFmtId="0" xfId="0" applyFont="1"/>
    <xf borderId="1" fillId="8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/>
    </xf>
    <xf borderId="1" fillId="9" fontId="1" numFmtId="0" xfId="0" applyAlignment="1" applyBorder="1" applyFill="1" applyFont="1">
      <alignment horizontal="center"/>
    </xf>
    <xf borderId="1" fillId="9" fontId="35" numFmtId="0" xfId="0" applyAlignment="1" applyBorder="1" applyFont="1">
      <alignment horizontal="center"/>
    </xf>
    <xf borderId="1" fillId="3" fontId="36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8" fontId="1" numFmtId="174" xfId="0" applyBorder="1" applyFont="1" applyNumberFormat="1"/>
    <xf borderId="1" fillId="0" fontId="1" numFmtId="175" xfId="0" applyBorder="1" applyFont="1" applyNumberFormat="1"/>
    <xf borderId="1" fillId="2" fontId="1" numFmtId="175" xfId="0" applyBorder="1" applyFont="1" applyNumberFormat="1"/>
    <xf borderId="1" fillId="2" fontId="34" numFmtId="175" xfId="0" applyBorder="1" applyFont="1" applyNumberFormat="1"/>
    <xf borderId="1" fillId="2" fontId="35" numFmtId="175" xfId="0" applyBorder="1" applyFont="1" applyNumberFormat="1"/>
    <xf borderId="1" fillId="4" fontId="1" numFmtId="175" xfId="0" applyBorder="1" applyFont="1" applyNumberFormat="1"/>
    <xf borderId="1" fillId="8" fontId="35" numFmtId="175" xfId="0" applyBorder="1" applyFont="1" applyNumberFormat="1"/>
    <xf borderId="1" fillId="3" fontId="36" numFmtId="175" xfId="0" applyBorder="1" applyFont="1" applyNumberFormat="1"/>
    <xf borderId="1" fillId="10" fontId="1" numFmtId="175" xfId="0" applyBorder="1" applyFill="1" applyFont="1" applyNumberFormat="1"/>
    <xf borderId="0" fillId="0" fontId="1" numFmtId="175" xfId="0" applyFont="1" applyNumberFormat="1"/>
    <xf borderId="1" fillId="0" fontId="1" numFmtId="174" xfId="0" applyBorder="1" applyFont="1" applyNumberFormat="1"/>
    <xf borderId="1" fillId="8" fontId="1" numFmtId="175" xfId="0" applyBorder="1" applyFont="1" applyNumberFormat="1"/>
    <xf borderId="1" fillId="2" fontId="37" numFmtId="175" xfId="0" applyBorder="1" applyFont="1" applyNumberFormat="1"/>
    <xf borderId="1" fillId="0" fontId="34" numFmtId="175" xfId="0" applyBorder="1" applyFont="1" applyNumberFormat="1"/>
    <xf borderId="1" fillId="11" fontId="1" numFmtId="175" xfId="0" applyBorder="1" applyFill="1" applyFont="1" applyNumberFormat="1"/>
    <xf borderId="1" fillId="4" fontId="34" numFmtId="175" xfId="0" applyBorder="1" applyFont="1" applyNumberFormat="1"/>
    <xf borderId="0" fillId="0" fontId="34" numFmtId="175" xfId="0" applyFont="1" applyNumberFormat="1"/>
    <xf borderId="0" fillId="2" fontId="1" numFmtId="175" xfId="0" applyFont="1" applyNumberFormat="1"/>
    <xf borderId="0" fillId="2" fontId="1" numFmtId="0" xfId="0" applyFont="1"/>
    <xf borderId="1" fillId="4" fontId="1" numFmtId="174" xfId="0" applyBorder="1" applyFont="1" applyNumberFormat="1"/>
    <xf borderId="1" fillId="4" fontId="35" numFmtId="175" xfId="0" applyBorder="1" applyFont="1" applyNumberFormat="1"/>
    <xf borderId="1" fillId="0" fontId="1" numFmtId="0" xfId="0" applyBorder="1" applyFont="1"/>
    <xf borderId="0" fillId="12" fontId="1" numFmtId="0" xfId="0" applyFill="1" applyFont="1"/>
    <xf borderId="0" fillId="3" fontId="1" numFmtId="175" xfId="0" applyFont="1" applyNumberFormat="1"/>
    <xf borderId="1" fillId="13" fontId="1" numFmtId="175" xfId="0" applyBorder="1" applyFill="1" applyFont="1" applyNumberFormat="1"/>
    <xf borderId="1" fillId="2" fontId="1" numFmtId="174" xfId="0" applyBorder="1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horizontal="center"/>
    </xf>
    <xf borderId="0" fillId="2" fontId="1" numFmtId="165" xfId="0" applyFont="1" applyNumberFormat="1"/>
    <xf borderId="0" fillId="0" fontId="1" numFmtId="0" xfId="0" applyAlignment="1" applyFont="1">
      <alignment horizontal="right"/>
    </xf>
    <xf borderId="1" fillId="10" fontId="1" numFmtId="0" xfId="0" applyAlignment="1" applyBorder="1" applyFont="1">
      <alignment horizontal="center"/>
    </xf>
    <xf borderId="0" fillId="0" fontId="34" numFmtId="0" xfId="0" applyAlignment="1" applyFont="1">
      <alignment horizontal="center"/>
    </xf>
    <xf borderId="0" fillId="0" fontId="35" numFmtId="0" xfId="0" applyFont="1"/>
    <xf borderId="1" fillId="11" fontId="34" numFmtId="175" xfId="0" applyBorder="1" applyFont="1" applyNumberFormat="1"/>
    <xf borderId="1" fillId="11" fontId="1" numFmtId="175" xfId="0" applyAlignment="1" applyBorder="1" applyFont="1" applyNumberFormat="1">
      <alignment horizontal="center"/>
    </xf>
    <xf borderId="1" fillId="5" fontId="1" numFmtId="17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381000</xdr:colOff>
      <xdr:row>3</xdr:row>
      <xdr:rowOff>28575</xdr:rowOff>
    </xdr:from>
    <xdr:ext cx="771525" cy="7715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8</xdr:row>
      <xdr:rowOff>9525</xdr:rowOff>
    </xdr:from>
    <xdr:ext cx="609600" cy="876300"/>
    <xdr:sp>
      <xdr:nvSpPr>
        <xdr:cNvPr id="3" name="Shape 3"/>
        <xdr:cNvSpPr txBox="1"/>
      </xdr:nvSpPr>
      <xdr:spPr>
        <a:xfrm>
          <a:off x="5045963" y="3346613"/>
          <a:ext cx="600075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9525</xdr:rowOff>
    </xdr:from>
    <xdr:ext cx="504825" cy="819150"/>
    <xdr:sp>
      <xdr:nvSpPr>
        <xdr:cNvPr id="4" name="Shape 4"/>
        <xdr:cNvSpPr txBox="1"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609600</xdr:colOff>
      <xdr:row>8</xdr:row>
      <xdr:rowOff>114300</xdr:rowOff>
    </xdr:from>
    <xdr:ext cx="771525" cy="7715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8</xdr:row>
      <xdr:rowOff>9525</xdr:rowOff>
    </xdr:from>
    <xdr:ext cx="609600" cy="876300"/>
    <xdr:sp>
      <xdr:nvSpPr>
        <xdr:cNvPr id="5" name="Shape 5"/>
        <xdr:cNvSpPr txBox="1"/>
      </xdr:nvSpPr>
      <xdr:spPr>
        <a:xfrm>
          <a:off x="5045963" y="3346613"/>
          <a:ext cx="600075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200"/>
            <a:buFont typeface="Arial"/>
            <a:buNone/>
          </a:pPr>
          <a:r>
            <a:rPr b="1" lang="en-US" sz="1200">
              <a:solidFill>
                <a:srgbClr val="A5A5A5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9525</xdr:rowOff>
    </xdr:from>
    <xdr:ext cx="504825" cy="819150"/>
    <xdr:sp>
      <xdr:nvSpPr>
        <xdr:cNvPr id="4" name="Shape 4"/>
        <xdr:cNvSpPr txBox="1"/>
      </xdr:nvSpPr>
      <xdr:spPr>
        <a:xfrm>
          <a:off x="5098350" y="3375188"/>
          <a:ext cx="495300" cy="809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1" sz="1200">
            <a:solidFill>
              <a:srgbClr val="A5A5A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123825</xdr:colOff>
      <xdr:row>8</xdr:row>
      <xdr:rowOff>114300</xdr:rowOff>
    </xdr:from>
    <xdr:ext cx="771525" cy="7715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松井充子" id="{e66c7da8-6f52-4e90-8103-bb97526f8a1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21T02:47:20.00" personId="{e66c7da8-6f52-4e90-8103-bb97526f8a1e}" id="{d9b64c4c-825d-4691-94d1-b6d07d74ae5d}" done="0">
    <x18tc:text xml:space="preserve">145円/1日</x18tc:text>
  </x18tc:threadedComment>
  <x18tc:threadedComment ref="A1" dT="2025-08-21T02:44:25.00" personId="{e66c7da8-6f52-4e90-8103-bb97526f8a1e}" id="{6b7bef0c-f2dd-49fb-ad29-5ab78df7ad48}" done="0">
    <x18tc:text xml:space="preserve">73円/1日</x18tc:text>
  </x18tc:threadedComment>
  <x18tc:threadedComment ref="A1" dT="2025-08-21T02:44:45.00" personId="{e66c7da8-6f52-4e90-8103-bb97526f8a1e}" id="{d30dd769-10b1-4f04-b2a2-cd53c6739c7e}" done="0">
    <x18tc:text xml:space="preserve">73円/1日</x18tc:text>
  </x18tc:threadedComment>
  <x18tc:threadedComment ref="A1" dT="2025-08-21T03:19:47.00" personId="{e66c7da8-6f52-4e90-8103-bb97526f8a1e}" id="{94326b6f-e27a-4afc-942a-30261977878b}" done="0">
    <x18tc:text xml:space="preserve">73円/1日</x18tc:text>
  </x18tc:threadedComment>
  <x18tc:threadedComment ref="A1" dT="2025-08-21T02:43:50.00" personId="{e66c7da8-6f52-4e90-8103-bb97526f8a1e}" id="{b59ff5b5-4a6f-4dc1-819b-c0dc6880567d}" done="0">
    <x18tc:text xml:space="preserve">73円/1日</x18tc:text>
  </x18tc:threadedComment>
  <x18tc:threadedComment ref="A1" dT="2025-08-21T02:48:01.00" personId="{e66c7da8-6f52-4e90-8103-bb97526f8a1e}" id="{b1dc9bca-0f09-4ad7-a78b-d05531cd2c22}" done="0">
    <x18tc:text xml:space="preserve">73円/1日</x18tc:text>
  </x18tc:threadedComment>
  <x18tc:threadedComment ref="A1" dT="2025-08-21T02:43:29.00" personId="{e66c7da8-6f52-4e90-8103-bb97526f8a1e}" id="{9ac046b9-5a34-48b4-be69-3603ca4a08fc}" done="0">
    <x18tc:text xml:space="preserve">73円/1日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3" dT="2025-08-25T01:58:48.00" personId="{e66c7da8-6f52-4e90-8103-bb97526f8a1e}" id="{4ece0a7c-b9ea-486d-aa89-857564dccbbf}" done="0">
    <x18tc:text xml:space="preserve">73円/1日</x18tc:text>
  </x18tc:threadedComment>
  <x18tc:threadedComment ref="L11" dT="2025-08-25T02:06:30.00" personId="{e66c7da8-6f52-4e90-8103-bb97526f8a1e}" id="{a5aabbc9-3ee7-4e5e-b8ac-3c0d476f222e}" done="0">
    <x18tc:text xml:space="preserve">73円/1日</x18tc:text>
  </x18tc:threadedComment>
  <x18tc:threadedComment ref="L5" dT="2025-08-25T02:06:08.00" personId="{e66c7da8-6f52-4e90-8103-bb97526f8a1e}" id="{14be0ebf-67c6-4207-9283-b8f56ebbc4cf}" done="0">
    <x18tc:text xml:space="preserve">73円/1日</x18tc:text>
  </x18tc:threadedComment>
  <x18tc:threadedComment ref="L10" dT="2025-08-25T02:06:20.00" personId="{e66c7da8-6f52-4e90-8103-bb97526f8a1e}" id="{0e20e4c2-344f-4f66-96ac-99d74a9688e3}" done="0">
    <x18tc:text xml:space="preserve">73円/1日</x18tc:text>
  </x18tc:threadedComment>
  <x18tc:threadedComment ref="L9" dT="2025-08-25T01:58:32.00" personId="{e66c7da8-6f52-4e90-8103-bb97526f8a1e}" id="{aa350a92-d5bf-43df-952f-8bddb0e3ff4f}" done="0">
    <x18tc:text xml:space="preserve">73円/1日</x18tc:text>
  </x18tc:threadedComment>
  <x18tc:threadedComment ref="L6" dT="2025-08-25T02:03:48.00" personId="{e66c7da8-6f52-4e90-8103-bb97526f8a1e}" id="{b51ff229-6156-4355-80eb-4bc6a95c3d20}" done="0">
    <x18tc:text xml:space="preserve">73円/1日</x18tc:text>
  </x18tc:threadedComment>
  <x18tc:threadedComment ref="L7" dT="2025-08-25T01:54:06.00" personId="{e66c7da8-6f52-4e90-8103-bb97526f8a1e}" id="{2e8455e4-f08f-4cd4-a1f4-8d9d0d05f37c}" done="0">
    <x18tc:text xml:space="preserve">73円/1日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2" dT="2025-07-21T05:40:17.00" personId="{e66c7da8-6f52-4e90-8103-bb97526f8a1e}" id="{f9a25ab6-2b01-4602-a6b5-697510e6d9cf}" done="0">
    <x18tc:text xml:space="preserve">242円/1日</x18tc:text>
  </x18tc:threadedComment>
  <x18tc:threadedComment ref="Q9" dT="2025-07-21T05:42:28.00" personId="{e66c7da8-6f52-4e90-8103-bb97526f8a1e}" id="{566c24e1-9945-489c-a03b-3b1eb49b08e3}" done="0">
    <x18tc:text xml:space="preserve">1か月19670円固定</x18tc:text>
  </x18tc:threadedComment>
  <x18tc:threadedComment ref="K6" dT="2025-07-21T05:37:59.00" personId="{e66c7da8-6f52-4e90-8103-bb97526f8a1e}" id="{5da1bab6-a1fb-44fb-bddb-599b24e90b41}" done="0">
    <x18tc:text xml:space="preserve">73円/1日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3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/>
    </row>
    <row r="5" ht="15.75" customHeight="1">
      <c r="A5" s="1" t="s">
        <v>7</v>
      </c>
      <c r="B5" s="1" t="s">
        <v>8</v>
      </c>
    </row>
    <row r="6" ht="15.75" customHeight="1">
      <c r="A6" s="1" t="s">
        <v>9</v>
      </c>
      <c r="B6" s="1" t="s">
        <v>10</v>
      </c>
    </row>
    <row r="7" ht="15.75" customHeight="1">
      <c r="A7" s="1" t="s">
        <v>11</v>
      </c>
      <c r="B7" s="1"/>
    </row>
    <row r="8" ht="15.75" customHeight="1">
      <c r="A8" s="1" t="s">
        <v>12</v>
      </c>
      <c r="B8" s="1" t="s">
        <v>13</v>
      </c>
    </row>
    <row r="9" ht="15.75" customHeight="1">
      <c r="A9" s="1" t="s">
        <v>14</v>
      </c>
      <c r="B9" s="1" t="s">
        <v>15</v>
      </c>
    </row>
    <row r="10" ht="15.75" customHeight="1">
      <c r="A10" s="1" t="s">
        <v>16</v>
      </c>
      <c r="B10" s="1" t="s">
        <v>17</v>
      </c>
    </row>
    <row r="11" ht="15.75" customHeight="1">
      <c r="A11" s="2" t="s">
        <v>18</v>
      </c>
      <c r="B11" s="2" t="s">
        <v>19</v>
      </c>
    </row>
    <row r="12" ht="15.75" customHeight="1">
      <c r="A12" s="1" t="s">
        <v>18</v>
      </c>
      <c r="B12" s="1"/>
    </row>
    <row r="13" ht="15.75" customHeight="1">
      <c r="A13" s="3"/>
      <c r="B13" s="3"/>
    </row>
    <row r="14" ht="15.75" customHeight="1">
      <c r="A14" s="3"/>
      <c r="B14" s="3"/>
    </row>
    <row r="15" ht="15.75" customHeight="1">
      <c r="A15" s="3"/>
      <c r="B15" s="3"/>
    </row>
    <row r="16" ht="15.75" customHeight="1">
      <c r="A16" s="3"/>
      <c r="B16" s="3"/>
    </row>
    <row r="17" ht="15.75" customHeight="1">
      <c r="A17" s="3"/>
      <c r="B17" s="3"/>
    </row>
    <row r="18" ht="15.75" customHeight="1">
      <c r="A18" s="3"/>
      <c r="B18" s="3"/>
    </row>
    <row r="19" ht="15.75" customHeight="1">
      <c r="A19" s="3"/>
      <c r="B19" s="3"/>
    </row>
    <row r="20" ht="15.75" customHeight="1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5" width="8.25"/>
    <col customWidth="1" min="6" max="6" width="9.13"/>
    <col customWidth="1" min="7" max="8" width="9.5"/>
    <col customWidth="1" min="9" max="11" width="8.25"/>
    <col customWidth="1" min="12" max="26" width="7.13"/>
  </cols>
  <sheetData>
    <row r="1" ht="33.0" customHeight="1">
      <c r="A1" s="4" t="s">
        <v>20</v>
      </c>
      <c r="L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7" t="str">
        <f t="array" ref="A2">VLOOKUP(F$4,INDIRECT(M$2&amp;"!A3:U109"),2,FALSE)</f>
        <v>小山美由紀</v>
      </c>
      <c r="E2" s="8" t="s">
        <v>21</v>
      </c>
      <c r="F2" s="5"/>
      <c r="G2" s="5"/>
      <c r="H2" s="9" t="s">
        <v>22</v>
      </c>
      <c r="J2" s="10">
        <v>46056.0</v>
      </c>
      <c r="L2" s="11" t="s">
        <v>23</v>
      </c>
      <c r="M2" s="12" t="s">
        <v>24</v>
      </c>
      <c r="N2" s="13"/>
      <c r="O2" s="14" t="s">
        <v>25</v>
      </c>
      <c r="P2" s="15" t="s">
        <v>26</v>
      </c>
      <c r="Q2" s="16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F3" s="5"/>
      <c r="G3" s="5"/>
      <c r="H3" s="5"/>
      <c r="I3" s="5"/>
      <c r="J3" s="5"/>
      <c r="K3" s="5"/>
      <c r="L3" s="5"/>
      <c r="M3" s="14" t="s">
        <v>27</v>
      </c>
      <c r="N3" s="17">
        <v>2.0</v>
      </c>
      <c r="O3" s="5" t="s">
        <v>23</v>
      </c>
      <c r="P3" s="18">
        <v>1.0</v>
      </c>
      <c r="Q3" s="5" t="s">
        <v>25</v>
      </c>
      <c r="R3" s="18">
        <v>12.0</v>
      </c>
      <c r="S3" s="5"/>
      <c r="T3" s="5"/>
      <c r="U3" s="5"/>
      <c r="V3" s="5"/>
      <c r="W3" s="5"/>
      <c r="X3" s="5"/>
      <c r="Y3" s="5"/>
      <c r="Z3" s="5"/>
    </row>
    <row r="4" ht="18.75" customHeight="1">
      <c r="A4" s="19" t="s">
        <v>28</v>
      </c>
      <c r="F4" s="20" t="s">
        <v>12</v>
      </c>
      <c r="G4" s="5" t="s">
        <v>29</v>
      </c>
      <c r="H4" s="21" t="s">
        <v>30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20"/>
      <c r="B5" s="20"/>
      <c r="C5" s="20"/>
      <c r="D5" s="5"/>
      <c r="E5" s="5"/>
      <c r="F5" s="5"/>
      <c r="G5" s="5"/>
      <c r="L5" s="22"/>
      <c r="M5" s="22" t="s">
        <v>31</v>
      </c>
      <c r="N5" s="22"/>
      <c r="O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23" t="s">
        <v>32</v>
      </c>
      <c r="B6" s="16"/>
      <c r="C6" s="24">
        <f>I33-I32</f>
        <v>62000</v>
      </c>
      <c r="D6" s="25"/>
      <c r="E6" s="25"/>
      <c r="F6" s="25"/>
      <c r="G6" s="16"/>
      <c r="H6" s="26" t="s">
        <v>33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0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27"/>
      <c r="M7" s="27"/>
      <c r="N7" s="2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0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27"/>
      <c r="M8" s="27"/>
      <c r="N8" s="2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28" t="s">
        <v>34</v>
      </c>
      <c r="B9" s="29"/>
      <c r="C9" s="30" t="s">
        <v>35</v>
      </c>
      <c r="D9" s="29"/>
      <c r="E9" s="30" t="s">
        <v>36</v>
      </c>
      <c r="F9" s="29"/>
      <c r="G9" s="30" t="s">
        <v>37</v>
      </c>
      <c r="H9" s="29"/>
      <c r="I9" s="30" t="s">
        <v>38</v>
      </c>
      <c r="J9" s="29"/>
      <c r="K9" s="3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32" t="str">
        <f t="array" ref="A10">INDIRECT(M$2&amp;"!D2")</f>
        <v>家賃</v>
      </c>
      <c r="C10" s="33">
        <f t="array" ref="C10">VLOOKUP(F$4,INDIRECT(M$2&amp;"!A3:U109"),4,FALSE)</f>
        <v>40000</v>
      </c>
      <c r="E10" s="34" t="s">
        <v>39</v>
      </c>
      <c r="G10" s="35">
        <f t="shared" ref="G10:G28" si="1">C10</f>
        <v>40000</v>
      </c>
      <c r="I10" s="36">
        <f>N3</f>
        <v>2</v>
      </c>
      <c r="K10" s="3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8" t="str">
        <f t="array" ref="A11">INDIRECT(M$2&amp;"!E2")</f>
        <v>管理費</v>
      </c>
      <c r="C11" s="39">
        <f t="array" ref="C11">VLOOKUP(F$4,INDIRECT(M$2&amp;"!A3:U109"),5,FALSE)</f>
        <v>5000</v>
      </c>
      <c r="E11" s="40" t="s">
        <v>39</v>
      </c>
      <c r="G11" s="41">
        <f t="shared" si="1"/>
        <v>5000</v>
      </c>
      <c r="I11" s="42">
        <f>N3</f>
        <v>2</v>
      </c>
      <c r="K11" s="37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22.5" customHeight="1">
      <c r="A12" s="32" t="str">
        <f t="array" ref="A12">INDIRECT(M$2&amp;"!F2")</f>
        <v>共益費</v>
      </c>
      <c r="C12" s="33">
        <f t="array" ref="C12">VLOOKUP(F$4,INDIRECT(M$2&amp;"!A3:U109"),6,FALSE)</f>
        <v>5000</v>
      </c>
      <c r="E12" s="34" t="s">
        <v>39</v>
      </c>
      <c r="G12" s="35">
        <f t="shared" si="1"/>
        <v>5000</v>
      </c>
      <c r="I12" s="36">
        <f>N3</f>
        <v>2</v>
      </c>
      <c r="K12" s="37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2.5" customHeight="1">
      <c r="A13" s="38" t="str">
        <f t="array" ref="A13">INDIRECT(M$2&amp;"!G2")</f>
        <v>水道料金</v>
      </c>
      <c r="C13" s="39">
        <f t="array" ref="C13">VLOOKUP(F$4,INDIRECT(M$2&amp;"!A3:U109"),7,FALSE)</f>
        <v>2000</v>
      </c>
      <c r="E13" s="40" t="s">
        <v>39</v>
      </c>
      <c r="G13" s="41">
        <f t="shared" si="1"/>
        <v>2000</v>
      </c>
      <c r="I13" s="42">
        <f>N3</f>
        <v>2</v>
      </c>
      <c r="K13" s="37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22.5" customHeight="1">
      <c r="A14" s="32" t="str">
        <f t="array" ref="A14">INDIRECT(M$2&amp;"!H2")</f>
        <v>定額光熱費</v>
      </c>
      <c r="C14" s="33">
        <f t="array" ref="C14">VLOOKUP(F$4,INDIRECT(M$2&amp;"!A3:U109"),8,FALSE)</f>
        <v>10000</v>
      </c>
      <c r="E14" s="34" t="s">
        <v>39</v>
      </c>
      <c r="G14" s="35">
        <f t="shared" si="1"/>
        <v>10000</v>
      </c>
      <c r="I14" s="36">
        <f>N3</f>
        <v>2</v>
      </c>
      <c r="K14" s="37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22.5" customHeight="1">
      <c r="A15" s="38" t="str">
        <f t="array" ref="A15">INDIRECT(M$2&amp;"!I2")</f>
        <v>食事</v>
      </c>
      <c r="C15" s="44" t="str">
        <f t="array" ref="C15">VLOOKUP(F$4,INDIRECT(M$2&amp;"!A3:U109"),9,FALSE)</f>
        <v/>
      </c>
      <c r="E15" s="40" t="s">
        <v>39</v>
      </c>
      <c r="G15" s="45" t="str">
        <f t="shared" si="1"/>
        <v/>
      </c>
      <c r="I15" s="42">
        <f>P3</f>
        <v>1</v>
      </c>
      <c r="K15" s="37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22.5" customHeight="1">
      <c r="A16" s="32" t="str">
        <f t="array" ref="A16">INDIRECT(M$2&amp;"!J2")</f>
        <v>調整額</v>
      </c>
      <c r="C16" s="46" t="str">
        <f t="array" ref="C16">VLOOKUP(F$4,INDIRECT(M$2&amp;"!A3:U109"),10,FALSE)</f>
        <v/>
      </c>
      <c r="E16" s="34" t="s">
        <v>39</v>
      </c>
      <c r="G16" s="47" t="str">
        <f t="shared" si="1"/>
        <v/>
      </c>
      <c r="I16" s="36">
        <f>P3</f>
        <v>1</v>
      </c>
      <c r="K16" s="37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22.5" customHeight="1">
      <c r="A17" s="38" t="str">
        <f t="array" ref="A17">INDIRECT(M$2&amp;"!K2")</f>
        <v>オムツ</v>
      </c>
      <c r="C17" s="44" t="str">
        <f t="array" ref="C17">VLOOKUP(F$4,INDIRECT(M$2&amp;"!A3:U109"),11,FALSE)</f>
        <v/>
      </c>
      <c r="E17" s="40" t="s">
        <v>39</v>
      </c>
      <c r="G17" s="45" t="str">
        <f t="shared" si="1"/>
        <v/>
      </c>
      <c r="I17" s="42">
        <f>P3</f>
        <v>1</v>
      </c>
      <c r="K17" s="37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22.5" customHeight="1">
      <c r="A18" s="32" t="str">
        <f t="array" ref="A18">INDIRECT(M$2&amp;"!L2")</f>
        <v>日用品</v>
      </c>
      <c r="C18" s="46" t="str">
        <f t="array" ref="C18">VLOOKUP(F$4,INDIRECT(M$2&amp;"!A3:U109"),12,FALSE)</f>
        <v/>
      </c>
      <c r="E18" s="34" t="s">
        <v>39</v>
      </c>
      <c r="G18" s="48" t="str">
        <f t="shared" si="1"/>
        <v/>
      </c>
      <c r="I18" s="36">
        <f>P3</f>
        <v>1</v>
      </c>
      <c r="K18" s="37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22.5" customHeight="1">
      <c r="A19" s="38" t="str">
        <f t="array" ref="A19">INDIRECT(M$2&amp;"!M2")</f>
        <v>分割支払い</v>
      </c>
      <c r="C19" s="39" t="str">
        <f t="array" ref="C19">VLOOKUP(F$4,INDIRECT(M$2&amp;"!A3:U109"),13,FALSE)</f>
        <v/>
      </c>
      <c r="E19" s="40" t="s">
        <v>39</v>
      </c>
      <c r="G19" s="41" t="str">
        <f t="shared" si="1"/>
        <v/>
      </c>
      <c r="I19" s="42">
        <f>P3</f>
        <v>1</v>
      </c>
      <c r="K19" s="37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22.5" customHeight="1">
      <c r="A20" s="32" t="str">
        <f t="array" ref="A20">INDIRECT(M$2&amp;"!N2")</f>
        <v>事務手数料</v>
      </c>
      <c r="C20" s="33" t="str">
        <f t="array" ref="C20">VLOOKUP(F$4,INDIRECT(M$2&amp;"!A3:U109"),14,FALSE)</f>
        <v/>
      </c>
      <c r="E20" s="34" t="s">
        <v>39</v>
      </c>
      <c r="G20" s="35" t="str">
        <f t="shared" si="1"/>
        <v/>
      </c>
      <c r="I20" s="36">
        <f>P3</f>
        <v>1</v>
      </c>
      <c r="K20" s="37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22.5" customHeight="1">
      <c r="A21" s="38" t="str">
        <f t="array" ref="A21">INDIRECT(M$2&amp;"!O2")</f>
        <v>デイサービス</v>
      </c>
      <c r="C21" s="39" t="str">
        <f t="array" ref="C21">VLOOKUP(F$4,INDIRECT(M$2&amp;"!A3:U109"),15,FALSE)</f>
        <v/>
      </c>
      <c r="E21" s="40" t="s">
        <v>39</v>
      </c>
      <c r="G21" s="41" t="str">
        <f t="shared" si="1"/>
        <v/>
      </c>
      <c r="I21" s="42">
        <f>R3</f>
        <v>12</v>
      </c>
      <c r="K21" s="37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22.5" customHeight="1">
      <c r="A22" s="32" t="str">
        <f t="array" ref="A22">INDIRECT(M$2&amp;"!P2")</f>
        <v>福祉用具</v>
      </c>
      <c r="C22" s="46" t="str">
        <f t="array" ref="C22">VLOOKUP(F$4,INDIRECT(M$2&amp;"!A3:U109"),16,FALSE)</f>
        <v/>
      </c>
      <c r="E22" s="34" t="s">
        <v>39</v>
      </c>
      <c r="G22" s="48" t="str">
        <f t="shared" si="1"/>
        <v/>
      </c>
      <c r="I22" s="36">
        <f>R3</f>
        <v>12</v>
      </c>
      <c r="K22" s="37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22.5" customHeight="1">
      <c r="A23" s="38" t="str">
        <f t="array" ref="A23">INDIRECT(M$2&amp;"!Q2")</f>
        <v>しろくま薬局</v>
      </c>
      <c r="C23" s="44" t="str">
        <f t="array" ref="C23">VLOOKUP(F$4,INDIRECT(M$2&amp;"!A3:U109"),17,FALSE)</f>
        <v/>
      </c>
      <c r="E23" s="40" t="s">
        <v>39</v>
      </c>
      <c r="G23" s="45" t="str">
        <f t="shared" si="1"/>
        <v/>
      </c>
      <c r="I23" s="42">
        <f>R3</f>
        <v>12</v>
      </c>
      <c r="K23" s="37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22.5" customHeight="1">
      <c r="A24" s="32" t="str">
        <f t="array" ref="A24">INDIRECT(M$2&amp;"!R2")</f>
        <v>往診診療費</v>
      </c>
      <c r="C24" s="46" t="str">
        <f t="array" ref="C24">VLOOKUP(F$4,INDIRECT(M$2&amp;"!A3:U109"),18,FALSE)</f>
        <v/>
      </c>
      <c r="E24" s="49" t="s">
        <v>39</v>
      </c>
      <c r="G24" s="48" t="str">
        <f t="shared" si="1"/>
        <v/>
      </c>
      <c r="I24" s="36">
        <f>R3</f>
        <v>12</v>
      </c>
      <c r="K24" s="37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22.5" customHeight="1">
      <c r="A25" s="38" t="str">
        <f t="array" ref="A25">INDIRECT(M$2&amp;"!S2")</f>
        <v>サポート費</v>
      </c>
      <c r="C25" s="44" t="str">
        <f t="array" ref="C25">VLOOKUP(F$4,INDIRECT(M$2&amp;"!A3:U109"),19,FALSE)</f>
        <v/>
      </c>
      <c r="E25" s="50" t="s">
        <v>39</v>
      </c>
      <c r="G25" s="45" t="str">
        <f t="shared" si="1"/>
        <v/>
      </c>
      <c r="I25" s="42">
        <f>R3</f>
        <v>12</v>
      </c>
      <c r="K25" s="37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22.5" customHeight="1">
      <c r="A26" s="32" t="str">
        <f t="array" ref="A26">INDIRECT(M$2&amp;"!T2")</f>
        <v>その他</v>
      </c>
      <c r="C26" s="46" t="str">
        <f t="array" ref="C26">VLOOKUP(F$4,INDIRECT(M$2&amp;"!A3:U109"),20,FALSE)</f>
        <v/>
      </c>
      <c r="E26" s="49" t="s">
        <v>39</v>
      </c>
      <c r="G26" s="48" t="str">
        <f t="shared" si="1"/>
        <v/>
      </c>
      <c r="I26" s="36">
        <f>R3</f>
        <v>12</v>
      </c>
      <c r="K26" s="37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22.5" customHeight="1">
      <c r="A27" s="51" t="str">
        <f t="array" ref="A27">INDIRECT(M$2&amp;"!U2")</f>
        <v/>
      </c>
      <c r="C27" s="44" t="str">
        <f t="array" ref="C27">VLOOKUP(F$4,INDIRECT(M$2&amp;"!A3:U109"),21,FALSE)</f>
        <v/>
      </c>
      <c r="E27" s="40" t="s">
        <v>39</v>
      </c>
      <c r="G27" s="45" t="str">
        <f t="shared" si="1"/>
        <v/>
      </c>
      <c r="I27" s="52"/>
      <c r="K27" s="37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22.5" customHeight="1">
      <c r="A28" s="53" t="str">
        <f t="array" ref="A28">INDIRECT(M$2&amp;"!V2")</f>
        <v/>
      </c>
      <c r="C28" s="46"/>
      <c r="E28" s="48"/>
      <c r="G28" s="48" t="str">
        <f t="shared" si="1"/>
        <v/>
      </c>
      <c r="I28" s="54"/>
      <c r="K28" s="37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22.5" customHeight="1">
      <c r="A29" s="55" t="s">
        <v>40</v>
      </c>
      <c r="B29" s="56"/>
      <c r="C29" s="56"/>
      <c r="D29" s="56"/>
      <c r="E29" s="56"/>
      <c r="F29" s="56"/>
      <c r="G29" s="57">
        <f>SUM(G10:H28)</f>
        <v>62000</v>
      </c>
      <c r="H29" s="56"/>
      <c r="I29" s="58"/>
      <c r="J29" s="56"/>
      <c r="K29" s="59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22.5" customHeight="1">
      <c r="A30" s="60" t="s">
        <v>41</v>
      </c>
      <c r="H30" s="61"/>
      <c r="I30" s="62"/>
      <c r="J30" s="62"/>
      <c r="K30" s="6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22.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22.5" customHeight="1">
      <c r="A32" s="64" t="s">
        <v>42</v>
      </c>
      <c r="B32" s="16"/>
      <c r="C32" s="65">
        <v>0.0</v>
      </c>
      <c r="D32" s="16"/>
      <c r="E32" s="63"/>
      <c r="F32" s="63"/>
      <c r="G32" s="66" t="s">
        <v>43</v>
      </c>
      <c r="H32" s="16"/>
      <c r="I32" s="65" t="str">
        <f t="array" ref="I32">VLOOKUP(F$4,INDIRECT(P$2&amp;"!A3:AE109"),31,FALSE)</f>
        <v/>
      </c>
      <c r="J32" s="16"/>
      <c r="K32" s="6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22.5" customHeight="1">
      <c r="A33" s="64" t="s">
        <v>44</v>
      </c>
      <c r="B33" s="16"/>
      <c r="C33" s="65">
        <v>0.0</v>
      </c>
      <c r="D33" s="16"/>
      <c r="E33" s="63"/>
      <c r="F33" s="63"/>
      <c r="G33" s="67" t="s">
        <v>45</v>
      </c>
      <c r="H33" s="16"/>
      <c r="I33" s="65">
        <f>G29</f>
        <v>62000</v>
      </c>
      <c r="J33" s="16"/>
      <c r="K33" s="6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8.0" customHeight="1">
      <c r="A34" s="63"/>
      <c r="B34" s="63"/>
      <c r="C34" s="63"/>
      <c r="D34" s="63"/>
      <c r="E34" s="63"/>
      <c r="F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8.0" customHeight="1">
      <c r="A35" s="68"/>
      <c r="C35" s="69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8.0" customHeight="1">
      <c r="A36" s="68"/>
      <c r="C36" s="69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9.5" customHeight="1">
      <c r="A37" s="68"/>
      <c r="C37" s="69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24.0" customHeight="1">
      <c r="A38" s="68"/>
      <c r="C38" s="69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24.0" customHeight="1">
      <c r="C39" s="69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24.0" customHeight="1">
      <c r="A40" s="63"/>
      <c r="B40" s="63"/>
      <c r="C40" s="63"/>
      <c r="D40" s="63"/>
      <c r="E40" s="63"/>
      <c r="F40" s="63"/>
      <c r="G40" s="6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7.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24.0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8.0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J2:K2"/>
    <mergeCell ref="H4:K5"/>
    <mergeCell ref="A1:K1"/>
    <mergeCell ref="A2:D3"/>
    <mergeCell ref="E2:E3"/>
    <mergeCell ref="H2:I2"/>
    <mergeCell ref="M2:N2"/>
    <mergeCell ref="P2:Q2"/>
    <mergeCell ref="A4:E4"/>
    <mergeCell ref="A6:B6"/>
    <mergeCell ref="C6:G6"/>
    <mergeCell ref="H6:K6"/>
    <mergeCell ref="C9:D9"/>
    <mergeCell ref="E9:F9"/>
    <mergeCell ref="G9:H9"/>
    <mergeCell ref="I9:K9"/>
    <mergeCell ref="G11:H11"/>
    <mergeCell ref="I11:K11"/>
    <mergeCell ref="I12:K12"/>
    <mergeCell ref="A9:B9"/>
    <mergeCell ref="A10:B10"/>
    <mergeCell ref="C10:D10"/>
    <mergeCell ref="E10:F10"/>
    <mergeCell ref="G10:H10"/>
    <mergeCell ref="I10:K10"/>
    <mergeCell ref="A11:B11"/>
    <mergeCell ref="C11:D11"/>
    <mergeCell ref="E11:F11"/>
    <mergeCell ref="A12:B12"/>
    <mergeCell ref="C12:D12"/>
    <mergeCell ref="E12:F12"/>
    <mergeCell ref="G12:H12"/>
    <mergeCell ref="G13:H13"/>
    <mergeCell ref="C15:D15"/>
    <mergeCell ref="E15:F15"/>
    <mergeCell ref="C13:D13"/>
    <mergeCell ref="E13:F13"/>
    <mergeCell ref="I13:K13"/>
    <mergeCell ref="G15:H15"/>
    <mergeCell ref="I15:K15"/>
    <mergeCell ref="A13:B13"/>
    <mergeCell ref="A14:B14"/>
    <mergeCell ref="C14:D14"/>
    <mergeCell ref="E14:F14"/>
    <mergeCell ref="G14:H14"/>
    <mergeCell ref="I14:K14"/>
    <mergeCell ref="A15:B15"/>
    <mergeCell ref="E17:F17"/>
    <mergeCell ref="G17:H17"/>
    <mergeCell ref="A16:B16"/>
    <mergeCell ref="C16:D16"/>
    <mergeCell ref="E16:F16"/>
    <mergeCell ref="G16:H16"/>
    <mergeCell ref="I16:K16"/>
    <mergeCell ref="C17:D17"/>
    <mergeCell ref="I17:K17"/>
    <mergeCell ref="G19:H19"/>
    <mergeCell ref="I19:K19"/>
    <mergeCell ref="I20:K20"/>
    <mergeCell ref="A17:B17"/>
    <mergeCell ref="A18:B18"/>
    <mergeCell ref="C18:D18"/>
    <mergeCell ref="E18:F18"/>
    <mergeCell ref="G18:H18"/>
    <mergeCell ref="I18:K18"/>
    <mergeCell ref="A19:B19"/>
    <mergeCell ref="C25:D25"/>
    <mergeCell ref="E25:F25"/>
    <mergeCell ref="I25:K25"/>
    <mergeCell ref="A25:B25"/>
    <mergeCell ref="A26:B26"/>
    <mergeCell ref="C26:D26"/>
    <mergeCell ref="E26:F26"/>
    <mergeCell ref="G26:H26"/>
    <mergeCell ref="I26:K26"/>
    <mergeCell ref="A27:B27"/>
    <mergeCell ref="G32:H32"/>
    <mergeCell ref="G33:H33"/>
    <mergeCell ref="A33:B33"/>
    <mergeCell ref="A35:B35"/>
    <mergeCell ref="A36:B36"/>
    <mergeCell ref="A37:B37"/>
    <mergeCell ref="A38:B39"/>
    <mergeCell ref="A29:F29"/>
    <mergeCell ref="A30:G30"/>
    <mergeCell ref="A32:B32"/>
    <mergeCell ref="C32:D32"/>
    <mergeCell ref="I32:J32"/>
    <mergeCell ref="C33:D33"/>
    <mergeCell ref="I33:J33"/>
    <mergeCell ref="C21:D21"/>
    <mergeCell ref="E21:F21"/>
    <mergeCell ref="I21:K21"/>
    <mergeCell ref="C19:D19"/>
    <mergeCell ref="E19:F19"/>
    <mergeCell ref="A20:B20"/>
    <mergeCell ref="C20:D20"/>
    <mergeCell ref="E20:F20"/>
    <mergeCell ref="G20:H20"/>
    <mergeCell ref="G21:H21"/>
    <mergeCell ref="G23:H23"/>
    <mergeCell ref="I23:K23"/>
    <mergeCell ref="I24:K24"/>
    <mergeCell ref="A21:B21"/>
    <mergeCell ref="A22:B22"/>
    <mergeCell ref="C22:D22"/>
    <mergeCell ref="E22:F22"/>
    <mergeCell ref="G22:H22"/>
    <mergeCell ref="I22:K22"/>
    <mergeCell ref="A23:B23"/>
    <mergeCell ref="C23:D23"/>
    <mergeCell ref="E23:F23"/>
    <mergeCell ref="A24:B24"/>
    <mergeCell ref="C24:D24"/>
    <mergeCell ref="E24:F24"/>
    <mergeCell ref="G24:H24"/>
    <mergeCell ref="G25:H25"/>
    <mergeCell ref="G27:H27"/>
    <mergeCell ref="I27:K27"/>
    <mergeCell ref="I28:K28"/>
    <mergeCell ref="I29:K29"/>
    <mergeCell ref="C27:D27"/>
    <mergeCell ref="E27:F27"/>
    <mergeCell ref="A28:B28"/>
    <mergeCell ref="C28:D28"/>
    <mergeCell ref="E28:F28"/>
    <mergeCell ref="G28:H28"/>
    <mergeCell ref="G29:H29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5" width="7.88"/>
  </cols>
  <sheetData>
    <row r="1" ht="37.5" customHeight="1">
      <c r="A1" s="71" t="s">
        <v>46</v>
      </c>
      <c r="B1" s="72" t="s">
        <v>47</v>
      </c>
      <c r="H1" s="73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23.25" customHeight="1">
      <c r="A2" s="72"/>
      <c r="B2" s="72"/>
      <c r="C2" s="72"/>
      <c r="D2" s="72"/>
      <c r="E2" s="74"/>
      <c r="G2" s="75"/>
      <c r="H2" s="72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23.25" customHeight="1">
      <c r="A3" s="71"/>
      <c r="B3" s="76"/>
      <c r="C3" s="71"/>
      <c r="D3" s="71"/>
      <c r="E3" s="74" t="s">
        <v>48</v>
      </c>
      <c r="G3" s="77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34.5" customHeight="1">
      <c r="A4" s="71"/>
      <c r="B4" s="78" t="str">
        <f>'すまい請求書'!A2</f>
        <v>小山美由紀</v>
      </c>
      <c r="C4" s="56"/>
      <c r="D4" s="71" t="s">
        <v>21</v>
      </c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22.5" customHeigh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48.0" customHeight="1">
      <c r="A6" s="71"/>
      <c r="B6" s="79"/>
      <c r="C6" s="80">
        <f>'すまい請求書'!C6</f>
        <v>62000</v>
      </c>
      <c r="D6" s="81"/>
      <c r="E6" s="81"/>
      <c r="F6" s="79"/>
      <c r="G6" s="79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27.75" customHeight="1">
      <c r="A7" s="71"/>
      <c r="B7" s="82" t="s">
        <v>49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38.25" customHeight="1">
      <c r="A8" s="71"/>
      <c r="B8" s="71"/>
      <c r="C8" s="83" t="s">
        <v>50</v>
      </c>
      <c r="D8" s="71"/>
      <c r="E8" s="84"/>
      <c r="F8" s="84"/>
      <c r="G8" s="84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26.25" customHeight="1">
      <c r="A9" s="71"/>
      <c r="B9" s="71"/>
      <c r="C9" s="85" t="s">
        <v>51</v>
      </c>
      <c r="G9" s="86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5.75" customHeight="1">
      <c r="A10" s="71"/>
      <c r="B10" s="71"/>
      <c r="C10" s="87" t="s">
        <v>52</v>
      </c>
      <c r="D10" s="87"/>
      <c r="E10" s="88"/>
      <c r="F10" s="71"/>
      <c r="G10" s="83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5.75" customHeight="1">
      <c r="A11" s="71"/>
      <c r="B11" s="71"/>
      <c r="C11" s="87" t="s">
        <v>33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71"/>
      <c r="B12" s="71"/>
      <c r="C12" s="89" t="s">
        <v>53</v>
      </c>
      <c r="D12" s="88"/>
      <c r="E12" s="88"/>
      <c r="F12" s="88"/>
      <c r="G12" s="83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7.25" customHeight="1">
      <c r="A13" s="86"/>
      <c r="B13" s="86"/>
      <c r="C13" s="87"/>
      <c r="D13" s="88"/>
      <c r="E13" s="88"/>
      <c r="F13" s="86"/>
      <c r="G13" s="83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7.25" customHeight="1">
      <c r="A14" s="86"/>
      <c r="B14" s="86"/>
      <c r="C14" s="87"/>
      <c r="D14" s="88"/>
      <c r="E14" s="88"/>
      <c r="F14" s="86"/>
      <c r="G14" s="83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7.25" customHeight="1">
      <c r="A15" s="86"/>
      <c r="B15" s="86"/>
      <c r="C15" s="86"/>
      <c r="D15" s="86"/>
      <c r="E15" s="86"/>
      <c r="F15" s="86"/>
      <c r="G15" s="83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24.0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2.0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24.0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24.0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24.0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24.0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24.0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24.0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24.0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4.2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24.0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0.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22.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22.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22.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0.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24.0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24.0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24.0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24.0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24.0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24.0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24.0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24.0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24.0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24.0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24.0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24.0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24.0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24.0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24.0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24.0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24.0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24.0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24.0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24.0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24.0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24.0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24.0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24.0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24.0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24.0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24.0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24.0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24.0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24.0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24.0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24.0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24.0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24.0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24.0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24.0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24.0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24.0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24.0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24.0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24.0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24.0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24.0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24.0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24.0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24.0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24.0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24.0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24.0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24.0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24.0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24.0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24.0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24.0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24.0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24.0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24.0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24.0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24.0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24.0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24.0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24.0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24.0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24.0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24.0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24.0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24.0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24.0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24.0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24.0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24.0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24.0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24.0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24.0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24.0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24.0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24.0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24.0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24.0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24.0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24.0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24.0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24.0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24.0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24.0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24.0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24.0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24.0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24.0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24.0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24.0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24.0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24.0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24.0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24.0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24.0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24.0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24.0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24.0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24.0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24.0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24.0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24.0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24.0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24.0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24.0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24.0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24.0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24.0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24.0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24.0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24.0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24.0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24.0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24.0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24.0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24.0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24.0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24.0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24.0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24.0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24.0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24.0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24.0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24.0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24.0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24.0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24.0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24.0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24.0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24.0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24.0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24.0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24.0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24.0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24.0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24.0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24.0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24.0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24.0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24.0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24.0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24.0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24.0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24.0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24.0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24.0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24.0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24.0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24.0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24.0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24.0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24.0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24.0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24.0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24.0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24.0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24.0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24.0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24.0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24.0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24.0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24.0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24.0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24.0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24.0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24.0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24.0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24.0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24.0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24.0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24.0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24.0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24.0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24.0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24.0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24.0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24.0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24.0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24.0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24.0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24.0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24.0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24.0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24.0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24.0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24.0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24.0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24.0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1.38"/>
    <col customWidth="1" min="3" max="3" width="13.13"/>
    <col customWidth="1" min="4" max="4" width="8.13"/>
    <col customWidth="1" min="5" max="5" width="12.13"/>
    <col customWidth="1" min="6" max="6" width="6.75"/>
    <col customWidth="1" min="7" max="7" width="15.63"/>
    <col customWidth="1" min="8" max="8" width="1.25"/>
    <col customWidth="1" min="9" max="26" width="7.88"/>
  </cols>
  <sheetData>
    <row r="1" ht="37.5" customHeight="1">
      <c r="A1" s="71" t="s">
        <v>46</v>
      </c>
      <c r="B1" s="72" t="s">
        <v>47</v>
      </c>
      <c r="H1" s="73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23.25" customHeight="1">
      <c r="A2" s="72"/>
      <c r="B2" s="72"/>
      <c r="C2" s="72"/>
      <c r="D2" s="72"/>
      <c r="E2" s="74"/>
      <c r="G2" s="75"/>
      <c r="H2" s="72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23.25" customHeight="1">
      <c r="A3" s="71"/>
      <c r="B3" s="76"/>
      <c r="C3" s="71"/>
      <c r="D3" s="71"/>
      <c r="E3" s="74" t="s">
        <v>48</v>
      </c>
      <c r="G3" s="90">
        <v>45950.0</v>
      </c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34.5" customHeight="1">
      <c r="A4" s="71"/>
      <c r="B4" s="78" t="s">
        <v>54</v>
      </c>
      <c r="C4" s="56"/>
      <c r="D4" s="71" t="s">
        <v>21</v>
      </c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22.5" customHeigh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48.0" customHeight="1">
      <c r="A6" s="71"/>
      <c r="B6" s="79"/>
      <c r="C6" s="80">
        <v>200000.0</v>
      </c>
      <c r="D6" s="81"/>
      <c r="E6" s="81"/>
      <c r="F6" s="79"/>
      <c r="G6" s="79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27.75" customHeight="1">
      <c r="A7" s="71"/>
      <c r="B7" s="82" t="s">
        <v>49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38.25" customHeight="1">
      <c r="A8" s="71"/>
      <c r="B8" s="71"/>
      <c r="C8" s="83" t="s">
        <v>50</v>
      </c>
      <c r="D8" s="71"/>
      <c r="E8" s="84"/>
      <c r="F8" s="84"/>
      <c r="G8" s="84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26.25" customHeight="1">
      <c r="A9" s="71"/>
      <c r="B9" s="71"/>
      <c r="C9" s="85" t="s">
        <v>51</v>
      </c>
      <c r="G9" s="86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5.75" customHeight="1">
      <c r="A10" s="71"/>
      <c r="B10" s="71"/>
      <c r="C10" s="87" t="s">
        <v>52</v>
      </c>
      <c r="D10" s="87"/>
      <c r="E10" s="88"/>
      <c r="F10" s="71"/>
      <c r="G10" s="83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5.75" customHeight="1">
      <c r="A11" s="71"/>
      <c r="B11" s="71"/>
      <c r="C11" s="87" t="s">
        <v>33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71"/>
      <c r="B12" s="71"/>
      <c r="C12" s="89" t="s">
        <v>53</v>
      </c>
      <c r="D12" s="88"/>
      <c r="E12" s="88"/>
      <c r="F12" s="88"/>
      <c r="G12" s="83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7.25" customHeight="1">
      <c r="A13" s="86"/>
      <c r="B13" s="86"/>
      <c r="C13" s="87"/>
      <c r="D13" s="88"/>
      <c r="E13" s="88"/>
      <c r="F13" s="86"/>
      <c r="G13" s="83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7.25" customHeight="1">
      <c r="A14" s="86"/>
      <c r="B14" s="86"/>
      <c r="C14" s="87"/>
      <c r="D14" s="88"/>
      <c r="E14" s="88"/>
      <c r="F14" s="86"/>
      <c r="G14" s="83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7.25" customHeight="1">
      <c r="A15" s="86"/>
      <c r="B15" s="86"/>
      <c r="C15" s="86"/>
      <c r="D15" s="86"/>
      <c r="E15" s="86"/>
      <c r="F15" s="86"/>
      <c r="G15" s="83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24.0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2.0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24.0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24.0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24.0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24.0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24.0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24.0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24.0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4.2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24.0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0.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22.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22.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22.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0.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24.0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24.0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24.0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24.0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24.0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24.0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24.0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24.0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24.0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24.0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24.0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24.0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24.0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24.0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24.0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24.0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24.0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24.0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24.0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24.0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24.0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24.0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24.0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24.0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24.0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24.0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24.0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24.0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24.0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24.0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24.0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24.0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24.0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24.0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24.0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24.0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24.0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24.0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24.0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24.0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24.0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24.0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24.0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24.0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24.0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24.0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24.0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24.0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24.0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24.0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24.0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24.0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24.0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24.0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24.0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24.0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24.0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24.0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24.0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24.0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24.0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24.0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24.0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24.0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24.0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24.0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24.0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24.0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24.0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24.0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24.0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24.0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24.0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24.0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24.0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24.0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24.0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24.0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24.0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24.0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24.0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24.0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24.0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24.0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24.0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24.0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24.0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24.0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24.0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24.0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24.0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24.0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24.0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24.0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24.0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24.0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24.0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24.0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24.0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24.0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24.0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24.0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24.0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24.0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24.0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24.0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24.0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24.0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24.0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24.0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24.0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24.0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24.0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24.0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24.0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24.0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24.0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24.0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24.0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24.0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24.0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24.0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24.0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24.0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24.0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24.0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24.0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24.0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24.0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24.0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24.0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24.0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24.0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24.0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24.0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24.0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24.0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24.0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24.0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24.0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24.0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24.0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24.0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24.0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24.0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24.0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24.0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24.0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24.0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24.0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24.0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24.0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24.0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24.0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24.0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24.0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24.0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24.0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24.0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24.0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24.0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24.0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24.0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24.0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24.0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24.0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24.0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24.0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24.0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24.0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24.0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24.0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24.0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24.0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24.0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24.0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24.0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24.0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24.0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24.0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24.0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24.0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24.0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24.0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24.0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24.0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24.0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24.0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24.0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G1"/>
    <mergeCell ref="E2:F2"/>
    <mergeCell ref="E3:F3"/>
    <mergeCell ref="B4:C4"/>
    <mergeCell ref="C6:E6"/>
    <mergeCell ref="B7:G7"/>
    <mergeCell ref="C9:F9"/>
    <mergeCell ref="C11:G11"/>
  </mergeCells>
  <printOptions/>
  <pageMargins bottom="0.98" footer="0.0" header="0.0" left="0.58" right="0.5729166666666666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9" width="8.25"/>
    <col customWidth="1" min="10" max="26" width="7.13"/>
  </cols>
  <sheetData>
    <row r="1" ht="33.0" customHeight="1">
      <c r="A1" s="91" t="s">
        <v>55</v>
      </c>
      <c r="J1" s="91"/>
      <c r="K1" s="91"/>
      <c r="L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7" t="str">
        <f t="array" ref="A2">VLOOKUP(F$4,INDIRECT(M$2&amp;"!A3:U109"),2,FALSE)</f>
        <v>中込和人</v>
      </c>
      <c r="E2" s="8" t="s">
        <v>21</v>
      </c>
      <c r="F2" s="9" t="s">
        <v>22</v>
      </c>
      <c r="H2" s="10">
        <v>46055.0</v>
      </c>
      <c r="L2" s="70"/>
      <c r="M2" s="12" t="s">
        <v>26</v>
      </c>
      <c r="N2" s="1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F3" s="5"/>
      <c r="G3" s="5"/>
      <c r="H3" s="5"/>
      <c r="I3" s="5"/>
      <c r="J3" s="5"/>
      <c r="K3" s="5"/>
      <c r="L3" s="5"/>
      <c r="M3" s="20"/>
      <c r="N3" s="2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19" t="s">
        <v>28</v>
      </c>
      <c r="F4" s="20" t="s">
        <v>7</v>
      </c>
      <c r="G4" s="5" t="s">
        <v>29</v>
      </c>
      <c r="H4" s="21"/>
      <c r="I4" s="21"/>
      <c r="J4" s="21"/>
      <c r="K4" s="2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20"/>
      <c r="B5" s="20"/>
      <c r="C5" s="20"/>
      <c r="D5" s="5"/>
      <c r="E5" s="5"/>
      <c r="F5" s="5"/>
      <c r="G5" s="5"/>
      <c r="H5" s="21"/>
      <c r="I5" s="21"/>
      <c r="J5" s="21"/>
      <c r="K5" s="21"/>
      <c r="L5" s="22"/>
      <c r="M5" s="22"/>
      <c r="N5" s="22"/>
      <c r="O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0.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27"/>
      <c r="M6" s="27"/>
      <c r="N6" s="2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B7" s="92" t="s">
        <v>56</v>
      </c>
      <c r="C7" s="16"/>
      <c r="D7" s="24">
        <f>SUM(C10:C12)</f>
        <v>64313</v>
      </c>
      <c r="E7" s="25"/>
      <c r="F7" s="25"/>
      <c r="G7" s="25"/>
      <c r="H7" s="16"/>
      <c r="I7" s="9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94" t="s">
        <v>34</v>
      </c>
      <c r="B9" s="95"/>
      <c r="C9" s="96" t="s">
        <v>57</v>
      </c>
      <c r="D9" s="95"/>
      <c r="E9" s="97" t="s">
        <v>58</v>
      </c>
      <c r="F9" s="31"/>
      <c r="G9" s="96" t="s">
        <v>38</v>
      </c>
      <c r="H9" s="98"/>
      <c r="I9" s="9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99" t="s">
        <v>59</v>
      </c>
      <c r="B10" s="59"/>
      <c r="C10" s="100">
        <f t="array" ref="C10">VLOOKUP(F$4,INDIRECT(M$2&amp;"!A3:Y109"),23,FALSE)</f>
        <v>64313</v>
      </c>
      <c r="D10" s="59"/>
      <c r="E10" s="101">
        <f>H2+20</f>
        <v>46075</v>
      </c>
      <c r="F10" s="16"/>
      <c r="G10" s="102" t="s">
        <v>60</v>
      </c>
      <c r="H10" s="56"/>
      <c r="I10" s="5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99" t="s">
        <v>61</v>
      </c>
      <c r="B11" s="59"/>
      <c r="C11" s="100" t="str">
        <f t="array" ref="C11">VLOOKUP(F$4,INDIRECT(M$2&amp;"!A3:Y109"),24,FALSE)</f>
        <v/>
      </c>
      <c r="D11" s="59"/>
      <c r="E11" s="101">
        <f>H2+20</f>
        <v>46075</v>
      </c>
      <c r="F11" s="16"/>
      <c r="G11" s="102" t="s">
        <v>60</v>
      </c>
      <c r="H11" s="56"/>
      <c r="I11" s="59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22.5" customHeight="1">
      <c r="A12" s="99" t="s">
        <v>62</v>
      </c>
      <c r="B12" s="59"/>
      <c r="C12" s="100" t="str">
        <f t="array" ref="C12">VLOOKUP(F$4,INDIRECT(M$2&amp;"!A3:Y109"),25,FALSE)</f>
        <v/>
      </c>
      <c r="D12" s="59"/>
      <c r="E12" s="101">
        <f>H2+20</f>
        <v>46075</v>
      </c>
      <c r="F12" s="16"/>
      <c r="G12" s="102" t="s">
        <v>60</v>
      </c>
      <c r="H12" s="56"/>
      <c r="I12" s="59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6.5" customHeight="1">
      <c r="A13" s="103"/>
      <c r="B13" s="29"/>
      <c r="C13" s="29"/>
      <c r="D13" s="29"/>
      <c r="E13" s="29"/>
      <c r="F13" s="29"/>
      <c r="G13" s="29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22.5" customHeight="1">
      <c r="A14" s="5" t="s">
        <v>63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22.5" customHeight="1">
      <c r="A15" s="104" t="s">
        <v>64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22.5" customHeight="1">
      <c r="A16" s="5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8.0" customHeight="1">
      <c r="A17" s="68" t="s">
        <v>65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8.0" customHeight="1">
      <c r="A18" s="68" t="s">
        <v>66</v>
      </c>
      <c r="C18" s="69" t="s">
        <v>67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8.0" customHeight="1">
      <c r="A19" s="68" t="s">
        <v>68</v>
      </c>
      <c r="C19" s="69" t="s">
        <v>69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9.5" customHeight="1">
      <c r="A20" s="68" t="s">
        <v>70</v>
      </c>
      <c r="C20" s="69" t="s">
        <v>71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24.0" customHeight="1">
      <c r="A21" s="68" t="s">
        <v>72</v>
      </c>
      <c r="C21" s="69" t="s">
        <v>73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24.0" customHeight="1">
      <c r="C22" s="69" t="s">
        <v>74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24.0" customHeight="1">
      <c r="A23" s="63"/>
      <c r="B23" s="63"/>
      <c r="C23" s="63"/>
      <c r="D23" s="63"/>
      <c r="E23" s="63"/>
      <c r="F23" s="63"/>
      <c r="G23" s="6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7.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24.0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8.0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I1"/>
    <mergeCell ref="A2:D3"/>
    <mergeCell ref="E2:E3"/>
    <mergeCell ref="F2:G2"/>
    <mergeCell ref="H2:I2"/>
    <mergeCell ref="M2:N2"/>
    <mergeCell ref="A4:E4"/>
    <mergeCell ref="B7:C7"/>
    <mergeCell ref="D7:H7"/>
    <mergeCell ref="A9:B9"/>
    <mergeCell ref="C9:D9"/>
    <mergeCell ref="E9:F9"/>
    <mergeCell ref="G9:I9"/>
    <mergeCell ref="A10:B10"/>
    <mergeCell ref="G10:I10"/>
    <mergeCell ref="C12:D12"/>
    <mergeCell ref="E12:F12"/>
    <mergeCell ref="A12:B12"/>
    <mergeCell ref="A13:G13"/>
    <mergeCell ref="A17:B17"/>
    <mergeCell ref="A18:B18"/>
    <mergeCell ref="A19:B19"/>
    <mergeCell ref="A20:B20"/>
    <mergeCell ref="A21:B22"/>
    <mergeCell ref="C10:D10"/>
    <mergeCell ref="E10:F10"/>
    <mergeCell ref="A11:B11"/>
    <mergeCell ref="C11:D11"/>
    <mergeCell ref="E11:F11"/>
    <mergeCell ref="G11:I11"/>
    <mergeCell ref="G12:I12"/>
  </mergeCells>
  <dataValidations>
    <dataValidation type="list" allowBlank="1" showErrorMessage="1" sqref="F4">
      <formula1>'入居者'!$A$2:$A$108</formula1>
    </dataValidation>
  </dataValidations>
  <printOptions horizontalCentered="1"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46053.0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</row>
    <row r="2" ht="22.5" customHeight="1">
      <c r="A2" s="1" t="s">
        <v>0</v>
      </c>
      <c r="B2" s="1" t="s">
        <v>1</v>
      </c>
      <c r="C2" s="108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8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14"/>
      <c r="AG2" s="114"/>
      <c r="AH2" s="114"/>
      <c r="AI2" s="114"/>
      <c r="AJ2" s="114"/>
    </row>
    <row r="3" ht="22.5" customHeight="1">
      <c r="A3" s="1" t="s">
        <v>2</v>
      </c>
      <c r="B3" s="1" t="s">
        <v>3</v>
      </c>
      <c r="C3" s="115">
        <f>'R7.11'!AC3</f>
        <v>0</v>
      </c>
      <c r="D3" s="116">
        <v>40000.0</v>
      </c>
      <c r="E3" s="116">
        <v>5000.0</v>
      </c>
      <c r="F3" s="116">
        <v>5000.0</v>
      </c>
      <c r="G3" s="116">
        <v>2000.0</v>
      </c>
      <c r="H3" s="117">
        <v>10000.0</v>
      </c>
      <c r="I3" s="118">
        <v>39380.0</v>
      </c>
      <c r="J3" s="119"/>
      <c r="K3" s="117"/>
      <c r="L3" s="117">
        <v>2263.0</v>
      </c>
      <c r="M3" s="120"/>
      <c r="N3" s="117"/>
      <c r="O3" s="118">
        <v>7350.0</v>
      </c>
      <c r="P3" s="117"/>
      <c r="Q3" s="117"/>
      <c r="R3" s="119"/>
      <c r="S3" s="119"/>
      <c r="T3" s="119"/>
      <c r="U3" s="119"/>
      <c r="V3" s="121"/>
      <c r="W3" s="122">
        <f t="shared" ref="W3:W6" si="1">SUM(D3:V3)</f>
        <v>110993</v>
      </c>
      <c r="X3" s="123"/>
      <c r="Y3" s="123"/>
      <c r="Z3" s="120">
        <f t="shared" ref="Z3:Z110" si="2">SUM(W3:Y3)</f>
        <v>110993</v>
      </c>
      <c r="AA3" s="124" t="s">
        <v>127</v>
      </c>
      <c r="AB3" s="63" t="s">
        <v>128</v>
      </c>
      <c r="AC3" s="125">
        <f t="shared" ref="AC3:AC109" si="3">C3-M3</f>
        <v>0</v>
      </c>
    </row>
    <row r="4" ht="22.5" customHeight="1">
      <c r="A4" s="1" t="s">
        <v>4</v>
      </c>
      <c r="B4" s="1" t="s">
        <v>5</v>
      </c>
      <c r="C4" s="115">
        <f>'R7.11'!AC4</f>
        <v>0</v>
      </c>
      <c r="D4" s="116">
        <v>40000.0</v>
      </c>
      <c r="E4" s="116">
        <v>5000.0</v>
      </c>
      <c r="F4" s="116">
        <v>5000.0</v>
      </c>
      <c r="G4" s="116">
        <v>2000.0</v>
      </c>
      <c r="H4" s="117">
        <v>10000.0</v>
      </c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26"/>
      <c r="W4" s="122">
        <f t="shared" si="1"/>
        <v>62000</v>
      </c>
      <c r="X4" s="123"/>
      <c r="Y4" s="123"/>
      <c r="Z4" s="120">
        <f t="shared" si="2"/>
        <v>62000</v>
      </c>
      <c r="AA4" s="124" t="s">
        <v>129</v>
      </c>
      <c r="AB4" s="63" t="s">
        <v>128</v>
      </c>
      <c r="AC4" s="125">
        <f t="shared" si="3"/>
        <v>0</v>
      </c>
    </row>
    <row r="5" ht="22.5" customHeight="1">
      <c r="A5" s="1" t="s">
        <v>6</v>
      </c>
      <c r="B5" s="1"/>
      <c r="C5" s="115">
        <f>'R7.11'!AC5</f>
        <v>72000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26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72000</v>
      </c>
    </row>
    <row r="6" ht="22.5" customHeight="1">
      <c r="A6" s="1" t="s">
        <v>7</v>
      </c>
      <c r="B6" s="1" t="s">
        <v>8</v>
      </c>
      <c r="C6" s="115">
        <f>'R7.11'!AC6</f>
        <v>0</v>
      </c>
      <c r="D6" s="116">
        <v>40000.0</v>
      </c>
      <c r="E6" s="116">
        <v>5000.0</v>
      </c>
      <c r="F6" s="116">
        <v>5000.0</v>
      </c>
      <c r="G6" s="116">
        <v>2000.0</v>
      </c>
      <c r="H6" s="117">
        <v>10000.0</v>
      </c>
      <c r="I6" s="117"/>
      <c r="J6" s="119"/>
      <c r="K6" s="117"/>
      <c r="L6" s="117">
        <v>2263.0</v>
      </c>
      <c r="M6" s="117"/>
      <c r="N6" s="117"/>
      <c r="O6" s="117"/>
      <c r="P6" s="117"/>
      <c r="Q6" s="117">
        <v>100.0</v>
      </c>
      <c r="R6" s="117"/>
      <c r="S6" s="117"/>
      <c r="T6" s="117"/>
      <c r="U6" s="117"/>
      <c r="V6" s="126"/>
      <c r="W6" s="122">
        <f t="shared" si="1"/>
        <v>64363</v>
      </c>
      <c r="X6" s="123"/>
      <c r="Y6" s="123"/>
      <c r="Z6" s="120">
        <f t="shared" si="2"/>
        <v>64363</v>
      </c>
      <c r="AA6" s="124" t="s">
        <v>129</v>
      </c>
      <c r="AB6" s="63" t="s">
        <v>128</v>
      </c>
      <c r="AC6" s="125">
        <f t="shared" si="3"/>
        <v>0</v>
      </c>
    </row>
    <row r="7" ht="22.5" customHeight="1">
      <c r="A7" s="1" t="s">
        <v>9</v>
      </c>
      <c r="B7" s="1" t="s">
        <v>10</v>
      </c>
      <c r="C7" s="115">
        <f>'R7.11'!AC7</f>
        <v>20000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10000.0</v>
      </c>
      <c r="I7" s="118">
        <v>41580.0</v>
      </c>
      <c r="J7" s="127">
        <v>-46485.0</v>
      </c>
      <c r="K7" s="117"/>
      <c r="L7" s="117">
        <v>2263.0</v>
      </c>
      <c r="M7" s="117">
        <v>10000.0</v>
      </c>
      <c r="N7" s="117"/>
      <c r="O7" s="118">
        <v>8623.0</v>
      </c>
      <c r="P7" s="117"/>
      <c r="Q7" s="117">
        <v>3336.0</v>
      </c>
      <c r="R7" s="117"/>
      <c r="S7" s="117"/>
      <c r="T7" s="117"/>
      <c r="U7" s="117"/>
      <c r="V7" s="121">
        <f>'R7.12'!AE7</f>
        <v>-540000</v>
      </c>
      <c r="W7" s="122">
        <f>SUM(D7:U7)-V7</f>
        <v>621317</v>
      </c>
      <c r="X7" s="116">
        <v>26183.0</v>
      </c>
      <c r="Y7" s="128">
        <v>2500.0</v>
      </c>
      <c r="Z7" s="120">
        <f t="shared" si="2"/>
        <v>650000</v>
      </c>
      <c r="AA7" s="124">
        <v>110000.0</v>
      </c>
      <c r="AB7" s="63" t="s">
        <v>128</v>
      </c>
      <c r="AC7" s="125">
        <f t="shared" si="3"/>
        <v>10000</v>
      </c>
      <c r="AE7" s="124">
        <f>AD7-Z7</f>
        <v>-650000</v>
      </c>
    </row>
    <row r="8" ht="22.5" customHeight="1">
      <c r="A8" s="1" t="s">
        <v>11</v>
      </c>
      <c r="B8" s="1"/>
      <c r="C8" s="115">
        <f>'R7.11'!AC8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26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</row>
    <row r="9" ht="22.5" customHeight="1">
      <c r="A9" s="1" t="s">
        <v>12</v>
      </c>
      <c r="B9" s="1" t="s">
        <v>13</v>
      </c>
      <c r="C9" s="115">
        <f>'R7.11'!AC9</f>
        <v>0</v>
      </c>
      <c r="D9" s="116">
        <v>40000.0</v>
      </c>
      <c r="E9" s="116">
        <v>5000.0</v>
      </c>
      <c r="F9" s="116">
        <v>5000.0</v>
      </c>
      <c r="G9" s="116">
        <v>2000.0</v>
      </c>
      <c r="H9" s="117">
        <v>10000.0</v>
      </c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26"/>
      <c r="W9" s="122">
        <f t="shared" si="4"/>
        <v>62000</v>
      </c>
      <c r="X9" s="123"/>
      <c r="Y9" s="123"/>
      <c r="Z9" s="120">
        <f t="shared" si="2"/>
        <v>62000</v>
      </c>
      <c r="AA9" s="124" t="s">
        <v>129</v>
      </c>
      <c r="AB9" s="63" t="s">
        <v>128</v>
      </c>
      <c r="AC9" s="125">
        <f t="shared" si="3"/>
        <v>0</v>
      </c>
    </row>
    <row r="10" ht="22.5" customHeight="1">
      <c r="A10" s="1" t="s">
        <v>14</v>
      </c>
      <c r="B10" s="1" t="s">
        <v>15</v>
      </c>
      <c r="C10" s="115">
        <f>'R7.11'!AC10</f>
        <v>0</v>
      </c>
      <c r="D10" s="116">
        <v>40000.0</v>
      </c>
      <c r="E10" s="116">
        <v>5000.0</v>
      </c>
      <c r="F10" s="116">
        <v>5000.0</v>
      </c>
      <c r="G10" s="116">
        <v>2000.0</v>
      </c>
      <c r="H10" s="117">
        <v>10000.0</v>
      </c>
      <c r="I10" s="118">
        <v>44330.0</v>
      </c>
      <c r="J10" s="119"/>
      <c r="K10" s="117"/>
      <c r="L10" s="117">
        <v>2263.0</v>
      </c>
      <c r="M10" s="117"/>
      <c r="N10" s="117"/>
      <c r="O10" s="117"/>
      <c r="P10" s="117"/>
      <c r="Q10" s="117"/>
      <c r="R10" s="117"/>
      <c r="S10" s="117"/>
      <c r="T10" s="117"/>
      <c r="U10" s="117"/>
      <c r="V10" s="126"/>
      <c r="W10" s="122">
        <f t="shared" si="4"/>
        <v>108593</v>
      </c>
      <c r="X10" s="129"/>
      <c r="Y10" s="129"/>
      <c r="Z10" s="120">
        <f t="shared" si="2"/>
        <v>108593</v>
      </c>
      <c r="AA10" s="124" t="s">
        <v>129</v>
      </c>
      <c r="AB10" s="63" t="s">
        <v>128</v>
      </c>
      <c r="AC10" s="125">
        <f t="shared" si="3"/>
        <v>0</v>
      </c>
    </row>
    <row r="11" ht="22.5" customHeight="1">
      <c r="A11" s="1" t="s">
        <v>16</v>
      </c>
      <c r="B11" s="1" t="s">
        <v>17</v>
      </c>
      <c r="C11" s="115">
        <f>'R7.11'!AC11</f>
        <v>0</v>
      </c>
      <c r="D11" s="116">
        <v>40000.0</v>
      </c>
      <c r="E11" s="116">
        <v>5000.0</v>
      </c>
      <c r="F11" s="116">
        <v>5000.0</v>
      </c>
      <c r="G11" s="116">
        <v>2000.0</v>
      </c>
      <c r="H11" s="117">
        <v>10000.0</v>
      </c>
      <c r="I11" s="117"/>
      <c r="J11" s="119"/>
      <c r="K11" s="117"/>
      <c r="L11" s="117">
        <v>2263.0</v>
      </c>
      <c r="M11" s="130"/>
      <c r="N11" s="117"/>
      <c r="O11" s="117"/>
      <c r="P11" s="117"/>
      <c r="Q11" s="117"/>
      <c r="R11" s="117"/>
      <c r="S11" s="120"/>
      <c r="T11" s="117"/>
      <c r="U11" s="117"/>
      <c r="V11" s="126"/>
      <c r="W11" s="122">
        <f t="shared" si="4"/>
        <v>64263</v>
      </c>
      <c r="X11" s="123"/>
      <c r="Y11" s="123"/>
      <c r="Z11" s="120">
        <f t="shared" si="2"/>
        <v>64263</v>
      </c>
      <c r="AA11" s="131"/>
      <c r="AB11" s="63" t="s">
        <v>128</v>
      </c>
      <c r="AC11" s="125">
        <f t="shared" si="3"/>
        <v>0</v>
      </c>
    </row>
    <row r="12" ht="22.5" customHeight="1">
      <c r="A12" s="1"/>
      <c r="B12" s="1"/>
      <c r="C12" s="115">
        <f>'R7.11'!AC12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26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</row>
    <row r="13" ht="22.5" customHeight="1">
      <c r="A13" s="1"/>
      <c r="B13" s="3"/>
      <c r="C13" s="115">
        <f>'R7.11'!AC13</f>
        <v>0</v>
      </c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26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</row>
    <row r="14" ht="22.5" customHeight="1">
      <c r="A14" s="1"/>
      <c r="B14" s="3"/>
      <c r="C14" s="115">
        <f>'R7.11'!AC14</f>
        <v>0</v>
      </c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26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33"/>
      <c r="AG14" s="133"/>
      <c r="AH14" s="133"/>
      <c r="AI14" s="133"/>
      <c r="AJ14" s="133"/>
    </row>
    <row r="15" ht="22.5" customHeight="1">
      <c r="A15" s="1"/>
      <c r="B15" s="3"/>
      <c r="C15" s="115">
        <f>'R7.11'!AC15</f>
        <v>0</v>
      </c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26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33"/>
      <c r="AG15" s="133"/>
      <c r="AH15" s="133"/>
      <c r="AI15" s="133"/>
      <c r="AJ15" s="133"/>
    </row>
    <row r="16" ht="22.5" customHeight="1">
      <c r="A16" s="1"/>
      <c r="B16" s="3"/>
      <c r="C16" s="115">
        <f>'R7.9'!AC16</f>
        <v>0</v>
      </c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26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33"/>
      <c r="AG16" s="133"/>
      <c r="AH16" s="133"/>
      <c r="AI16" s="133"/>
      <c r="AJ16" s="133"/>
    </row>
    <row r="17" ht="22.5" customHeight="1">
      <c r="A17" s="3"/>
      <c r="B17" s="3"/>
      <c r="C17" s="115">
        <f>'R7.9'!AC17</f>
        <v>0</v>
      </c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26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33"/>
      <c r="AG17" s="133"/>
      <c r="AH17" s="133"/>
      <c r="AI17" s="133"/>
      <c r="AJ17" s="133"/>
    </row>
    <row r="18" ht="22.5" customHeight="1">
      <c r="A18" s="3"/>
      <c r="B18" s="3"/>
      <c r="C18" s="115">
        <f>'R7.9'!AC18</f>
        <v>0</v>
      </c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26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33"/>
      <c r="AG18" s="133"/>
      <c r="AH18" s="133"/>
      <c r="AI18" s="133"/>
      <c r="AJ18" s="133"/>
    </row>
    <row r="19" ht="22.5" customHeight="1">
      <c r="A19" s="3"/>
      <c r="B19" s="3"/>
      <c r="C19" s="115">
        <f>'R7.9'!AC19</f>
        <v>0</v>
      </c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26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33"/>
      <c r="AG19" s="133"/>
      <c r="AH19" s="133"/>
      <c r="AI19" s="133"/>
      <c r="AJ19" s="133"/>
    </row>
    <row r="20" ht="22.5" customHeight="1">
      <c r="A20" s="3"/>
      <c r="B20" s="3"/>
      <c r="C20" s="115">
        <f>'R7.9'!AC20</f>
        <v>0</v>
      </c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26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33"/>
      <c r="AG20" s="133"/>
      <c r="AH20" s="133"/>
      <c r="AI20" s="133"/>
      <c r="AJ20" s="133"/>
    </row>
    <row r="21" ht="22.5" customHeight="1">
      <c r="A21" s="3"/>
      <c r="B21" s="3"/>
      <c r="C21" s="115">
        <f>'R7.9'!AC21</f>
        <v>0</v>
      </c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26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33"/>
      <c r="AG21" s="133"/>
      <c r="AH21" s="133"/>
      <c r="AI21" s="133"/>
      <c r="AJ21" s="133"/>
    </row>
    <row r="22" ht="22.5" hidden="1" customHeight="1">
      <c r="A22" s="3"/>
      <c r="B22" s="3"/>
      <c r="C22" s="115">
        <f>'R7.9'!AC22</f>
        <v>0</v>
      </c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26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33"/>
      <c r="AG22" s="133"/>
      <c r="AH22" s="133"/>
      <c r="AI22" s="133"/>
      <c r="AJ22" s="133"/>
    </row>
    <row r="23" ht="22.5" hidden="1" customHeight="1">
      <c r="A23" s="3"/>
      <c r="B23" s="3"/>
      <c r="C23" s="115">
        <f>'R7.9'!AC23</f>
        <v>0</v>
      </c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26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33"/>
      <c r="AG23" s="133"/>
      <c r="AH23" s="133"/>
      <c r="AI23" s="133"/>
      <c r="AJ23" s="133"/>
    </row>
    <row r="24" ht="22.5" hidden="1" customHeight="1">
      <c r="A24" s="3"/>
      <c r="B24" s="3"/>
      <c r="C24" s="115">
        <f>'R7.9'!AC24</f>
        <v>0</v>
      </c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26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33"/>
      <c r="AG24" s="133"/>
      <c r="AH24" s="133"/>
      <c r="AI24" s="133"/>
      <c r="AJ24" s="133"/>
    </row>
    <row r="25" ht="22.5" hidden="1" customHeight="1">
      <c r="A25" s="3"/>
      <c r="B25" s="3"/>
      <c r="C25" s="115">
        <f>'R7.9'!AC25</f>
        <v>0</v>
      </c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26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33"/>
      <c r="AG25" s="133"/>
      <c r="AH25" s="133"/>
      <c r="AI25" s="133"/>
      <c r="AJ25" s="133"/>
    </row>
    <row r="26" ht="22.5" hidden="1" customHeight="1">
      <c r="A26" s="3"/>
      <c r="B26" s="3"/>
      <c r="C26" s="115">
        <f>'R7.9'!AC26</f>
        <v>0</v>
      </c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26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33"/>
      <c r="AG26" s="133"/>
      <c r="AH26" s="133"/>
      <c r="AI26" s="133"/>
      <c r="AJ26" s="133"/>
    </row>
    <row r="27" ht="22.5" hidden="1" customHeight="1">
      <c r="A27" s="3"/>
      <c r="B27" s="3"/>
      <c r="C27" s="115">
        <f>'R7.9'!AC27</f>
        <v>0</v>
      </c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26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33"/>
      <c r="AG27" s="133"/>
      <c r="AH27" s="133"/>
      <c r="AI27" s="133"/>
      <c r="AJ27" s="133"/>
    </row>
    <row r="28" ht="22.5" hidden="1" customHeight="1">
      <c r="A28" s="3"/>
      <c r="B28" s="3"/>
      <c r="C28" s="115">
        <f>'R7.9'!AC28</f>
        <v>0</v>
      </c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26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33"/>
      <c r="AG28" s="133"/>
      <c r="AH28" s="133"/>
      <c r="AI28" s="133"/>
      <c r="AJ28" s="133"/>
    </row>
    <row r="29" ht="22.5" hidden="1" customHeight="1">
      <c r="A29" s="3"/>
      <c r="B29" s="3"/>
      <c r="C29" s="115">
        <f>'R7.9'!AC29</f>
        <v>0</v>
      </c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26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33"/>
      <c r="AG29" s="133"/>
      <c r="AH29" s="133"/>
      <c r="AI29" s="133"/>
      <c r="AJ29" s="133"/>
    </row>
    <row r="30" ht="22.5" hidden="1" customHeight="1">
      <c r="A30" s="3"/>
      <c r="B30" s="3"/>
      <c r="C30" s="115">
        <f>'R7.9'!AC30</f>
        <v>0</v>
      </c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26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33"/>
      <c r="AG30" s="133"/>
      <c r="AH30" s="133"/>
      <c r="AI30" s="133"/>
      <c r="AJ30" s="133"/>
    </row>
    <row r="31" ht="22.5" hidden="1" customHeight="1">
      <c r="A31" s="3"/>
      <c r="B31" s="3"/>
      <c r="C31" s="115">
        <f>'R7.9'!AC31</f>
        <v>0</v>
      </c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26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33"/>
      <c r="AG31" s="133"/>
      <c r="AH31" s="133"/>
      <c r="AI31" s="133"/>
      <c r="AJ31" s="133"/>
    </row>
    <row r="32" ht="22.5" hidden="1" customHeight="1">
      <c r="A32" s="3"/>
      <c r="B32" s="3"/>
      <c r="C32" s="115">
        <f>'R7.9'!AC32</f>
        <v>0</v>
      </c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26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33"/>
      <c r="AG32" s="133"/>
      <c r="AH32" s="133"/>
      <c r="AI32" s="133"/>
      <c r="AJ32" s="133"/>
    </row>
    <row r="33" ht="22.5" hidden="1" customHeight="1">
      <c r="A33" s="3"/>
      <c r="B33" s="3"/>
      <c r="C33" s="115">
        <f>'R7.9'!AC33</f>
        <v>0</v>
      </c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26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33"/>
      <c r="AG33" s="133"/>
      <c r="AH33" s="133"/>
      <c r="AI33" s="133"/>
      <c r="AJ33" s="133"/>
    </row>
    <row r="34" ht="22.5" hidden="1" customHeight="1">
      <c r="A34" s="3"/>
      <c r="B34" s="3"/>
      <c r="C34" s="115">
        <f>'R7.9'!AC34</f>
        <v>0</v>
      </c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26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33"/>
      <c r="AG34" s="133"/>
      <c r="AH34" s="133"/>
      <c r="AI34" s="133"/>
      <c r="AJ34" s="133"/>
    </row>
    <row r="35" ht="22.5" hidden="1" customHeight="1">
      <c r="A35" s="3"/>
      <c r="B35" s="3"/>
      <c r="C35" s="115">
        <f>'R7.9'!AC35</f>
        <v>0</v>
      </c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26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33"/>
      <c r="AG35" s="133"/>
      <c r="AH35" s="133"/>
      <c r="AI35" s="133"/>
      <c r="AJ35" s="133"/>
    </row>
    <row r="36" ht="22.5" hidden="1" customHeight="1">
      <c r="A36" s="3"/>
      <c r="B36" s="3"/>
      <c r="C36" s="115">
        <f>'R7.9'!AC36</f>
        <v>0</v>
      </c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26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33"/>
      <c r="AG36" s="133"/>
      <c r="AH36" s="133"/>
      <c r="AI36" s="133"/>
      <c r="AJ36" s="133"/>
    </row>
    <row r="37" ht="22.5" hidden="1" customHeight="1">
      <c r="A37" s="3"/>
      <c r="B37" s="3"/>
      <c r="C37" s="115">
        <f>'R7.9'!AC37</f>
        <v>0</v>
      </c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26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33"/>
      <c r="AG37" s="133"/>
      <c r="AH37" s="133"/>
      <c r="AI37" s="133"/>
      <c r="AJ37" s="133"/>
    </row>
    <row r="38" ht="22.5" hidden="1" customHeight="1">
      <c r="A38" s="3"/>
      <c r="B38" s="3"/>
      <c r="C38" s="115">
        <f>'R7.9'!AC38</f>
        <v>0</v>
      </c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26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33"/>
      <c r="AG38" s="133"/>
      <c r="AH38" s="133"/>
      <c r="AI38" s="133"/>
      <c r="AJ38" s="133"/>
    </row>
    <row r="39" ht="22.5" hidden="1" customHeight="1">
      <c r="A39" s="3"/>
      <c r="B39" s="3"/>
      <c r="C39" s="115">
        <f>'R7.9'!AC39</f>
        <v>0</v>
      </c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26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33"/>
      <c r="AG39" s="133"/>
      <c r="AH39" s="133"/>
      <c r="AI39" s="133"/>
      <c r="AJ39" s="133"/>
    </row>
    <row r="40" ht="22.5" hidden="1" customHeight="1">
      <c r="A40" s="3"/>
      <c r="B40" s="3"/>
      <c r="C40" s="115">
        <f>'R7.9'!AC40</f>
        <v>0</v>
      </c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26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33"/>
      <c r="AG40" s="133"/>
      <c r="AH40" s="133"/>
      <c r="AI40" s="133"/>
      <c r="AJ40" s="133"/>
    </row>
    <row r="41" ht="22.5" hidden="1" customHeight="1">
      <c r="A41" s="3"/>
      <c r="B41" s="3"/>
      <c r="C41" s="115">
        <f>'R7.9'!AC41</f>
        <v>0</v>
      </c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26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33"/>
      <c r="AG41" s="133"/>
      <c r="AH41" s="133"/>
      <c r="AI41" s="133"/>
      <c r="AJ41" s="133"/>
    </row>
    <row r="42" ht="22.5" hidden="1" customHeight="1">
      <c r="A42" s="3"/>
      <c r="B42" s="3"/>
      <c r="C42" s="115">
        <f>'R7.9'!AC42</f>
        <v>0</v>
      </c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26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33"/>
      <c r="AG42" s="133"/>
      <c r="AH42" s="133"/>
      <c r="AI42" s="133"/>
      <c r="AJ42" s="133"/>
    </row>
    <row r="43" ht="22.5" hidden="1" customHeight="1">
      <c r="A43" s="3"/>
      <c r="B43" s="3"/>
      <c r="C43" s="115">
        <f>'R7.9'!AC43</f>
        <v>0</v>
      </c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26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33"/>
      <c r="AG43" s="133"/>
      <c r="AH43" s="133"/>
      <c r="AI43" s="133"/>
      <c r="AJ43" s="133"/>
    </row>
    <row r="44" ht="22.5" hidden="1" customHeight="1">
      <c r="A44" s="3"/>
      <c r="B44" s="3"/>
      <c r="C44" s="115">
        <f>'R7.9'!AC44</f>
        <v>0</v>
      </c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26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33"/>
      <c r="AG44" s="133"/>
      <c r="AH44" s="133"/>
      <c r="AI44" s="133"/>
      <c r="AJ44" s="133"/>
    </row>
    <row r="45" ht="22.5" hidden="1" customHeight="1">
      <c r="A45" s="3"/>
      <c r="B45" s="3"/>
      <c r="C45" s="115">
        <f>'R7.9'!AC45</f>
        <v>0</v>
      </c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26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33"/>
      <c r="AG45" s="133"/>
      <c r="AH45" s="133"/>
      <c r="AI45" s="133"/>
      <c r="AJ45" s="133"/>
    </row>
    <row r="46" ht="22.5" hidden="1" customHeight="1">
      <c r="A46" s="3"/>
      <c r="B46" s="3"/>
      <c r="C46" s="115">
        <f>'R7.9'!AC46</f>
        <v>0</v>
      </c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26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33"/>
      <c r="AG46" s="133"/>
      <c r="AH46" s="133"/>
      <c r="AI46" s="133"/>
      <c r="AJ46" s="133"/>
    </row>
    <row r="47" ht="22.5" hidden="1" customHeight="1">
      <c r="A47" s="3"/>
      <c r="B47" s="3"/>
      <c r="C47" s="115">
        <f>'R7.9'!AC47</f>
        <v>0</v>
      </c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26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33"/>
      <c r="AG47" s="133"/>
      <c r="AH47" s="133"/>
      <c r="AI47" s="133"/>
      <c r="AJ47" s="133"/>
    </row>
    <row r="48" ht="22.5" hidden="1" customHeight="1">
      <c r="A48" s="3"/>
      <c r="B48" s="3"/>
      <c r="C48" s="115">
        <f>'R7.9'!AC48</f>
        <v>0</v>
      </c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26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33"/>
      <c r="AG48" s="133"/>
      <c r="AH48" s="133"/>
      <c r="AI48" s="133"/>
      <c r="AJ48" s="133"/>
    </row>
    <row r="49" ht="22.5" hidden="1" customHeight="1">
      <c r="A49" s="3"/>
      <c r="B49" s="3"/>
      <c r="C49" s="115">
        <f>'R7.9'!AC49</f>
        <v>0</v>
      </c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26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33"/>
      <c r="AG49" s="133"/>
      <c r="AH49" s="133"/>
      <c r="AI49" s="133"/>
      <c r="AJ49" s="133"/>
    </row>
    <row r="50" ht="22.5" hidden="1" customHeight="1">
      <c r="A50" s="3"/>
      <c r="B50" s="3"/>
      <c r="C50" s="115">
        <f>'R7.9'!AC50</f>
        <v>0</v>
      </c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26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33"/>
      <c r="AG50" s="133"/>
      <c r="AH50" s="133"/>
      <c r="AI50" s="133"/>
      <c r="AJ50" s="133"/>
    </row>
    <row r="51" ht="22.5" hidden="1" customHeight="1">
      <c r="A51" s="3"/>
      <c r="B51" s="3"/>
      <c r="C51" s="115">
        <f>'R7.9'!AC51</f>
        <v>0</v>
      </c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26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33"/>
      <c r="AG51" s="133"/>
      <c r="AH51" s="133"/>
      <c r="AI51" s="133"/>
      <c r="AJ51" s="133"/>
    </row>
    <row r="52" ht="22.5" hidden="1" customHeight="1">
      <c r="A52" s="3"/>
      <c r="B52" s="3"/>
      <c r="C52" s="115">
        <f>'R7.9'!AC52</f>
        <v>0</v>
      </c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26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33"/>
      <c r="AG52" s="133"/>
      <c r="AH52" s="133"/>
      <c r="AI52" s="133"/>
      <c r="AJ52" s="133"/>
    </row>
    <row r="53" ht="22.5" hidden="1" customHeight="1">
      <c r="A53" s="3"/>
      <c r="B53" s="3"/>
      <c r="C53" s="115">
        <f>'R7.9'!AC53</f>
        <v>0</v>
      </c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26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33"/>
      <c r="AG53" s="133"/>
      <c r="AH53" s="133"/>
      <c r="AI53" s="133"/>
      <c r="AJ53" s="133"/>
    </row>
    <row r="54" ht="22.5" hidden="1" customHeight="1">
      <c r="A54" s="3"/>
      <c r="B54" s="3"/>
      <c r="C54" s="115">
        <f>'R7.9'!AC54</f>
        <v>0</v>
      </c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26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33"/>
      <c r="AG54" s="133"/>
      <c r="AH54" s="133"/>
      <c r="AI54" s="133"/>
      <c r="AJ54" s="133"/>
    </row>
    <row r="55" ht="22.5" hidden="1" customHeight="1">
      <c r="A55" s="3"/>
      <c r="B55" s="3"/>
      <c r="C55" s="115">
        <f>'R7.9'!AC55</f>
        <v>0</v>
      </c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26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33"/>
      <c r="AG55" s="133"/>
      <c r="AH55" s="133"/>
      <c r="AI55" s="133"/>
      <c r="AJ55" s="133"/>
    </row>
    <row r="56" ht="22.5" hidden="1" customHeight="1">
      <c r="A56" s="3"/>
      <c r="B56" s="3"/>
      <c r="C56" s="115">
        <f>'R7.9'!AC56</f>
        <v>0</v>
      </c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26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33"/>
      <c r="AG56" s="133"/>
      <c r="AH56" s="133"/>
      <c r="AI56" s="133"/>
      <c r="AJ56" s="133"/>
    </row>
    <row r="57" ht="22.5" hidden="1" customHeight="1">
      <c r="A57" s="3"/>
      <c r="B57" s="3"/>
      <c r="C57" s="115">
        <f>'R7.9'!AC57</f>
        <v>0</v>
      </c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26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33"/>
      <c r="AG57" s="133"/>
      <c r="AH57" s="133"/>
      <c r="AI57" s="133"/>
      <c r="AJ57" s="133"/>
    </row>
    <row r="58" ht="22.5" hidden="1" customHeight="1">
      <c r="A58" s="3"/>
      <c r="B58" s="3"/>
      <c r="C58" s="115">
        <f>'R7.9'!AC58</f>
        <v>0</v>
      </c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26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33"/>
      <c r="AG58" s="133"/>
      <c r="AH58" s="133"/>
      <c r="AI58" s="133"/>
      <c r="AJ58" s="133"/>
    </row>
    <row r="59" ht="22.5" hidden="1" customHeight="1">
      <c r="A59" s="3"/>
      <c r="B59" s="3"/>
      <c r="C59" s="115">
        <f>'R7.9'!AC59</f>
        <v>0</v>
      </c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26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33"/>
      <c r="AG59" s="133"/>
      <c r="AH59" s="133"/>
      <c r="AI59" s="133"/>
      <c r="AJ59" s="133"/>
    </row>
    <row r="60" ht="22.5" hidden="1" customHeight="1">
      <c r="A60" s="3"/>
      <c r="B60" s="3"/>
      <c r="C60" s="115">
        <f>'R7.9'!AC60</f>
        <v>0</v>
      </c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26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33"/>
      <c r="AG60" s="133"/>
      <c r="AH60" s="133"/>
      <c r="AI60" s="133"/>
      <c r="AJ60" s="133"/>
    </row>
    <row r="61" ht="22.5" hidden="1" customHeight="1">
      <c r="A61" s="3"/>
      <c r="B61" s="3"/>
      <c r="C61" s="115">
        <f>'R7.9'!AC61</f>
        <v>0</v>
      </c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26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33"/>
      <c r="AG61" s="133"/>
      <c r="AH61" s="133"/>
      <c r="AI61" s="133"/>
      <c r="AJ61" s="133"/>
    </row>
    <row r="62" ht="22.5" hidden="1" customHeight="1">
      <c r="A62" s="3"/>
      <c r="B62" s="3"/>
      <c r="C62" s="115">
        <f>'R7.9'!AC62</f>
        <v>0</v>
      </c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26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33"/>
      <c r="AG62" s="133"/>
      <c r="AH62" s="133"/>
      <c r="AI62" s="133"/>
      <c r="AJ62" s="133"/>
    </row>
    <row r="63" ht="22.5" hidden="1" customHeight="1">
      <c r="A63" s="3"/>
      <c r="B63" s="3"/>
      <c r="C63" s="115">
        <f>'R7.9'!AC63</f>
        <v>0</v>
      </c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26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33"/>
      <c r="AG63" s="133"/>
      <c r="AH63" s="133"/>
      <c r="AI63" s="133"/>
      <c r="AJ63" s="133"/>
    </row>
    <row r="64" ht="22.5" hidden="1" customHeight="1">
      <c r="A64" s="3"/>
      <c r="B64" s="3"/>
      <c r="C64" s="115">
        <f>'R7.9'!AC64</f>
        <v>0</v>
      </c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26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33"/>
      <c r="AG64" s="133"/>
      <c r="AH64" s="133"/>
      <c r="AI64" s="133"/>
      <c r="AJ64" s="133"/>
    </row>
    <row r="65" ht="22.5" hidden="1" customHeight="1">
      <c r="A65" s="3"/>
      <c r="B65" s="3"/>
      <c r="C65" s="115">
        <f>'R7.9'!AC65</f>
        <v>0</v>
      </c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26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33"/>
      <c r="AG65" s="133"/>
      <c r="AH65" s="133"/>
      <c r="AI65" s="133"/>
      <c r="AJ65" s="133"/>
    </row>
    <row r="66" ht="22.5" hidden="1" customHeight="1">
      <c r="A66" s="3"/>
      <c r="B66" s="3"/>
      <c r="C66" s="115">
        <f>'R7.9'!AC66</f>
        <v>0</v>
      </c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26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33"/>
      <c r="AG66" s="133"/>
      <c r="AH66" s="133"/>
      <c r="AI66" s="133"/>
      <c r="AJ66" s="133"/>
    </row>
    <row r="67" ht="22.5" hidden="1" customHeight="1">
      <c r="A67" s="3"/>
      <c r="B67" s="3"/>
      <c r="C67" s="115">
        <f>'R7.9'!AC67</f>
        <v>0</v>
      </c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26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33"/>
      <c r="AG67" s="133"/>
      <c r="AH67" s="133"/>
      <c r="AI67" s="133"/>
      <c r="AJ67" s="133"/>
    </row>
    <row r="68" ht="22.5" hidden="1" customHeight="1">
      <c r="A68" s="3"/>
      <c r="B68" s="3"/>
      <c r="C68" s="115">
        <f>'R7.9'!AC68</f>
        <v>0</v>
      </c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26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33"/>
      <c r="AG68" s="133"/>
      <c r="AH68" s="133"/>
      <c r="AI68" s="133"/>
      <c r="AJ68" s="133"/>
    </row>
    <row r="69" ht="22.5" hidden="1" customHeight="1">
      <c r="A69" s="3"/>
      <c r="B69" s="3"/>
      <c r="C69" s="115">
        <f>'R7.9'!AC69</f>
        <v>0</v>
      </c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26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33"/>
      <c r="AG69" s="133"/>
      <c r="AH69" s="133"/>
      <c r="AI69" s="133"/>
      <c r="AJ69" s="133"/>
    </row>
    <row r="70" ht="22.5" hidden="1" customHeight="1">
      <c r="A70" s="3"/>
      <c r="B70" s="3"/>
      <c r="C70" s="115">
        <f>'R7.9'!AC70</f>
        <v>0</v>
      </c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26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33"/>
      <c r="AG70" s="133"/>
      <c r="AH70" s="133"/>
      <c r="AI70" s="133"/>
      <c r="AJ70" s="133"/>
    </row>
    <row r="71" ht="22.5" hidden="1" customHeight="1">
      <c r="A71" s="3"/>
      <c r="B71" s="3"/>
      <c r="C71" s="115">
        <f>'R7.9'!AC71</f>
        <v>0</v>
      </c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26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33"/>
      <c r="AG71" s="133"/>
      <c r="AH71" s="133"/>
      <c r="AI71" s="133"/>
      <c r="AJ71" s="133"/>
    </row>
    <row r="72" ht="22.5" hidden="1" customHeight="1">
      <c r="A72" s="3"/>
      <c r="B72" s="3"/>
      <c r="C72" s="115">
        <f>'R7.9'!AC72</f>
        <v>0</v>
      </c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26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33"/>
      <c r="AG72" s="133"/>
      <c r="AH72" s="133"/>
      <c r="AI72" s="133"/>
      <c r="AJ72" s="133"/>
    </row>
    <row r="73" ht="22.5" hidden="1" customHeight="1">
      <c r="A73" s="3"/>
      <c r="B73" s="3"/>
      <c r="C73" s="115">
        <f>'R7.9'!AC73</f>
        <v>0</v>
      </c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26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33"/>
      <c r="AG73" s="133"/>
      <c r="AH73" s="133"/>
      <c r="AI73" s="133"/>
      <c r="AJ73" s="133"/>
    </row>
    <row r="74" ht="22.5" hidden="1" customHeight="1">
      <c r="A74" s="3"/>
      <c r="B74" s="3"/>
      <c r="C74" s="115">
        <f>'R7.9'!AC74</f>
        <v>0</v>
      </c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26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33"/>
      <c r="AG74" s="133"/>
      <c r="AH74" s="133"/>
      <c r="AI74" s="133"/>
      <c r="AJ74" s="133"/>
    </row>
    <row r="75" ht="22.5" hidden="1" customHeight="1">
      <c r="A75" s="3"/>
      <c r="B75" s="3"/>
      <c r="C75" s="115">
        <f>'R7.9'!AC75</f>
        <v>0</v>
      </c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26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33"/>
      <c r="AG75" s="133"/>
      <c r="AH75" s="133"/>
      <c r="AI75" s="133"/>
      <c r="AJ75" s="133"/>
    </row>
    <row r="76" ht="22.5" hidden="1" customHeight="1">
      <c r="A76" s="3"/>
      <c r="B76" s="3"/>
      <c r="C76" s="115">
        <f>'R7.9'!AC76</f>
        <v>0</v>
      </c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26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33"/>
      <c r="AG76" s="133"/>
      <c r="AH76" s="133"/>
      <c r="AI76" s="133"/>
      <c r="AJ76" s="133"/>
    </row>
    <row r="77" ht="22.5" hidden="1" customHeight="1">
      <c r="A77" s="3"/>
      <c r="B77" s="3"/>
      <c r="C77" s="115">
        <f>'R7.9'!AC77</f>
        <v>0</v>
      </c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26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33"/>
      <c r="AG77" s="133"/>
      <c r="AH77" s="133"/>
      <c r="AI77" s="133"/>
      <c r="AJ77" s="133"/>
    </row>
    <row r="78" ht="22.5" hidden="1" customHeight="1">
      <c r="A78" s="3"/>
      <c r="B78" s="3"/>
      <c r="C78" s="115">
        <f>'R7.9'!AC78</f>
        <v>0</v>
      </c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26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33"/>
      <c r="AG78" s="133"/>
      <c r="AH78" s="133"/>
      <c r="AI78" s="133"/>
      <c r="AJ78" s="133"/>
    </row>
    <row r="79" ht="22.5" hidden="1" customHeight="1">
      <c r="A79" s="3"/>
      <c r="B79" s="3"/>
      <c r="C79" s="115">
        <f>'R7.9'!AC79</f>
        <v>0</v>
      </c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26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33"/>
      <c r="AG79" s="133"/>
      <c r="AH79" s="133"/>
      <c r="AI79" s="133"/>
      <c r="AJ79" s="133"/>
    </row>
    <row r="80" ht="22.5" hidden="1" customHeight="1">
      <c r="A80" s="3"/>
      <c r="B80" s="3"/>
      <c r="C80" s="115">
        <f>'R7.9'!AC80</f>
        <v>0</v>
      </c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26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33"/>
      <c r="AG80" s="133"/>
      <c r="AH80" s="133"/>
      <c r="AI80" s="133"/>
      <c r="AJ80" s="133"/>
    </row>
    <row r="81" ht="22.5" hidden="1" customHeight="1">
      <c r="A81" s="3"/>
      <c r="B81" s="3"/>
      <c r="C81" s="115">
        <f>'R7.9'!AC81</f>
        <v>0</v>
      </c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26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33"/>
      <c r="AG81" s="133"/>
      <c r="AH81" s="133"/>
      <c r="AI81" s="133"/>
      <c r="AJ81" s="133"/>
    </row>
    <row r="82" ht="22.5" hidden="1" customHeight="1">
      <c r="A82" s="3"/>
      <c r="B82" s="3"/>
      <c r="C82" s="115">
        <f>'R7.9'!AC82</f>
        <v>0</v>
      </c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26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33"/>
      <c r="AG82" s="133"/>
      <c r="AH82" s="133"/>
      <c r="AI82" s="133"/>
      <c r="AJ82" s="133"/>
    </row>
    <row r="83" ht="22.5" hidden="1" customHeight="1">
      <c r="A83" s="3"/>
      <c r="B83" s="3"/>
      <c r="C83" s="115">
        <f>'R7.9'!AC83</f>
        <v>0</v>
      </c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26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33"/>
      <c r="AG83" s="133"/>
      <c r="AH83" s="133"/>
      <c r="AI83" s="133"/>
      <c r="AJ83" s="133"/>
    </row>
    <row r="84" ht="22.5" hidden="1" customHeight="1">
      <c r="A84" s="3"/>
      <c r="B84" s="3"/>
      <c r="C84" s="115">
        <f>'R7.9'!AC84</f>
        <v>0</v>
      </c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26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33"/>
      <c r="AG84" s="133"/>
      <c r="AH84" s="133"/>
      <c r="AI84" s="133"/>
      <c r="AJ84" s="133"/>
    </row>
    <row r="85" ht="22.5" hidden="1" customHeight="1">
      <c r="A85" s="3"/>
      <c r="B85" s="3"/>
      <c r="C85" s="115">
        <f>'R7.9'!AC85</f>
        <v>0</v>
      </c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26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33"/>
      <c r="AG85" s="133"/>
      <c r="AH85" s="133"/>
      <c r="AI85" s="133"/>
      <c r="AJ85" s="133"/>
    </row>
    <row r="86" ht="22.5" hidden="1" customHeight="1">
      <c r="A86" s="3"/>
      <c r="B86" s="3"/>
      <c r="C86" s="115">
        <f>'R7.9'!AC86</f>
        <v>0</v>
      </c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26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33"/>
      <c r="AG86" s="133"/>
      <c r="AH86" s="133"/>
      <c r="AI86" s="133"/>
      <c r="AJ86" s="133"/>
    </row>
    <row r="87" ht="22.5" hidden="1" customHeight="1">
      <c r="A87" s="3"/>
      <c r="B87" s="3"/>
      <c r="C87" s="115">
        <f>'R7.9'!AC87</f>
        <v>0</v>
      </c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26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33"/>
      <c r="AG87" s="133"/>
      <c r="AH87" s="133"/>
      <c r="AI87" s="133"/>
      <c r="AJ87" s="133"/>
    </row>
    <row r="88" ht="22.5" hidden="1" customHeight="1">
      <c r="A88" s="3"/>
      <c r="B88" s="3"/>
      <c r="C88" s="115">
        <f>'R7.9'!AC88</f>
        <v>0</v>
      </c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26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33"/>
      <c r="AG88" s="133"/>
      <c r="AH88" s="133"/>
      <c r="AI88" s="133"/>
      <c r="AJ88" s="133"/>
    </row>
    <row r="89" ht="22.5" hidden="1" customHeight="1">
      <c r="A89" s="3"/>
      <c r="B89" s="3"/>
      <c r="C89" s="115">
        <f>'R7.9'!AC89</f>
        <v>0</v>
      </c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26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33"/>
      <c r="AG89" s="133"/>
      <c r="AH89" s="133"/>
      <c r="AI89" s="133"/>
      <c r="AJ89" s="133"/>
    </row>
    <row r="90" ht="22.5" hidden="1" customHeight="1">
      <c r="A90" s="3"/>
      <c r="B90" s="3"/>
      <c r="C90" s="115">
        <f>'R7.9'!AC90</f>
        <v>0</v>
      </c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26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33"/>
      <c r="AG90" s="133"/>
      <c r="AH90" s="133"/>
      <c r="AI90" s="133"/>
      <c r="AJ90" s="133"/>
    </row>
    <row r="91" ht="22.5" hidden="1" customHeight="1">
      <c r="A91" s="3"/>
      <c r="B91" s="3"/>
      <c r="C91" s="115">
        <f>'R7.9'!AC91</f>
        <v>0</v>
      </c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26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33"/>
      <c r="AG91" s="133"/>
      <c r="AH91" s="133"/>
      <c r="AI91" s="133"/>
      <c r="AJ91" s="133"/>
    </row>
    <row r="92" ht="22.5" hidden="1" customHeight="1">
      <c r="A92" s="3"/>
      <c r="B92" s="3"/>
      <c r="C92" s="115">
        <f>'R7.9'!AC92</f>
        <v>0</v>
      </c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26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33"/>
      <c r="AG92" s="133"/>
      <c r="AH92" s="133"/>
      <c r="AI92" s="133"/>
      <c r="AJ92" s="133"/>
    </row>
    <row r="93" ht="22.5" hidden="1" customHeight="1">
      <c r="A93" s="3"/>
      <c r="B93" s="3"/>
      <c r="C93" s="115">
        <f>'R7.9'!AC93</f>
        <v>0</v>
      </c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26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33"/>
      <c r="AG93" s="133"/>
      <c r="AH93" s="133"/>
      <c r="AI93" s="133"/>
      <c r="AJ93" s="133"/>
    </row>
    <row r="94" ht="22.5" hidden="1" customHeight="1">
      <c r="A94" s="3"/>
      <c r="B94" s="3"/>
      <c r="C94" s="115">
        <f>'R7.9'!AC94</f>
        <v>0</v>
      </c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26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33"/>
      <c r="AG94" s="133"/>
      <c r="AH94" s="133"/>
      <c r="AI94" s="133"/>
      <c r="AJ94" s="133"/>
    </row>
    <row r="95" ht="22.5" hidden="1" customHeight="1">
      <c r="A95" s="3"/>
      <c r="B95" s="3"/>
      <c r="C95" s="115">
        <f>'R7.9'!AC95</f>
        <v>0</v>
      </c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26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33"/>
      <c r="AG95" s="133"/>
      <c r="AH95" s="133"/>
      <c r="AI95" s="133"/>
      <c r="AJ95" s="133"/>
    </row>
    <row r="96" ht="22.5" hidden="1" customHeight="1">
      <c r="A96" s="3"/>
      <c r="B96" s="3"/>
      <c r="C96" s="115">
        <f>'R7.9'!AC96</f>
        <v>0</v>
      </c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26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33"/>
      <c r="AG96" s="133"/>
      <c r="AH96" s="133"/>
      <c r="AI96" s="133"/>
      <c r="AJ96" s="133"/>
    </row>
    <row r="97" ht="22.5" hidden="1" customHeight="1">
      <c r="A97" s="3"/>
      <c r="B97" s="3"/>
      <c r="C97" s="115">
        <f>'R7.9'!AC97</f>
        <v>0</v>
      </c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26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33"/>
      <c r="AG97" s="133"/>
      <c r="AH97" s="133"/>
      <c r="AI97" s="133"/>
      <c r="AJ97" s="133"/>
    </row>
    <row r="98" ht="22.5" hidden="1" customHeight="1">
      <c r="A98" s="3"/>
      <c r="B98" s="3"/>
      <c r="C98" s="115">
        <f>'R7.9'!AC98</f>
        <v>0</v>
      </c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26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33"/>
      <c r="AG98" s="133"/>
      <c r="AH98" s="133"/>
      <c r="AI98" s="133"/>
      <c r="AJ98" s="133"/>
    </row>
    <row r="99" ht="22.5" hidden="1" customHeight="1">
      <c r="A99" s="3"/>
      <c r="B99" s="3"/>
      <c r="C99" s="115">
        <f>'R7.9'!AC99</f>
        <v>0</v>
      </c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26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33"/>
      <c r="AG99" s="133"/>
      <c r="AH99" s="133"/>
      <c r="AI99" s="133"/>
      <c r="AJ99" s="133"/>
    </row>
    <row r="100" ht="22.5" hidden="1" customHeight="1">
      <c r="A100" s="3"/>
      <c r="B100" s="3"/>
      <c r="C100" s="115">
        <f>'R7.9'!AC100</f>
        <v>0</v>
      </c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26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33"/>
      <c r="AG100" s="133"/>
      <c r="AH100" s="133"/>
      <c r="AI100" s="133"/>
      <c r="AJ100" s="133"/>
    </row>
    <row r="101" ht="22.5" hidden="1" customHeight="1">
      <c r="A101" s="3"/>
      <c r="B101" s="3"/>
      <c r="C101" s="115">
        <f>'R7.9'!AC101</f>
        <v>0</v>
      </c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26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33"/>
      <c r="AG101" s="133"/>
      <c r="AH101" s="133"/>
      <c r="AI101" s="133"/>
      <c r="AJ101" s="133"/>
    </row>
    <row r="102" ht="22.5" hidden="1" customHeight="1">
      <c r="A102" s="3"/>
      <c r="B102" s="3"/>
      <c r="C102" s="115">
        <f>'R7.9'!AC102</f>
        <v>0</v>
      </c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26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33"/>
      <c r="AG102" s="133"/>
      <c r="AH102" s="133"/>
      <c r="AI102" s="133"/>
      <c r="AJ102" s="133"/>
    </row>
    <row r="103" ht="22.5" hidden="1" customHeight="1">
      <c r="A103" s="3"/>
      <c r="B103" s="3"/>
      <c r="C103" s="115">
        <f>'R7.9'!AC103</f>
        <v>0</v>
      </c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26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33"/>
      <c r="AG103" s="133"/>
      <c r="AH103" s="133"/>
      <c r="AI103" s="133"/>
      <c r="AJ103" s="133"/>
    </row>
    <row r="104" ht="22.5" hidden="1" customHeight="1">
      <c r="A104" s="3"/>
      <c r="B104" s="3"/>
      <c r="C104" s="115">
        <f>'R7.9'!AC104</f>
        <v>0</v>
      </c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26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33"/>
      <c r="AG104" s="133"/>
      <c r="AH104" s="133"/>
      <c r="AI104" s="133"/>
      <c r="AJ104" s="133"/>
    </row>
    <row r="105" ht="22.5" hidden="1" customHeight="1">
      <c r="A105" s="3"/>
      <c r="B105" s="3"/>
      <c r="C105" s="115">
        <f>'R7.9'!AC105</f>
        <v>0</v>
      </c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26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33"/>
      <c r="AG105" s="133"/>
      <c r="AH105" s="133"/>
      <c r="AI105" s="133"/>
      <c r="AJ105" s="133"/>
    </row>
    <row r="106" ht="22.5" hidden="1" customHeight="1">
      <c r="A106" s="3"/>
      <c r="B106" s="3"/>
      <c r="C106" s="115">
        <f>'R7.9'!AC106</f>
        <v>0</v>
      </c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26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33"/>
      <c r="AG106" s="133"/>
      <c r="AH106" s="133"/>
      <c r="AI106" s="133"/>
      <c r="AJ106" s="133"/>
    </row>
    <row r="107" ht="22.5" hidden="1" customHeight="1">
      <c r="A107" s="3"/>
      <c r="B107" s="3"/>
      <c r="C107" s="115">
        <f>'R7.9'!AC107</f>
        <v>0</v>
      </c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26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33"/>
      <c r="AG107" s="133"/>
      <c r="AH107" s="133"/>
      <c r="AI107" s="133"/>
      <c r="AJ107" s="133"/>
    </row>
    <row r="108" ht="22.5" hidden="1" customHeight="1">
      <c r="A108" s="3"/>
      <c r="B108" s="3"/>
      <c r="C108" s="115">
        <f>'R7.9'!AC108</f>
        <v>0</v>
      </c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26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33"/>
      <c r="AG108" s="133"/>
      <c r="AH108" s="133"/>
      <c r="AI108" s="133"/>
      <c r="AJ108" s="133"/>
    </row>
    <row r="109" ht="22.5" customHeight="1">
      <c r="A109" s="3"/>
      <c r="B109" s="3"/>
      <c r="C109" s="115">
        <f>'R7.9'!AC109</f>
        <v>0</v>
      </c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26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3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34" t="str">
        <f>'R7.9'!AC110</f>
        <v/>
      </c>
      <c r="D110" s="120">
        <f t="shared" ref="D110:V110" si="5">SUM(D3:D109)</f>
        <v>280000</v>
      </c>
      <c r="E110" s="120">
        <f t="shared" si="5"/>
        <v>35000</v>
      </c>
      <c r="F110" s="120">
        <f t="shared" si="5"/>
        <v>35000</v>
      </c>
      <c r="G110" s="120">
        <f t="shared" si="5"/>
        <v>14000</v>
      </c>
      <c r="H110" s="120">
        <f t="shared" si="5"/>
        <v>70000</v>
      </c>
      <c r="I110" s="120">
        <f t="shared" si="5"/>
        <v>125290</v>
      </c>
      <c r="J110" s="135">
        <f t="shared" si="5"/>
        <v>-46485</v>
      </c>
      <c r="K110" s="120">
        <f t="shared" si="5"/>
        <v>0</v>
      </c>
      <c r="L110" s="120">
        <f t="shared" si="5"/>
        <v>11315</v>
      </c>
      <c r="M110" s="120">
        <f t="shared" si="5"/>
        <v>10000</v>
      </c>
      <c r="N110" s="120">
        <f t="shared" si="5"/>
        <v>0</v>
      </c>
      <c r="O110" s="120">
        <f t="shared" si="5"/>
        <v>15973</v>
      </c>
      <c r="P110" s="120">
        <f t="shared" si="5"/>
        <v>0</v>
      </c>
      <c r="Q110" s="120">
        <f t="shared" si="5"/>
        <v>3436</v>
      </c>
      <c r="R110" s="120">
        <f t="shared" si="5"/>
        <v>0</v>
      </c>
      <c r="S110" s="120">
        <f t="shared" si="5"/>
        <v>0</v>
      </c>
      <c r="T110" s="120">
        <f t="shared" si="5"/>
        <v>0</v>
      </c>
      <c r="U110" s="120">
        <f t="shared" si="5"/>
        <v>0</v>
      </c>
      <c r="V110" s="120">
        <f t="shared" si="5"/>
        <v>-540000</v>
      </c>
      <c r="W110" s="122">
        <f t="shared" si="4"/>
        <v>13529</v>
      </c>
      <c r="X110" s="120">
        <f t="shared" ref="X110:Y110" si="6">SUM(X3:X109)</f>
        <v>26183</v>
      </c>
      <c r="Y110" s="120">
        <f t="shared" si="6"/>
        <v>2500</v>
      </c>
      <c r="Z110" s="120">
        <f t="shared" si="2"/>
        <v>42212</v>
      </c>
      <c r="AA110" s="124"/>
      <c r="AC110" s="136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ht="15.75" customHeight="1">
      <c r="A113" s="114"/>
      <c r="B113" s="114"/>
      <c r="C113" s="124" t="s">
        <v>131</v>
      </c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 t="s">
        <v>131</v>
      </c>
      <c r="W113" s="124"/>
      <c r="X113" s="124"/>
      <c r="Y113" s="124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S115" s="124"/>
      <c r="T115" s="124"/>
      <c r="U115" s="124"/>
      <c r="V115" s="124"/>
      <c r="W115" s="124"/>
      <c r="X115" s="124"/>
      <c r="Y115" s="124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>
      <c r="A228" s="114"/>
      <c r="B228" s="114"/>
    </row>
    <row r="229" ht="15.75" customHeight="1">
      <c r="A229" s="114"/>
      <c r="B229" s="114"/>
    </row>
    <row r="230" ht="15.75" customHeight="1">
      <c r="A230" s="114"/>
      <c r="B230" s="114"/>
    </row>
    <row r="231" ht="15.75" customHeight="1">
      <c r="A231" s="114"/>
      <c r="B231" s="114"/>
    </row>
    <row r="232" ht="15.75" customHeight="1">
      <c r="A232" s="114"/>
      <c r="B232" s="114"/>
    </row>
    <row r="233" ht="15.75" customHeight="1">
      <c r="A233" s="114"/>
      <c r="B233" s="114"/>
    </row>
    <row r="234" ht="15.75" customHeight="1">
      <c r="A234" s="114"/>
      <c r="B234" s="114"/>
    </row>
    <row r="235" ht="15.75" customHeight="1">
      <c r="A235" s="114"/>
      <c r="B235" s="114"/>
    </row>
    <row r="236" ht="15.75" customHeight="1">
      <c r="A236" s="114"/>
      <c r="B236" s="114"/>
    </row>
    <row r="237" ht="15.75" customHeight="1">
      <c r="A237" s="114"/>
      <c r="B237" s="114"/>
    </row>
    <row r="238" ht="15.75" customHeight="1">
      <c r="A238" s="114"/>
      <c r="B238" s="114"/>
    </row>
    <row r="239" ht="15.75" customHeight="1">
      <c r="A239" s="114"/>
      <c r="B239" s="114"/>
    </row>
    <row r="240" ht="15.75" customHeight="1">
      <c r="A240" s="114"/>
      <c r="B240" s="114"/>
    </row>
    <row r="241" ht="15.75" customHeight="1">
      <c r="A241" s="114"/>
      <c r="B241" s="114"/>
    </row>
    <row r="242" ht="15.75" customHeight="1">
      <c r="A242" s="114"/>
      <c r="B242" s="114"/>
    </row>
    <row r="243" ht="15.75" customHeight="1">
      <c r="A243" s="114"/>
      <c r="B243" s="114"/>
    </row>
    <row r="244" ht="15.75" customHeight="1">
      <c r="A244" s="114"/>
      <c r="B244" s="114"/>
    </row>
    <row r="245" ht="15.75" customHeight="1">
      <c r="A245" s="114"/>
      <c r="B245" s="114"/>
    </row>
    <row r="246" ht="15.75" customHeight="1">
      <c r="A246" s="114"/>
      <c r="B246" s="114"/>
    </row>
    <row r="247" ht="15.75" customHeight="1">
      <c r="A247" s="114"/>
      <c r="B247" s="114"/>
    </row>
    <row r="248" ht="15.75" customHeight="1">
      <c r="A248" s="114"/>
      <c r="B248" s="114"/>
    </row>
    <row r="249" ht="15.75" customHeight="1">
      <c r="A249" s="114"/>
      <c r="B249" s="114"/>
    </row>
    <row r="250" ht="15.75" customHeight="1">
      <c r="A250" s="114"/>
      <c r="B250" s="114"/>
    </row>
    <row r="251" ht="15.75" customHeight="1">
      <c r="A251" s="114"/>
      <c r="B251" s="114"/>
    </row>
    <row r="252" ht="15.75" customHeight="1">
      <c r="A252" s="114"/>
      <c r="B252" s="114"/>
    </row>
    <row r="253" ht="15.75" customHeight="1">
      <c r="A253" s="114"/>
      <c r="B253" s="114"/>
    </row>
    <row r="254" ht="15.75" customHeight="1">
      <c r="A254" s="114"/>
      <c r="B254" s="114"/>
    </row>
    <row r="255" ht="15.75" customHeight="1">
      <c r="A255" s="114"/>
      <c r="B255" s="114"/>
    </row>
    <row r="256" ht="15.75" customHeight="1">
      <c r="A256" s="114"/>
      <c r="B256" s="114"/>
    </row>
    <row r="257" ht="15.75" customHeight="1">
      <c r="A257" s="114"/>
      <c r="B257" s="114"/>
    </row>
    <row r="258" ht="15.75" customHeight="1">
      <c r="A258" s="114"/>
      <c r="B258" s="114"/>
    </row>
    <row r="259" ht="15.75" customHeight="1">
      <c r="A259" s="114"/>
      <c r="B259" s="114"/>
    </row>
    <row r="260" ht="15.75" customHeight="1">
      <c r="A260" s="114"/>
      <c r="B260" s="114"/>
    </row>
    <row r="261" ht="15.75" customHeight="1">
      <c r="A261" s="114"/>
      <c r="B261" s="114"/>
    </row>
    <row r="262" ht="15.75" customHeight="1">
      <c r="A262" s="114"/>
      <c r="B262" s="114"/>
    </row>
    <row r="263" ht="15.75" customHeight="1">
      <c r="A263" s="114"/>
      <c r="B263" s="114"/>
    </row>
    <row r="264" ht="15.75" customHeight="1">
      <c r="A264" s="114"/>
      <c r="B264" s="114"/>
    </row>
    <row r="265" ht="15.75" customHeight="1">
      <c r="A265" s="114"/>
      <c r="B265" s="114"/>
    </row>
    <row r="266" ht="15.75" customHeight="1">
      <c r="A266" s="114"/>
      <c r="B266" s="114"/>
    </row>
    <row r="267" ht="15.75" customHeight="1">
      <c r="A267" s="114"/>
      <c r="B267" s="114"/>
    </row>
    <row r="268" ht="15.75" customHeight="1">
      <c r="A268" s="114"/>
      <c r="B268" s="114"/>
    </row>
    <row r="269" ht="15.75" customHeight="1">
      <c r="A269" s="114"/>
      <c r="B269" s="114"/>
    </row>
    <row r="270" ht="15.75" customHeight="1">
      <c r="A270" s="114"/>
      <c r="B270" s="114"/>
    </row>
    <row r="271" ht="15.75" customHeight="1">
      <c r="A271" s="114"/>
      <c r="B271" s="114"/>
    </row>
    <row r="272" ht="15.75" customHeight="1">
      <c r="A272" s="114"/>
      <c r="B272" s="114"/>
    </row>
    <row r="273" ht="15.75" customHeight="1">
      <c r="A273" s="114"/>
      <c r="B273" s="114"/>
    </row>
    <row r="274" ht="15.75" customHeight="1">
      <c r="A274" s="114"/>
      <c r="B274" s="114"/>
    </row>
    <row r="275" ht="15.75" customHeight="1">
      <c r="A275" s="114"/>
      <c r="B275" s="114"/>
    </row>
    <row r="276" ht="15.75" customHeight="1">
      <c r="A276" s="114"/>
      <c r="B276" s="114"/>
    </row>
    <row r="277" ht="15.75" customHeight="1">
      <c r="A277" s="114"/>
      <c r="B277" s="114"/>
    </row>
    <row r="278" ht="15.75" customHeight="1">
      <c r="A278" s="114"/>
      <c r="B278" s="114"/>
    </row>
    <row r="279" ht="15.75" customHeight="1">
      <c r="A279" s="114"/>
      <c r="B279" s="114"/>
    </row>
    <row r="280" ht="15.75" customHeight="1">
      <c r="A280" s="114"/>
      <c r="B280" s="114"/>
    </row>
    <row r="281" ht="15.75" customHeight="1">
      <c r="A281" s="114"/>
      <c r="B281" s="114"/>
    </row>
    <row r="282" ht="15.75" customHeight="1">
      <c r="A282" s="114"/>
      <c r="B282" s="114"/>
    </row>
    <row r="283" ht="15.75" customHeight="1">
      <c r="A283" s="114"/>
      <c r="B283" s="114"/>
    </row>
    <row r="284" ht="15.75" customHeight="1">
      <c r="A284" s="114"/>
      <c r="B284" s="114"/>
    </row>
    <row r="285" ht="15.75" customHeight="1">
      <c r="A285" s="114"/>
      <c r="B285" s="114"/>
    </row>
    <row r="286" ht="15.75" customHeight="1">
      <c r="A286" s="114"/>
      <c r="B286" s="114"/>
    </row>
    <row r="287" ht="15.75" customHeight="1">
      <c r="A287" s="114"/>
      <c r="B287" s="114"/>
    </row>
    <row r="288" ht="15.75" customHeight="1">
      <c r="A288" s="114"/>
      <c r="B288" s="114"/>
    </row>
    <row r="289" ht="15.75" customHeight="1">
      <c r="A289" s="114"/>
      <c r="B289" s="114"/>
    </row>
    <row r="290" ht="15.75" customHeight="1">
      <c r="A290" s="114"/>
      <c r="B290" s="114"/>
    </row>
    <row r="291" ht="15.75" customHeight="1">
      <c r="A291" s="114"/>
      <c r="B291" s="114"/>
    </row>
    <row r="292" ht="15.75" customHeight="1">
      <c r="A292" s="114"/>
      <c r="B292" s="114"/>
    </row>
    <row r="293" ht="15.75" customHeight="1">
      <c r="A293" s="114"/>
      <c r="B293" s="114"/>
    </row>
    <row r="294" ht="15.75" customHeight="1">
      <c r="A294" s="114"/>
      <c r="B294" s="114"/>
    </row>
    <row r="295" ht="15.75" customHeight="1">
      <c r="A295" s="114"/>
      <c r="B295" s="114"/>
    </row>
    <row r="296" ht="15.75" customHeight="1">
      <c r="A296" s="114"/>
      <c r="B296" s="114"/>
    </row>
    <row r="297" ht="15.75" customHeight="1">
      <c r="A297" s="114"/>
      <c r="B297" s="114"/>
    </row>
    <row r="298" ht="15.75" customHeight="1">
      <c r="A298" s="114"/>
      <c r="B298" s="114"/>
    </row>
    <row r="299" ht="15.75" customHeight="1">
      <c r="A299" s="114"/>
      <c r="B299" s="114"/>
    </row>
    <row r="300" ht="15.75" customHeight="1">
      <c r="A300" s="114"/>
      <c r="B300" s="114"/>
    </row>
    <row r="301" ht="15.75" customHeight="1">
      <c r="A301" s="114"/>
      <c r="B301" s="114"/>
    </row>
    <row r="302" ht="15.75" customHeight="1">
      <c r="A302" s="114"/>
      <c r="B302" s="114"/>
    </row>
    <row r="303" ht="15.75" customHeight="1">
      <c r="A303" s="114"/>
      <c r="B303" s="114"/>
    </row>
    <row r="304" ht="15.75" customHeight="1">
      <c r="A304" s="114"/>
      <c r="B304" s="114"/>
    </row>
    <row r="305" ht="15.75" customHeight="1">
      <c r="A305" s="114"/>
      <c r="B305" s="114"/>
    </row>
    <row r="306" ht="15.75" customHeight="1">
      <c r="A306" s="114"/>
      <c r="B306" s="114"/>
    </row>
    <row r="307" ht="15.75" customHeight="1">
      <c r="A307" s="114"/>
      <c r="B307" s="114"/>
    </row>
    <row r="308" ht="15.75" customHeight="1">
      <c r="A308" s="114"/>
      <c r="B308" s="114"/>
    </row>
    <row r="309" ht="15.75" customHeight="1">
      <c r="A309" s="114"/>
      <c r="B309" s="114"/>
    </row>
    <row r="310" ht="15.75" customHeight="1">
      <c r="A310" s="114"/>
      <c r="B310" s="114"/>
    </row>
    <row r="311" ht="15.75" customHeight="1">
      <c r="A311" s="114"/>
      <c r="B311" s="114"/>
    </row>
    <row r="312" ht="15.75" customHeight="1">
      <c r="A312" s="114"/>
      <c r="B312" s="114"/>
    </row>
    <row r="313" ht="15.75" customHeight="1">
      <c r="A313" s="114"/>
      <c r="B313" s="114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1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46022.0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</row>
    <row r="2" ht="22.5" customHeight="1">
      <c r="A2" s="1" t="s">
        <v>0</v>
      </c>
      <c r="B2" s="1" t="s">
        <v>1</v>
      </c>
      <c r="C2" s="108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8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14"/>
      <c r="AG2" s="114"/>
      <c r="AH2" s="114"/>
      <c r="AI2" s="114"/>
      <c r="AJ2" s="114"/>
    </row>
    <row r="3" ht="22.5" customHeight="1">
      <c r="A3" s="1" t="s">
        <v>2</v>
      </c>
      <c r="B3" s="1" t="s">
        <v>3</v>
      </c>
      <c r="C3" s="115">
        <f>'R7.11'!AC3</f>
        <v>0</v>
      </c>
      <c r="D3" s="116">
        <v>40000.0</v>
      </c>
      <c r="E3" s="116">
        <v>5000.0</v>
      </c>
      <c r="F3" s="116">
        <v>5000.0</v>
      </c>
      <c r="G3" s="116">
        <v>2000.0</v>
      </c>
      <c r="H3" s="117">
        <v>10000.0</v>
      </c>
      <c r="I3" s="118">
        <v>39380.0</v>
      </c>
      <c r="J3" s="119"/>
      <c r="K3" s="117"/>
      <c r="L3" s="117">
        <v>2263.0</v>
      </c>
      <c r="M3" s="120"/>
      <c r="N3" s="117"/>
      <c r="O3" s="117">
        <v>5200.0</v>
      </c>
      <c r="P3" s="117"/>
      <c r="Q3" s="117"/>
      <c r="R3" s="119"/>
      <c r="S3" s="119"/>
      <c r="T3" s="119"/>
      <c r="U3" s="119"/>
      <c r="V3" s="121"/>
      <c r="W3" s="122">
        <f t="shared" ref="W3:W6" si="1">SUM(D3:V3)</f>
        <v>108843</v>
      </c>
      <c r="X3" s="123"/>
      <c r="Y3" s="123"/>
      <c r="Z3" s="120">
        <f t="shared" ref="Z3:Z110" si="2">SUM(W3:Y3)</f>
        <v>108843</v>
      </c>
      <c r="AA3" s="124" t="s">
        <v>127</v>
      </c>
      <c r="AB3" s="63" t="s">
        <v>128</v>
      </c>
      <c r="AC3" s="125">
        <f t="shared" ref="AC3:AC109" si="3">C3-M3</f>
        <v>0</v>
      </c>
    </row>
    <row r="4" ht="22.5" customHeight="1">
      <c r="A4" s="1" t="s">
        <v>4</v>
      </c>
      <c r="B4" s="1" t="s">
        <v>5</v>
      </c>
      <c r="C4" s="115">
        <f>'R7.11'!AC4</f>
        <v>0</v>
      </c>
      <c r="D4" s="116">
        <v>40000.0</v>
      </c>
      <c r="E4" s="116">
        <v>5000.0</v>
      </c>
      <c r="F4" s="116">
        <v>5000.0</v>
      </c>
      <c r="G4" s="116">
        <v>2000.0</v>
      </c>
      <c r="H4" s="117">
        <v>10000.0</v>
      </c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26"/>
      <c r="W4" s="122">
        <f t="shared" si="1"/>
        <v>62000</v>
      </c>
      <c r="X4" s="123"/>
      <c r="Y4" s="123"/>
      <c r="Z4" s="120">
        <f t="shared" si="2"/>
        <v>62000</v>
      </c>
      <c r="AA4" s="124" t="s">
        <v>129</v>
      </c>
      <c r="AB4" s="63" t="s">
        <v>128</v>
      </c>
      <c r="AC4" s="125">
        <f t="shared" si="3"/>
        <v>0</v>
      </c>
    </row>
    <row r="5" ht="22.5" customHeight="1">
      <c r="A5" s="1" t="s">
        <v>6</v>
      </c>
      <c r="B5" s="1"/>
      <c r="C5" s="115">
        <f>'R7.11'!AC5</f>
        <v>72000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26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72000</v>
      </c>
    </row>
    <row r="6" ht="22.5" customHeight="1">
      <c r="A6" s="1" t="s">
        <v>7</v>
      </c>
      <c r="B6" s="1" t="s">
        <v>8</v>
      </c>
      <c r="C6" s="115">
        <f>'R7.11'!AC6</f>
        <v>0</v>
      </c>
      <c r="D6" s="116">
        <v>40000.0</v>
      </c>
      <c r="E6" s="116">
        <v>5000.0</v>
      </c>
      <c r="F6" s="116">
        <v>5000.0</v>
      </c>
      <c r="G6" s="116">
        <v>2000.0</v>
      </c>
      <c r="H6" s="117">
        <v>10000.0</v>
      </c>
      <c r="I6" s="117"/>
      <c r="J6" s="119"/>
      <c r="K6" s="117"/>
      <c r="L6" s="117">
        <v>2263.0</v>
      </c>
      <c r="M6" s="117"/>
      <c r="N6" s="117"/>
      <c r="O6" s="117"/>
      <c r="P6" s="117"/>
      <c r="Q6" s="117">
        <v>50.0</v>
      </c>
      <c r="R6" s="117"/>
      <c r="S6" s="117"/>
      <c r="T6" s="117"/>
      <c r="U6" s="117"/>
      <c r="V6" s="126"/>
      <c r="W6" s="122">
        <f t="shared" si="1"/>
        <v>64313</v>
      </c>
      <c r="X6" s="123"/>
      <c r="Y6" s="123"/>
      <c r="Z6" s="120">
        <f t="shared" si="2"/>
        <v>64313</v>
      </c>
      <c r="AA6" s="124" t="s">
        <v>129</v>
      </c>
      <c r="AB6" s="63" t="s">
        <v>128</v>
      </c>
      <c r="AC6" s="125">
        <f t="shared" si="3"/>
        <v>0</v>
      </c>
    </row>
    <row r="7" ht="22.5" customHeight="1">
      <c r="A7" s="1" t="s">
        <v>9</v>
      </c>
      <c r="B7" s="1" t="s">
        <v>10</v>
      </c>
      <c r="C7" s="115">
        <f>'R7.11'!AC7</f>
        <v>20000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10000.0</v>
      </c>
      <c r="I7" s="117">
        <v>41580.0</v>
      </c>
      <c r="J7" s="127">
        <v>-44275.0</v>
      </c>
      <c r="K7" s="117"/>
      <c r="L7" s="117">
        <v>2263.0</v>
      </c>
      <c r="M7" s="117">
        <v>10000.0</v>
      </c>
      <c r="N7" s="117"/>
      <c r="O7" s="117">
        <v>6899.0</v>
      </c>
      <c r="P7" s="117"/>
      <c r="Q7" s="117">
        <v>2826.0</v>
      </c>
      <c r="R7" s="117"/>
      <c r="S7" s="117"/>
      <c r="T7" s="117"/>
      <c r="U7" s="117"/>
      <c r="V7" s="121">
        <f>'R7.11'!AE7</f>
        <v>-430000</v>
      </c>
      <c r="W7" s="122">
        <f>SUM(D7:U7)-V7</f>
        <v>511293</v>
      </c>
      <c r="X7" s="116">
        <v>26207.0</v>
      </c>
      <c r="Y7" s="128">
        <v>2500.0</v>
      </c>
      <c r="Z7" s="120">
        <f t="shared" si="2"/>
        <v>540000</v>
      </c>
      <c r="AA7" s="124">
        <v>110000.0</v>
      </c>
      <c r="AB7" s="63" t="s">
        <v>128</v>
      </c>
      <c r="AC7" s="125">
        <f t="shared" si="3"/>
        <v>10000</v>
      </c>
      <c r="AE7" s="124">
        <f>AD7-Z7</f>
        <v>-540000</v>
      </c>
    </row>
    <row r="8" ht="22.5" customHeight="1">
      <c r="A8" s="1" t="s">
        <v>11</v>
      </c>
      <c r="B8" s="1"/>
      <c r="C8" s="115">
        <f>'R7.11'!AC8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26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</row>
    <row r="9" ht="22.5" customHeight="1">
      <c r="A9" s="1" t="s">
        <v>12</v>
      </c>
      <c r="B9" s="1" t="s">
        <v>13</v>
      </c>
      <c r="C9" s="115">
        <f>'R7.11'!AC9</f>
        <v>0</v>
      </c>
      <c r="D9" s="116">
        <v>40000.0</v>
      </c>
      <c r="E9" s="116">
        <v>5000.0</v>
      </c>
      <c r="F9" s="116">
        <v>5000.0</v>
      </c>
      <c r="G9" s="116">
        <v>2000.0</v>
      </c>
      <c r="H9" s="117">
        <v>10000.0</v>
      </c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26"/>
      <c r="W9" s="122">
        <f t="shared" si="4"/>
        <v>62000</v>
      </c>
      <c r="X9" s="123"/>
      <c r="Y9" s="123"/>
      <c r="Z9" s="120">
        <f t="shared" si="2"/>
        <v>62000</v>
      </c>
      <c r="AA9" s="124" t="s">
        <v>129</v>
      </c>
      <c r="AB9" s="63" t="s">
        <v>128</v>
      </c>
      <c r="AC9" s="125">
        <f t="shared" si="3"/>
        <v>0</v>
      </c>
    </row>
    <row r="10" ht="22.5" customHeight="1">
      <c r="A10" s="1" t="s">
        <v>14</v>
      </c>
      <c r="B10" s="1" t="s">
        <v>15</v>
      </c>
      <c r="C10" s="115">
        <f>'R7.11'!AC10</f>
        <v>0</v>
      </c>
      <c r="D10" s="116">
        <v>40000.0</v>
      </c>
      <c r="E10" s="116">
        <v>5000.0</v>
      </c>
      <c r="F10" s="116">
        <v>5000.0</v>
      </c>
      <c r="G10" s="116">
        <v>2000.0</v>
      </c>
      <c r="H10" s="117">
        <v>10000.0</v>
      </c>
      <c r="I10" s="117">
        <v>44330.0</v>
      </c>
      <c r="J10" s="119"/>
      <c r="K10" s="117"/>
      <c r="L10" s="117">
        <v>2263.0</v>
      </c>
      <c r="M10" s="117"/>
      <c r="N10" s="117"/>
      <c r="O10" s="117"/>
      <c r="P10" s="117"/>
      <c r="Q10" s="117"/>
      <c r="R10" s="117"/>
      <c r="S10" s="117"/>
      <c r="T10" s="117"/>
      <c r="U10" s="117"/>
      <c r="V10" s="126"/>
      <c r="W10" s="122">
        <f t="shared" si="4"/>
        <v>108593</v>
      </c>
      <c r="X10" s="129"/>
      <c r="Y10" s="129"/>
      <c r="Z10" s="120">
        <f t="shared" si="2"/>
        <v>108593</v>
      </c>
      <c r="AA10" s="124" t="s">
        <v>129</v>
      </c>
      <c r="AB10" s="63" t="s">
        <v>128</v>
      </c>
      <c r="AC10" s="125">
        <f t="shared" si="3"/>
        <v>0</v>
      </c>
    </row>
    <row r="11" ht="22.5" customHeight="1">
      <c r="A11" s="1" t="s">
        <v>16</v>
      </c>
      <c r="B11" s="1" t="s">
        <v>17</v>
      </c>
      <c r="C11" s="115">
        <f>'R7.11'!AC11</f>
        <v>0</v>
      </c>
      <c r="D11" s="116">
        <v>40000.0</v>
      </c>
      <c r="E11" s="116">
        <v>5000.0</v>
      </c>
      <c r="F11" s="116">
        <v>5000.0</v>
      </c>
      <c r="G11" s="116">
        <v>2000.0</v>
      </c>
      <c r="H11" s="117">
        <v>10000.0</v>
      </c>
      <c r="I11" s="117"/>
      <c r="J11" s="119"/>
      <c r="K11" s="117"/>
      <c r="L11" s="117">
        <v>2263.0</v>
      </c>
      <c r="M11" s="130"/>
      <c r="N11" s="117"/>
      <c r="O11" s="117"/>
      <c r="P11" s="117"/>
      <c r="Q11" s="117"/>
      <c r="R11" s="117"/>
      <c r="S11" s="120"/>
      <c r="T11" s="117"/>
      <c r="U11" s="117"/>
      <c r="V11" s="126"/>
      <c r="W11" s="122">
        <f t="shared" si="4"/>
        <v>64263</v>
      </c>
      <c r="X11" s="123"/>
      <c r="Y11" s="123"/>
      <c r="Z11" s="120">
        <f t="shared" si="2"/>
        <v>64263</v>
      </c>
      <c r="AA11" s="131"/>
      <c r="AB11" s="63" t="s">
        <v>128</v>
      </c>
      <c r="AC11" s="125">
        <f t="shared" si="3"/>
        <v>0</v>
      </c>
    </row>
    <row r="12" ht="22.5" customHeight="1">
      <c r="A12" s="1"/>
      <c r="B12" s="1"/>
      <c r="C12" s="115">
        <f>'R7.11'!AC12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26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</row>
    <row r="13" ht="22.5" customHeight="1">
      <c r="A13" s="1"/>
      <c r="B13" s="3"/>
      <c r="C13" s="115">
        <f>'R7.11'!AC13</f>
        <v>0</v>
      </c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26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</row>
    <row r="14" ht="22.5" customHeight="1">
      <c r="A14" s="1"/>
      <c r="B14" s="3"/>
      <c r="C14" s="115">
        <f>'R7.11'!AC14</f>
        <v>0</v>
      </c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26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33"/>
      <c r="AG14" s="133"/>
      <c r="AH14" s="133"/>
      <c r="AI14" s="133"/>
      <c r="AJ14" s="133"/>
    </row>
    <row r="15" ht="22.5" customHeight="1">
      <c r="A15" s="1"/>
      <c r="B15" s="3"/>
      <c r="C15" s="115">
        <f>'R7.11'!AC15</f>
        <v>0</v>
      </c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26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33"/>
      <c r="AG15" s="133"/>
      <c r="AH15" s="133"/>
      <c r="AI15" s="133"/>
      <c r="AJ15" s="133"/>
    </row>
    <row r="16" ht="22.5" customHeight="1">
      <c r="A16" s="1"/>
      <c r="B16" s="3"/>
      <c r="C16" s="115">
        <f>'R7.9'!AC16</f>
        <v>0</v>
      </c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26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33"/>
      <c r="AG16" s="133"/>
      <c r="AH16" s="133"/>
      <c r="AI16" s="133"/>
      <c r="AJ16" s="133"/>
    </row>
    <row r="17" ht="22.5" customHeight="1">
      <c r="A17" s="3"/>
      <c r="B17" s="3"/>
      <c r="C17" s="115">
        <f>'R7.9'!AC17</f>
        <v>0</v>
      </c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26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33"/>
      <c r="AG17" s="133"/>
      <c r="AH17" s="133"/>
      <c r="AI17" s="133"/>
      <c r="AJ17" s="133"/>
    </row>
    <row r="18" ht="22.5" customHeight="1">
      <c r="A18" s="3"/>
      <c r="B18" s="3"/>
      <c r="C18" s="115">
        <f>'R7.9'!AC18</f>
        <v>0</v>
      </c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26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33"/>
      <c r="AG18" s="133"/>
      <c r="AH18" s="133"/>
      <c r="AI18" s="133"/>
      <c r="AJ18" s="133"/>
    </row>
    <row r="19" ht="22.5" customHeight="1">
      <c r="A19" s="3"/>
      <c r="B19" s="3"/>
      <c r="C19" s="115">
        <f>'R7.9'!AC19</f>
        <v>0</v>
      </c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26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33"/>
      <c r="AG19" s="133"/>
      <c r="AH19" s="133"/>
      <c r="AI19" s="133"/>
      <c r="AJ19" s="133"/>
    </row>
    <row r="20" ht="22.5" customHeight="1">
      <c r="A20" s="3"/>
      <c r="B20" s="3"/>
      <c r="C20" s="115">
        <f>'R7.9'!AC20</f>
        <v>0</v>
      </c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26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33"/>
      <c r="AG20" s="133"/>
      <c r="AH20" s="133"/>
      <c r="AI20" s="133"/>
      <c r="AJ20" s="133"/>
    </row>
    <row r="21" ht="22.5" customHeight="1">
      <c r="A21" s="3"/>
      <c r="B21" s="3"/>
      <c r="C21" s="115">
        <f>'R7.9'!AC21</f>
        <v>0</v>
      </c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26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33"/>
      <c r="AG21" s="133"/>
      <c r="AH21" s="133"/>
      <c r="AI21" s="133"/>
      <c r="AJ21" s="133"/>
    </row>
    <row r="22" ht="22.5" hidden="1" customHeight="1">
      <c r="A22" s="3"/>
      <c r="B22" s="3"/>
      <c r="C22" s="115">
        <f>'R7.9'!AC22</f>
        <v>0</v>
      </c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26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33"/>
      <c r="AG22" s="133"/>
      <c r="AH22" s="133"/>
      <c r="AI22" s="133"/>
      <c r="AJ22" s="133"/>
    </row>
    <row r="23" ht="22.5" hidden="1" customHeight="1">
      <c r="A23" s="3"/>
      <c r="B23" s="3"/>
      <c r="C23" s="115">
        <f>'R7.9'!AC23</f>
        <v>0</v>
      </c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26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33"/>
      <c r="AG23" s="133"/>
      <c r="AH23" s="133"/>
      <c r="AI23" s="133"/>
      <c r="AJ23" s="133"/>
    </row>
    <row r="24" ht="22.5" hidden="1" customHeight="1">
      <c r="A24" s="3"/>
      <c r="B24" s="3"/>
      <c r="C24" s="115">
        <f>'R7.9'!AC24</f>
        <v>0</v>
      </c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26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33"/>
      <c r="AG24" s="133"/>
      <c r="AH24" s="133"/>
      <c r="AI24" s="133"/>
      <c r="AJ24" s="133"/>
    </row>
    <row r="25" ht="22.5" hidden="1" customHeight="1">
      <c r="A25" s="3"/>
      <c r="B25" s="3"/>
      <c r="C25" s="115">
        <f>'R7.9'!AC25</f>
        <v>0</v>
      </c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26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33"/>
      <c r="AG25" s="133"/>
      <c r="AH25" s="133"/>
      <c r="AI25" s="133"/>
      <c r="AJ25" s="133"/>
    </row>
    <row r="26" ht="22.5" hidden="1" customHeight="1">
      <c r="A26" s="3"/>
      <c r="B26" s="3"/>
      <c r="C26" s="115">
        <f>'R7.9'!AC26</f>
        <v>0</v>
      </c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26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33"/>
      <c r="AG26" s="133"/>
      <c r="AH26" s="133"/>
      <c r="AI26" s="133"/>
      <c r="AJ26" s="133"/>
    </row>
    <row r="27" ht="22.5" hidden="1" customHeight="1">
      <c r="A27" s="3"/>
      <c r="B27" s="3"/>
      <c r="C27" s="115">
        <f>'R7.9'!AC27</f>
        <v>0</v>
      </c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26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33"/>
      <c r="AG27" s="133"/>
      <c r="AH27" s="133"/>
      <c r="AI27" s="133"/>
      <c r="AJ27" s="133"/>
    </row>
    <row r="28" ht="22.5" hidden="1" customHeight="1">
      <c r="A28" s="3"/>
      <c r="B28" s="3"/>
      <c r="C28" s="115">
        <f>'R7.9'!AC28</f>
        <v>0</v>
      </c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26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33"/>
      <c r="AG28" s="133"/>
      <c r="AH28" s="133"/>
      <c r="AI28" s="133"/>
      <c r="AJ28" s="133"/>
    </row>
    <row r="29" ht="22.5" hidden="1" customHeight="1">
      <c r="A29" s="3"/>
      <c r="B29" s="3"/>
      <c r="C29" s="115">
        <f>'R7.9'!AC29</f>
        <v>0</v>
      </c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26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33"/>
      <c r="AG29" s="133"/>
      <c r="AH29" s="133"/>
      <c r="AI29" s="133"/>
      <c r="AJ29" s="133"/>
    </row>
    <row r="30" ht="22.5" hidden="1" customHeight="1">
      <c r="A30" s="3"/>
      <c r="B30" s="3"/>
      <c r="C30" s="115">
        <f>'R7.9'!AC30</f>
        <v>0</v>
      </c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26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33"/>
      <c r="AG30" s="133"/>
      <c r="AH30" s="133"/>
      <c r="AI30" s="133"/>
      <c r="AJ30" s="133"/>
    </row>
    <row r="31" ht="22.5" hidden="1" customHeight="1">
      <c r="A31" s="3"/>
      <c r="B31" s="3"/>
      <c r="C31" s="115">
        <f>'R7.9'!AC31</f>
        <v>0</v>
      </c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26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33"/>
      <c r="AG31" s="133"/>
      <c r="AH31" s="133"/>
      <c r="AI31" s="133"/>
      <c r="AJ31" s="133"/>
    </row>
    <row r="32" ht="22.5" hidden="1" customHeight="1">
      <c r="A32" s="3"/>
      <c r="B32" s="3"/>
      <c r="C32" s="115">
        <f>'R7.9'!AC32</f>
        <v>0</v>
      </c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26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33"/>
      <c r="AG32" s="133"/>
      <c r="AH32" s="133"/>
      <c r="AI32" s="133"/>
      <c r="AJ32" s="133"/>
    </row>
    <row r="33" ht="22.5" hidden="1" customHeight="1">
      <c r="A33" s="3"/>
      <c r="B33" s="3"/>
      <c r="C33" s="115">
        <f>'R7.9'!AC33</f>
        <v>0</v>
      </c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26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33"/>
      <c r="AG33" s="133"/>
      <c r="AH33" s="133"/>
      <c r="AI33" s="133"/>
      <c r="AJ33" s="133"/>
    </row>
    <row r="34" ht="22.5" hidden="1" customHeight="1">
      <c r="A34" s="3"/>
      <c r="B34" s="3"/>
      <c r="C34" s="115">
        <f>'R7.9'!AC34</f>
        <v>0</v>
      </c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26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33"/>
      <c r="AG34" s="133"/>
      <c r="AH34" s="133"/>
      <c r="AI34" s="133"/>
      <c r="AJ34" s="133"/>
    </row>
    <row r="35" ht="22.5" hidden="1" customHeight="1">
      <c r="A35" s="3"/>
      <c r="B35" s="3"/>
      <c r="C35" s="115">
        <f>'R7.9'!AC35</f>
        <v>0</v>
      </c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26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33"/>
      <c r="AG35" s="133"/>
      <c r="AH35" s="133"/>
      <c r="AI35" s="133"/>
      <c r="AJ35" s="133"/>
    </row>
    <row r="36" ht="22.5" hidden="1" customHeight="1">
      <c r="A36" s="3"/>
      <c r="B36" s="3"/>
      <c r="C36" s="115">
        <f>'R7.9'!AC36</f>
        <v>0</v>
      </c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26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33"/>
      <c r="AG36" s="133"/>
      <c r="AH36" s="133"/>
      <c r="AI36" s="133"/>
      <c r="AJ36" s="133"/>
    </row>
    <row r="37" ht="22.5" hidden="1" customHeight="1">
      <c r="A37" s="3"/>
      <c r="B37" s="3"/>
      <c r="C37" s="115">
        <f>'R7.9'!AC37</f>
        <v>0</v>
      </c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26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33"/>
      <c r="AG37" s="133"/>
      <c r="AH37" s="133"/>
      <c r="AI37" s="133"/>
      <c r="AJ37" s="133"/>
    </row>
    <row r="38" ht="22.5" hidden="1" customHeight="1">
      <c r="A38" s="3"/>
      <c r="B38" s="3"/>
      <c r="C38" s="115">
        <f>'R7.9'!AC38</f>
        <v>0</v>
      </c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26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33"/>
      <c r="AG38" s="133"/>
      <c r="AH38" s="133"/>
      <c r="AI38" s="133"/>
      <c r="AJ38" s="133"/>
    </row>
    <row r="39" ht="22.5" hidden="1" customHeight="1">
      <c r="A39" s="3"/>
      <c r="B39" s="3"/>
      <c r="C39" s="115">
        <f>'R7.9'!AC39</f>
        <v>0</v>
      </c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26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33"/>
      <c r="AG39" s="133"/>
      <c r="AH39" s="133"/>
      <c r="AI39" s="133"/>
      <c r="AJ39" s="133"/>
    </row>
    <row r="40" ht="22.5" hidden="1" customHeight="1">
      <c r="A40" s="3"/>
      <c r="B40" s="3"/>
      <c r="C40" s="115">
        <f>'R7.9'!AC40</f>
        <v>0</v>
      </c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26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33"/>
      <c r="AG40" s="133"/>
      <c r="AH40" s="133"/>
      <c r="AI40" s="133"/>
      <c r="AJ40" s="133"/>
    </row>
    <row r="41" ht="22.5" hidden="1" customHeight="1">
      <c r="A41" s="3"/>
      <c r="B41" s="3"/>
      <c r="C41" s="115">
        <f>'R7.9'!AC41</f>
        <v>0</v>
      </c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26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33"/>
      <c r="AG41" s="133"/>
      <c r="AH41" s="133"/>
      <c r="AI41" s="133"/>
      <c r="AJ41" s="133"/>
    </row>
    <row r="42" ht="22.5" hidden="1" customHeight="1">
      <c r="A42" s="3"/>
      <c r="B42" s="3"/>
      <c r="C42" s="115">
        <f>'R7.9'!AC42</f>
        <v>0</v>
      </c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26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33"/>
      <c r="AG42" s="133"/>
      <c r="AH42" s="133"/>
      <c r="AI42" s="133"/>
      <c r="AJ42" s="133"/>
    </row>
    <row r="43" ht="22.5" hidden="1" customHeight="1">
      <c r="A43" s="3"/>
      <c r="B43" s="3"/>
      <c r="C43" s="115">
        <f>'R7.9'!AC43</f>
        <v>0</v>
      </c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26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33"/>
      <c r="AG43" s="133"/>
      <c r="AH43" s="133"/>
      <c r="AI43" s="133"/>
      <c r="AJ43" s="133"/>
    </row>
    <row r="44" ht="22.5" hidden="1" customHeight="1">
      <c r="A44" s="3"/>
      <c r="B44" s="3"/>
      <c r="C44" s="115">
        <f>'R7.9'!AC44</f>
        <v>0</v>
      </c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26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33"/>
      <c r="AG44" s="133"/>
      <c r="AH44" s="133"/>
      <c r="AI44" s="133"/>
      <c r="AJ44" s="133"/>
    </row>
    <row r="45" ht="22.5" hidden="1" customHeight="1">
      <c r="A45" s="3"/>
      <c r="B45" s="3"/>
      <c r="C45" s="115">
        <f>'R7.9'!AC45</f>
        <v>0</v>
      </c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26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33"/>
      <c r="AG45" s="133"/>
      <c r="AH45" s="133"/>
      <c r="AI45" s="133"/>
      <c r="AJ45" s="133"/>
    </row>
    <row r="46" ht="22.5" hidden="1" customHeight="1">
      <c r="A46" s="3"/>
      <c r="B46" s="3"/>
      <c r="C46" s="115">
        <f>'R7.9'!AC46</f>
        <v>0</v>
      </c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26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33"/>
      <c r="AG46" s="133"/>
      <c r="AH46" s="133"/>
      <c r="AI46" s="133"/>
      <c r="AJ46" s="133"/>
    </row>
    <row r="47" ht="22.5" hidden="1" customHeight="1">
      <c r="A47" s="3"/>
      <c r="B47" s="3"/>
      <c r="C47" s="115">
        <f>'R7.9'!AC47</f>
        <v>0</v>
      </c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26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33"/>
      <c r="AG47" s="133"/>
      <c r="AH47" s="133"/>
      <c r="AI47" s="133"/>
      <c r="AJ47" s="133"/>
    </row>
    <row r="48" ht="22.5" hidden="1" customHeight="1">
      <c r="A48" s="3"/>
      <c r="B48" s="3"/>
      <c r="C48" s="115">
        <f>'R7.9'!AC48</f>
        <v>0</v>
      </c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26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33"/>
      <c r="AG48" s="133"/>
      <c r="AH48" s="133"/>
      <c r="AI48" s="133"/>
      <c r="AJ48" s="133"/>
    </row>
    <row r="49" ht="22.5" hidden="1" customHeight="1">
      <c r="A49" s="3"/>
      <c r="B49" s="3"/>
      <c r="C49" s="115">
        <f>'R7.9'!AC49</f>
        <v>0</v>
      </c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26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33"/>
      <c r="AG49" s="133"/>
      <c r="AH49" s="133"/>
      <c r="AI49" s="133"/>
      <c r="AJ49" s="133"/>
    </row>
    <row r="50" ht="22.5" hidden="1" customHeight="1">
      <c r="A50" s="3"/>
      <c r="B50" s="3"/>
      <c r="C50" s="115">
        <f>'R7.9'!AC50</f>
        <v>0</v>
      </c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26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33"/>
      <c r="AG50" s="133"/>
      <c r="AH50" s="133"/>
      <c r="AI50" s="133"/>
      <c r="AJ50" s="133"/>
    </row>
    <row r="51" ht="22.5" hidden="1" customHeight="1">
      <c r="A51" s="3"/>
      <c r="B51" s="3"/>
      <c r="C51" s="115">
        <f>'R7.9'!AC51</f>
        <v>0</v>
      </c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26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33"/>
      <c r="AG51" s="133"/>
      <c r="AH51" s="133"/>
      <c r="AI51" s="133"/>
      <c r="AJ51" s="133"/>
    </row>
    <row r="52" ht="22.5" hidden="1" customHeight="1">
      <c r="A52" s="3"/>
      <c r="B52" s="3"/>
      <c r="C52" s="115">
        <f>'R7.9'!AC52</f>
        <v>0</v>
      </c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26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33"/>
      <c r="AG52" s="133"/>
      <c r="AH52" s="133"/>
      <c r="AI52" s="133"/>
      <c r="AJ52" s="133"/>
    </row>
    <row r="53" ht="22.5" hidden="1" customHeight="1">
      <c r="A53" s="3"/>
      <c r="B53" s="3"/>
      <c r="C53" s="115">
        <f>'R7.9'!AC53</f>
        <v>0</v>
      </c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26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33"/>
      <c r="AG53" s="133"/>
      <c r="AH53" s="133"/>
      <c r="AI53" s="133"/>
      <c r="AJ53" s="133"/>
    </row>
    <row r="54" ht="22.5" hidden="1" customHeight="1">
      <c r="A54" s="3"/>
      <c r="B54" s="3"/>
      <c r="C54" s="115">
        <f>'R7.9'!AC54</f>
        <v>0</v>
      </c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26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33"/>
      <c r="AG54" s="133"/>
      <c r="AH54" s="133"/>
      <c r="AI54" s="133"/>
      <c r="AJ54" s="133"/>
    </row>
    <row r="55" ht="22.5" hidden="1" customHeight="1">
      <c r="A55" s="3"/>
      <c r="B55" s="3"/>
      <c r="C55" s="115">
        <f>'R7.9'!AC55</f>
        <v>0</v>
      </c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26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33"/>
      <c r="AG55" s="133"/>
      <c r="AH55" s="133"/>
      <c r="AI55" s="133"/>
      <c r="AJ55" s="133"/>
    </row>
    <row r="56" ht="22.5" hidden="1" customHeight="1">
      <c r="A56" s="3"/>
      <c r="B56" s="3"/>
      <c r="C56" s="115">
        <f>'R7.9'!AC56</f>
        <v>0</v>
      </c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26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33"/>
      <c r="AG56" s="133"/>
      <c r="AH56" s="133"/>
      <c r="AI56" s="133"/>
      <c r="AJ56" s="133"/>
    </row>
    <row r="57" ht="22.5" hidden="1" customHeight="1">
      <c r="A57" s="3"/>
      <c r="B57" s="3"/>
      <c r="C57" s="115">
        <f>'R7.9'!AC57</f>
        <v>0</v>
      </c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26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33"/>
      <c r="AG57" s="133"/>
      <c r="AH57" s="133"/>
      <c r="AI57" s="133"/>
      <c r="AJ57" s="133"/>
    </row>
    <row r="58" ht="22.5" hidden="1" customHeight="1">
      <c r="A58" s="3"/>
      <c r="B58" s="3"/>
      <c r="C58" s="115">
        <f>'R7.9'!AC58</f>
        <v>0</v>
      </c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26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33"/>
      <c r="AG58" s="133"/>
      <c r="AH58" s="133"/>
      <c r="AI58" s="133"/>
      <c r="AJ58" s="133"/>
    </row>
    <row r="59" ht="22.5" hidden="1" customHeight="1">
      <c r="A59" s="3"/>
      <c r="B59" s="3"/>
      <c r="C59" s="115">
        <f>'R7.9'!AC59</f>
        <v>0</v>
      </c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26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33"/>
      <c r="AG59" s="133"/>
      <c r="AH59" s="133"/>
      <c r="AI59" s="133"/>
      <c r="AJ59" s="133"/>
    </row>
    <row r="60" ht="22.5" hidden="1" customHeight="1">
      <c r="A60" s="3"/>
      <c r="B60" s="3"/>
      <c r="C60" s="115">
        <f>'R7.9'!AC60</f>
        <v>0</v>
      </c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26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33"/>
      <c r="AG60" s="133"/>
      <c r="AH60" s="133"/>
      <c r="AI60" s="133"/>
      <c r="AJ60" s="133"/>
    </row>
    <row r="61" ht="22.5" hidden="1" customHeight="1">
      <c r="A61" s="3"/>
      <c r="B61" s="3"/>
      <c r="C61" s="115">
        <f>'R7.9'!AC61</f>
        <v>0</v>
      </c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26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33"/>
      <c r="AG61" s="133"/>
      <c r="AH61" s="133"/>
      <c r="AI61" s="133"/>
      <c r="AJ61" s="133"/>
    </row>
    <row r="62" ht="22.5" hidden="1" customHeight="1">
      <c r="A62" s="3"/>
      <c r="B62" s="3"/>
      <c r="C62" s="115">
        <f>'R7.9'!AC62</f>
        <v>0</v>
      </c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26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33"/>
      <c r="AG62" s="133"/>
      <c r="AH62" s="133"/>
      <c r="AI62" s="133"/>
      <c r="AJ62" s="133"/>
    </row>
    <row r="63" ht="22.5" hidden="1" customHeight="1">
      <c r="A63" s="3"/>
      <c r="B63" s="3"/>
      <c r="C63" s="115">
        <f>'R7.9'!AC63</f>
        <v>0</v>
      </c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26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33"/>
      <c r="AG63" s="133"/>
      <c r="AH63" s="133"/>
      <c r="AI63" s="133"/>
      <c r="AJ63" s="133"/>
    </row>
    <row r="64" ht="22.5" hidden="1" customHeight="1">
      <c r="A64" s="3"/>
      <c r="B64" s="3"/>
      <c r="C64" s="115">
        <f>'R7.9'!AC64</f>
        <v>0</v>
      </c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26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33"/>
      <c r="AG64" s="133"/>
      <c r="AH64" s="133"/>
      <c r="AI64" s="133"/>
      <c r="AJ64" s="133"/>
    </row>
    <row r="65" ht="22.5" hidden="1" customHeight="1">
      <c r="A65" s="3"/>
      <c r="B65" s="3"/>
      <c r="C65" s="115">
        <f>'R7.9'!AC65</f>
        <v>0</v>
      </c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26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33"/>
      <c r="AG65" s="133"/>
      <c r="AH65" s="133"/>
      <c r="AI65" s="133"/>
      <c r="AJ65" s="133"/>
    </row>
    <row r="66" ht="22.5" hidden="1" customHeight="1">
      <c r="A66" s="3"/>
      <c r="B66" s="3"/>
      <c r="C66" s="115">
        <f>'R7.9'!AC66</f>
        <v>0</v>
      </c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26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33"/>
      <c r="AG66" s="133"/>
      <c r="AH66" s="133"/>
      <c r="AI66" s="133"/>
      <c r="AJ66" s="133"/>
    </row>
    <row r="67" ht="22.5" hidden="1" customHeight="1">
      <c r="A67" s="3"/>
      <c r="B67" s="3"/>
      <c r="C67" s="115">
        <f>'R7.9'!AC67</f>
        <v>0</v>
      </c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26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33"/>
      <c r="AG67" s="133"/>
      <c r="AH67" s="133"/>
      <c r="AI67" s="133"/>
      <c r="AJ67" s="133"/>
    </row>
    <row r="68" ht="22.5" hidden="1" customHeight="1">
      <c r="A68" s="3"/>
      <c r="B68" s="3"/>
      <c r="C68" s="115">
        <f>'R7.9'!AC68</f>
        <v>0</v>
      </c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26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33"/>
      <c r="AG68" s="133"/>
      <c r="AH68" s="133"/>
      <c r="AI68" s="133"/>
      <c r="AJ68" s="133"/>
    </row>
    <row r="69" ht="22.5" hidden="1" customHeight="1">
      <c r="A69" s="3"/>
      <c r="B69" s="3"/>
      <c r="C69" s="115">
        <f>'R7.9'!AC69</f>
        <v>0</v>
      </c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26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33"/>
      <c r="AG69" s="133"/>
      <c r="AH69" s="133"/>
      <c r="AI69" s="133"/>
      <c r="AJ69" s="133"/>
    </row>
    <row r="70" ht="22.5" hidden="1" customHeight="1">
      <c r="A70" s="3"/>
      <c r="B70" s="3"/>
      <c r="C70" s="115">
        <f>'R7.9'!AC70</f>
        <v>0</v>
      </c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26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33"/>
      <c r="AG70" s="133"/>
      <c r="AH70" s="133"/>
      <c r="AI70" s="133"/>
      <c r="AJ70" s="133"/>
    </row>
    <row r="71" ht="22.5" hidden="1" customHeight="1">
      <c r="A71" s="3"/>
      <c r="B71" s="3"/>
      <c r="C71" s="115">
        <f>'R7.9'!AC71</f>
        <v>0</v>
      </c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26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33"/>
      <c r="AG71" s="133"/>
      <c r="AH71" s="133"/>
      <c r="AI71" s="133"/>
      <c r="AJ71" s="133"/>
    </row>
    <row r="72" ht="22.5" hidden="1" customHeight="1">
      <c r="A72" s="3"/>
      <c r="B72" s="3"/>
      <c r="C72" s="115">
        <f>'R7.9'!AC72</f>
        <v>0</v>
      </c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26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33"/>
      <c r="AG72" s="133"/>
      <c r="AH72" s="133"/>
      <c r="AI72" s="133"/>
      <c r="AJ72" s="133"/>
    </row>
    <row r="73" ht="22.5" hidden="1" customHeight="1">
      <c r="A73" s="3"/>
      <c r="B73" s="3"/>
      <c r="C73" s="115">
        <f>'R7.9'!AC73</f>
        <v>0</v>
      </c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26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33"/>
      <c r="AG73" s="133"/>
      <c r="AH73" s="133"/>
      <c r="AI73" s="133"/>
      <c r="AJ73" s="133"/>
    </row>
    <row r="74" ht="22.5" hidden="1" customHeight="1">
      <c r="A74" s="3"/>
      <c r="B74" s="3"/>
      <c r="C74" s="115">
        <f>'R7.9'!AC74</f>
        <v>0</v>
      </c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26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33"/>
      <c r="AG74" s="133"/>
      <c r="AH74" s="133"/>
      <c r="AI74" s="133"/>
      <c r="AJ74" s="133"/>
    </row>
    <row r="75" ht="22.5" hidden="1" customHeight="1">
      <c r="A75" s="3"/>
      <c r="B75" s="3"/>
      <c r="C75" s="115">
        <f>'R7.9'!AC75</f>
        <v>0</v>
      </c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26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33"/>
      <c r="AG75" s="133"/>
      <c r="AH75" s="133"/>
      <c r="AI75" s="133"/>
      <c r="AJ75" s="133"/>
    </row>
    <row r="76" ht="22.5" hidden="1" customHeight="1">
      <c r="A76" s="3"/>
      <c r="B76" s="3"/>
      <c r="C76" s="115">
        <f>'R7.9'!AC76</f>
        <v>0</v>
      </c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26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33"/>
      <c r="AG76" s="133"/>
      <c r="AH76" s="133"/>
      <c r="AI76" s="133"/>
      <c r="AJ76" s="133"/>
    </row>
    <row r="77" ht="22.5" hidden="1" customHeight="1">
      <c r="A77" s="3"/>
      <c r="B77" s="3"/>
      <c r="C77" s="115">
        <f>'R7.9'!AC77</f>
        <v>0</v>
      </c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26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33"/>
      <c r="AG77" s="133"/>
      <c r="AH77" s="133"/>
      <c r="AI77" s="133"/>
      <c r="AJ77" s="133"/>
    </row>
    <row r="78" ht="22.5" hidden="1" customHeight="1">
      <c r="A78" s="3"/>
      <c r="B78" s="3"/>
      <c r="C78" s="115">
        <f>'R7.9'!AC78</f>
        <v>0</v>
      </c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26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33"/>
      <c r="AG78" s="133"/>
      <c r="AH78" s="133"/>
      <c r="AI78" s="133"/>
      <c r="AJ78" s="133"/>
    </row>
    <row r="79" ht="22.5" hidden="1" customHeight="1">
      <c r="A79" s="3"/>
      <c r="B79" s="3"/>
      <c r="C79" s="115">
        <f>'R7.9'!AC79</f>
        <v>0</v>
      </c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26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33"/>
      <c r="AG79" s="133"/>
      <c r="AH79" s="133"/>
      <c r="AI79" s="133"/>
      <c r="AJ79" s="133"/>
    </row>
    <row r="80" ht="22.5" hidden="1" customHeight="1">
      <c r="A80" s="3"/>
      <c r="B80" s="3"/>
      <c r="C80" s="115">
        <f>'R7.9'!AC80</f>
        <v>0</v>
      </c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26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33"/>
      <c r="AG80" s="133"/>
      <c r="AH80" s="133"/>
      <c r="AI80" s="133"/>
      <c r="AJ80" s="133"/>
    </row>
    <row r="81" ht="22.5" hidden="1" customHeight="1">
      <c r="A81" s="3"/>
      <c r="B81" s="3"/>
      <c r="C81" s="115">
        <f>'R7.9'!AC81</f>
        <v>0</v>
      </c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26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33"/>
      <c r="AG81" s="133"/>
      <c r="AH81" s="133"/>
      <c r="AI81" s="133"/>
      <c r="AJ81" s="133"/>
    </row>
    <row r="82" ht="22.5" hidden="1" customHeight="1">
      <c r="A82" s="3"/>
      <c r="B82" s="3"/>
      <c r="C82" s="115">
        <f>'R7.9'!AC82</f>
        <v>0</v>
      </c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26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33"/>
      <c r="AG82" s="133"/>
      <c r="AH82" s="133"/>
      <c r="AI82" s="133"/>
      <c r="AJ82" s="133"/>
    </row>
    <row r="83" ht="22.5" hidden="1" customHeight="1">
      <c r="A83" s="3"/>
      <c r="B83" s="3"/>
      <c r="C83" s="115">
        <f>'R7.9'!AC83</f>
        <v>0</v>
      </c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26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33"/>
      <c r="AG83" s="133"/>
      <c r="AH83" s="133"/>
      <c r="AI83" s="133"/>
      <c r="AJ83" s="133"/>
    </row>
    <row r="84" ht="22.5" hidden="1" customHeight="1">
      <c r="A84" s="3"/>
      <c r="B84" s="3"/>
      <c r="C84" s="115">
        <f>'R7.9'!AC84</f>
        <v>0</v>
      </c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26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33"/>
      <c r="AG84" s="133"/>
      <c r="AH84" s="133"/>
      <c r="AI84" s="133"/>
      <c r="AJ84" s="133"/>
    </row>
    <row r="85" ht="22.5" hidden="1" customHeight="1">
      <c r="A85" s="3"/>
      <c r="B85" s="3"/>
      <c r="C85" s="115">
        <f>'R7.9'!AC85</f>
        <v>0</v>
      </c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26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33"/>
      <c r="AG85" s="133"/>
      <c r="AH85" s="133"/>
      <c r="AI85" s="133"/>
      <c r="AJ85" s="133"/>
    </row>
    <row r="86" ht="22.5" hidden="1" customHeight="1">
      <c r="A86" s="3"/>
      <c r="B86" s="3"/>
      <c r="C86" s="115">
        <f>'R7.9'!AC86</f>
        <v>0</v>
      </c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26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33"/>
      <c r="AG86" s="133"/>
      <c r="AH86" s="133"/>
      <c r="AI86" s="133"/>
      <c r="AJ86" s="133"/>
    </row>
    <row r="87" ht="22.5" hidden="1" customHeight="1">
      <c r="A87" s="3"/>
      <c r="B87" s="3"/>
      <c r="C87" s="115">
        <f>'R7.9'!AC87</f>
        <v>0</v>
      </c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26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33"/>
      <c r="AG87" s="133"/>
      <c r="AH87" s="133"/>
      <c r="AI87" s="133"/>
      <c r="AJ87" s="133"/>
    </row>
    <row r="88" ht="22.5" hidden="1" customHeight="1">
      <c r="A88" s="3"/>
      <c r="B88" s="3"/>
      <c r="C88" s="115">
        <f>'R7.9'!AC88</f>
        <v>0</v>
      </c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26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33"/>
      <c r="AG88" s="133"/>
      <c r="AH88" s="133"/>
      <c r="AI88" s="133"/>
      <c r="AJ88" s="133"/>
    </row>
    <row r="89" ht="22.5" hidden="1" customHeight="1">
      <c r="A89" s="3"/>
      <c r="B89" s="3"/>
      <c r="C89" s="115">
        <f>'R7.9'!AC89</f>
        <v>0</v>
      </c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26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33"/>
      <c r="AG89" s="133"/>
      <c r="AH89" s="133"/>
      <c r="AI89" s="133"/>
      <c r="AJ89" s="133"/>
    </row>
    <row r="90" ht="22.5" hidden="1" customHeight="1">
      <c r="A90" s="3"/>
      <c r="B90" s="3"/>
      <c r="C90" s="115">
        <f>'R7.9'!AC90</f>
        <v>0</v>
      </c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26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33"/>
      <c r="AG90" s="133"/>
      <c r="AH90" s="133"/>
      <c r="AI90" s="133"/>
      <c r="AJ90" s="133"/>
    </row>
    <row r="91" ht="22.5" hidden="1" customHeight="1">
      <c r="A91" s="3"/>
      <c r="B91" s="3"/>
      <c r="C91" s="115">
        <f>'R7.9'!AC91</f>
        <v>0</v>
      </c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26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33"/>
      <c r="AG91" s="133"/>
      <c r="AH91" s="133"/>
      <c r="AI91" s="133"/>
      <c r="AJ91" s="133"/>
    </row>
    <row r="92" ht="22.5" hidden="1" customHeight="1">
      <c r="A92" s="3"/>
      <c r="B92" s="3"/>
      <c r="C92" s="115">
        <f>'R7.9'!AC92</f>
        <v>0</v>
      </c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26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33"/>
      <c r="AG92" s="133"/>
      <c r="AH92" s="133"/>
      <c r="AI92" s="133"/>
      <c r="AJ92" s="133"/>
    </row>
    <row r="93" ht="22.5" hidden="1" customHeight="1">
      <c r="A93" s="3"/>
      <c r="B93" s="3"/>
      <c r="C93" s="115">
        <f>'R7.9'!AC93</f>
        <v>0</v>
      </c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26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33"/>
      <c r="AG93" s="133"/>
      <c r="AH93" s="133"/>
      <c r="AI93" s="133"/>
      <c r="AJ93" s="133"/>
    </row>
    <row r="94" ht="22.5" hidden="1" customHeight="1">
      <c r="A94" s="3"/>
      <c r="B94" s="3"/>
      <c r="C94" s="115">
        <f>'R7.9'!AC94</f>
        <v>0</v>
      </c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26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33"/>
      <c r="AG94" s="133"/>
      <c r="AH94" s="133"/>
      <c r="AI94" s="133"/>
      <c r="AJ94" s="133"/>
    </row>
    <row r="95" ht="22.5" hidden="1" customHeight="1">
      <c r="A95" s="3"/>
      <c r="B95" s="3"/>
      <c r="C95" s="115">
        <f>'R7.9'!AC95</f>
        <v>0</v>
      </c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26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33"/>
      <c r="AG95" s="133"/>
      <c r="AH95" s="133"/>
      <c r="AI95" s="133"/>
      <c r="AJ95" s="133"/>
    </row>
    <row r="96" ht="22.5" hidden="1" customHeight="1">
      <c r="A96" s="3"/>
      <c r="B96" s="3"/>
      <c r="C96" s="115">
        <f>'R7.9'!AC96</f>
        <v>0</v>
      </c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26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33"/>
      <c r="AG96" s="133"/>
      <c r="AH96" s="133"/>
      <c r="AI96" s="133"/>
      <c r="AJ96" s="133"/>
    </row>
    <row r="97" ht="22.5" hidden="1" customHeight="1">
      <c r="A97" s="3"/>
      <c r="B97" s="3"/>
      <c r="C97" s="115">
        <f>'R7.9'!AC97</f>
        <v>0</v>
      </c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26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33"/>
      <c r="AG97" s="133"/>
      <c r="AH97" s="133"/>
      <c r="AI97" s="133"/>
      <c r="AJ97" s="133"/>
    </row>
    <row r="98" ht="22.5" hidden="1" customHeight="1">
      <c r="A98" s="3"/>
      <c r="B98" s="3"/>
      <c r="C98" s="115">
        <f>'R7.9'!AC98</f>
        <v>0</v>
      </c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26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33"/>
      <c r="AG98" s="133"/>
      <c r="AH98" s="133"/>
      <c r="AI98" s="133"/>
      <c r="AJ98" s="133"/>
    </row>
    <row r="99" ht="22.5" hidden="1" customHeight="1">
      <c r="A99" s="3"/>
      <c r="B99" s="3"/>
      <c r="C99" s="115">
        <f>'R7.9'!AC99</f>
        <v>0</v>
      </c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26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33"/>
      <c r="AG99" s="133"/>
      <c r="AH99" s="133"/>
      <c r="AI99" s="133"/>
      <c r="AJ99" s="133"/>
    </row>
    <row r="100" ht="22.5" hidden="1" customHeight="1">
      <c r="A100" s="3"/>
      <c r="B100" s="3"/>
      <c r="C100" s="115">
        <f>'R7.9'!AC100</f>
        <v>0</v>
      </c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26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33"/>
      <c r="AG100" s="133"/>
      <c r="AH100" s="133"/>
      <c r="AI100" s="133"/>
      <c r="AJ100" s="133"/>
    </row>
    <row r="101" ht="22.5" hidden="1" customHeight="1">
      <c r="A101" s="3"/>
      <c r="B101" s="3"/>
      <c r="C101" s="115">
        <f>'R7.9'!AC101</f>
        <v>0</v>
      </c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26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33"/>
      <c r="AG101" s="133"/>
      <c r="AH101" s="133"/>
      <c r="AI101" s="133"/>
      <c r="AJ101" s="133"/>
    </row>
    <row r="102" ht="22.5" hidden="1" customHeight="1">
      <c r="A102" s="3"/>
      <c r="B102" s="3"/>
      <c r="C102" s="115">
        <f>'R7.9'!AC102</f>
        <v>0</v>
      </c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26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33"/>
      <c r="AG102" s="133"/>
      <c r="AH102" s="133"/>
      <c r="AI102" s="133"/>
      <c r="AJ102" s="133"/>
    </row>
    <row r="103" ht="22.5" hidden="1" customHeight="1">
      <c r="A103" s="3"/>
      <c r="B103" s="3"/>
      <c r="C103" s="115">
        <f>'R7.9'!AC103</f>
        <v>0</v>
      </c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26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33"/>
      <c r="AG103" s="133"/>
      <c r="AH103" s="133"/>
      <c r="AI103" s="133"/>
      <c r="AJ103" s="133"/>
    </row>
    <row r="104" ht="22.5" hidden="1" customHeight="1">
      <c r="A104" s="3"/>
      <c r="B104" s="3"/>
      <c r="C104" s="115">
        <f>'R7.9'!AC104</f>
        <v>0</v>
      </c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26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33"/>
      <c r="AG104" s="133"/>
      <c r="AH104" s="133"/>
      <c r="AI104" s="133"/>
      <c r="AJ104" s="133"/>
    </row>
    <row r="105" ht="22.5" hidden="1" customHeight="1">
      <c r="A105" s="3"/>
      <c r="B105" s="3"/>
      <c r="C105" s="115">
        <f>'R7.9'!AC105</f>
        <v>0</v>
      </c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26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33"/>
      <c r="AG105" s="133"/>
      <c r="AH105" s="133"/>
      <c r="AI105" s="133"/>
      <c r="AJ105" s="133"/>
    </row>
    <row r="106" ht="22.5" hidden="1" customHeight="1">
      <c r="A106" s="3"/>
      <c r="B106" s="3"/>
      <c r="C106" s="115">
        <f>'R7.9'!AC106</f>
        <v>0</v>
      </c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26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33"/>
      <c r="AG106" s="133"/>
      <c r="AH106" s="133"/>
      <c r="AI106" s="133"/>
      <c r="AJ106" s="133"/>
    </row>
    <row r="107" ht="22.5" hidden="1" customHeight="1">
      <c r="A107" s="3"/>
      <c r="B107" s="3"/>
      <c r="C107" s="115">
        <f>'R7.9'!AC107</f>
        <v>0</v>
      </c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26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33"/>
      <c r="AG107" s="133"/>
      <c r="AH107" s="133"/>
      <c r="AI107" s="133"/>
      <c r="AJ107" s="133"/>
    </row>
    <row r="108" ht="22.5" hidden="1" customHeight="1">
      <c r="A108" s="3"/>
      <c r="B108" s="3"/>
      <c r="C108" s="115">
        <f>'R7.9'!AC108</f>
        <v>0</v>
      </c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26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33"/>
      <c r="AG108" s="133"/>
      <c r="AH108" s="133"/>
      <c r="AI108" s="133"/>
      <c r="AJ108" s="133"/>
    </row>
    <row r="109" ht="22.5" customHeight="1">
      <c r="A109" s="3"/>
      <c r="B109" s="3"/>
      <c r="C109" s="115">
        <f>'R7.9'!AC109</f>
        <v>0</v>
      </c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26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3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34" t="str">
        <f>'R7.9'!AC110</f>
        <v/>
      </c>
      <c r="D110" s="120">
        <f t="shared" ref="D110:V110" si="5">SUM(D3:D109)</f>
        <v>280000</v>
      </c>
      <c r="E110" s="120">
        <f t="shared" si="5"/>
        <v>35000</v>
      </c>
      <c r="F110" s="120">
        <f t="shared" si="5"/>
        <v>35000</v>
      </c>
      <c r="G110" s="120">
        <f t="shared" si="5"/>
        <v>14000</v>
      </c>
      <c r="H110" s="120">
        <f t="shared" si="5"/>
        <v>70000</v>
      </c>
      <c r="I110" s="120">
        <f t="shared" si="5"/>
        <v>125290</v>
      </c>
      <c r="J110" s="135">
        <f t="shared" si="5"/>
        <v>-44275</v>
      </c>
      <c r="K110" s="120">
        <f t="shared" si="5"/>
        <v>0</v>
      </c>
      <c r="L110" s="120">
        <f t="shared" si="5"/>
        <v>11315</v>
      </c>
      <c r="M110" s="120">
        <f t="shared" si="5"/>
        <v>10000</v>
      </c>
      <c r="N110" s="120">
        <f t="shared" si="5"/>
        <v>0</v>
      </c>
      <c r="O110" s="120">
        <f t="shared" si="5"/>
        <v>12099</v>
      </c>
      <c r="P110" s="120">
        <f t="shared" si="5"/>
        <v>0</v>
      </c>
      <c r="Q110" s="120">
        <f t="shared" si="5"/>
        <v>2876</v>
      </c>
      <c r="R110" s="120">
        <f t="shared" si="5"/>
        <v>0</v>
      </c>
      <c r="S110" s="120">
        <f t="shared" si="5"/>
        <v>0</v>
      </c>
      <c r="T110" s="120">
        <f t="shared" si="5"/>
        <v>0</v>
      </c>
      <c r="U110" s="120">
        <f t="shared" si="5"/>
        <v>0</v>
      </c>
      <c r="V110" s="120">
        <f t="shared" si="5"/>
        <v>-430000</v>
      </c>
      <c r="W110" s="122">
        <f t="shared" si="4"/>
        <v>121305</v>
      </c>
      <c r="X110" s="120">
        <f t="shared" ref="X110:Y110" si="6">SUM(X3:X109)</f>
        <v>26207</v>
      </c>
      <c r="Y110" s="120">
        <f t="shared" si="6"/>
        <v>2500</v>
      </c>
      <c r="Z110" s="120">
        <f t="shared" si="2"/>
        <v>150012</v>
      </c>
      <c r="AA110" s="124"/>
      <c r="AC110" s="136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ht="15.75" customHeight="1">
      <c r="A113" s="114"/>
      <c r="B113" s="114"/>
      <c r="C113" s="124" t="s">
        <v>131</v>
      </c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 t="s">
        <v>131</v>
      </c>
      <c r="W113" s="124"/>
      <c r="X113" s="124"/>
      <c r="Y113" s="124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S115" s="124"/>
      <c r="T115" s="124"/>
      <c r="U115" s="124"/>
      <c r="V115" s="124"/>
      <c r="W115" s="124"/>
      <c r="X115" s="124"/>
      <c r="Y115" s="124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>
      <c r="A228" s="114"/>
      <c r="B228" s="114"/>
    </row>
    <row r="229" ht="15.75" customHeight="1">
      <c r="A229" s="114"/>
      <c r="B229" s="114"/>
    </row>
    <row r="230" ht="15.75" customHeight="1">
      <c r="A230" s="114"/>
      <c r="B230" s="114"/>
    </row>
    <row r="231" ht="15.75" customHeight="1">
      <c r="A231" s="114"/>
      <c r="B231" s="114"/>
    </row>
    <row r="232" ht="15.75" customHeight="1">
      <c r="A232" s="114"/>
      <c r="B232" s="114"/>
    </row>
    <row r="233" ht="15.75" customHeight="1">
      <c r="A233" s="114"/>
      <c r="B233" s="114"/>
    </row>
    <row r="234" ht="15.75" customHeight="1">
      <c r="A234" s="114"/>
      <c r="B234" s="114"/>
    </row>
    <row r="235" ht="15.75" customHeight="1">
      <c r="A235" s="114"/>
      <c r="B235" s="114"/>
    </row>
    <row r="236" ht="15.75" customHeight="1">
      <c r="A236" s="114"/>
      <c r="B236" s="114"/>
    </row>
    <row r="237" ht="15.75" customHeight="1">
      <c r="A237" s="114"/>
      <c r="B237" s="114"/>
    </row>
    <row r="238" ht="15.75" customHeight="1">
      <c r="A238" s="114"/>
      <c r="B238" s="114"/>
    </row>
    <row r="239" ht="15.75" customHeight="1">
      <c r="A239" s="114"/>
      <c r="B239" s="114"/>
    </row>
    <row r="240" ht="15.75" customHeight="1">
      <c r="A240" s="114"/>
      <c r="B240" s="114"/>
    </row>
    <row r="241" ht="15.75" customHeight="1">
      <c r="A241" s="114"/>
      <c r="B241" s="114"/>
    </row>
    <row r="242" ht="15.75" customHeight="1">
      <c r="A242" s="114"/>
      <c r="B242" s="114"/>
    </row>
    <row r="243" ht="15.75" customHeight="1">
      <c r="A243" s="114"/>
      <c r="B243" s="114"/>
    </row>
    <row r="244" ht="15.75" customHeight="1">
      <c r="A244" s="114"/>
      <c r="B244" s="114"/>
    </row>
    <row r="245" ht="15.75" customHeight="1">
      <c r="A245" s="114"/>
      <c r="B245" s="114"/>
    </row>
    <row r="246" ht="15.75" customHeight="1">
      <c r="A246" s="114"/>
      <c r="B246" s="114"/>
    </row>
    <row r="247" ht="15.75" customHeight="1">
      <c r="A247" s="114"/>
      <c r="B247" s="114"/>
    </row>
    <row r="248" ht="15.75" customHeight="1">
      <c r="A248" s="114"/>
      <c r="B248" s="114"/>
    </row>
    <row r="249" ht="15.75" customHeight="1">
      <c r="A249" s="114"/>
      <c r="B249" s="114"/>
    </row>
    <row r="250" ht="15.75" customHeight="1">
      <c r="A250" s="114"/>
      <c r="B250" s="114"/>
    </row>
    <row r="251" ht="15.75" customHeight="1">
      <c r="A251" s="114"/>
      <c r="B251" s="114"/>
    </row>
    <row r="252" ht="15.75" customHeight="1">
      <c r="A252" s="114"/>
      <c r="B252" s="114"/>
    </row>
    <row r="253" ht="15.75" customHeight="1">
      <c r="A253" s="114"/>
      <c r="B253" s="114"/>
    </row>
    <row r="254" ht="15.75" customHeight="1">
      <c r="A254" s="114"/>
      <c r="B254" s="114"/>
    </row>
    <row r="255" ht="15.75" customHeight="1">
      <c r="A255" s="114"/>
      <c r="B255" s="114"/>
    </row>
    <row r="256" ht="15.75" customHeight="1">
      <c r="A256" s="114"/>
      <c r="B256" s="114"/>
    </row>
    <row r="257" ht="15.75" customHeight="1">
      <c r="A257" s="114"/>
      <c r="B257" s="114"/>
    </row>
    <row r="258" ht="15.75" customHeight="1">
      <c r="A258" s="114"/>
      <c r="B258" s="114"/>
    </row>
    <row r="259" ht="15.75" customHeight="1">
      <c r="A259" s="114"/>
      <c r="B259" s="114"/>
    </row>
    <row r="260" ht="15.75" customHeight="1">
      <c r="A260" s="114"/>
      <c r="B260" s="114"/>
    </row>
    <row r="261" ht="15.75" customHeight="1">
      <c r="A261" s="114"/>
      <c r="B261" s="114"/>
    </row>
    <row r="262" ht="15.75" customHeight="1">
      <c r="A262" s="114"/>
      <c r="B262" s="114"/>
    </row>
    <row r="263" ht="15.75" customHeight="1">
      <c r="A263" s="114"/>
      <c r="B263" s="114"/>
    </row>
    <row r="264" ht="15.75" customHeight="1">
      <c r="A264" s="114"/>
      <c r="B264" s="114"/>
    </row>
    <row r="265" ht="15.75" customHeight="1">
      <c r="A265" s="114"/>
      <c r="B265" s="114"/>
    </row>
    <row r="266" ht="15.75" customHeight="1">
      <c r="A266" s="114"/>
      <c r="B266" s="114"/>
    </row>
    <row r="267" ht="15.75" customHeight="1">
      <c r="A267" s="114"/>
      <c r="B267" s="114"/>
    </row>
    <row r="268" ht="15.75" customHeight="1">
      <c r="A268" s="114"/>
      <c r="B268" s="114"/>
    </row>
    <row r="269" ht="15.75" customHeight="1">
      <c r="A269" s="114"/>
      <c r="B269" s="114"/>
    </row>
    <row r="270" ht="15.75" customHeight="1">
      <c r="A270" s="114"/>
      <c r="B270" s="114"/>
    </row>
    <row r="271" ht="15.75" customHeight="1">
      <c r="A271" s="114"/>
      <c r="B271" s="114"/>
    </row>
    <row r="272" ht="15.75" customHeight="1">
      <c r="A272" s="114"/>
      <c r="B272" s="114"/>
    </row>
    <row r="273" ht="15.75" customHeight="1">
      <c r="A273" s="114"/>
      <c r="B273" s="114"/>
    </row>
    <row r="274" ht="15.75" customHeight="1">
      <c r="A274" s="114"/>
      <c r="B274" s="114"/>
    </row>
    <row r="275" ht="15.75" customHeight="1">
      <c r="A275" s="114"/>
      <c r="B275" s="114"/>
    </row>
    <row r="276" ht="15.75" customHeight="1">
      <c r="A276" s="114"/>
      <c r="B276" s="114"/>
    </row>
    <row r="277" ht="15.75" customHeight="1">
      <c r="A277" s="114"/>
      <c r="B277" s="114"/>
    </row>
    <row r="278" ht="15.75" customHeight="1">
      <c r="A278" s="114"/>
      <c r="B278" s="114"/>
    </row>
    <row r="279" ht="15.75" customHeight="1">
      <c r="A279" s="114"/>
      <c r="B279" s="114"/>
    </row>
    <row r="280" ht="15.75" customHeight="1">
      <c r="A280" s="114"/>
      <c r="B280" s="114"/>
    </row>
    <row r="281" ht="15.75" customHeight="1">
      <c r="A281" s="114"/>
      <c r="B281" s="114"/>
    </row>
    <row r="282" ht="15.75" customHeight="1">
      <c r="A282" s="114"/>
      <c r="B282" s="114"/>
    </row>
    <row r="283" ht="15.75" customHeight="1">
      <c r="A283" s="114"/>
      <c r="B283" s="114"/>
    </row>
    <row r="284" ht="15.75" customHeight="1">
      <c r="A284" s="114"/>
      <c r="B284" s="114"/>
    </row>
    <row r="285" ht="15.75" customHeight="1">
      <c r="A285" s="114"/>
      <c r="B285" s="114"/>
    </row>
    <row r="286" ht="15.75" customHeight="1">
      <c r="A286" s="114"/>
      <c r="B286" s="114"/>
    </row>
    <row r="287" ht="15.75" customHeight="1">
      <c r="A287" s="114"/>
      <c r="B287" s="114"/>
    </row>
    <row r="288" ht="15.75" customHeight="1">
      <c r="A288" s="114"/>
      <c r="B288" s="114"/>
    </row>
    <row r="289" ht="15.75" customHeight="1">
      <c r="A289" s="114"/>
      <c r="B289" s="114"/>
    </row>
    <row r="290" ht="15.75" customHeight="1">
      <c r="A290" s="114"/>
      <c r="B290" s="114"/>
    </row>
    <row r="291" ht="15.75" customHeight="1">
      <c r="A291" s="114"/>
      <c r="B291" s="114"/>
    </row>
    <row r="292" ht="15.75" customHeight="1">
      <c r="A292" s="114"/>
      <c r="B292" s="114"/>
    </row>
    <row r="293" ht="15.75" customHeight="1">
      <c r="A293" s="114"/>
      <c r="B293" s="114"/>
    </row>
    <row r="294" ht="15.75" customHeight="1">
      <c r="A294" s="114"/>
      <c r="B294" s="114"/>
    </row>
    <row r="295" ht="15.75" customHeight="1">
      <c r="A295" s="114"/>
      <c r="B295" s="114"/>
    </row>
    <row r="296" ht="15.75" customHeight="1">
      <c r="A296" s="114"/>
      <c r="B296" s="114"/>
    </row>
    <row r="297" ht="15.75" customHeight="1">
      <c r="A297" s="114"/>
      <c r="B297" s="114"/>
    </row>
    <row r="298" ht="15.75" customHeight="1">
      <c r="A298" s="114"/>
      <c r="B298" s="114"/>
    </row>
    <row r="299" ht="15.75" customHeight="1">
      <c r="A299" s="114"/>
      <c r="B299" s="114"/>
    </row>
    <row r="300" ht="15.75" customHeight="1">
      <c r="A300" s="114"/>
      <c r="B300" s="114"/>
    </row>
    <row r="301" ht="15.75" customHeight="1">
      <c r="A301" s="114"/>
      <c r="B301" s="114"/>
    </row>
    <row r="302" ht="15.75" customHeight="1">
      <c r="A302" s="114"/>
      <c r="B302" s="114"/>
    </row>
    <row r="303" ht="15.75" customHeight="1">
      <c r="A303" s="114"/>
      <c r="B303" s="114"/>
    </row>
    <row r="304" ht="15.75" customHeight="1">
      <c r="A304" s="114"/>
      <c r="B304" s="114"/>
    </row>
    <row r="305" ht="15.75" customHeight="1">
      <c r="A305" s="114"/>
      <c r="B305" s="114"/>
    </row>
    <row r="306" ht="15.75" customHeight="1">
      <c r="A306" s="114"/>
      <c r="B306" s="114"/>
    </row>
    <row r="307" ht="15.75" customHeight="1">
      <c r="A307" s="114"/>
      <c r="B307" s="114"/>
    </row>
    <row r="308" ht="15.75" customHeight="1">
      <c r="A308" s="114"/>
      <c r="B308" s="114"/>
    </row>
    <row r="309" ht="15.75" customHeight="1">
      <c r="A309" s="114"/>
      <c r="B309" s="114"/>
    </row>
    <row r="310" ht="15.75" customHeight="1">
      <c r="A310" s="114"/>
      <c r="B310" s="114"/>
    </row>
    <row r="311" ht="15.75" customHeight="1">
      <c r="A311" s="114"/>
      <c r="B311" s="114"/>
    </row>
    <row r="312" ht="15.75" customHeight="1">
      <c r="A312" s="114"/>
      <c r="B312" s="114"/>
    </row>
    <row r="313" ht="15.75" customHeight="1">
      <c r="A313" s="114"/>
      <c r="B313" s="114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1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45991.0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</row>
    <row r="2" ht="22.5" customHeight="1">
      <c r="A2" s="1" t="s">
        <v>0</v>
      </c>
      <c r="B2" s="1" t="s">
        <v>1</v>
      </c>
      <c r="C2" s="108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8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14"/>
      <c r="AG2" s="114"/>
      <c r="AH2" s="114"/>
      <c r="AI2" s="114"/>
      <c r="AJ2" s="114"/>
    </row>
    <row r="3" ht="22.5" customHeight="1">
      <c r="A3" s="1" t="s">
        <v>2</v>
      </c>
      <c r="B3" s="1" t="s">
        <v>3</v>
      </c>
      <c r="C3" s="115">
        <f>'R7.9'!AC3</f>
        <v>0</v>
      </c>
      <c r="D3" s="116">
        <v>40000.0</v>
      </c>
      <c r="E3" s="116">
        <v>5000.0</v>
      </c>
      <c r="F3" s="116">
        <v>5000.0</v>
      </c>
      <c r="G3" s="116">
        <v>2000.0</v>
      </c>
      <c r="H3" s="117">
        <v>10000.0</v>
      </c>
      <c r="I3" s="118">
        <v>38500.0</v>
      </c>
      <c r="J3" s="119"/>
      <c r="K3" s="117"/>
      <c r="L3" s="117">
        <v>2190.0</v>
      </c>
      <c r="M3" s="120"/>
      <c r="N3" s="117"/>
      <c r="O3" s="117">
        <v>6050.0</v>
      </c>
      <c r="P3" s="117"/>
      <c r="Q3" s="117"/>
      <c r="R3" s="119"/>
      <c r="S3" s="119"/>
      <c r="T3" s="119"/>
      <c r="U3" s="119"/>
      <c r="V3" s="121"/>
      <c r="W3" s="122">
        <f t="shared" ref="W3:W6" si="1">SUM(D3:V3)</f>
        <v>108740</v>
      </c>
      <c r="X3" s="123">
        <v>0.0</v>
      </c>
      <c r="Y3" s="123"/>
      <c r="Z3" s="120">
        <f t="shared" ref="Z3:Z110" si="2">SUM(W3:Y3)</f>
        <v>108740</v>
      </c>
      <c r="AA3" s="124" t="s">
        <v>127</v>
      </c>
      <c r="AB3" s="63" t="s">
        <v>128</v>
      </c>
      <c r="AC3" s="125">
        <f t="shared" ref="AC3:AC109" si="3">C3-M3</f>
        <v>0</v>
      </c>
    </row>
    <row r="4" ht="22.5" customHeight="1">
      <c r="A4" s="1" t="s">
        <v>4</v>
      </c>
      <c r="B4" s="1" t="s">
        <v>5</v>
      </c>
      <c r="C4" s="115">
        <f>'R7.9'!AC4</f>
        <v>0</v>
      </c>
      <c r="D4" s="116">
        <v>40000.0</v>
      </c>
      <c r="E4" s="116">
        <v>5000.0</v>
      </c>
      <c r="F4" s="116">
        <v>5000.0</v>
      </c>
      <c r="G4" s="116">
        <v>2000.0</v>
      </c>
      <c r="H4" s="117">
        <v>10000.0</v>
      </c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26"/>
      <c r="W4" s="122">
        <f t="shared" si="1"/>
        <v>62000</v>
      </c>
      <c r="X4" s="123">
        <v>0.0</v>
      </c>
      <c r="Y4" s="123"/>
      <c r="Z4" s="120">
        <f t="shared" si="2"/>
        <v>62000</v>
      </c>
      <c r="AA4" s="124" t="s">
        <v>129</v>
      </c>
      <c r="AB4" s="63" t="s">
        <v>128</v>
      </c>
      <c r="AC4" s="125">
        <f t="shared" si="3"/>
        <v>0</v>
      </c>
    </row>
    <row r="5" ht="22.5" customHeight="1">
      <c r="A5" s="1" t="s">
        <v>6</v>
      </c>
      <c r="B5" s="1" t="s">
        <v>132</v>
      </c>
      <c r="C5" s="115">
        <f>'R7.10'!AC5</f>
        <v>82000</v>
      </c>
      <c r="D5" s="116">
        <v>40000.0</v>
      </c>
      <c r="E5" s="116">
        <v>5000.0</v>
      </c>
      <c r="F5" s="116">
        <v>5000.0</v>
      </c>
      <c r="G5" s="116">
        <v>2000.0</v>
      </c>
      <c r="H5" s="117">
        <v>10000.0</v>
      </c>
      <c r="I5" s="117">
        <v>38500.0</v>
      </c>
      <c r="J5" s="127">
        <v>-33643.0</v>
      </c>
      <c r="K5" s="117"/>
      <c r="L5" s="117">
        <v>2190.0</v>
      </c>
      <c r="M5" s="117">
        <v>10000.0</v>
      </c>
      <c r="N5" s="117"/>
      <c r="O5" s="117"/>
      <c r="P5" s="117"/>
      <c r="Q5" s="117">
        <v>6477.0</v>
      </c>
      <c r="R5" s="117"/>
      <c r="S5" s="117"/>
      <c r="T5" s="117"/>
      <c r="U5" s="117"/>
      <c r="V5" s="126"/>
      <c r="W5" s="122">
        <f t="shared" si="1"/>
        <v>85524</v>
      </c>
      <c r="X5" s="123">
        <v>19476.0</v>
      </c>
      <c r="Y5" s="123">
        <v>5000.0</v>
      </c>
      <c r="Z5" s="120">
        <f t="shared" si="2"/>
        <v>110000</v>
      </c>
      <c r="AA5" s="124">
        <v>110000.0</v>
      </c>
      <c r="AB5" s="63" t="s">
        <v>128</v>
      </c>
      <c r="AC5" s="125">
        <f t="shared" si="3"/>
        <v>72000</v>
      </c>
    </row>
    <row r="6" ht="22.5" customHeight="1">
      <c r="A6" s="1" t="s">
        <v>7</v>
      </c>
      <c r="B6" s="1" t="s">
        <v>8</v>
      </c>
      <c r="C6" s="115">
        <f>'R7.10'!AC6</f>
        <v>0</v>
      </c>
      <c r="D6" s="116">
        <v>40000.0</v>
      </c>
      <c r="E6" s="116">
        <v>5000.0</v>
      </c>
      <c r="F6" s="116">
        <v>5000.0</v>
      </c>
      <c r="G6" s="116">
        <v>2000.0</v>
      </c>
      <c r="H6" s="117">
        <v>10000.0</v>
      </c>
      <c r="I6" s="117"/>
      <c r="J6" s="119"/>
      <c r="K6" s="117"/>
      <c r="L6" s="117">
        <v>2190.0</v>
      </c>
      <c r="M6" s="117"/>
      <c r="N6" s="117"/>
      <c r="O6" s="117"/>
      <c r="P6" s="117"/>
      <c r="Q6" s="117">
        <v>50.0</v>
      </c>
      <c r="R6" s="117"/>
      <c r="S6" s="117"/>
      <c r="T6" s="117"/>
      <c r="U6" s="117"/>
      <c r="V6" s="126"/>
      <c r="W6" s="122">
        <f t="shared" si="1"/>
        <v>64240</v>
      </c>
      <c r="X6" s="123"/>
      <c r="Y6" s="123"/>
      <c r="Z6" s="120">
        <f t="shared" si="2"/>
        <v>64240</v>
      </c>
      <c r="AA6" s="124" t="s">
        <v>129</v>
      </c>
      <c r="AB6" s="63" t="s">
        <v>128</v>
      </c>
      <c r="AC6" s="125">
        <f t="shared" si="3"/>
        <v>0</v>
      </c>
    </row>
    <row r="7" ht="22.5" customHeight="1">
      <c r="A7" s="1" t="s">
        <v>9</v>
      </c>
      <c r="B7" s="1" t="s">
        <v>10</v>
      </c>
      <c r="C7" s="115">
        <f>'R7.10'!AC7</f>
        <v>30000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10000.0</v>
      </c>
      <c r="I7" s="117">
        <v>40700.0</v>
      </c>
      <c r="J7" s="127">
        <v>-46358.0</v>
      </c>
      <c r="K7" s="117"/>
      <c r="L7" s="117">
        <v>2190.0</v>
      </c>
      <c r="M7" s="117">
        <v>10000.0</v>
      </c>
      <c r="N7" s="117"/>
      <c r="O7" s="117">
        <v>8623.0</v>
      </c>
      <c r="P7" s="117"/>
      <c r="Q7" s="117">
        <v>2996.0</v>
      </c>
      <c r="R7" s="117"/>
      <c r="S7" s="117"/>
      <c r="T7" s="117"/>
      <c r="U7" s="117"/>
      <c r="V7" s="121">
        <f>'R7.10'!AE7</f>
        <v>-320000</v>
      </c>
      <c r="W7" s="122">
        <f>SUM(D7:U7)-V7</f>
        <v>400151</v>
      </c>
      <c r="X7" s="116">
        <v>27349.0</v>
      </c>
      <c r="Y7" s="128">
        <v>2500.0</v>
      </c>
      <c r="Z7" s="120">
        <f t="shared" si="2"/>
        <v>430000</v>
      </c>
      <c r="AA7" s="124">
        <v>110000.0</v>
      </c>
      <c r="AB7" s="63" t="s">
        <v>128</v>
      </c>
      <c r="AC7" s="125">
        <f t="shared" si="3"/>
        <v>20000</v>
      </c>
      <c r="AE7" s="124">
        <f>AD7-Z7</f>
        <v>-430000</v>
      </c>
    </row>
    <row r="8" ht="22.5" customHeight="1">
      <c r="A8" s="1" t="s">
        <v>11</v>
      </c>
      <c r="B8" s="1"/>
      <c r="C8" s="115">
        <f>'R7.10'!AC8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26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</row>
    <row r="9" ht="22.5" customHeight="1">
      <c r="A9" s="1" t="s">
        <v>12</v>
      </c>
      <c r="B9" s="1" t="s">
        <v>13</v>
      </c>
      <c r="C9" s="115">
        <f>'R7.10'!AC9</f>
        <v>0</v>
      </c>
      <c r="D9" s="116">
        <v>40000.0</v>
      </c>
      <c r="E9" s="116">
        <v>5000.0</v>
      </c>
      <c r="F9" s="116">
        <v>5000.0</v>
      </c>
      <c r="G9" s="116">
        <v>2000.0</v>
      </c>
      <c r="H9" s="117">
        <v>10000.0</v>
      </c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26"/>
      <c r="W9" s="122">
        <f t="shared" si="4"/>
        <v>62000</v>
      </c>
      <c r="X9" s="123"/>
      <c r="Y9" s="123"/>
      <c r="Z9" s="120">
        <f t="shared" si="2"/>
        <v>62000</v>
      </c>
      <c r="AA9" s="124" t="s">
        <v>129</v>
      </c>
      <c r="AB9" s="63" t="s">
        <v>128</v>
      </c>
      <c r="AC9" s="125">
        <f t="shared" si="3"/>
        <v>0</v>
      </c>
    </row>
    <row r="10" ht="22.5" customHeight="1">
      <c r="A10" s="1" t="s">
        <v>14</v>
      </c>
      <c r="B10" s="1" t="s">
        <v>15</v>
      </c>
      <c r="C10" s="115">
        <f>'R7.10'!AC10</f>
        <v>0</v>
      </c>
      <c r="D10" s="116">
        <v>40000.0</v>
      </c>
      <c r="E10" s="116">
        <v>5000.0</v>
      </c>
      <c r="F10" s="116">
        <v>5000.0</v>
      </c>
      <c r="G10" s="116">
        <v>2000.0</v>
      </c>
      <c r="H10" s="117">
        <v>10000.0</v>
      </c>
      <c r="I10" s="117">
        <v>42900.0</v>
      </c>
      <c r="J10" s="119"/>
      <c r="K10" s="117"/>
      <c r="L10" s="117">
        <v>2190.0</v>
      </c>
      <c r="M10" s="117"/>
      <c r="N10" s="117"/>
      <c r="O10" s="117"/>
      <c r="P10" s="117"/>
      <c r="Q10" s="117"/>
      <c r="R10" s="117"/>
      <c r="S10" s="117"/>
      <c r="T10" s="117"/>
      <c r="U10" s="117"/>
      <c r="V10" s="126"/>
      <c r="W10" s="122">
        <f t="shared" si="4"/>
        <v>107090</v>
      </c>
      <c r="X10" s="129"/>
      <c r="Y10" s="129"/>
      <c r="Z10" s="120">
        <f t="shared" si="2"/>
        <v>107090</v>
      </c>
      <c r="AA10" s="124" t="s">
        <v>129</v>
      </c>
      <c r="AB10" s="63" t="s">
        <v>128</v>
      </c>
      <c r="AC10" s="125">
        <f t="shared" si="3"/>
        <v>0</v>
      </c>
    </row>
    <row r="11" ht="22.5" customHeight="1">
      <c r="A11" s="1" t="s">
        <v>16</v>
      </c>
      <c r="B11" s="1" t="s">
        <v>17</v>
      </c>
      <c r="C11" s="115">
        <f>'R7.10'!AC11</f>
        <v>0</v>
      </c>
      <c r="D11" s="116">
        <v>40000.0</v>
      </c>
      <c r="E11" s="116">
        <v>5000.0</v>
      </c>
      <c r="F11" s="116">
        <v>5000.0</v>
      </c>
      <c r="G11" s="116">
        <v>2000.0</v>
      </c>
      <c r="H11" s="117">
        <v>10000.0</v>
      </c>
      <c r="I11" s="117"/>
      <c r="J11" s="119"/>
      <c r="K11" s="117"/>
      <c r="L11" s="117">
        <v>2190.0</v>
      </c>
      <c r="M11" s="130"/>
      <c r="N11" s="117"/>
      <c r="O11" s="117"/>
      <c r="P11" s="117"/>
      <c r="Q11" s="117"/>
      <c r="R11" s="117"/>
      <c r="S11" s="120"/>
      <c r="T11" s="117"/>
      <c r="U11" s="117"/>
      <c r="V11" s="126"/>
      <c r="W11" s="122">
        <f t="shared" si="4"/>
        <v>64190</v>
      </c>
      <c r="X11" s="123"/>
      <c r="Y11" s="123"/>
      <c r="Z11" s="120">
        <f t="shared" si="2"/>
        <v>64190</v>
      </c>
      <c r="AA11" s="131"/>
      <c r="AB11" s="63" t="s">
        <v>128</v>
      </c>
      <c r="AC11" s="125">
        <f t="shared" si="3"/>
        <v>0</v>
      </c>
    </row>
    <row r="12" ht="22.5" customHeight="1">
      <c r="A12" s="1"/>
      <c r="B12" s="1"/>
      <c r="C12" s="115">
        <f>'R7.10'!AC12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26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</row>
    <row r="13" ht="22.5" customHeight="1">
      <c r="A13" s="1"/>
      <c r="B13" s="3"/>
      <c r="C13" s="115">
        <f>'R7.10'!AC13</f>
        <v>0</v>
      </c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26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</row>
    <row r="14" ht="22.5" customHeight="1">
      <c r="A14" s="1"/>
      <c r="B14" s="3"/>
      <c r="C14" s="115">
        <f>'R7.9'!AC14</f>
        <v>0</v>
      </c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26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33"/>
      <c r="AG14" s="133"/>
      <c r="AH14" s="133"/>
      <c r="AI14" s="133"/>
      <c r="AJ14" s="133"/>
    </row>
    <row r="15" ht="22.5" customHeight="1">
      <c r="A15" s="1"/>
      <c r="B15" s="3"/>
      <c r="C15" s="115">
        <f>'R7.9'!AC15</f>
        <v>0</v>
      </c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26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33"/>
      <c r="AG15" s="133"/>
      <c r="AH15" s="133"/>
      <c r="AI15" s="133"/>
      <c r="AJ15" s="133"/>
    </row>
    <row r="16" ht="22.5" customHeight="1">
      <c r="A16" s="1"/>
      <c r="B16" s="3"/>
      <c r="C16" s="115">
        <f>'R7.9'!AC16</f>
        <v>0</v>
      </c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26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33"/>
      <c r="AG16" s="133"/>
      <c r="AH16" s="133"/>
      <c r="AI16" s="133"/>
      <c r="AJ16" s="133"/>
    </row>
    <row r="17" ht="22.5" customHeight="1">
      <c r="A17" s="3"/>
      <c r="B17" s="3"/>
      <c r="C17" s="115">
        <f>'R7.9'!AC17</f>
        <v>0</v>
      </c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26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33"/>
      <c r="AG17" s="133"/>
      <c r="AH17" s="133"/>
      <c r="AI17" s="133"/>
      <c r="AJ17" s="133"/>
    </row>
    <row r="18" ht="22.5" customHeight="1">
      <c r="A18" s="3"/>
      <c r="B18" s="3"/>
      <c r="C18" s="115">
        <f>'R7.9'!AC18</f>
        <v>0</v>
      </c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26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33"/>
      <c r="AG18" s="133"/>
      <c r="AH18" s="133"/>
      <c r="AI18" s="133"/>
      <c r="AJ18" s="133"/>
    </row>
    <row r="19" ht="22.5" customHeight="1">
      <c r="A19" s="3"/>
      <c r="B19" s="3"/>
      <c r="C19" s="115">
        <f>'R7.9'!AC19</f>
        <v>0</v>
      </c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26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33"/>
      <c r="AG19" s="133"/>
      <c r="AH19" s="133"/>
      <c r="AI19" s="133"/>
      <c r="AJ19" s="133"/>
    </row>
    <row r="20" ht="22.5" customHeight="1">
      <c r="A20" s="3"/>
      <c r="B20" s="3"/>
      <c r="C20" s="115">
        <f>'R7.9'!AC20</f>
        <v>0</v>
      </c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26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33"/>
      <c r="AG20" s="133"/>
      <c r="AH20" s="133"/>
      <c r="AI20" s="133"/>
      <c r="AJ20" s="133"/>
    </row>
    <row r="21" ht="22.5" customHeight="1">
      <c r="A21" s="3"/>
      <c r="B21" s="3"/>
      <c r="C21" s="115">
        <f>'R7.9'!AC21</f>
        <v>0</v>
      </c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26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33"/>
      <c r="AG21" s="133"/>
      <c r="AH21" s="133"/>
      <c r="AI21" s="133"/>
      <c r="AJ21" s="133"/>
    </row>
    <row r="22" ht="22.5" hidden="1" customHeight="1">
      <c r="A22" s="3"/>
      <c r="B22" s="3"/>
      <c r="C22" s="115">
        <f>'R7.9'!AC22</f>
        <v>0</v>
      </c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26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33"/>
      <c r="AG22" s="133"/>
      <c r="AH22" s="133"/>
      <c r="AI22" s="133"/>
      <c r="AJ22" s="133"/>
    </row>
    <row r="23" ht="22.5" hidden="1" customHeight="1">
      <c r="A23" s="3"/>
      <c r="B23" s="3"/>
      <c r="C23" s="115">
        <f>'R7.9'!AC23</f>
        <v>0</v>
      </c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26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33"/>
      <c r="AG23" s="133"/>
      <c r="AH23" s="133"/>
      <c r="AI23" s="133"/>
      <c r="AJ23" s="133"/>
    </row>
    <row r="24" ht="22.5" hidden="1" customHeight="1">
      <c r="A24" s="3"/>
      <c r="B24" s="3"/>
      <c r="C24" s="115">
        <f>'R7.9'!AC24</f>
        <v>0</v>
      </c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26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33"/>
      <c r="AG24" s="133"/>
      <c r="AH24" s="133"/>
      <c r="AI24" s="133"/>
      <c r="AJ24" s="133"/>
    </row>
    <row r="25" ht="22.5" hidden="1" customHeight="1">
      <c r="A25" s="3"/>
      <c r="B25" s="3"/>
      <c r="C25" s="115">
        <f>'R7.9'!AC25</f>
        <v>0</v>
      </c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26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33"/>
      <c r="AG25" s="133"/>
      <c r="AH25" s="133"/>
      <c r="AI25" s="133"/>
      <c r="AJ25" s="133"/>
    </row>
    <row r="26" ht="22.5" hidden="1" customHeight="1">
      <c r="A26" s="3"/>
      <c r="B26" s="3"/>
      <c r="C26" s="115">
        <f>'R7.9'!AC26</f>
        <v>0</v>
      </c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26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33"/>
      <c r="AG26" s="133"/>
      <c r="AH26" s="133"/>
      <c r="AI26" s="133"/>
      <c r="AJ26" s="133"/>
    </row>
    <row r="27" ht="22.5" hidden="1" customHeight="1">
      <c r="A27" s="3"/>
      <c r="B27" s="3"/>
      <c r="C27" s="115">
        <f>'R7.9'!AC27</f>
        <v>0</v>
      </c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26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33"/>
      <c r="AG27" s="133"/>
      <c r="AH27" s="133"/>
      <c r="AI27" s="133"/>
      <c r="AJ27" s="133"/>
    </row>
    <row r="28" ht="22.5" hidden="1" customHeight="1">
      <c r="A28" s="3"/>
      <c r="B28" s="3"/>
      <c r="C28" s="115">
        <f>'R7.9'!AC28</f>
        <v>0</v>
      </c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26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33"/>
      <c r="AG28" s="133"/>
      <c r="AH28" s="133"/>
      <c r="AI28" s="133"/>
      <c r="AJ28" s="133"/>
    </row>
    <row r="29" ht="22.5" hidden="1" customHeight="1">
      <c r="A29" s="3"/>
      <c r="B29" s="3"/>
      <c r="C29" s="115">
        <f>'R7.9'!AC29</f>
        <v>0</v>
      </c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26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33"/>
      <c r="AG29" s="133"/>
      <c r="AH29" s="133"/>
      <c r="AI29" s="133"/>
      <c r="AJ29" s="133"/>
    </row>
    <row r="30" ht="22.5" hidden="1" customHeight="1">
      <c r="A30" s="3"/>
      <c r="B30" s="3"/>
      <c r="C30" s="115">
        <f>'R7.9'!AC30</f>
        <v>0</v>
      </c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26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33"/>
      <c r="AG30" s="133"/>
      <c r="AH30" s="133"/>
      <c r="AI30" s="133"/>
      <c r="AJ30" s="133"/>
    </row>
    <row r="31" ht="22.5" hidden="1" customHeight="1">
      <c r="A31" s="3"/>
      <c r="B31" s="3"/>
      <c r="C31" s="115">
        <f>'R7.9'!AC31</f>
        <v>0</v>
      </c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26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33"/>
      <c r="AG31" s="133"/>
      <c r="AH31" s="133"/>
      <c r="AI31" s="133"/>
      <c r="AJ31" s="133"/>
    </row>
    <row r="32" ht="22.5" hidden="1" customHeight="1">
      <c r="A32" s="3"/>
      <c r="B32" s="3"/>
      <c r="C32" s="115">
        <f>'R7.9'!AC32</f>
        <v>0</v>
      </c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26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33"/>
      <c r="AG32" s="133"/>
      <c r="AH32" s="133"/>
      <c r="AI32" s="133"/>
      <c r="AJ32" s="133"/>
    </row>
    <row r="33" ht="22.5" hidden="1" customHeight="1">
      <c r="A33" s="3"/>
      <c r="B33" s="3"/>
      <c r="C33" s="115">
        <f>'R7.9'!AC33</f>
        <v>0</v>
      </c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26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33"/>
      <c r="AG33" s="133"/>
      <c r="AH33" s="133"/>
      <c r="AI33" s="133"/>
      <c r="AJ33" s="133"/>
    </row>
    <row r="34" ht="22.5" hidden="1" customHeight="1">
      <c r="A34" s="3"/>
      <c r="B34" s="3"/>
      <c r="C34" s="115">
        <f>'R7.9'!AC34</f>
        <v>0</v>
      </c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26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33"/>
      <c r="AG34" s="133"/>
      <c r="AH34" s="133"/>
      <c r="AI34" s="133"/>
      <c r="AJ34" s="133"/>
    </row>
    <row r="35" ht="22.5" hidden="1" customHeight="1">
      <c r="A35" s="3"/>
      <c r="B35" s="3"/>
      <c r="C35" s="115">
        <f>'R7.9'!AC35</f>
        <v>0</v>
      </c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26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33"/>
      <c r="AG35" s="133"/>
      <c r="AH35" s="133"/>
      <c r="AI35" s="133"/>
      <c r="AJ35" s="133"/>
    </row>
    <row r="36" ht="22.5" hidden="1" customHeight="1">
      <c r="A36" s="3"/>
      <c r="B36" s="3"/>
      <c r="C36" s="115">
        <f>'R7.9'!AC36</f>
        <v>0</v>
      </c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26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33"/>
      <c r="AG36" s="133"/>
      <c r="AH36" s="133"/>
      <c r="AI36" s="133"/>
      <c r="AJ36" s="133"/>
    </row>
    <row r="37" ht="22.5" hidden="1" customHeight="1">
      <c r="A37" s="3"/>
      <c r="B37" s="3"/>
      <c r="C37" s="115">
        <f>'R7.9'!AC37</f>
        <v>0</v>
      </c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26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33"/>
      <c r="AG37" s="133"/>
      <c r="AH37" s="133"/>
      <c r="AI37" s="133"/>
      <c r="AJ37" s="133"/>
    </row>
    <row r="38" ht="22.5" hidden="1" customHeight="1">
      <c r="A38" s="3"/>
      <c r="B38" s="3"/>
      <c r="C38" s="115">
        <f>'R7.9'!AC38</f>
        <v>0</v>
      </c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26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33"/>
      <c r="AG38" s="133"/>
      <c r="AH38" s="133"/>
      <c r="AI38" s="133"/>
      <c r="AJ38" s="133"/>
    </row>
    <row r="39" ht="22.5" hidden="1" customHeight="1">
      <c r="A39" s="3"/>
      <c r="B39" s="3"/>
      <c r="C39" s="115">
        <f>'R7.9'!AC39</f>
        <v>0</v>
      </c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26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33"/>
      <c r="AG39" s="133"/>
      <c r="AH39" s="133"/>
      <c r="AI39" s="133"/>
      <c r="AJ39" s="133"/>
    </row>
    <row r="40" ht="22.5" hidden="1" customHeight="1">
      <c r="A40" s="3"/>
      <c r="B40" s="3"/>
      <c r="C40" s="115">
        <f>'R7.9'!AC40</f>
        <v>0</v>
      </c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26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33"/>
      <c r="AG40" s="133"/>
      <c r="AH40" s="133"/>
      <c r="AI40" s="133"/>
      <c r="AJ40" s="133"/>
    </row>
    <row r="41" ht="22.5" hidden="1" customHeight="1">
      <c r="A41" s="3"/>
      <c r="B41" s="3"/>
      <c r="C41" s="115">
        <f>'R7.9'!AC41</f>
        <v>0</v>
      </c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26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33"/>
      <c r="AG41" s="133"/>
      <c r="AH41" s="133"/>
      <c r="AI41" s="133"/>
      <c r="AJ41" s="133"/>
    </row>
    <row r="42" ht="22.5" hidden="1" customHeight="1">
      <c r="A42" s="3"/>
      <c r="B42" s="3"/>
      <c r="C42" s="115">
        <f>'R7.9'!AC42</f>
        <v>0</v>
      </c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26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33"/>
      <c r="AG42" s="133"/>
      <c r="AH42" s="133"/>
      <c r="AI42" s="133"/>
      <c r="AJ42" s="133"/>
    </row>
    <row r="43" ht="22.5" hidden="1" customHeight="1">
      <c r="A43" s="3"/>
      <c r="B43" s="3"/>
      <c r="C43" s="115">
        <f>'R7.9'!AC43</f>
        <v>0</v>
      </c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26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33"/>
      <c r="AG43" s="133"/>
      <c r="AH43" s="133"/>
      <c r="AI43" s="133"/>
      <c r="AJ43" s="133"/>
    </row>
    <row r="44" ht="22.5" hidden="1" customHeight="1">
      <c r="A44" s="3"/>
      <c r="B44" s="3"/>
      <c r="C44" s="115">
        <f>'R7.9'!AC44</f>
        <v>0</v>
      </c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26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33"/>
      <c r="AG44" s="133"/>
      <c r="AH44" s="133"/>
      <c r="AI44" s="133"/>
      <c r="AJ44" s="133"/>
    </row>
    <row r="45" ht="22.5" hidden="1" customHeight="1">
      <c r="A45" s="3"/>
      <c r="B45" s="3"/>
      <c r="C45" s="115">
        <f>'R7.9'!AC45</f>
        <v>0</v>
      </c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26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33"/>
      <c r="AG45" s="133"/>
      <c r="AH45" s="133"/>
      <c r="AI45" s="133"/>
      <c r="AJ45" s="133"/>
    </row>
    <row r="46" ht="22.5" hidden="1" customHeight="1">
      <c r="A46" s="3"/>
      <c r="B46" s="3"/>
      <c r="C46" s="115">
        <f>'R7.9'!AC46</f>
        <v>0</v>
      </c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26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33"/>
      <c r="AG46" s="133"/>
      <c r="AH46" s="133"/>
      <c r="AI46" s="133"/>
      <c r="AJ46" s="133"/>
    </row>
    <row r="47" ht="22.5" hidden="1" customHeight="1">
      <c r="A47" s="3"/>
      <c r="B47" s="3"/>
      <c r="C47" s="115">
        <f>'R7.9'!AC47</f>
        <v>0</v>
      </c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26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33"/>
      <c r="AG47" s="133"/>
      <c r="AH47" s="133"/>
      <c r="AI47" s="133"/>
      <c r="AJ47" s="133"/>
    </row>
    <row r="48" ht="22.5" hidden="1" customHeight="1">
      <c r="A48" s="3"/>
      <c r="B48" s="3"/>
      <c r="C48" s="115">
        <f>'R7.9'!AC48</f>
        <v>0</v>
      </c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26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33"/>
      <c r="AG48" s="133"/>
      <c r="AH48" s="133"/>
      <c r="AI48" s="133"/>
      <c r="AJ48" s="133"/>
    </row>
    <row r="49" ht="22.5" hidden="1" customHeight="1">
      <c r="A49" s="3"/>
      <c r="B49" s="3"/>
      <c r="C49" s="115">
        <f>'R7.9'!AC49</f>
        <v>0</v>
      </c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26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33"/>
      <c r="AG49" s="133"/>
      <c r="AH49" s="133"/>
      <c r="AI49" s="133"/>
      <c r="AJ49" s="133"/>
    </row>
    <row r="50" ht="22.5" hidden="1" customHeight="1">
      <c r="A50" s="3"/>
      <c r="B50" s="3"/>
      <c r="C50" s="115">
        <f>'R7.9'!AC50</f>
        <v>0</v>
      </c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26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33"/>
      <c r="AG50" s="133"/>
      <c r="AH50" s="133"/>
      <c r="AI50" s="133"/>
      <c r="AJ50" s="133"/>
    </row>
    <row r="51" ht="22.5" hidden="1" customHeight="1">
      <c r="A51" s="3"/>
      <c r="B51" s="3"/>
      <c r="C51" s="115">
        <f>'R7.9'!AC51</f>
        <v>0</v>
      </c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26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33"/>
      <c r="AG51" s="133"/>
      <c r="AH51" s="133"/>
      <c r="AI51" s="133"/>
      <c r="AJ51" s="133"/>
    </row>
    <row r="52" ht="22.5" hidden="1" customHeight="1">
      <c r="A52" s="3"/>
      <c r="B52" s="3"/>
      <c r="C52" s="115">
        <f>'R7.9'!AC52</f>
        <v>0</v>
      </c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26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33"/>
      <c r="AG52" s="133"/>
      <c r="AH52" s="133"/>
      <c r="AI52" s="133"/>
      <c r="AJ52" s="133"/>
    </row>
    <row r="53" ht="22.5" hidden="1" customHeight="1">
      <c r="A53" s="3"/>
      <c r="B53" s="3"/>
      <c r="C53" s="115">
        <f>'R7.9'!AC53</f>
        <v>0</v>
      </c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26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33"/>
      <c r="AG53" s="133"/>
      <c r="AH53" s="133"/>
      <c r="AI53" s="133"/>
      <c r="AJ53" s="133"/>
    </row>
    <row r="54" ht="22.5" hidden="1" customHeight="1">
      <c r="A54" s="3"/>
      <c r="B54" s="3"/>
      <c r="C54" s="115">
        <f>'R7.9'!AC54</f>
        <v>0</v>
      </c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26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33"/>
      <c r="AG54" s="133"/>
      <c r="AH54" s="133"/>
      <c r="AI54" s="133"/>
      <c r="AJ54" s="133"/>
    </row>
    <row r="55" ht="22.5" hidden="1" customHeight="1">
      <c r="A55" s="3"/>
      <c r="B55" s="3"/>
      <c r="C55" s="115">
        <f>'R7.9'!AC55</f>
        <v>0</v>
      </c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26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33"/>
      <c r="AG55" s="133"/>
      <c r="AH55" s="133"/>
      <c r="AI55" s="133"/>
      <c r="AJ55" s="133"/>
    </row>
    <row r="56" ht="22.5" hidden="1" customHeight="1">
      <c r="A56" s="3"/>
      <c r="B56" s="3"/>
      <c r="C56" s="115">
        <f>'R7.9'!AC56</f>
        <v>0</v>
      </c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26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33"/>
      <c r="AG56" s="133"/>
      <c r="AH56" s="133"/>
      <c r="AI56" s="133"/>
      <c r="AJ56" s="133"/>
    </row>
    <row r="57" ht="22.5" hidden="1" customHeight="1">
      <c r="A57" s="3"/>
      <c r="B57" s="3"/>
      <c r="C57" s="115">
        <f>'R7.9'!AC57</f>
        <v>0</v>
      </c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26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33"/>
      <c r="AG57" s="133"/>
      <c r="AH57" s="133"/>
      <c r="AI57" s="133"/>
      <c r="AJ57" s="133"/>
    </row>
    <row r="58" ht="22.5" hidden="1" customHeight="1">
      <c r="A58" s="3"/>
      <c r="B58" s="3"/>
      <c r="C58" s="115">
        <f>'R7.9'!AC58</f>
        <v>0</v>
      </c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26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33"/>
      <c r="AG58" s="133"/>
      <c r="AH58" s="133"/>
      <c r="AI58" s="133"/>
      <c r="AJ58" s="133"/>
    </row>
    <row r="59" ht="22.5" hidden="1" customHeight="1">
      <c r="A59" s="3"/>
      <c r="B59" s="3"/>
      <c r="C59" s="115">
        <f>'R7.9'!AC59</f>
        <v>0</v>
      </c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26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33"/>
      <c r="AG59" s="133"/>
      <c r="AH59" s="133"/>
      <c r="AI59" s="133"/>
      <c r="AJ59" s="133"/>
    </row>
    <row r="60" ht="22.5" hidden="1" customHeight="1">
      <c r="A60" s="3"/>
      <c r="B60" s="3"/>
      <c r="C60" s="115">
        <f>'R7.9'!AC60</f>
        <v>0</v>
      </c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26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33"/>
      <c r="AG60" s="133"/>
      <c r="AH60" s="133"/>
      <c r="AI60" s="133"/>
      <c r="AJ60" s="133"/>
    </row>
    <row r="61" ht="22.5" hidden="1" customHeight="1">
      <c r="A61" s="3"/>
      <c r="B61" s="3"/>
      <c r="C61" s="115">
        <f>'R7.9'!AC61</f>
        <v>0</v>
      </c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26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33"/>
      <c r="AG61" s="133"/>
      <c r="AH61" s="133"/>
      <c r="AI61" s="133"/>
      <c r="AJ61" s="133"/>
    </row>
    <row r="62" ht="22.5" hidden="1" customHeight="1">
      <c r="A62" s="3"/>
      <c r="B62" s="3"/>
      <c r="C62" s="115">
        <f>'R7.9'!AC62</f>
        <v>0</v>
      </c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26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33"/>
      <c r="AG62" s="133"/>
      <c r="AH62" s="133"/>
      <c r="AI62" s="133"/>
      <c r="AJ62" s="133"/>
    </row>
    <row r="63" ht="22.5" hidden="1" customHeight="1">
      <c r="A63" s="3"/>
      <c r="B63" s="3"/>
      <c r="C63" s="115">
        <f>'R7.9'!AC63</f>
        <v>0</v>
      </c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26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33"/>
      <c r="AG63" s="133"/>
      <c r="AH63" s="133"/>
      <c r="AI63" s="133"/>
      <c r="AJ63" s="133"/>
    </row>
    <row r="64" ht="22.5" hidden="1" customHeight="1">
      <c r="A64" s="3"/>
      <c r="B64" s="3"/>
      <c r="C64" s="115">
        <f>'R7.9'!AC64</f>
        <v>0</v>
      </c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26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33"/>
      <c r="AG64" s="133"/>
      <c r="AH64" s="133"/>
      <c r="AI64" s="133"/>
      <c r="AJ64" s="133"/>
    </row>
    <row r="65" ht="22.5" hidden="1" customHeight="1">
      <c r="A65" s="3"/>
      <c r="B65" s="3"/>
      <c r="C65" s="115">
        <f>'R7.9'!AC65</f>
        <v>0</v>
      </c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26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33"/>
      <c r="AG65" s="133"/>
      <c r="AH65" s="133"/>
      <c r="AI65" s="133"/>
      <c r="AJ65" s="133"/>
    </row>
    <row r="66" ht="22.5" hidden="1" customHeight="1">
      <c r="A66" s="3"/>
      <c r="B66" s="3"/>
      <c r="C66" s="115">
        <f>'R7.9'!AC66</f>
        <v>0</v>
      </c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26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33"/>
      <c r="AG66" s="133"/>
      <c r="AH66" s="133"/>
      <c r="AI66" s="133"/>
      <c r="AJ66" s="133"/>
    </row>
    <row r="67" ht="22.5" hidden="1" customHeight="1">
      <c r="A67" s="3"/>
      <c r="B67" s="3"/>
      <c r="C67" s="115">
        <f>'R7.9'!AC67</f>
        <v>0</v>
      </c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26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33"/>
      <c r="AG67" s="133"/>
      <c r="AH67" s="133"/>
      <c r="AI67" s="133"/>
      <c r="AJ67" s="133"/>
    </row>
    <row r="68" ht="22.5" hidden="1" customHeight="1">
      <c r="A68" s="3"/>
      <c r="B68" s="3"/>
      <c r="C68" s="115">
        <f>'R7.9'!AC68</f>
        <v>0</v>
      </c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26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33"/>
      <c r="AG68" s="133"/>
      <c r="AH68" s="133"/>
      <c r="AI68" s="133"/>
      <c r="AJ68" s="133"/>
    </row>
    <row r="69" ht="22.5" hidden="1" customHeight="1">
      <c r="A69" s="3"/>
      <c r="B69" s="3"/>
      <c r="C69" s="115">
        <f>'R7.9'!AC69</f>
        <v>0</v>
      </c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26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33"/>
      <c r="AG69" s="133"/>
      <c r="AH69" s="133"/>
      <c r="AI69" s="133"/>
      <c r="AJ69" s="133"/>
    </row>
    <row r="70" ht="22.5" hidden="1" customHeight="1">
      <c r="A70" s="3"/>
      <c r="B70" s="3"/>
      <c r="C70" s="115">
        <f>'R7.9'!AC70</f>
        <v>0</v>
      </c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26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33"/>
      <c r="AG70" s="133"/>
      <c r="AH70" s="133"/>
      <c r="AI70" s="133"/>
      <c r="AJ70" s="133"/>
    </row>
    <row r="71" ht="22.5" hidden="1" customHeight="1">
      <c r="A71" s="3"/>
      <c r="B71" s="3"/>
      <c r="C71" s="115">
        <f>'R7.9'!AC71</f>
        <v>0</v>
      </c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26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33"/>
      <c r="AG71" s="133"/>
      <c r="AH71" s="133"/>
      <c r="AI71" s="133"/>
      <c r="AJ71" s="133"/>
    </row>
    <row r="72" ht="22.5" hidden="1" customHeight="1">
      <c r="A72" s="3"/>
      <c r="B72" s="3"/>
      <c r="C72" s="115">
        <f>'R7.9'!AC72</f>
        <v>0</v>
      </c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26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33"/>
      <c r="AG72" s="133"/>
      <c r="AH72" s="133"/>
      <c r="AI72" s="133"/>
      <c r="AJ72" s="133"/>
    </row>
    <row r="73" ht="22.5" hidden="1" customHeight="1">
      <c r="A73" s="3"/>
      <c r="B73" s="3"/>
      <c r="C73" s="115">
        <f>'R7.9'!AC73</f>
        <v>0</v>
      </c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26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33"/>
      <c r="AG73" s="133"/>
      <c r="AH73" s="133"/>
      <c r="AI73" s="133"/>
      <c r="AJ73" s="133"/>
    </row>
    <row r="74" ht="22.5" hidden="1" customHeight="1">
      <c r="A74" s="3"/>
      <c r="B74" s="3"/>
      <c r="C74" s="115">
        <f>'R7.9'!AC74</f>
        <v>0</v>
      </c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26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33"/>
      <c r="AG74" s="133"/>
      <c r="AH74" s="133"/>
      <c r="AI74" s="133"/>
      <c r="AJ74" s="133"/>
    </row>
    <row r="75" ht="22.5" hidden="1" customHeight="1">
      <c r="A75" s="3"/>
      <c r="B75" s="3"/>
      <c r="C75" s="115">
        <f>'R7.9'!AC75</f>
        <v>0</v>
      </c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26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33"/>
      <c r="AG75" s="133"/>
      <c r="AH75" s="133"/>
      <c r="AI75" s="133"/>
      <c r="AJ75" s="133"/>
    </row>
    <row r="76" ht="22.5" hidden="1" customHeight="1">
      <c r="A76" s="3"/>
      <c r="B76" s="3"/>
      <c r="C76" s="115">
        <f>'R7.9'!AC76</f>
        <v>0</v>
      </c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26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33"/>
      <c r="AG76" s="133"/>
      <c r="AH76" s="133"/>
      <c r="AI76" s="133"/>
      <c r="AJ76" s="133"/>
    </row>
    <row r="77" ht="22.5" hidden="1" customHeight="1">
      <c r="A77" s="3"/>
      <c r="B77" s="3"/>
      <c r="C77" s="115">
        <f>'R7.9'!AC77</f>
        <v>0</v>
      </c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26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33"/>
      <c r="AG77" s="133"/>
      <c r="AH77" s="133"/>
      <c r="AI77" s="133"/>
      <c r="AJ77" s="133"/>
    </row>
    <row r="78" ht="22.5" hidden="1" customHeight="1">
      <c r="A78" s="3"/>
      <c r="B78" s="3"/>
      <c r="C78" s="115">
        <f>'R7.9'!AC78</f>
        <v>0</v>
      </c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26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33"/>
      <c r="AG78" s="133"/>
      <c r="AH78" s="133"/>
      <c r="AI78" s="133"/>
      <c r="AJ78" s="133"/>
    </row>
    <row r="79" ht="22.5" hidden="1" customHeight="1">
      <c r="A79" s="3"/>
      <c r="B79" s="3"/>
      <c r="C79" s="115">
        <f>'R7.9'!AC79</f>
        <v>0</v>
      </c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26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33"/>
      <c r="AG79" s="133"/>
      <c r="AH79" s="133"/>
      <c r="AI79" s="133"/>
      <c r="AJ79" s="133"/>
    </row>
    <row r="80" ht="22.5" hidden="1" customHeight="1">
      <c r="A80" s="3"/>
      <c r="B80" s="3"/>
      <c r="C80" s="115">
        <f>'R7.9'!AC80</f>
        <v>0</v>
      </c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26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33"/>
      <c r="AG80" s="133"/>
      <c r="AH80" s="133"/>
      <c r="AI80" s="133"/>
      <c r="AJ80" s="133"/>
    </row>
    <row r="81" ht="22.5" hidden="1" customHeight="1">
      <c r="A81" s="3"/>
      <c r="B81" s="3"/>
      <c r="C81" s="115">
        <f>'R7.9'!AC81</f>
        <v>0</v>
      </c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26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33"/>
      <c r="AG81" s="133"/>
      <c r="AH81" s="133"/>
      <c r="AI81" s="133"/>
      <c r="AJ81" s="133"/>
    </row>
    <row r="82" ht="22.5" hidden="1" customHeight="1">
      <c r="A82" s="3"/>
      <c r="B82" s="3"/>
      <c r="C82" s="115">
        <f>'R7.9'!AC82</f>
        <v>0</v>
      </c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26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33"/>
      <c r="AG82" s="133"/>
      <c r="AH82" s="133"/>
      <c r="AI82" s="133"/>
      <c r="AJ82" s="133"/>
    </row>
    <row r="83" ht="22.5" hidden="1" customHeight="1">
      <c r="A83" s="3"/>
      <c r="B83" s="3"/>
      <c r="C83" s="115">
        <f>'R7.9'!AC83</f>
        <v>0</v>
      </c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26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33"/>
      <c r="AG83" s="133"/>
      <c r="AH83" s="133"/>
      <c r="AI83" s="133"/>
      <c r="AJ83" s="133"/>
    </row>
    <row r="84" ht="22.5" hidden="1" customHeight="1">
      <c r="A84" s="3"/>
      <c r="B84" s="3"/>
      <c r="C84" s="115">
        <f>'R7.9'!AC84</f>
        <v>0</v>
      </c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26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33"/>
      <c r="AG84" s="133"/>
      <c r="AH84" s="133"/>
      <c r="AI84" s="133"/>
      <c r="AJ84" s="133"/>
    </row>
    <row r="85" ht="22.5" hidden="1" customHeight="1">
      <c r="A85" s="3"/>
      <c r="B85" s="3"/>
      <c r="C85" s="115">
        <f>'R7.9'!AC85</f>
        <v>0</v>
      </c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26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33"/>
      <c r="AG85" s="133"/>
      <c r="AH85" s="133"/>
      <c r="AI85" s="133"/>
      <c r="AJ85" s="133"/>
    </row>
    <row r="86" ht="22.5" hidden="1" customHeight="1">
      <c r="A86" s="3"/>
      <c r="B86" s="3"/>
      <c r="C86" s="115">
        <f>'R7.9'!AC86</f>
        <v>0</v>
      </c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26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33"/>
      <c r="AG86" s="133"/>
      <c r="AH86" s="133"/>
      <c r="AI86" s="133"/>
      <c r="AJ86" s="133"/>
    </row>
    <row r="87" ht="22.5" hidden="1" customHeight="1">
      <c r="A87" s="3"/>
      <c r="B87" s="3"/>
      <c r="C87" s="115">
        <f>'R7.9'!AC87</f>
        <v>0</v>
      </c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26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33"/>
      <c r="AG87" s="133"/>
      <c r="AH87" s="133"/>
      <c r="AI87" s="133"/>
      <c r="AJ87" s="133"/>
    </row>
    <row r="88" ht="22.5" hidden="1" customHeight="1">
      <c r="A88" s="3"/>
      <c r="B88" s="3"/>
      <c r="C88" s="115">
        <f>'R7.9'!AC88</f>
        <v>0</v>
      </c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26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33"/>
      <c r="AG88" s="133"/>
      <c r="AH88" s="133"/>
      <c r="AI88" s="133"/>
      <c r="AJ88" s="133"/>
    </row>
    <row r="89" ht="22.5" hidden="1" customHeight="1">
      <c r="A89" s="3"/>
      <c r="B89" s="3"/>
      <c r="C89" s="115">
        <f>'R7.9'!AC89</f>
        <v>0</v>
      </c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26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33"/>
      <c r="AG89" s="133"/>
      <c r="AH89" s="133"/>
      <c r="AI89" s="133"/>
      <c r="AJ89" s="133"/>
    </row>
    <row r="90" ht="22.5" hidden="1" customHeight="1">
      <c r="A90" s="3"/>
      <c r="B90" s="3"/>
      <c r="C90" s="115">
        <f>'R7.9'!AC90</f>
        <v>0</v>
      </c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26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33"/>
      <c r="AG90" s="133"/>
      <c r="AH90" s="133"/>
      <c r="AI90" s="133"/>
      <c r="AJ90" s="133"/>
    </row>
    <row r="91" ht="22.5" hidden="1" customHeight="1">
      <c r="A91" s="3"/>
      <c r="B91" s="3"/>
      <c r="C91" s="115">
        <f>'R7.9'!AC91</f>
        <v>0</v>
      </c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26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33"/>
      <c r="AG91" s="133"/>
      <c r="AH91" s="133"/>
      <c r="AI91" s="133"/>
      <c r="AJ91" s="133"/>
    </row>
    <row r="92" ht="22.5" hidden="1" customHeight="1">
      <c r="A92" s="3"/>
      <c r="B92" s="3"/>
      <c r="C92" s="115">
        <f>'R7.9'!AC92</f>
        <v>0</v>
      </c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26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33"/>
      <c r="AG92" s="133"/>
      <c r="AH92" s="133"/>
      <c r="AI92" s="133"/>
      <c r="AJ92" s="133"/>
    </row>
    <row r="93" ht="22.5" hidden="1" customHeight="1">
      <c r="A93" s="3"/>
      <c r="B93" s="3"/>
      <c r="C93" s="115">
        <f>'R7.9'!AC93</f>
        <v>0</v>
      </c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26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33"/>
      <c r="AG93" s="133"/>
      <c r="AH93" s="133"/>
      <c r="AI93" s="133"/>
      <c r="AJ93" s="133"/>
    </row>
    <row r="94" ht="22.5" hidden="1" customHeight="1">
      <c r="A94" s="3"/>
      <c r="B94" s="3"/>
      <c r="C94" s="115">
        <f>'R7.9'!AC94</f>
        <v>0</v>
      </c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26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33"/>
      <c r="AG94" s="133"/>
      <c r="AH94" s="133"/>
      <c r="AI94" s="133"/>
      <c r="AJ94" s="133"/>
    </row>
    <row r="95" ht="22.5" hidden="1" customHeight="1">
      <c r="A95" s="3"/>
      <c r="B95" s="3"/>
      <c r="C95" s="115">
        <f>'R7.9'!AC95</f>
        <v>0</v>
      </c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26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33"/>
      <c r="AG95" s="133"/>
      <c r="AH95" s="133"/>
      <c r="AI95" s="133"/>
      <c r="AJ95" s="133"/>
    </row>
    <row r="96" ht="22.5" hidden="1" customHeight="1">
      <c r="A96" s="3"/>
      <c r="B96" s="3"/>
      <c r="C96" s="115">
        <f>'R7.9'!AC96</f>
        <v>0</v>
      </c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26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33"/>
      <c r="AG96" s="133"/>
      <c r="AH96" s="133"/>
      <c r="AI96" s="133"/>
      <c r="AJ96" s="133"/>
    </row>
    <row r="97" ht="22.5" hidden="1" customHeight="1">
      <c r="A97" s="3"/>
      <c r="B97" s="3"/>
      <c r="C97" s="115">
        <f>'R7.9'!AC97</f>
        <v>0</v>
      </c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26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33"/>
      <c r="AG97" s="133"/>
      <c r="AH97" s="133"/>
      <c r="AI97" s="133"/>
      <c r="AJ97" s="133"/>
    </row>
    <row r="98" ht="22.5" hidden="1" customHeight="1">
      <c r="A98" s="3"/>
      <c r="B98" s="3"/>
      <c r="C98" s="115">
        <f>'R7.9'!AC98</f>
        <v>0</v>
      </c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26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33"/>
      <c r="AG98" s="133"/>
      <c r="AH98" s="133"/>
      <c r="AI98" s="133"/>
      <c r="AJ98" s="133"/>
    </row>
    <row r="99" ht="22.5" hidden="1" customHeight="1">
      <c r="A99" s="3"/>
      <c r="B99" s="3"/>
      <c r="C99" s="115">
        <f>'R7.9'!AC99</f>
        <v>0</v>
      </c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26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33"/>
      <c r="AG99" s="133"/>
      <c r="AH99" s="133"/>
      <c r="AI99" s="133"/>
      <c r="AJ99" s="133"/>
    </row>
    <row r="100" ht="22.5" hidden="1" customHeight="1">
      <c r="A100" s="3"/>
      <c r="B100" s="3"/>
      <c r="C100" s="115">
        <f>'R7.9'!AC100</f>
        <v>0</v>
      </c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26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33"/>
      <c r="AG100" s="133"/>
      <c r="AH100" s="133"/>
      <c r="AI100" s="133"/>
      <c r="AJ100" s="133"/>
    </row>
    <row r="101" ht="22.5" hidden="1" customHeight="1">
      <c r="A101" s="3"/>
      <c r="B101" s="3"/>
      <c r="C101" s="115">
        <f>'R7.9'!AC101</f>
        <v>0</v>
      </c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26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33"/>
      <c r="AG101" s="133"/>
      <c r="AH101" s="133"/>
      <c r="AI101" s="133"/>
      <c r="AJ101" s="133"/>
    </row>
    <row r="102" ht="22.5" hidden="1" customHeight="1">
      <c r="A102" s="3"/>
      <c r="B102" s="3"/>
      <c r="C102" s="115">
        <f>'R7.9'!AC102</f>
        <v>0</v>
      </c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26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33"/>
      <c r="AG102" s="133"/>
      <c r="AH102" s="133"/>
      <c r="AI102" s="133"/>
      <c r="AJ102" s="133"/>
    </row>
    <row r="103" ht="22.5" hidden="1" customHeight="1">
      <c r="A103" s="3"/>
      <c r="B103" s="3"/>
      <c r="C103" s="115">
        <f>'R7.9'!AC103</f>
        <v>0</v>
      </c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26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33"/>
      <c r="AG103" s="133"/>
      <c r="AH103" s="133"/>
      <c r="AI103" s="133"/>
      <c r="AJ103" s="133"/>
    </row>
    <row r="104" ht="22.5" hidden="1" customHeight="1">
      <c r="A104" s="3"/>
      <c r="B104" s="3"/>
      <c r="C104" s="115">
        <f>'R7.9'!AC104</f>
        <v>0</v>
      </c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26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33"/>
      <c r="AG104" s="133"/>
      <c r="AH104" s="133"/>
      <c r="AI104" s="133"/>
      <c r="AJ104" s="133"/>
    </row>
    <row r="105" ht="22.5" hidden="1" customHeight="1">
      <c r="A105" s="3"/>
      <c r="B105" s="3"/>
      <c r="C105" s="115">
        <f>'R7.9'!AC105</f>
        <v>0</v>
      </c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26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33"/>
      <c r="AG105" s="133"/>
      <c r="AH105" s="133"/>
      <c r="AI105" s="133"/>
      <c r="AJ105" s="133"/>
    </row>
    <row r="106" ht="22.5" hidden="1" customHeight="1">
      <c r="A106" s="3"/>
      <c r="B106" s="3"/>
      <c r="C106" s="115">
        <f>'R7.9'!AC106</f>
        <v>0</v>
      </c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26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33"/>
      <c r="AG106" s="133"/>
      <c r="AH106" s="133"/>
      <c r="AI106" s="133"/>
      <c r="AJ106" s="133"/>
    </row>
    <row r="107" ht="22.5" hidden="1" customHeight="1">
      <c r="A107" s="3"/>
      <c r="B107" s="3"/>
      <c r="C107" s="115">
        <f>'R7.9'!AC107</f>
        <v>0</v>
      </c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26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33"/>
      <c r="AG107" s="133"/>
      <c r="AH107" s="133"/>
      <c r="AI107" s="133"/>
      <c r="AJ107" s="133"/>
    </row>
    <row r="108" ht="22.5" hidden="1" customHeight="1">
      <c r="A108" s="3"/>
      <c r="B108" s="3"/>
      <c r="C108" s="115">
        <f>'R7.9'!AC108</f>
        <v>0</v>
      </c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26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33"/>
      <c r="AG108" s="133"/>
      <c r="AH108" s="133"/>
      <c r="AI108" s="133"/>
      <c r="AJ108" s="133"/>
    </row>
    <row r="109" ht="22.5" customHeight="1">
      <c r="A109" s="3"/>
      <c r="B109" s="3"/>
      <c r="C109" s="115">
        <f>'R7.9'!AC109</f>
        <v>0</v>
      </c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26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3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34" t="str">
        <f>'R7.9'!AC110</f>
        <v/>
      </c>
      <c r="D110" s="120">
        <f t="shared" ref="D110:V110" si="5">SUM(D3:D109)</f>
        <v>320000</v>
      </c>
      <c r="E110" s="120">
        <f t="shared" si="5"/>
        <v>40000</v>
      </c>
      <c r="F110" s="120">
        <f t="shared" si="5"/>
        <v>40000</v>
      </c>
      <c r="G110" s="120">
        <f t="shared" si="5"/>
        <v>16000</v>
      </c>
      <c r="H110" s="120">
        <f t="shared" si="5"/>
        <v>80000</v>
      </c>
      <c r="I110" s="120">
        <f t="shared" si="5"/>
        <v>160600</v>
      </c>
      <c r="J110" s="135">
        <f t="shared" si="5"/>
        <v>-80001</v>
      </c>
      <c r="K110" s="120">
        <f t="shared" si="5"/>
        <v>0</v>
      </c>
      <c r="L110" s="120">
        <f t="shared" si="5"/>
        <v>13140</v>
      </c>
      <c r="M110" s="120">
        <f t="shared" si="5"/>
        <v>20000</v>
      </c>
      <c r="N110" s="120">
        <f t="shared" si="5"/>
        <v>0</v>
      </c>
      <c r="O110" s="120">
        <f t="shared" si="5"/>
        <v>14673</v>
      </c>
      <c r="P110" s="120">
        <f t="shared" si="5"/>
        <v>0</v>
      </c>
      <c r="Q110" s="120">
        <f t="shared" si="5"/>
        <v>9523</v>
      </c>
      <c r="R110" s="120">
        <f t="shared" si="5"/>
        <v>0</v>
      </c>
      <c r="S110" s="120">
        <f t="shared" si="5"/>
        <v>0</v>
      </c>
      <c r="T110" s="120">
        <f t="shared" si="5"/>
        <v>0</v>
      </c>
      <c r="U110" s="120">
        <f t="shared" si="5"/>
        <v>0</v>
      </c>
      <c r="V110" s="120">
        <f t="shared" si="5"/>
        <v>-320000</v>
      </c>
      <c r="W110" s="122">
        <f t="shared" si="4"/>
        <v>313935</v>
      </c>
      <c r="X110" s="120">
        <f t="shared" ref="X110:Y110" si="6">SUM(X3:X109)</f>
        <v>46825</v>
      </c>
      <c r="Y110" s="120">
        <f t="shared" si="6"/>
        <v>7500</v>
      </c>
      <c r="Z110" s="120">
        <f t="shared" si="2"/>
        <v>368260</v>
      </c>
      <c r="AA110" s="124"/>
      <c r="AC110" s="136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ht="15.75" customHeight="1">
      <c r="A113" s="114"/>
      <c r="B113" s="114"/>
      <c r="C113" s="124" t="s">
        <v>131</v>
      </c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 t="s">
        <v>131</v>
      </c>
      <c r="W113" s="124"/>
      <c r="X113" s="124"/>
      <c r="Y113" s="124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S115" s="124"/>
      <c r="T115" s="124"/>
      <c r="U115" s="124"/>
      <c r="V115" s="124"/>
      <c r="W115" s="124"/>
      <c r="X115" s="124"/>
      <c r="Y115" s="124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>
      <c r="A228" s="114"/>
      <c r="B228" s="114"/>
    </row>
    <row r="229" ht="15.75" customHeight="1">
      <c r="A229" s="114"/>
      <c r="B229" s="114"/>
    </row>
    <row r="230" ht="15.75" customHeight="1">
      <c r="A230" s="114"/>
      <c r="B230" s="114"/>
    </row>
    <row r="231" ht="15.75" customHeight="1">
      <c r="A231" s="114"/>
      <c r="B231" s="114"/>
    </row>
    <row r="232" ht="15.75" customHeight="1">
      <c r="A232" s="114"/>
      <c r="B232" s="114"/>
    </row>
    <row r="233" ht="15.75" customHeight="1">
      <c r="A233" s="114"/>
      <c r="B233" s="114"/>
    </row>
    <row r="234" ht="15.75" customHeight="1">
      <c r="A234" s="114"/>
      <c r="B234" s="114"/>
    </row>
    <row r="235" ht="15.75" customHeight="1">
      <c r="A235" s="114"/>
      <c r="B235" s="114"/>
    </row>
    <row r="236" ht="15.75" customHeight="1">
      <c r="A236" s="114"/>
      <c r="B236" s="114"/>
    </row>
    <row r="237" ht="15.75" customHeight="1">
      <c r="A237" s="114"/>
      <c r="B237" s="114"/>
    </row>
    <row r="238" ht="15.75" customHeight="1">
      <c r="A238" s="114"/>
      <c r="B238" s="114"/>
    </row>
    <row r="239" ht="15.75" customHeight="1">
      <c r="A239" s="114"/>
      <c r="B239" s="114"/>
    </row>
    <row r="240" ht="15.75" customHeight="1">
      <c r="A240" s="114"/>
      <c r="B240" s="114"/>
    </row>
    <row r="241" ht="15.75" customHeight="1">
      <c r="A241" s="114"/>
      <c r="B241" s="114"/>
    </row>
    <row r="242" ht="15.75" customHeight="1">
      <c r="A242" s="114"/>
      <c r="B242" s="114"/>
    </row>
    <row r="243" ht="15.75" customHeight="1">
      <c r="A243" s="114"/>
      <c r="B243" s="114"/>
    </row>
    <row r="244" ht="15.75" customHeight="1">
      <c r="A244" s="114"/>
      <c r="B244" s="114"/>
    </row>
    <row r="245" ht="15.75" customHeight="1">
      <c r="A245" s="114"/>
      <c r="B245" s="114"/>
    </row>
    <row r="246" ht="15.75" customHeight="1">
      <c r="A246" s="114"/>
      <c r="B246" s="114"/>
    </row>
    <row r="247" ht="15.75" customHeight="1">
      <c r="A247" s="114"/>
      <c r="B247" s="114"/>
    </row>
    <row r="248" ht="15.75" customHeight="1">
      <c r="A248" s="114"/>
      <c r="B248" s="114"/>
    </row>
    <row r="249" ht="15.75" customHeight="1">
      <c r="A249" s="114"/>
      <c r="B249" s="114"/>
    </row>
    <row r="250" ht="15.75" customHeight="1">
      <c r="A250" s="114"/>
      <c r="B250" s="114"/>
    </row>
    <row r="251" ht="15.75" customHeight="1">
      <c r="A251" s="114"/>
      <c r="B251" s="114"/>
    </row>
    <row r="252" ht="15.75" customHeight="1">
      <c r="A252" s="114"/>
      <c r="B252" s="114"/>
    </row>
    <row r="253" ht="15.75" customHeight="1">
      <c r="A253" s="114"/>
      <c r="B253" s="114"/>
    </row>
    <row r="254" ht="15.75" customHeight="1">
      <c r="A254" s="114"/>
      <c r="B254" s="114"/>
    </row>
    <row r="255" ht="15.75" customHeight="1">
      <c r="A255" s="114"/>
      <c r="B255" s="114"/>
    </row>
    <row r="256" ht="15.75" customHeight="1">
      <c r="A256" s="114"/>
      <c r="B256" s="114"/>
    </row>
    <row r="257" ht="15.75" customHeight="1">
      <c r="A257" s="114"/>
      <c r="B257" s="114"/>
    </row>
    <row r="258" ht="15.75" customHeight="1">
      <c r="A258" s="114"/>
      <c r="B258" s="114"/>
    </row>
    <row r="259" ht="15.75" customHeight="1">
      <c r="A259" s="114"/>
      <c r="B259" s="114"/>
    </row>
    <row r="260" ht="15.75" customHeight="1">
      <c r="A260" s="114"/>
      <c r="B260" s="114"/>
    </row>
    <row r="261" ht="15.75" customHeight="1">
      <c r="A261" s="114"/>
      <c r="B261" s="114"/>
    </row>
    <row r="262" ht="15.75" customHeight="1">
      <c r="A262" s="114"/>
      <c r="B262" s="114"/>
    </row>
    <row r="263" ht="15.75" customHeight="1">
      <c r="A263" s="114"/>
      <c r="B263" s="114"/>
    </row>
    <row r="264" ht="15.75" customHeight="1">
      <c r="A264" s="114"/>
      <c r="B264" s="114"/>
    </row>
    <row r="265" ht="15.75" customHeight="1">
      <c r="A265" s="114"/>
      <c r="B265" s="114"/>
    </row>
    <row r="266" ht="15.75" customHeight="1">
      <c r="A266" s="114"/>
      <c r="B266" s="114"/>
    </row>
    <row r="267" ht="15.75" customHeight="1">
      <c r="A267" s="114"/>
      <c r="B267" s="114"/>
    </row>
    <row r="268" ht="15.75" customHeight="1">
      <c r="A268" s="114"/>
      <c r="B268" s="114"/>
    </row>
    <row r="269" ht="15.75" customHeight="1">
      <c r="A269" s="114"/>
      <c r="B269" s="114"/>
    </row>
    <row r="270" ht="15.75" customHeight="1">
      <c r="A270" s="114"/>
      <c r="B270" s="114"/>
    </row>
    <row r="271" ht="15.75" customHeight="1">
      <c r="A271" s="114"/>
      <c r="B271" s="114"/>
    </row>
    <row r="272" ht="15.75" customHeight="1">
      <c r="A272" s="114"/>
      <c r="B272" s="114"/>
    </row>
    <row r="273" ht="15.75" customHeight="1">
      <c r="A273" s="114"/>
      <c r="B273" s="114"/>
    </row>
    <row r="274" ht="15.75" customHeight="1">
      <c r="A274" s="114"/>
      <c r="B274" s="114"/>
    </row>
    <row r="275" ht="15.75" customHeight="1">
      <c r="A275" s="114"/>
      <c r="B275" s="114"/>
    </row>
    <row r="276" ht="15.75" customHeight="1">
      <c r="A276" s="114"/>
      <c r="B276" s="114"/>
    </row>
    <row r="277" ht="15.75" customHeight="1">
      <c r="A277" s="114"/>
      <c r="B277" s="114"/>
    </row>
    <row r="278" ht="15.75" customHeight="1">
      <c r="A278" s="114"/>
      <c r="B278" s="114"/>
    </row>
    <row r="279" ht="15.75" customHeight="1">
      <c r="A279" s="114"/>
      <c r="B279" s="114"/>
    </row>
    <row r="280" ht="15.75" customHeight="1">
      <c r="A280" s="114"/>
      <c r="B280" s="114"/>
    </row>
    <row r="281" ht="15.75" customHeight="1">
      <c r="A281" s="114"/>
      <c r="B281" s="114"/>
    </row>
    <row r="282" ht="15.75" customHeight="1">
      <c r="A282" s="114"/>
      <c r="B282" s="114"/>
    </row>
    <row r="283" ht="15.75" customHeight="1">
      <c r="A283" s="114"/>
      <c r="B283" s="114"/>
    </row>
    <row r="284" ht="15.75" customHeight="1">
      <c r="A284" s="114"/>
      <c r="B284" s="114"/>
    </row>
    <row r="285" ht="15.75" customHeight="1">
      <c r="A285" s="114"/>
      <c r="B285" s="114"/>
    </row>
    <row r="286" ht="15.75" customHeight="1">
      <c r="A286" s="114"/>
      <c r="B286" s="114"/>
    </row>
    <row r="287" ht="15.75" customHeight="1">
      <c r="A287" s="114"/>
      <c r="B287" s="114"/>
    </row>
    <row r="288" ht="15.75" customHeight="1">
      <c r="A288" s="114"/>
      <c r="B288" s="114"/>
    </row>
    <row r="289" ht="15.75" customHeight="1">
      <c r="A289" s="114"/>
      <c r="B289" s="114"/>
    </row>
    <row r="290" ht="15.75" customHeight="1">
      <c r="A290" s="114"/>
      <c r="B290" s="114"/>
    </row>
    <row r="291" ht="15.75" customHeight="1">
      <c r="A291" s="114"/>
      <c r="B291" s="114"/>
    </row>
    <row r="292" ht="15.75" customHeight="1">
      <c r="A292" s="114"/>
      <c r="B292" s="114"/>
    </row>
    <row r="293" ht="15.75" customHeight="1">
      <c r="A293" s="114"/>
      <c r="B293" s="114"/>
    </row>
    <row r="294" ht="15.75" customHeight="1">
      <c r="A294" s="114"/>
      <c r="B294" s="114"/>
    </row>
    <row r="295" ht="15.75" customHeight="1">
      <c r="A295" s="114"/>
      <c r="B295" s="114"/>
    </row>
    <row r="296" ht="15.75" customHeight="1">
      <c r="A296" s="114"/>
      <c r="B296" s="114"/>
    </row>
    <row r="297" ht="15.75" customHeight="1">
      <c r="A297" s="114"/>
      <c r="B297" s="114"/>
    </row>
    <row r="298" ht="15.75" customHeight="1">
      <c r="A298" s="114"/>
      <c r="B298" s="114"/>
    </row>
    <row r="299" ht="15.75" customHeight="1">
      <c r="A299" s="114"/>
      <c r="B299" s="114"/>
    </row>
    <row r="300" ht="15.75" customHeight="1">
      <c r="A300" s="114"/>
      <c r="B300" s="114"/>
    </row>
    <row r="301" ht="15.75" customHeight="1">
      <c r="A301" s="114"/>
      <c r="B301" s="114"/>
    </row>
    <row r="302" ht="15.75" customHeight="1">
      <c r="A302" s="114"/>
      <c r="B302" s="114"/>
    </row>
    <row r="303" ht="15.75" customHeight="1">
      <c r="A303" s="114"/>
      <c r="B303" s="114"/>
    </row>
    <row r="304" ht="15.75" customHeight="1">
      <c r="A304" s="114"/>
      <c r="B304" s="114"/>
    </row>
    <row r="305" ht="15.75" customHeight="1">
      <c r="A305" s="114"/>
      <c r="B305" s="114"/>
    </row>
    <row r="306" ht="15.75" customHeight="1">
      <c r="A306" s="114"/>
      <c r="B306" s="114"/>
    </row>
    <row r="307" ht="15.75" customHeight="1">
      <c r="A307" s="114"/>
      <c r="B307" s="114"/>
    </row>
    <row r="308" ht="15.75" customHeight="1">
      <c r="A308" s="114"/>
      <c r="B308" s="114"/>
    </row>
    <row r="309" ht="15.75" customHeight="1">
      <c r="A309" s="114"/>
      <c r="B309" s="114"/>
    </row>
    <row r="310" ht="15.75" customHeight="1">
      <c r="A310" s="114"/>
      <c r="B310" s="114"/>
    </row>
    <row r="311" ht="15.75" customHeight="1">
      <c r="A311" s="114"/>
      <c r="B311" s="114"/>
    </row>
    <row r="312" ht="15.75" customHeight="1">
      <c r="A312" s="114"/>
      <c r="B312" s="114"/>
    </row>
    <row r="313" ht="15.75" customHeight="1">
      <c r="A313" s="114"/>
      <c r="B313" s="114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1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45961.0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</row>
    <row r="2" ht="22.5" customHeight="1">
      <c r="A2" s="1" t="s">
        <v>0</v>
      </c>
      <c r="B2" s="1" t="s">
        <v>1</v>
      </c>
      <c r="C2" s="108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8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14"/>
      <c r="AG2" s="114"/>
      <c r="AH2" s="114"/>
      <c r="AI2" s="114"/>
      <c r="AJ2" s="114"/>
    </row>
    <row r="3" ht="22.5" customHeight="1">
      <c r="A3" s="1" t="s">
        <v>2</v>
      </c>
      <c r="B3" s="1" t="s">
        <v>3</v>
      </c>
      <c r="C3" s="115">
        <f>'R7.9'!AC3</f>
        <v>0</v>
      </c>
      <c r="D3" s="116">
        <v>40000.0</v>
      </c>
      <c r="E3" s="116">
        <v>5000.0</v>
      </c>
      <c r="F3" s="116">
        <v>5000.0</v>
      </c>
      <c r="G3" s="116">
        <v>2000.0</v>
      </c>
      <c r="H3" s="117">
        <v>10000.0</v>
      </c>
      <c r="I3" s="118">
        <v>39380.0</v>
      </c>
      <c r="J3" s="119">
        <v>-19531.0</v>
      </c>
      <c r="K3" s="117">
        <v>0.0</v>
      </c>
      <c r="L3" s="117">
        <v>2263.0</v>
      </c>
      <c r="M3" s="120"/>
      <c r="N3" s="117"/>
      <c r="O3" s="117">
        <v>650.0</v>
      </c>
      <c r="P3" s="117"/>
      <c r="Q3" s="117"/>
      <c r="R3" s="119"/>
      <c r="S3" s="119"/>
      <c r="T3" s="119"/>
      <c r="U3" s="119"/>
      <c r="V3" s="121"/>
      <c r="W3" s="122">
        <f t="shared" ref="W3:W6" si="1">SUM(D3:V3)</f>
        <v>84762</v>
      </c>
      <c r="X3" s="123">
        <v>19531.0</v>
      </c>
      <c r="Y3" s="123"/>
      <c r="Z3" s="120">
        <f t="shared" ref="Z3:Z110" si="2">SUM(W3:Y3)</f>
        <v>104293</v>
      </c>
      <c r="AA3" s="124" t="s">
        <v>127</v>
      </c>
      <c r="AB3" s="63" t="s">
        <v>128</v>
      </c>
      <c r="AC3" s="125">
        <f t="shared" ref="AC3:AC109" si="3">C3-M3</f>
        <v>0</v>
      </c>
    </row>
    <row r="4" ht="22.5" customHeight="1">
      <c r="A4" s="1" t="s">
        <v>4</v>
      </c>
      <c r="B4" s="1" t="s">
        <v>5</v>
      </c>
      <c r="C4" s="115">
        <f>'R7.9'!AC4</f>
        <v>0</v>
      </c>
      <c r="D4" s="116">
        <v>40000.0</v>
      </c>
      <c r="E4" s="116">
        <v>5000.0</v>
      </c>
      <c r="F4" s="116">
        <v>5000.0</v>
      </c>
      <c r="G4" s="116">
        <v>2000.0</v>
      </c>
      <c r="H4" s="117">
        <v>10000.0</v>
      </c>
      <c r="I4" s="118">
        <v>17050.0</v>
      </c>
      <c r="J4" s="119">
        <v>0.0</v>
      </c>
      <c r="K4" s="117">
        <v>0.0</v>
      </c>
      <c r="L4" s="117">
        <v>0.0</v>
      </c>
      <c r="M4" s="117"/>
      <c r="N4" s="117"/>
      <c r="O4" s="117"/>
      <c r="P4" s="117"/>
      <c r="Q4" s="117"/>
      <c r="R4" s="117"/>
      <c r="S4" s="117"/>
      <c r="T4" s="117"/>
      <c r="U4" s="117"/>
      <c r="V4" s="126"/>
      <c r="W4" s="122">
        <f t="shared" si="1"/>
        <v>79050</v>
      </c>
      <c r="X4" s="123"/>
      <c r="Y4" s="123"/>
      <c r="Z4" s="120">
        <f t="shared" si="2"/>
        <v>79050</v>
      </c>
      <c r="AA4" s="124" t="s">
        <v>129</v>
      </c>
      <c r="AB4" s="63" t="s">
        <v>128</v>
      </c>
      <c r="AC4" s="125">
        <f t="shared" si="3"/>
        <v>0</v>
      </c>
    </row>
    <row r="5" ht="22.5" customHeight="1">
      <c r="A5" s="1" t="s">
        <v>6</v>
      </c>
      <c r="B5" s="1" t="s">
        <v>132</v>
      </c>
      <c r="C5" s="115">
        <f>'R7.9'!AC5</f>
        <v>92000</v>
      </c>
      <c r="D5" s="116">
        <v>40000.0</v>
      </c>
      <c r="E5" s="116">
        <v>5000.0</v>
      </c>
      <c r="F5" s="116">
        <v>5000.0</v>
      </c>
      <c r="G5" s="116">
        <v>2000.0</v>
      </c>
      <c r="H5" s="117">
        <v>10000.0</v>
      </c>
      <c r="I5" s="117">
        <v>19030.0</v>
      </c>
      <c r="J5" s="127">
        <v>-16264.0</v>
      </c>
      <c r="K5" s="117">
        <v>0.0</v>
      </c>
      <c r="L5" s="117">
        <v>2263.0</v>
      </c>
      <c r="M5" s="117">
        <v>10000.0</v>
      </c>
      <c r="N5" s="117"/>
      <c r="O5" s="117"/>
      <c r="P5" s="117"/>
      <c r="Q5" s="117">
        <v>6386.0</v>
      </c>
      <c r="R5" s="117"/>
      <c r="S5" s="117"/>
      <c r="T5" s="117"/>
      <c r="U5" s="117"/>
      <c r="V5" s="126"/>
      <c r="W5" s="122">
        <f t="shared" si="1"/>
        <v>83415</v>
      </c>
      <c r="X5" s="123">
        <v>21585.0</v>
      </c>
      <c r="Y5" s="123">
        <v>5000.0</v>
      </c>
      <c r="Z5" s="120">
        <f t="shared" si="2"/>
        <v>110000</v>
      </c>
      <c r="AA5" s="124">
        <v>110000.0</v>
      </c>
      <c r="AB5" s="63" t="s">
        <v>128</v>
      </c>
      <c r="AC5" s="125">
        <f t="shared" si="3"/>
        <v>82000</v>
      </c>
    </row>
    <row r="6" ht="22.5" customHeight="1">
      <c r="A6" s="1" t="s">
        <v>7</v>
      </c>
      <c r="B6" s="1" t="s">
        <v>8</v>
      </c>
      <c r="C6" s="115">
        <f>'R7.9'!AC6</f>
        <v>0</v>
      </c>
      <c r="D6" s="116">
        <v>40000.0</v>
      </c>
      <c r="E6" s="116">
        <v>5000.0</v>
      </c>
      <c r="F6" s="116">
        <v>5000.0</v>
      </c>
      <c r="G6" s="116">
        <v>2000.0</v>
      </c>
      <c r="H6" s="117">
        <v>10000.0</v>
      </c>
      <c r="I6" s="117">
        <v>0.0</v>
      </c>
      <c r="J6" s="119">
        <v>0.0</v>
      </c>
      <c r="K6" s="117">
        <v>0.0</v>
      </c>
      <c r="L6" s="117">
        <v>2263.0</v>
      </c>
      <c r="M6" s="117"/>
      <c r="N6" s="117"/>
      <c r="O6" s="117"/>
      <c r="P6" s="117"/>
      <c r="Q6" s="117">
        <v>50.0</v>
      </c>
      <c r="R6" s="117"/>
      <c r="S6" s="117"/>
      <c r="T6" s="117"/>
      <c r="U6" s="117"/>
      <c r="V6" s="126"/>
      <c r="W6" s="122">
        <f t="shared" si="1"/>
        <v>64313</v>
      </c>
      <c r="X6" s="123"/>
      <c r="Y6" s="123"/>
      <c r="Z6" s="120">
        <f t="shared" si="2"/>
        <v>64313</v>
      </c>
      <c r="AA6" s="124" t="s">
        <v>129</v>
      </c>
      <c r="AB6" s="63" t="s">
        <v>128</v>
      </c>
      <c r="AC6" s="125">
        <f t="shared" si="3"/>
        <v>0</v>
      </c>
    </row>
    <row r="7" ht="22.5" customHeight="1">
      <c r="A7" s="1" t="s">
        <v>9</v>
      </c>
      <c r="B7" s="1" t="s">
        <v>10</v>
      </c>
      <c r="C7" s="115">
        <f>'R7.9'!AC7</f>
        <v>40000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10000.0</v>
      </c>
      <c r="I7" s="117">
        <v>41580.0</v>
      </c>
      <c r="J7" s="127">
        <v>-43771.0</v>
      </c>
      <c r="K7" s="117">
        <v>0.0</v>
      </c>
      <c r="L7" s="117">
        <v>2263.0</v>
      </c>
      <c r="M7" s="117">
        <v>10000.0</v>
      </c>
      <c r="N7" s="117"/>
      <c r="O7" s="117">
        <v>6899.0</v>
      </c>
      <c r="P7" s="117"/>
      <c r="Q7" s="117">
        <v>2796.0</v>
      </c>
      <c r="R7" s="117"/>
      <c r="S7" s="117"/>
      <c r="T7" s="117"/>
      <c r="U7" s="117"/>
      <c r="V7" s="121">
        <f>'R7.9'!AE7</f>
        <v>-210000</v>
      </c>
      <c r="W7" s="122">
        <f>SUM(D7:U7)-V7</f>
        <v>291767</v>
      </c>
      <c r="X7" s="116">
        <v>25733.0</v>
      </c>
      <c r="Y7" s="128">
        <v>2500.0</v>
      </c>
      <c r="Z7" s="120">
        <f t="shared" si="2"/>
        <v>320000</v>
      </c>
      <c r="AA7" s="124">
        <v>110000.0</v>
      </c>
      <c r="AB7" s="63" t="s">
        <v>128</v>
      </c>
      <c r="AC7" s="125">
        <f t="shared" si="3"/>
        <v>30000</v>
      </c>
      <c r="AE7" s="124">
        <f>AD7-Z7</f>
        <v>-320000</v>
      </c>
    </row>
    <row r="8" ht="22.5" customHeight="1">
      <c r="A8" s="1" t="s">
        <v>11</v>
      </c>
      <c r="B8" s="1"/>
      <c r="C8" s="115">
        <f>'R7.9'!AC8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26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</row>
    <row r="9" ht="22.5" customHeight="1">
      <c r="A9" s="1" t="s">
        <v>12</v>
      </c>
      <c r="B9" s="1" t="s">
        <v>13</v>
      </c>
      <c r="C9" s="115">
        <f>'R7.9'!AC9</f>
        <v>0</v>
      </c>
      <c r="D9" s="116">
        <v>40000.0</v>
      </c>
      <c r="E9" s="116">
        <v>5000.0</v>
      </c>
      <c r="F9" s="116">
        <v>5000.0</v>
      </c>
      <c r="G9" s="116">
        <v>2000.0</v>
      </c>
      <c r="H9" s="117">
        <v>10000.0</v>
      </c>
      <c r="I9" s="117">
        <v>0.0</v>
      </c>
      <c r="J9" s="119">
        <v>0.0</v>
      </c>
      <c r="K9" s="117">
        <v>0.0</v>
      </c>
      <c r="L9" s="117">
        <v>0.0</v>
      </c>
      <c r="M9" s="117"/>
      <c r="N9" s="117"/>
      <c r="O9" s="117"/>
      <c r="P9" s="117"/>
      <c r="Q9" s="117"/>
      <c r="R9" s="117"/>
      <c r="S9" s="117"/>
      <c r="T9" s="117"/>
      <c r="U9" s="117"/>
      <c r="V9" s="126"/>
      <c r="W9" s="122">
        <f t="shared" si="4"/>
        <v>62000</v>
      </c>
      <c r="X9" s="123"/>
      <c r="Y9" s="123"/>
      <c r="Z9" s="120">
        <f t="shared" si="2"/>
        <v>62000</v>
      </c>
      <c r="AA9" s="124" t="s">
        <v>129</v>
      </c>
      <c r="AB9" s="63" t="s">
        <v>128</v>
      </c>
      <c r="AC9" s="125">
        <f t="shared" si="3"/>
        <v>0</v>
      </c>
    </row>
    <row r="10" ht="22.5" customHeight="1">
      <c r="A10" s="1" t="s">
        <v>14</v>
      </c>
      <c r="B10" s="1" t="s">
        <v>15</v>
      </c>
      <c r="C10" s="115">
        <f>'R7.9'!AC10</f>
        <v>0</v>
      </c>
      <c r="D10" s="116">
        <v>40000.0</v>
      </c>
      <c r="E10" s="116">
        <v>5000.0</v>
      </c>
      <c r="F10" s="116">
        <v>5000.0</v>
      </c>
      <c r="G10" s="116">
        <v>2000.0</v>
      </c>
      <c r="H10" s="117">
        <v>10000.0</v>
      </c>
      <c r="I10" s="117">
        <v>44330.0</v>
      </c>
      <c r="J10" s="119">
        <v>0.0</v>
      </c>
      <c r="K10" s="117">
        <v>0.0</v>
      </c>
      <c r="L10" s="117">
        <v>2263.0</v>
      </c>
      <c r="M10" s="117"/>
      <c r="N10" s="117"/>
      <c r="O10" s="117"/>
      <c r="P10" s="117"/>
      <c r="Q10" s="117"/>
      <c r="R10" s="117"/>
      <c r="S10" s="117"/>
      <c r="T10" s="117"/>
      <c r="U10" s="117"/>
      <c r="V10" s="126"/>
      <c r="W10" s="122">
        <f t="shared" si="4"/>
        <v>108593</v>
      </c>
      <c r="X10" s="129"/>
      <c r="Y10" s="129"/>
      <c r="Z10" s="120">
        <f t="shared" si="2"/>
        <v>108593</v>
      </c>
      <c r="AA10" s="124" t="s">
        <v>129</v>
      </c>
      <c r="AB10" s="63" t="s">
        <v>128</v>
      </c>
      <c r="AC10" s="125">
        <f t="shared" si="3"/>
        <v>0</v>
      </c>
    </row>
    <row r="11" ht="22.5" customHeight="1">
      <c r="A11" s="1" t="s">
        <v>16</v>
      </c>
      <c r="B11" s="1" t="s">
        <v>17</v>
      </c>
      <c r="C11" s="115">
        <f>'R7.9'!AC11</f>
        <v>0</v>
      </c>
      <c r="D11" s="116">
        <v>40000.0</v>
      </c>
      <c r="E11" s="116">
        <v>5000.0</v>
      </c>
      <c r="F11" s="116">
        <v>5000.0</v>
      </c>
      <c r="G11" s="116">
        <v>2000.0</v>
      </c>
      <c r="H11" s="117">
        <v>10000.0</v>
      </c>
      <c r="I11" s="117">
        <v>660.0</v>
      </c>
      <c r="J11" s="119">
        <v>0.0</v>
      </c>
      <c r="K11" s="117">
        <v>0.0</v>
      </c>
      <c r="L11" s="117">
        <v>2263.0</v>
      </c>
      <c r="M11" s="130"/>
      <c r="N11" s="117"/>
      <c r="O11" s="117"/>
      <c r="P11" s="117"/>
      <c r="Q11" s="117"/>
      <c r="R11" s="117"/>
      <c r="S11" s="120"/>
      <c r="T11" s="117"/>
      <c r="U11" s="117"/>
      <c r="V11" s="126"/>
      <c r="W11" s="122">
        <f t="shared" si="4"/>
        <v>64923</v>
      </c>
      <c r="X11" s="123"/>
      <c r="Y11" s="123"/>
      <c r="Z11" s="120">
        <f t="shared" si="2"/>
        <v>64923</v>
      </c>
      <c r="AA11" s="131"/>
      <c r="AB11" s="63" t="s">
        <v>128</v>
      </c>
      <c r="AC11" s="125">
        <f t="shared" si="3"/>
        <v>0</v>
      </c>
    </row>
    <row r="12" ht="22.5" customHeight="1">
      <c r="A12" s="1"/>
      <c r="B12" s="1"/>
      <c r="C12" s="115">
        <f>'R7.9'!AC12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26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</row>
    <row r="13" ht="22.5" customHeight="1">
      <c r="A13" s="1"/>
      <c r="B13" s="3"/>
      <c r="C13" s="115">
        <f>'R7.9'!AC13</f>
        <v>0</v>
      </c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26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</row>
    <row r="14" ht="22.5" customHeight="1">
      <c r="A14" s="1"/>
      <c r="B14" s="3"/>
      <c r="C14" s="115">
        <f>'R7.9'!AC14</f>
        <v>0</v>
      </c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26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33"/>
      <c r="AG14" s="133"/>
      <c r="AH14" s="133"/>
      <c r="AI14" s="133"/>
      <c r="AJ14" s="133"/>
    </row>
    <row r="15" ht="22.5" customHeight="1">
      <c r="A15" s="1"/>
      <c r="B15" s="3"/>
      <c r="C15" s="115">
        <f>'R7.9'!AC15</f>
        <v>0</v>
      </c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26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33"/>
      <c r="AG15" s="133"/>
      <c r="AH15" s="133"/>
      <c r="AI15" s="133"/>
      <c r="AJ15" s="133"/>
    </row>
    <row r="16" ht="22.5" customHeight="1">
      <c r="A16" s="1"/>
      <c r="B16" s="3"/>
      <c r="C16" s="115">
        <f>'R7.9'!AC16</f>
        <v>0</v>
      </c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26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33"/>
      <c r="AG16" s="133"/>
      <c r="AH16" s="133"/>
      <c r="AI16" s="133"/>
      <c r="AJ16" s="133"/>
    </row>
    <row r="17" ht="22.5" customHeight="1">
      <c r="A17" s="3"/>
      <c r="B17" s="3"/>
      <c r="C17" s="115">
        <f>'R7.9'!AC17</f>
        <v>0</v>
      </c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26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33"/>
      <c r="AG17" s="133"/>
      <c r="AH17" s="133"/>
      <c r="AI17" s="133"/>
      <c r="AJ17" s="133"/>
    </row>
    <row r="18" ht="22.5" customHeight="1">
      <c r="A18" s="3"/>
      <c r="B18" s="3"/>
      <c r="C18" s="115">
        <f>'R7.9'!AC18</f>
        <v>0</v>
      </c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26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33"/>
      <c r="AG18" s="133"/>
      <c r="AH18" s="133"/>
      <c r="AI18" s="133"/>
      <c r="AJ18" s="133"/>
    </row>
    <row r="19" ht="22.5" customHeight="1">
      <c r="A19" s="3"/>
      <c r="B19" s="3"/>
      <c r="C19" s="115">
        <f>'R7.9'!AC19</f>
        <v>0</v>
      </c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26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33"/>
      <c r="AG19" s="133"/>
      <c r="AH19" s="133"/>
      <c r="AI19" s="133"/>
      <c r="AJ19" s="133"/>
    </row>
    <row r="20" ht="22.5" customHeight="1">
      <c r="A20" s="3"/>
      <c r="B20" s="3"/>
      <c r="C20" s="115">
        <f>'R7.9'!AC20</f>
        <v>0</v>
      </c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26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33"/>
      <c r="AG20" s="133"/>
      <c r="AH20" s="133"/>
      <c r="AI20" s="133"/>
      <c r="AJ20" s="133"/>
    </row>
    <row r="21" ht="22.5" customHeight="1">
      <c r="A21" s="3"/>
      <c r="B21" s="3"/>
      <c r="C21" s="115">
        <f>'R7.9'!AC21</f>
        <v>0</v>
      </c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26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33"/>
      <c r="AG21" s="133"/>
      <c r="AH21" s="133"/>
      <c r="AI21" s="133"/>
      <c r="AJ21" s="133"/>
    </row>
    <row r="22" ht="22.5" hidden="1" customHeight="1">
      <c r="A22" s="3"/>
      <c r="B22" s="3"/>
      <c r="C22" s="115">
        <f>'R7.9'!AC22</f>
        <v>0</v>
      </c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26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33"/>
      <c r="AG22" s="133"/>
      <c r="AH22" s="133"/>
      <c r="AI22" s="133"/>
      <c r="AJ22" s="133"/>
    </row>
    <row r="23" ht="22.5" hidden="1" customHeight="1">
      <c r="A23" s="3"/>
      <c r="B23" s="3"/>
      <c r="C23" s="115">
        <f>'R7.9'!AC23</f>
        <v>0</v>
      </c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26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33"/>
      <c r="AG23" s="133"/>
      <c r="AH23" s="133"/>
      <c r="AI23" s="133"/>
      <c r="AJ23" s="133"/>
    </row>
    <row r="24" ht="22.5" hidden="1" customHeight="1">
      <c r="A24" s="3"/>
      <c r="B24" s="3"/>
      <c r="C24" s="115">
        <f>'R7.9'!AC24</f>
        <v>0</v>
      </c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26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33"/>
      <c r="AG24" s="133"/>
      <c r="AH24" s="133"/>
      <c r="AI24" s="133"/>
      <c r="AJ24" s="133"/>
    </row>
    <row r="25" ht="22.5" hidden="1" customHeight="1">
      <c r="A25" s="3"/>
      <c r="B25" s="3"/>
      <c r="C25" s="115">
        <f>'R7.9'!AC25</f>
        <v>0</v>
      </c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26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33"/>
      <c r="AG25" s="133"/>
      <c r="AH25" s="133"/>
      <c r="AI25" s="133"/>
      <c r="AJ25" s="133"/>
    </row>
    <row r="26" ht="22.5" hidden="1" customHeight="1">
      <c r="A26" s="3"/>
      <c r="B26" s="3"/>
      <c r="C26" s="115">
        <f>'R7.9'!AC26</f>
        <v>0</v>
      </c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26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33"/>
      <c r="AG26" s="133"/>
      <c r="AH26" s="133"/>
      <c r="AI26" s="133"/>
      <c r="AJ26" s="133"/>
    </row>
    <row r="27" ht="22.5" hidden="1" customHeight="1">
      <c r="A27" s="3"/>
      <c r="B27" s="3"/>
      <c r="C27" s="115">
        <f>'R7.9'!AC27</f>
        <v>0</v>
      </c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26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33"/>
      <c r="AG27" s="133"/>
      <c r="AH27" s="133"/>
      <c r="AI27" s="133"/>
      <c r="AJ27" s="133"/>
    </row>
    <row r="28" ht="22.5" hidden="1" customHeight="1">
      <c r="A28" s="3"/>
      <c r="B28" s="3"/>
      <c r="C28" s="115">
        <f>'R7.9'!AC28</f>
        <v>0</v>
      </c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26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33"/>
      <c r="AG28" s="133"/>
      <c r="AH28" s="133"/>
      <c r="AI28" s="133"/>
      <c r="AJ28" s="133"/>
    </row>
    <row r="29" ht="22.5" hidden="1" customHeight="1">
      <c r="A29" s="3"/>
      <c r="B29" s="3"/>
      <c r="C29" s="115">
        <f>'R7.9'!AC29</f>
        <v>0</v>
      </c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26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33"/>
      <c r="AG29" s="133"/>
      <c r="AH29" s="133"/>
      <c r="AI29" s="133"/>
      <c r="AJ29" s="133"/>
    </row>
    <row r="30" ht="22.5" hidden="1" customHeight="1">
      <c r="A30" s="3"/>
      <c r="B30" s="3"/>
      <c r="C30" s="115">
        <f>'R7.9'!AC30</f>
        <v>0</v>
      </c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26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33"/>
      <c r="AG30" s="133"/>
      <c r="AH30" s="133"/>
      <c r="AI30" s="133"/>
      <c r="AJ30" s="133"/>
    </row>
    <row r="31" ht="22.5" hidden="1" customHeight="1">
      <c r="A31" s="3"/>
      <c r="B31" s="3"/>
      <c r="C31" s="115">
        <f>'R7.9'!AC31</f>
        <v>0</v>
      </c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26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33"/>
      <c r="AG31" s="133"/>
      <c r="AH31" s="133"/>
      <c r="AI31" s="133"/>
      <c r="AJ31" s="133"/>
    </row>
    <row r="32" ht="22.5" hidden="1" customHeight="1">
      <c r="A32" s="3"/>
      <c r="B32" s="3"/>
      <c r="C32" s="115">
        <f>'R7.9'!AC32</f>
        <v>0</v>
      </c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26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33"/>
      <c r="AG32" s="133"/>
      <c r="AH32" s="133"/>
      <c r="AI32" s="133"/>
      <c r="AJ32" s="133"/>
    </row>
    <row r="33" ht="22.5" hidden="1" customHeight="1">
      <c r="A33" s="3"/>
      <c r="B33" s="3"/>
      <c r="C33" s="115">
        <f>'R7.9'!AC33</f>
        <v>0</v>
      </c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26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33"/>
      <c r="AG33" s="133"/>
      <c r="AH33" s="133"/>
      <c r="AI33" s="133"/>
      <c r="AJ33" s="133"/>
    </row>
    <row r="34" ht="22.5" hidden="1" customHeight="1">
      <c r="A34" s="3"/>
      <c r="B34" s="3"/>
      <c r="C34" s="115">
        <f>'R7.9'!AC34</f>
        <v>0</v>
      </c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26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33"/>
      <c r="AG34" s="133"/>
      <c r="AH34" s="133"/>
      <c r="AI34" s="133"/>
      <c r="AJ34" s="133"/>
    </row>
    <row r="35" ht="22.5" hidden="1" customHeight="1">
      <c r="A35" s="3"/>
      <c r="B35" s="3"/>
      <c r="C35" s="115">
        <f>'R7.9'!AC35</f>
        <v>0</v>
      </c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26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33"/>
      <c r="AG35" s="133"/>
      <c r="AH35" s="133"/>
      <c r="AI35" s="133"/>
      <c r="AJ35" s="133"/>
    </row>
    <row r="36" ht="22.5" hidden="1" customHeight="1">
      <c r="A36" s="3"/>
      <c r="B36" s="3"/>
      <c r="C36" s="115">
        <f>'R7.9'!AC36</f>
        <v>0</v>
      </c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26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33"/>
      <c r="AG36" s="133"/>
      <c r="AH36" s="133"/>
      <c r="AI36" s="133"/>
      <c r="AJ36" s="133"/>
    </row>
    <row r="37" ht="22.5" hidden="1" customHeight="1">
      <c r="A37" s="3"/>
      <c r="B37" s="3"/>
      <c r="C37" s="115">
        <f>'R7.9'!AC37</f>
        <v>0</v>
      </c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26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33"/>
      <c r="AG37" s="133"/>
      <c r="AH37" s="133"/>
      <c r="AI37" s="133"/>
      <c r="AJ37" s="133"/>
    </row>
    <row r="38" ht="22.5" hidden="1" customHeight="1">
      <c r="A38" s="3"/>
      <c r="B38" s="3"/>
      <c r="C38" s="115">
        <f>'R7.9'!AC38</f>
        <v>0</v>
      </c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26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33"/>
      <c r="AG38" s="133"/>
      <c r="AH38" s="133"/>
      <c r="AI38" s="133"/>
      <c r="AJ38" s="133"/>
    </row>
    <row r="39" ht="22.5" hidden="1" customHeight="1">
      <c r="A39" s="3"/>
      <c r="B39" s="3"/>
      <c r="C39" s="115">
        <f>'R7.9'!AC39</f>
        <v>0</v>
      </c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26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33"/>
      <c r="AG39" s="133"/>
      <c r="AH39" s="133"/>
      <c r="AI39" s="133"/>
      <c r="AJ39" s="133"/>
    </row>
    <row r="40" ht="22.5" hidden="1" customHeight="1">
      <c r="A40" s="3"/>
      <c r="B40" s="3"/>
      <c r="C40" s="115">
        <f>'R7.9'!AC40</f>
        <v>0</v>
      </c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26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33"/>
      <c r="AG40" s="133"/>
      <c r="AH40" s="133"/>
      <c r="AI40" s="133"/>
      <c r="AJ40" s="133"/>
    </row>
    <row r="41" ht="22.5" hidden="1" customHeight="1">
      <c r="A41" s="3"/>
      <c r="B41" s="3"/>
      <c r="C41" s="115">
        <f>'R7.9'!AC41</f>
        <v>0</v>
      </c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26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33"/>
      <c r="AG41" s="133"/>
      <c r="AH41" s="133"/>
      <c r="AI41" s="133"/>
      <c r="AJ41" s="133"/>
    </row>
    <row r="42" ht="22.5" hidden="1" customHeight="1">
      <c r="A42" s="3"/>
      <c r="B42" s="3"/>
      <c r="C42" s="115">
        <f>'R7.9'!AC42</f>
        <v>0</v>
      </c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26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33"/>
      <c r="AG42" s="133"/>
      <c r="AH42" s="133"/>
      <c r="AI42" s="133"/>
      <c r="AJ42" s="133"/>
    </row>
    <row r="43" ht="22.5" hidden="1" customHeight="1">
      <c r="A43" s="3"/>
      <c r="B43" s="3"/>
      <c r="C43" s="115">
        <f>'R7.9'!AC43</f>
        <v>0</v>
      </c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26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33"/>
      <c r="AG43" s="133"/>
      <c r="AH43" s="133"/>
      <c r="AI43" s="133"/>
      <c r="AJ43" s="133"/>
    </row>
    <row r="44" ht="22.5" hidden="1" customHeight="1">
      <c r="A44" s="3"/>
      <c r="B44" s="3"/>
      <c r="C44" s="115">
        <f>'R7.9'!AC44</f>
        <v>0</v>
      </c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26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33"/>
      <c r="AG44" s="133"/>
      <c r="AH44" s="133"/>
      <c r="AI44" s="133"/>
      <c r="AJ44" s="133"/>
    </row>
    <row r="45" ht="22.5" hidden="1" customHeight="1">
      <c r="A45" s="3"/>
      <c r="B45" s="3"/>
      <c r="C45" s="115">
        <f>'R7.9'!AC45</f>
        <v>0</v>
      </c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26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33"/>
      <c r="AG45" s="133"/>
      <c r="AH45" s="133"/>
      <c r="AI45" s="133"/>
      <c r="AJ45" s="133"/>
    </row>
    <row r="46" ht="22.5" hidden="1" customHeight="1">
      <c r="A46" s="3"/>
      <c r="B46" s="3"/>
      <c r="C46" s="115">
        <f>'R7.9'!AC46</f>
        <v>0</v>
      </c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26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33"/>
      <c r="AG46" s="133"/>
      <c r="AH46" s="133"/>
      <c r="AI46" s="133"/>
      <c r="AJ46" s="133"/>
    </row>
    <row r="47" ht="22.5" hidden="1" customHeight="1">
      <c r="A47" s="3"/>
      <c r="B47" s="3"/>
      <c r="C47" s="115">
        <f>'R7.9'!AC47</f>
        <v>0</v>
      </c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26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33"/>
      <c r="AG47" s="133"/>
      <c r="AH47" s="133"/>
      <c r="AI47" s="133"/>
      <c r="AJ47" s="133"/>
    </row>
    <row r="48" ht="22.5" hidden="1" customHeight="1">
      <c r="A48" s="3"/>
      <c r="B48" s="3"/>
      <c r="C48" s="115">
        <f>'R7.9'!AC48</f>
        <v>0</v>
      </c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26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33"/>
      <c r="AG48" s="133"/>
      <c r="AH48" s="133"/>
      <c r="AI48" s="133"/>
      <c r="AJ48" s="133"/>
    </row>
    <row r="49" ht="22.5" hidden="1" customHeight="1">
      <c r="A49" s="3"/>
      <c r="B49" s="3"/>
      <c r="C49" s="115">
        <f>'R7.9'!AC49</f>
        <v>0</v>
      </c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26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33"/>
      <c r="AG49" s="133"/>
      <c r="AH49" s="133"/>
      <c r="AI49" s="133"/>
      <c r="AJ49" s="133"/>
    </row>
    <row r="50" ht="22.5" hidden="1" customHeight="1">
      <c r="A50" s="3"/>
      <c r="B50" s="3"/>
      <c r="C50" s="115">
        <f>'R7.9'!AC50</f>
        <v>0</v>
      </c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26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33"/>
      <c r="AG50" s="133"/>
      <c r="AH50" s="133"/>
      <c r="AI50" s="133"/>
      <c r="AJ50" s="133"/>
    </row>
    <row r="51" ht="22.5" hidden="1" customHeight="1">
      <c r="A51" s="3"/>
      <c r="B51" s="3"/>
      <c r="C51" s="115">
        <f>'R7.9'!AC51</f>
        <v>0</v>
      </c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26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33"/>
      <c r="AG51" s="133"/>
      <c r="AH51" s="133"/>
      <c r="AI51" s="133"/>
      <c r="AJ51" s="133"/>
    </row>
    <row r="52" ht="22.5" hidden="1" customHeight="1">
      <c r="A52" s="3"/>
      <c r="B52" s="3"/>
      <c r="C52" s="115">
        <f>'R7.9'!AC52</f>
        <v>0</v>
      </c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26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33"/>
      <c r="AG52" s="133"/>
      <c r="AH52" s="133"/>
      <c r="AI52" s="133"/>
      <c r="AJ52" s="133"/>
    </row>
    <row r="53" ht="22.5" hidden="1" customHeight="1">
      <c r="A53" s="3"/>
      <c r="B53" s="3"/>
      <c r="C53" s="115">
        <f>'R7.9'!AC53</f>
        <v>0</v>
      </c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26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33"/>
      <c r="AG53" s="133"/>
      <c r="AH53" s="133"/>
      <c r="AI53" s="133"/>
      <c r="AJ53" s="133"/>
    </row>
    <row r="54" ht="22.5" hidden="1" customHeight="1">
      <c r="A54" s="3"/>
      <c r="B54" s="3"/>
      <c r="C54" s="115">
        <f>'R7.9'!AC54</f>
        <v>0</v>
      </c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26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33"/>
      <c r="AG54" s="133"/>
      <c r="AH54" s="133"/>
      <c r="AI54" s="133"/>
      <c r="AJ54" s="133"/>
    </row>
    <row r="55" ht="22.5" hidden="1" customHeight="1">
      <c r="A55" s="3"/>
      <c r="B55" s="3"/>
      <c r="C55" s="115">
        <f>'R7.9'!AC55</f>
        <v>0</v>
      </c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26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33"/>
      <c r="AG55" s="133"/>
      <c r="AH55" s="133"/>
      <c r="AI55" s="133"/>
      <c r="AJ55" s="133"/>
    </row>
    <row r="56" ht="22.5" hidden="1" customHeight="1">
      <c r="A56" s="3"/>
      <c r="B56" s="3"/>
      <c r="C56" s="115">
        <f>'R7.9'!AC56</f>
        <v>0</v>
      </c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26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33"/>
      <c r="AG56" s="133"/>
      <c r="AH56" s="133"/>
      <c r="AI56" s="133"/>
      <c r="AJ56" s="133"/>
    </row>
    <row r="57" ht="22.5" hidden="1" customHeight="1">
      <c r="A57" s="3"/>
      <c r="B57" s="3"/>
      <c r="C57" s="115">
        <f>'R7.9'!AC57</f>
        <v>0</v>
      </c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26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33"/>
      <c r="AG57" s="133"/>
      <c r="AH57" s="133"/>
      <c r="AI57" s="133"/>
      <c r="AJ57" s="133"/>
    </row>
    <row r="58" ht="22.5" hidden="1" customHeight="1">
      <c r="A58" s="3"/>
      <c r="B58" s="3"/>
      <c r="C58" s="115">
        <f>'R7.9'!AC58</f>
        <v>0</v>
      </c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26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33"/>
      <c r="AG58" s="133"/>
      <c r="AH58" s="133"/>
      <c r="AI58" s="133"/>
      <c r="AJ58" s="133"/>
    </row>
    <row r="59" ht="22.5" hidden="1" customHeight="1">
      <c r="A59" s="3"/>
      <c r="B59" s="3"/>
      <c r="C59" s="115">
        <f>'R7.9'!AC59</f>
        <v>0</v>
      </c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26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33"/>
      <c r="AG59" s="133"/>
      <c r="AH59" s="133"/>
      <c r="AI59" s="133"/>
      <c r="AJ59" s="133"/>
    </row>
    <row r="60" ht="22.5" hidden="1" customHeight="1">
      <c r="A60" s="3"/>
      <c r="B60" s="3"/>
      <c r="C60" s="115">
        <f>'R7.9'!AC60</f>
        <v>0</v>
      </c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26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33"/>
      <c r="AG60" s="133"/>
      <c r="AH60" s="133"/>
      <c r="AI60" s="133"/>
      <c r="AJ60" s="133"/>
    </row>
    <row r="61" ht="22.5" hidden="1" customHeight="1">
      <c r="A61" s="3"/>
      <c r="B61" s="3"/>
      <c r="C61" s="115">
        <f>'R7.9'!AC61</f>
        <v>0</v>
      </c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26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33"/>
      <c r="AG61" s="133"/>
      <c r="AH61" s="133"/>
      <c r="AI61" s="133"/>
      <c r="AJ61" s="133"/>
    </row>
    <row r="62" ht="22.5" hidden="1" customHeight="1">
      <c r="A62" s="3"/>
      <c r="B62" s="3"/>
      <c r="C62" s="115">
        <f>'R7.9'!AC62</f>
        <v>0</v>
      </c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26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33"/>
      <c r="AG62" s="133"/>
      <c r="AH62" s="133"/>
      <c r="AI62" s="133"/>
      <c r="AJ62" s="133"/>
    </row>
    <row r="63" ht="22.5" hidden="1" customHeight="1">
      <c r="A63" s="3"/>
      <c r="B63" s="3"/>
      <c r="C63" s="115">
        <f>'R7.9'!AC63</f>
        <v>0</v>
      </c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26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33"/>
      <c r="AG63" s="133"/>
      <c r="AH63" s="133"/>
      <c r="AI63" s="133"/>
      <c r="AJ63" s="133"/>
    </row>
    <row r="64" ht="22.5" hidden="1" customHeight="1">
      <c r="A64" s="3"/>
      <c r="B64" s="3"/>
      <c r="C64" s="115">
        <f>'R7.9'!AC64</f>
        <v>0</v>
      </c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26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33"/>
      <c r="AG64" s="133"/>
      <c r="AH64" s="133"/>
      <c r="AI64" s="133"/>
      <c r="AJ64" s="133"/>
    </row>
    <row r="65" ht="22.5" hidden="1" customHeight="1">
      <c r="A65" s="3"/>
      <c r="B65" s="3"/>
      <c r="C65" s="115">
        <f>'R7.9'!AC65</f>
        <v>0</v>
      </c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26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33"/>
      <c r="AG65" s="133"/>
      <c r="AH65" s="133"/>
      <c r="AI65" s="133"/>
      <c r="AJ65" s="133"/>
    </row>
    <row r="66" ht="22.5" hidden="1" customHeight="1">
      <c r="A66" s="3"/>
      <c r="B66" s="3"/>
      <c r="C66" s="115">
        <f>'R7.9'!AC66</f>
        <v>0</v>
      </c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26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33"/>
      <c r="AG66" s="133"/>
      <c r="AH66" s="133"/>
      <c r="AI66" s="133"/>
      <c r="AJ66" s="133"/>
    </row>
    <row r="67" ht="22.5" hidden="1" customHeight="1">
      <c r="A67" s="3"/>
      <c r="B67" s="3"/>
      <c r="C67" s="115">
        <f>'R7.9'!AC67</f>
        <v>0</v>
      </c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26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33"/>
      <c r="AG67" s="133"/>
      <c r="AH67" s="133"/>
      <c r="AI67" s="133"/>
      <c r="AJ67" s="133"/>
    </row>
    <row r="68" ht="22.5" hidden="1" customHeight="1">
      <c r="A68" s="3"/>
      <c r="B68" s="3"/>
      <c r="C68" s="115">
        <f>'R7.9'!AC68</f>
        <v>0</v>
      </c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26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33"/>
      <c r="AG68" s="133"/>
      <c r="AH68" s="133"/>
      <c r="AI68" s="133"/>
      <c r="AJ68" s="133"/>
    </row>
    <row r="69" ht="22.5" hidden="1" customHeight="1">
      <c r="A69" s="3"/>
      <c r="B69" s="3"/>
      <c r="C69" s="115">
        <f>'R7.9'!AC69</f>
        <v>0</v>
      </c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26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33"/>
      <c r="AG69" s="133"/>
      <c r="AH69" s="133"/>
      <c r="AI69" s="133"/>
      <c r="AJ69" s="133"/>
    </row>
    <row r="70" ht="22.5" hidden="1" customHeight="1">
      <c r="A70" s="3"/>
      <c r="B70" s="3"/>
      <c r="C70" s="115">
        <f>'R7.9'!AC70</f>
        <v>0</v>
      </c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26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33"/>
      <c r="AG70" s="133"/>
      <c r="AH70" s="133"/>
      <c r="AI70" s="133"/>
      <c r="AJ70" s="133"/>
    </row>
    <row r="71" ht="22.5" hidden="1" customHeight="1">
      <c r="A71" s="3"/>
      <c r="B71" s="3"/>
      <c r="C71" s="115">
        <f>'R7.9'!AC71</f>
        <v>0</v>
      </c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26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33"/>
      <c r="AG71" s="133"/>
      <c r="AH71" s="133"/>
      <c r="AI71" s="133"/>
      <c r="AJ71" s="133"/>
    </row>
    <row r="72" ht="22.5" hidden="1" customHeight="1">
      <c r="A72" s="3"/>
      <c r="B72" s="3"/>
      <c r="C72" s="115">
        <f>'R7.9'!AC72</f>
        <v>0</v>
      </c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26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33"/>
      <c r="AG72" s="133"/>
      <c r="AH72" s="133"/>
      <c r="AI72" s="133"/>
      <c r="AJ72" s="133"/>
    </row>
    <row r="73" ht="22.5" hidden="1" customHeight="1">
      <c r="A73" s="3"/>
      <c r="B73" s="3"/>
      <c r="C73" s="115">
        <f>'R7.9'!AC73</f>
        <v>0</v>
      </c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26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33"/>
      <c r="AG73" s="133"/>
      <c r="AH73" s="133"/>
      <c r="AI73" s="133"/>
      <c r="AJ73" s="133"/>
    </row>
    <row r="74" ht="22.5" hidden="1" customHeight="1">
      <c r="A74" s="3"/>
      <c r="B74" s="3"/>
      <c r="C74" s="115">
        <f>'R7.9'!AC74</f>
        <v>0</v>
      </c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26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33"/>
      <c r="AG74" s="133"/>
      <c r="AH74" s="133"/>
      <c r="AI74" s="133"/>
      <c r="AJ74" s="133"/>
    </row>
    <row r="75" ht="22.5" hidden="1" customHeight="1">
      <c r="A75" s="3"/>
      <c r="B75" s="3"/>
      <c r="C75" s="115">
        <f>'R7.9'!AC75</f>
        <v>0</v>
      </c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26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33"/>
      <c r="AG75" s="133"/>
      <c r="AH75" s="133"/>
      <c r="AI75" s="133"/>
      <c r="AJ75" s="133"/>
    </row>
    <row r="76" ht="22.5" hidden="1" customHeight="1">
      <c r="A76" s="3"/>
      <c r="B76" s="3"/>
      <c r="C76" s="115">
        <f>'R7.9'!AC76</f>
        <v>0</v>
      </c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26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33"/>
      <c r="AG76" s="133"/>
      <c r="AH76" s="133"/>
      <c r="AI76" s="133"/>
      <c r="AJ76" s="133"/>
    </row>
    <row r="77" ht="22.5" hidden="1" customHeight="1">
      <c r="A77" s="3"/>
      <c r="B77" s="3"/>
      <c r="C77" s="115">
        <f>'R7.9'!AC77</f>
        <v>0</v>
      </c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26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33"/>
      <c r="AG77" s="133"/>
      <c r="AH77" s="133"/>
      <c r="AI77" s="133"/>
      <c r="AJ77" s="133"/>
    </row>
    <row r="78" ht="22.5" hidden="1" customHeight="1">
      <c r="A78" s="3"/>
      <c r="B78" s="3"/>
      <c r="C78" s="115">
        <f>'R7.9'!AC78</f>
        <v>0</v>
      </c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26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33"/>
      <c r="AG78" s="133"/>
      <c r="AH78" s="133"/>
      <c r="AI78" s="133"/>
      <c r="AJ78" s="133"/>
    </row>
    <row r="79" ht="22.5" hidden="1" customHeight="1">
      <c r="A79" s="3"/>
      <c r="B79" s="3"/>
      <c r="C79" s="115">
        <f>'R7.9'!AC79</f>
        <v>0</v>
      </c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26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33"/>
      <c r="AG79" s="133"/>
      <c r="AH79" s="133"/>
      <c r="AI79" s="133"/>
      <c r="AJ79" s="133"/>
    </row>
    <row r="80" ht="22.5" hidden="1" customHeight="1">
      <c r="A80" s="3"/>
      <c r="B80" s="3"/>
      <c r="C80" s="115">
        <f>'R7.9'!AC80</f>
        <v>0</v>
      </c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26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33"/>
      <c r="AG80" s="133"/>
      <c r="AH80" s="133"/>
      <c r="AI80" s="133"/>
      <c r="AJ80" s="133"/>
    </row>
    <row r="81" ht="22.5" hidden="1" customHeight="1">
      <c r="A81" s="3"/>
      <c r="B81" s="3"/>
      <c r="C81" s="115">
        <f>'R7.9'!AC81</f>
        <v>0</v>
      </c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26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33"/>
      <c r="AG81" s="133"/>
      <c r="AH81" s="133"/>
      <c r="AI81" s="133"/>
      <c r="AJ81" s="133"/>
    </row>
    <row r="82" ht="22.5" hidden="1" customHeight="1">
      <c r="A82" s="3"/>
      <c r="B82" s="3"/>
      <c r="C82" s="115">
        <f>'R7.9'!AC82</f>
        <v>0</v>
      </c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26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33"/>
      <c r="AG82" s="133"/>
      <c r="AH82" s="133"/>
      <c r="AI82" s="133"/>
      <c r="AJ82" s="133"/>
    </row>
    <row r="83" ht="22.5" hidden="1" customHeight="1">
      <c r="A83" s="3"/>
      <c r="B83" s="3"/>
      <c r="C83" s="115">
        <f>'R7.9'!AC83</f>
        <v>0</v>
      </c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26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33"/>
      <c r="AG83" s="133"/>
      <c r="AH83" s="133"/>
      <c r="AI83" s="133"/>
      <c r="AJ83" s="133"/>
    </row>
    <row r="84" ht="22.5" hidden="1" customHeight="1">
      <c r="A84" s="3"/>
      <c r="B84" s="3"/>
      <c r="C84" s="115">
        <f>'R7.9'!AC84</f>
        <v>0</v>
      </c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26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33"/>
      <c r="AG84" s="133"/>
      <c r="AH84" s="133"/>
      <c r="AI84" s="133"/>
      <c r="AJ84" s="133"/>
    </row>
    <row r="85" ht="22.5" hidden="1" customHeight="1">
      <c r="A85" s="3"/>
      <c r="B85" s="3"/>
      <c r="C85" s="115">
        <f>'R7.9'!AC85</f>
        <v>0</v>
      </c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26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33"/>
      <c r="AG85" s="133"/>
      <c r="AH85" s="133"/>
      <c r="AI85" s="133"/>
      <c r="AJ85" s="133"/>
    </row>
    <row r="86" ht="22.5" hidden="1" customHeight="1">
      <c r="A86" s="3"/>
      <c r="B86" s="3"/>
      <c r="C86" s="115">
        <f>'R7.9'!AC86</f>
        <v>0</v>
      </c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26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33"/>
      <c r="AG86" s="133"/>
      <c r="AH86" s="133"/>
      <c r="AI86" s="133"/>
      <c r="AJ86" s="133"/>
    </row>
    <row r="87" ht="22.5" hidden="1" customHeight="1">
      <c r="A87" s="3"/>
      <c r="B87" s="3"/>
      <c r="C87" s="115">
        <f>'R7.9'!AC87</f>
        <v>0</v>
      </c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26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33"/>
      <c r="AG87" s="133"/>
      <c r="AH87" s="133"/>
      <c r="AI87" s="133"/>
      <c r="AJ87" s="133"/>
    </row>
    <row r="88" ht="22.5" hidden="1" customHeight="1">
      <c r="A88" s="3"/>
      <c r="B88" s="3"/>
      <c r="C88" s="115">
        <f>'R7.9'!AC88</f>
        <v>0</v>
      </c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26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33"/>
      <c r="AG88" s="133"/>
      <c r="AH88" s="133"/>
      <c r="AI88" s="133"/>
      <c r="AJ88" s="133"/>
    </row>
    <row r="89" ht="22.5" hidden="1" customHeight="1">
      <c r="A89" s="3"/>
      <c r="B89" s="3"/>
      <c r="C89" s="115">
        <f>'R7.9'!AC89</f>
        <v>0</v>
      </c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26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33"/>
      <c r="AG89" s="133"/>
      <c r="AH89" s="133"/>
      <c r="AI89" s="133"/>
      <c r="AJ89" s="133"/>
    </row>
    <row r="90" ht="22.5" hidden="1" customHeight="1">
      <c r="A90" s="3"/>
      <c r="B90" s="3"/>
      <c r="C90" s="115">
        <f>'R7.9'!AC90</f>
        <v>0</v>
      </c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26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33"/>
      <c r="AG90" s="133"/>
      <c r="AH90" s="133"/>
      <c r="AI90" s="133"/>
      <c r="AJ90" s="133"/>
    </row>
    <row r="91" ht="22.5" hidden="1" customHeight="1">
      <c r="A91" s="3"/>
      <c r="B91" s="3"/>
      <c r="C91" s="115">
        <f>'R7.9'!AC91</f>
        <v>0</v>
      </c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26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33"/>
      <c r="AG91" s="133"/>
      <c r="AH91" s="133"/>
      <c r="AI91" s="133"/>
      <c r="AJ91" s="133"/>
    </row>
    <row r="92" ht="22.5" hidden="1" customHeight="1">
      <c r="A92" s="3"/>
      <c r="B92" s="3"/>
      <c r="C92" s="115">
        <f>'R7.9'!AC92</f>
        <v>0</v>
      </c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26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33"/>
      <c r="AG92" s="133"/>
      <c r="AH92" s="133"/>
      <c r="AI92" s="133"/>
      <c r="AJ92" s="133"/>
    </row>
    <row r="93" ht="22.5" hidden="1" customHeight="1">
      <c r="A93" s="3"/>
      <c r="B93" s="3"/>
      <c r="C93" s="115">
        <f>'R7.9'!AC93</f>
        <v>0</v>
      </c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26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33"/>
      <c r="AG93" s="133"/>
      <c r="AH93" s="133"/>
      <c r="AI93" s="133"/>
      <c r="AJ93" s="133"/>
    </row>
    <row r="94" ht="22.5" hidden="1" customHeight="1">
      <c r="A94" s="3"/>
      <c r="B94" s="3"/>
      <c r="C94" s="115">
        <f>'R7.9'!AC94</f>
        <v>0</v>
      </c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26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33"/>
      <c r="AG94" s="133"/>
      <c r="AH94" s="133"/>
      <c r="AI94" s="133"/>
      <c r="AJ94" s="133"/>
    </row>
    <row r="95" ht="22.5" hidden="1" customHeight="1">
      <c r="A95" s="3"/>
      <c r="B95" s="3"/>
      <c r="C95" s="115">
        <f>'R7.9'!AC95</f>
        <v>0</v>
      </c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26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33"/>
      <c r="AG95" s="133"/>
      <c r="AH95" s="133"/>
      <c r="AI95" s="133"/>
      <c r="AJ95" s="133"/>
    </row>
    <row r="96" ht="22.5" hidden="1" customHeight="1">
      <c r="A96" s="3"/>
      <c r="B96" s="3"/>
      <c r="C96" s="115">
        <f>'R7.9'!AC96</f>
        <v>0</v>
      </c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26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33"/>
      <c r="AG96" s="133"/>
      <c r="AH96" s="133"/>
      <c r="AI96" s="133"/>
      <c r="AJ96" s="133"/>
    </row>
    <row r="97" ht="22.5" hidden="1" customHeight="1">
      <c r="A97" s="3"/>
      <c r="B97" s="3"/>
      <c r="C97" s="115">
        <f>'R7.9'!AC97</f>
        <v>0</v>
      </c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26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33"/>
      <c r="AG97" s="133"/>
      <c r="AH97" s="133"/>
      <c r="AI97" s="133"/>
      <c r="AJ97" s="133"/>
    </row>
    <row r="98" ht="22.5" hidden="1" customHeight="1">
      <c r="A98" s="3"/>
      <c r="B98" s="3"/>
      <c r="C98" s="115">
        <f>'R7.9'!AC98</f>
        <v>0</v>
      </c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26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33"/>
      <c r="AG98" s="133"/>
      <c r="AH98" s="133"/>
      <c r="AI98" s="133"/>
      <c r="AJ98" s="133"/>
    </row>
    <row r="99" ht="22.5" hidden="1" customHeight="1">
      <c r="A99" s="3"/>
      <c r="B99" s="3"/>
      <c r="C99" s="115">
        <f>'R7.9'!AC99</f>
        <v>0</v>
      </c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26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33"/>
      <c r="AG99" s="133"/>
      <c r="AH99" s="133"/>
      <c r="AI99" s="133"/>
      <c r="AJ99" s="133"/>
    </row>
    <row r="100" ht="22.5" hidden="1" customHeight="1">
      <c r="A100" s="3"/>
      <c r="B100" s="3"/>
      <c r="C100" s="115">
        <f>'R7.9'!AC100</f>
        <v>0</v>
      </c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26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33"/>
      <c r="AG100" s="133"/>
      <c r="AH100" s="133"/>
      <c r="AI100" s="133"/>
      <c r="AJ100" s="133"/>
    </row>
    <row r="101" ht="22.5" hidden="1" customHeight="1">
      <c r="A101" s="3"/>
      <c r="B101" s="3"/>
      <c r="C101" s="115">
        <f>'R7.9'!AC101</f>
        <v>0</v>
      </c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26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33"/>
      <c r="AG101" s="133"/>
      <c r="AH101" s="133"/>
      <c r="AI101" s="133"/>
      <c r="AJ101" s="133"/>
    </row>
    <row r="102" ht="22.5" hidden="1" customHeight="1">
      <c r="A102" s="3"/>
      <c r="B102" s="3"/>
      <c r="C102" s="115">
        <f>'R7.9'!AC102</f>
        <v>0</v>
      </c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26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33"/>
      <c r="AG102" s="133"/>
      <c r="AH102" s="133"/>
      <c r="AI102" s="133"/>
      <c r="AJ102" s="133"/>
    </row>
    <row r="103" ht="22.5" hidden="1" customHeight="1">
      <c r="A103" s="3"/>
      <c r="B103" s="3"/>
      <c r="C103" s="115">
        <f>'R7.9'!AC103</f>
        <v>0</v>
      </c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26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33"/>
      <c r="AG103" s="133"/>
      <c r="AH103" s="133"/>
      <c r="AI103" s="133"/>
      <c r="AJ103" s="133"/>
    </row>
    <row r="104" ht="22.5" hidden="1" customHeight="1">
      <c r="A104" s="3"/>
      <c r="B104" s="3"/>
      <c r="C104" s="115">
        <f>'R7.9'!AC104</f>
        <v>0</v>
      </c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26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33"/>
      <c r="AG104" s="133"/>
      <c r="AH104" s="133"/>
      <c r="AI104" s="133"/>
      <c r="AJ104" s="133"/>
    </row>
    <row r="105" ht="22.5" hidden="1" customHeight="1">
      <c r="A105" s="3"/>
      <c r="B105" s="3"/>
      <c r="C105" s="115">
        <f>'R7.9'!AC105</f>
        <v>0</v>
      </c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26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33"/>
      <c r="AG105" s="133"/>
      <c r="AH105" s="133"/>
      <c r="AI105" s="133"/>
      <c r="AJ105" s="133"/>
    </row>
    <row r="106" ht="22.5" hidden="1" customHeight="1">
      <c r="A106" s="3"/>
      <c r="B106" s="3"/>
      <c r="C106" s="115">
        <f>'R7.9'!AC106</f>
        <v>0</v>
      </c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26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33"/>
      <c r="AG106" s="133"/>
      <c r="AH106" s="133"/>
      <c r="AI106" s="133"/>
      <c r="AJ106" s="133"/>
    </row>
    <row r="107" ht="22.5" hidden="1" customHeight="1">
      <c r="A107" s="3"/>
      <c r="B107" s="3"/>
      <c r="C107" s="115">
        <f>'R7.9'!AC107</f>
        <v>0</v>
      </c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26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33"/>
      <c r="AG107" s="133"/>
      <c r="AH107" s="133"/>
      <c r="AI107" s="133"/>
      <c r="AJ107" s="133"/>
    </row>
    <row r="108" ht="22.5" hidden="1" customHeight="1">
      <c r="A108" s="3"/>
      <c r="B108" s="3"/>
      <c r="C108" s="115">
        <f>'R7.9'!AC108</f>
        <v>0</v>
      </c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26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33"/>
      <c r="AG108" s="133"/>
      <c r="AH108" s="133"/>
      <c r="AI108" s="133"/>
      <c r="AJ108" s="133"/>
    </row>
    <row r="109" ht="22.5" customHeight="1">
      <c r="A109" s="3"/>
      <c r="B109" s="3"/>
      <c r="C109" s="115">
        <f>'R7.9'!AC109</f>
        <v>0</v>
      </c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26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3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34" t="str">
        <f>'R7.9'!AC110</f>
        <v/>
      </c>
      <c r="D110" s="120">
        <f t="shared" ref="D110:V110" si="5">SUM(D3:D109)</f>
        <v>320000</v>
      </c>
      <c r="E110" s="120">
        <f t="shared" si="5"/>
        <v>40000</v>
      </c>
      <c r="F110" s="120">
        <f t="shared" si="5"/>
        <v>40000</v>
      </c>
      <c r="G110" s="120">
        <f t="shared" si="5"/>
        <v>16000</v>
      </c>
      <c r="H110" s="120">
        <f t="shared" si="5"/>
        <v>80000</v>
      </c>
      <c r="I110" s="120">
        <f t="shared" si="5"/>
        <v>162030</v>
      </c>
      <c r="J110" s="135">
        <f t="shared" si="5"/>
        <v>-79566</v>
      </c>
      <c r="K110" s="120">
        <f t="shared" si="5"/>
        <v>0</v>
      </c>
      <c r="L110" s="120">
        <f t="shared" si="5"/>
        <v>13578</v>
      </c>
      <c r="M110" s="120">
        <f t="shared" si="5"/>
        <v>20000</v>
      </c>
      <c r="N110" s="120">
        <f t="shared" si="5"/>
        <v>0</v>
      </c>
      <c r="O110" s="120">
        <f t="shared" si="5"/>
        <v>7549</v>
      </c>
      <c r="P110" s="120">
        <f t="shared" si="5"/>
        <v>0</v>
      </c>
      <c r="Q110" s="120">
        <f t="shared" si="5"/>
        <v>9232</v>
      </c>
      <c r="R110" s="120">
        <f t="shared" si="5"/>
        <v>0</v>
      </c>
      <c r="S110" s="120">
        <f t="shared" si="5"/>
        <v>0</v>
      </c>
      <c r="T110" s="120">
        <f t="shared" si="5"/>
        <v>0</v>
      </c>
      <c r="U110" s="120">
        <f t="shared" si="5"/>
        <v>0</v>
      </c>
      <c r="V110" s="120">
        <f t="shared" si="5"/>
        <v>-210000</v>
      </c>
      <c r="W110" s="122">
        <f t="shared" si="4"/>
        <v>418823</v>
      </c>
      <c r="X110" s="120">
        <f t="shared" ref="X110:Y110" si="6">SUM(X3:X109)</f>
        <v>66849</v>
      </c>
      <c r="Y110" s="120">
        <f t="shared" si="6"/>
        <v>7500</v>
      </c>
      <c r="Z110" s="120">
        <f t="shared" si="2"/>
        <v>493172</v>
      </c>
      <c r="AA110" s="124"/>
      <c r="AC110" s="136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ht="15.75" customHeight="1">
      <c r="A113" s="114"/>
      <c r="B113" s="114"/>
      <c r="C113" s="124" t="s">
        <v>131</v>
      </c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 t="s">
        <v>131</v>
      </c>
      <c r="W113" s="124"/>
      <c r="X113" s="124"/>
      <c r="Y113" s="124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S115" s="124"/>
      <c r="T115" s="124"/>
      <c r="U115" s="124"/>
      <c r="V115" s="124"/>
      <c r="W115" s="124"/>
      <c r="X115" s="124"/>
      <c r="Y115" s="124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>
      <c r="A228" s="114"/>
      <c r="B228" s="114"/>
    </row>
    <row r="229" ht="15.75" customHeight="1">
      <c r="A229" s="114"/>
      <c r="B229" s="114"/>
    </row>
    <row r="230" ht="15.75" customHeight="1">
      <c r="A230" s="114"/>
      <c r="B230" s="114"/>
    </row>
    <row r="231" ht="15.75" customHeight="1">
      <c r="A231" s="114"/>
      <c r="B231" s="114"/>
    </row>
    <row r="232" ht="15.75" customHeight="1">
      <c r="A232" s="114"/>
      <c r="B232" s="114"/>
    </row>
    <row r="233" ht="15.75" customHeight="1">
      <c r="A233" s="114"/>
      <c r="B233" s="114"/>
    </row>
    <row r="234" ht="15.75" customHeight="1">
      <c r="A234" s="114"/>
      <c r="B234" s="114"/>
    </row>
    <row r="235" ht="15.75" customHeight="1">
      <c r="A235" s="114"/>
      <c r="B235" s="114"/>
    </row>
    <row r="236" ht="15.75" customHeight="1">
      <c r="A236" s="114"/>
      <c r="B236" s="114"/>
    </row>
    <row r="237" ht="15.75" customHeight="1">
      <c r="A237" s="114"/>
      <c r="B237" s="114"/>
    </row>
    <row r="238" ht="15.75" customHeight="1">
      <c r="A238" s="114"/>
      <c r="B238" s="114"/>
    </row>
    <row r="239" ht="15.75" customHeight="1">
      <c r="A239" s="114"/>
      <c r="B239" s="114"/>
    </row>
    <row r="240" ht="15.75" customHeight="1">
      <c r="A240" s="114"/>
      <c r="B240" s="114"/>
    </row>
    <row r="241" ht="15.75" customHeight="1">
      <c r="A241" s="114"/>
      <c r="B241" s="114"/>
    </row>
    <row r="242" ht="15.75" customHeight="1">
      <c r="A242" s="114"/>
      <c r="B242" s="114"/>
    </row>
    <row r="243" ht="15.75" customHeight="1">
      <c r="A243" s="114"/>
      <c r="B243" s="114"/>
    </row>
    <row r="244" ht="15.75" customHeight="1">
      <c r="A244" s="114"/>
      <c r="B244" s="114"/>
    </row>
    <row r="245" ht="15.75" customHeight="1">
      <c r="A245" s="114"/>
      <c r="B245" s="114"/>
    </row>
    <row r="246" ht="15.75" customHeight="1">
      <c r="A246" s="114"/>
      <c r="B246" s="114"/>
    </row>
    <row r="247" ht="15.75" customHeight="1">
      <c r="A247" s="114"/>
      <c r="B247" s="114"/>
    </row>
    <row r="248" ht="15.75" customHeight="1">
      <c r="A248" s="114"/>
      <c r="B248" s="114"/>
    </row>
    <row r="249" ht="15.75" customHeight="1">
      <c r="A249" s="114"/>
      <c r="B249" s="114"/>
    </row>
    <row r="250" ht="15.75" customHeight="1">
      <c r="A250" s="114"/>
      <c r="B250" s="114"/>
    </row>
    <row r="251" ht="15.75" customHeight="1">
      <c r="A251" s="114"/>
      <c r="B251" s="114"/>
    </row>
    <row r="252" ht="15.75" customHeight="1">
      <c r="A252" s="114"/>
      <c r="B252" s="114"/>
    </row>
    <row r="253" ht="15.75" customHeight="1">
      <c r="A253" s="114"/>
      <c r="B253" s="114"/>
    </row>
    <row r="254" ht="15.75" customHeight="1">
      <c r="A254" s="114"/>
      <c r="B254" s="114"/>
    </row>
    <row r="255" ht="15.75" customHeight="1">
      <c r="A255" s="114"/>
      <c r="B255" s="114"/>
    </row>
    <row r="256" ht="15.75" customHeight="1">
      <c r="A256" s="114"/>
      <c r="B256" s="114"/>
    </row>
    <row r="257" ht="15.75" customHeight="1">
      <c r="A257" s="114"/>
      <c r="B257" s="114"/>
    </row>
    <row r="258" ht="15.75" customHeight="1">
      <c r="A258" s="114"/>
      <c r="B258" s="114"/>
    </row>
    <row r="259" ht="15.75" customHeight="1">
      <c r="A259" s="114"/>
      <c r="B259" s="114"/>
    </row>
    <row r="260" ht="15.75" customHeight="1">
      <c r="A260" s="114"/>
      <c r="B260" s="114"/>
    </row>
    <row r="261" ht="15.75" customHeight="1">
      <c r="A261" s="114"/>
      <c r="B261" s="114"/>
    </row>
    <row r="262" ht="15.75" customHeight="1">
      <c r="A262" s="114"/>
      <c r="B262" s="114"/>
    </row>
    <row r="263" ht="15.75" customHeight="1">
      <c r="A263" s="114"/>
      <c r="B263" s="114"/>
    </row>
    <row r="264" ht="15.75" customHeight="1">
      <c r="A264" s="114"/>
      <c r="B264" s="114"/>
    </row>
    <row r="265" ht="15.75" customHeight="1">
      <c r="A265" s="114"/>
      <c r="B265" s="114"/>
    </row>
    <row r="266" ht="15.75" customHeight="1">
      <c r="A266" s="114"/>
      <c r="B266" s="114"/>
    </row>
    <row r="267" ht="15.75" customHeight="1">
      <c r="A267" s="114"/>
      <c r="B267" s="114"/>
    </row>
    <row r="268" ht="15.75" customHeight="1">
      <c r="A268" s="114"/>
      <c r="B268" s="114"/>
    </row>
    <row r="269" ht="15.75" customHeight="1">
      <c r="A269" s="114"/>
      <c r="B269" s="114"/>
    </row>
    <row r="270" ht="15.75" customHeight="1">
      <c r="A270" s="114"/>
      <c r="B270" s="114"/>
    </row>
    <row r="271" ht="15.75" customHeight="1">
      <c r="A271" s="114"/>
      <c r="B271" s="114"/>
    </row>
    <row r="272" ht="15.75" customHeight="1">
      <c r="A272" s="114"/>
      <c r="B272" s="114"/>
    </row>
    <row r="273" ht="15.75" customHeight="1">
      <c r="A273" s="114"/>
      <c r="B273" s="114"/>
    </row>
    <row r="274" ht="15.75" customHeight="1">
      <c r="A274" s="114"/>
      <c r="B274" s="114"/>
    </row>
    <row r="275" ht="15.75" customHeight="1">
      <c r="A275" s="114"/>
      <c r="B275" s="114"/>
    </row>
    <row r="276" ht="15.75" customHeight="1">
      <c r="A276" s="114"/>
      <c r="B276" s="114"/>
    </row>
    <row r="277" ht="15.75" customHeight="1">
      <c r="A277" s="114"/>
      <c r="B277" s="114"/>
    </row>
    <row r="278" ht="15.75" customHeight="1">
      <c r="A278" s="114"/>
      <c r="B278" s="114"/>
    </row>
    <row r="279" ht="15.75" customHeight="1">
      <c r="A279" s="114"/>
      <c r="B279" s="114"/>
    </row>
    <row r="280" ht="15.75" customHeight="1">
      <c r="A280" s="114"/>
      <c r="B280" s="114"/>
    </row>
    <row r="281" ht="15.75" customHeight="1">
      <c r="A281" s="114"/>
      <c r="B281" s="114"/>
    </row>
    <row r="282" ht="15.75" customHeight="1">
      <c r="A282" s="114"/>
      <c r="B282" s="114"/>
    </row>
    <row r="283" ht="15.75" customHeight="1">
      <c r="A283" s="114"/>
      <c r="B283" s="114"/>
    </row>
    <row r="284" ht="15.75" customHeight="1">
      <c r="A284" s="114"/>
      <c r="B284" s="114"/>
    </row>
    <row r="285" ht="15.75" customHeight="1">
      <c r="A285" s="114"/>
      <c r="B285" s="114"/>
    </row>
    <row r="286" ht="15.75" customHeight="1">
      <c r="A286" s="114"/>
      <c r="B286" s="114"/>
    </row>
    <row r="287" ht="15.75" customHeight="1">
      <c r="A287" s="114"/>
      <c r="B287" s="114"/>
    </row>
    <row r="288" ht="15.75" customHeight="1">
      <c r="A288" s="114"/>
      <c r="B288" s="114"/>
    </row>
    <row r="289" ht="15.75" customHeight="1">
      <c r="A289" s="114"/>
      <c r="B289" s="114"/>
    </row>
    <row r="290" ht="15.75" customHeight="1">
      <c r="A290" s="114"/>
      <c r="B290" s="114"/>
    </row>
    <row r="291" ht="15.75" customHeight="1">
      <c r="A291" s="114"/>
      <c r="B291" s="114"/>
    </row>
    <row r="292" ht="15.75" customHeight="1">
      <c r="A292" s="114"/>
      <c r="B292" s="114"/>
    </row>
    <row r="293" ht="15.75" customHeight="1">
      <c r="A293" s="114"/>
      <c r="B293" s="114"/>
    </row>
    <row r="294" ht="15.75" customHeight="1">
      <c r="A294" s="114"/>
      <c r="B294" s="114"/>
    </row>
    <row r="295" ht="15.75" customHeight="1">
      <c r="A295" s="114"/>
      <c r="B295" s="114"/>
    </row>
    <row r="296" ht="15.75" customHeight="1">
      <c r="A296" s="114"/>
      <c r="B296" s="114"/>
    </row>
    <row r="297" ht="15.75" customHeight="1">
      <c r="A297" s="114"/>
      <c r="B297" s="114"/>
    </row>
    <row r="298" ht="15.75" customHeight="1">
      <c r="A298" s="114"/>
      <c r="B298" s="114"/>
    </row>
    <row r="299" ht="15.75" customHeight="1">
      <c r="A299" s="114"/>
      <c r="B299" s="114"/>
    </row>
    <row r="300" ht="15.75" customHeight="1">
      <c r="A300" s="114"/>
      <c r="B300" s="114"/>
    </row>
    <row r="301" ht="15.75" customHeight="1">
      <c r="A301" s="114"/>
      <c r="B301" s="114"/>
    </row>
    <row r="302" ht="15.75" customHeight="1">
      <c r="A302" s="114"/>
      <c r="B302" s="114"/>
    </row>
    <row r="303" ht="15.75" customHeight="1">
      <c r="A303" s="114"/>
      <c r="B303" s="114"/>
    </row>
    <row r="304" ht="15.75" customHeight="1">
      <c r="A304" s="114"/>
      <c r="B304" s="114"/>
    </row>
    <row r="305" ht="15.75" customHeight="1">
      <c r="A305" s="114"/>
      <c r="B305" s="114"/>
    </row>
    <row r="306" ht="15.75" customHeight="1">
      <c r="A306" s="114"/>
      <c r="B306" s="114"/>
    </row>
    <row r="307" ht="15.75" customHeight="1">
      <c r="A307" s="114"/>
      <c r="B307" s="114"/>
    </row>
    <row r="308" ht="15.75" customHeight="1">
      <c r="A308" s="114"/>
      <c r="B308" s="114"/>
    </row>
    <row r="309" ht="15.75" customHeight="1">
      <c r="A309" s="114"/>
      <c r="B309" s="114"/>
    </row>
    <row r="310" ht="15.75" customHeight="1">
      <c r="A310" s="114"/>
      <c r="B310" s="114"/>
    </row>
    <row r="311" ht="15.75" customHeight="1">
      <c r="A311" s="114"/>
      <c r="B311" s="114"/>
    </row>
    <row r="312" ht="15.75" customHeight="1">
      <c r="A312" s="114"/>
      <c r="B312" s="114"/>
    </row>
    <row r="313" ht="15.75" customHeight="1">
      <c r="A313" s="114"/>
      <c r="B313" s="114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1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45930.0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14"/>
      <c r="AG2" s="114"/>
      <c r="AH2" s="114"/>
      <c r="AI2" s="114"/>
      <c r="AJ2" s="114"/>
    </row>
    <row r="3" ht="22.5" customHeight="1">
      <c r="A3" s="1" t="s">
        <v>2</v>
      </c>
      <c r="B3" s="1" t="s">
        <v>3</v>
      </c>
      <c r="C3" s="134">
        <f>'R7.8'!AC3</f>
        <v>0</v>
      </c>
      <c r="D3" s="116">
        <v>40000.0</v>
      </c>
      <c r="E3" s="116">
        <v>5000.0</v>
      </c>
      <c r="F3" s="116">
        <v>5000.0</v>
      </c>
      <c r="G3" s="116">
        <v>2000.0</v>
      </c>
      <c r="H3" s="117">
        <v>10000.0</v>
      </c>
      <c r="I3" s="118">
        <v>41800.0</v>
      </c>
      <c r="J3" s="119"/>
      <c r="K3" s="139">
        <v>0.0</v>
      </c>
      <c r="L3" s="117">
        <v>2190.0</v>
      </c>
      <c r="M3" s="120"/>
      <c r="N3" s="117"/>
      <c r="O3" s="117"/>
      <c r="P3" s="117"/>
      <c r="Q3" s="117"/>
      <c r="R3" s="119"/>
      <c r="S3" s="119"/>
      <c r="T3" s="119"/>
      <c r="U3" s="119"/>
      <c r="V3" s="119"/>
      <c r="W3" s="122">
        <f t="shared" ref="W3:W6" si="1">SUM(D3:V3)</f>
        <v>105990</v>
      </c>
      <c r="X3" s="123"/>
      <c r="Y3" s="123"/>
      <c r="Z3" s="120">
        <f t="shared" ref="Z3:Z110" si="2">SUM(W3:Y3)</f>
        <v>105990</v>
      </c>
      <c r="AA3" s="124"/>
      <c r="AB3" s="63" t="s">
        <v>128</v>
      </c>
      <c r="AC3" s="125">
        <f t="shared" ref="AC3:AC109" si="3">C3-M3</f>
        <v>0</v>
      </c>
    </row>
    <row r="4" ht="22.5" customHeight="1">
      <c r="A4" s="1" t="s">
        <v>4</v>
      </c>
      <c r="B4" s="1" t="s">
        <v>5</v>
      </c>
      <c r="C4" s="134">
        <f>'R7.8'!AC4</f>
        <v>0</v>
      </c>
      <c r="D4" s="116">
        <v>40000.0</v>
      </c>
      <c r="E4" s="116">
        <v>5000.0</v>
      </c>
      <c r="F4" s="116">
        <v>5000.0</v>
      </c>
      <c r="G4" s="116">
        <v>2000.0</v>
      </c>
      <c r="H4" s="117">
        <v>10000.0</v>
      </c>
      <c r="I4" s="118">
        <v>16500.0</v>
      </c>
      <c r="J4" s="119"/>
      <c r="K4" s="139">
        <v>0.0</v>
      </c>
      <c r="L4" s="117">
        <v>0.0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2">
        <f t="shared" si="1"/>
        <v>78500</v>
      </c>
      <c r="X4" s="123"/>
      <c r="Y4" s="123"/>
      <c r="Z4" s="120">
        <f t="shared" si="2"/>
        <v>78500</v>
      </c>
      <c r="AA4" s="124" t="s">
        <v>129</v>
      </c>
      <c r="AB4" s="63" t="s">
        <v>128</v>
      </c>
      <c r="AC4" s="125">
        <f t="shared" si="3"/>
        <v>0</v>
      </c>
    </row>
    <row r="5" ht="22.5" customHeight="1">
      <c r="A5" s="1" t="s">
        <v>6</v>
      </c>
      <c r="B5" s="1" t="s">
        <v>132</v>
      </c>
      <c r="C5" s="134">
        <f>'R7.8'!AC5</f>
        <v>102000</v>
      </c>
      <c r="D5" s="116">
        <v>40000.0</v>
      </c>
      <c r="E5" s="116">
        <v>5000.0</v>
      </c>
      <c r="F5" s="116">
        <v>5000.0</v>
      </c>
      <c r="G5" s="116">
        <v>2000.0</v>
      </c>
      <c r="H5" s="117">
        <v>10000.0</v>
      </c>
      <c r="I5" s="117">
        <v>39050.0</v>
      </c>
      <c r="J5" s="127">
        <v>-36289.0</v>
      </c>
      <c r="K5" s="117">
        <v>0.0</v>
      </c>
      <c r="L5" s="117">
        <v>2190.0</v>
      </c>
      <c r="M5" s="117">
        <v>10000.0</v>
      </c>
      <c r="N5" s="117"/>
      <c r="O5" s="117"/>
      <c r="P5" s="117"/>
      <c r="Q5" s="117">
        <v>6456.0</v>
      </c>
      <c r="R5" s="117"/>
      <c r="S5" s="117"/>
      <c r="T5" s="117"/>
      <c r="U5" s="117"/>
      <c r="V5" s="117"/>
      <c r="W5" s="122">
        <f t="shared" si="1"/>
        <v>83407</v>
      </c>
      <c r="X5" s="123">
        <v>21593.0</v>
      </c>
      <c r="Y5" s="123">
        <v>5000.0</v>
      </c>
      <c r="Z5" s="120">
        <f t="shared" si="2"/>
        <v>110000</v>
      </c>
      <c r="AA5" s="124">
        <v>110000.0</v>
      </c>
      <c r="AB5" s="63" t="s">
        <v>128</v>
      </c>
      <c r="AC5" s="125">
        <f t="shared" si="3"/>
        <v>92000</v>
      </c>
    </row>
    <row r="6" ht="22.5" customHeight="1">
      <c r="A6" s="1" t="s">
        <v>7</v>
      </c>
      <c r="B6" s="1" t="s">
        <v>8</v>
      </c>
      <c r="C6" s="134">
        <f>'R7.8'!AC6</f>
        <v>0</v>
      </c>
      <c r="D6" s="116">
        <v>40000.0</v>
      </c>
      <c r="E6" s="116">
        <v>5000.0</v>
      </c>
      <c r="F6" s="116">
        <v>5000.0</v>
      </c>
      <c r="G6" s="116">
        <v>2000.0</v>
      </c>
      <c r="H6" s="117">
        <v>10000.0</v>
      </c>
      <c r="I6" s="117">
        <v>0.0</v>
      </c>
      <c r="J6" s="119"/>
      <c r="K6" s="139">
        <v>0.0</v>
      </c>
      <c r="L6" s="117">
        <v>2190.0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2">
        <f t="shared" si="1"/>
        <v>64190</v>
      </c>
      <c r="X6" s="123"/>
      <c r="Y6" s="123"/>
      <c r="Z6" s="120">
        <f t="shared" si="2"/>
        <v>64190</v>
      </c>
      <c r="AA6" s="124" t="s">
        <v>129</v>
      </c>
      <c r="AB6" s="63" t="s">
        <v>128</v>
      </c>
      <c r="AC6" s="125">
        <f t="shared" si="3"/>
        <v>0</v>
      </c>
    </row>
    <row r="7" ht="22.5" customHeight="1">
      <c r="A7" s="1" t="s">
        <v>9</v>
      </c>
      <c r="B7" s="1" t="s">
        <v>10</v>
      </c>
      <c r="C7" s="134">
        <f>'R7.8'!AC7</f>
        <v>50000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10000.0</v>
      </c>
      <c r="I7" s="117">
        <v>40700.0</v>
      </c>
      <c r="J7" s="127">
        <v>-50348.0</v>
      </c>
      <c r="K7" s="117">
        <v>0.0</v>
      </c>
      <c r="L7" s="117">
        <v>2190.0</v>
      </c>
      <c r="M7" s="117">
        <v>10000.0</v>
      </c>
      <c r="N7" s="117"/>
      <c r="O7" s="117"/>
      <c r="P7" s="117"/>
      <c r="Q7" s="117">
        <v>15390.0</v>
      </c>
      <c r="R7" s="117"/>
      <c r="S7" s="117"/>
      <c r="T7" s="117"/>
      <c r="U7" s="117"/>
      <c r="V7" s="119">
        <f>'R7.8'!AE7</f>
        <v>-100000</v>
      </c>
      <c r="W7" s="122">
        <f>SUM(D7:U7)-V7</f>
        <v>179932</v>
      </c>
      <c r="X7" s="116">
        <v>27568.0</v>
      </c>
      <c r="Y7" s="128">
        <v>2500.0</v>
      </c>
      <c r="Z7" s="120">
        <f t="shared" si="2"/>
        <v>210000</v>
      </c>
      <c r="AA7" s="124">
        <v>110000.0</v>
      </c>
      <c r="AB7" s="63" t="s">
        <v>128</v>
      </c>
      <c r="AC7" s="125">
        <f t="shared" si="3"/>
        <v>40000</v>
      </c>
      <c r="AE7" s="124">
        <f>AD7-Z7</f>
        <v>-210000</v>
      </c>
    </row>
    <row r="8" ht="22.5" customHeight="1">
      <c r="A8" s="1" t="s">
        <v>11</v>
      </c>
      <c r="B8" s="1"/>
      <c r="C8" s="134">
        <f>'R7.8'!AC8</f>
        <v>0</v>
      </c>
      <c r="D8" s="116"/>
      <c r="E8" s="116"/>
      <c r="F8" s="116"/>
      <c r="G8" s="116"/>
      <c r="H8" s="117"/>
      <c r="I8" s="117"/>
      <c r="J8" s="119"/>
      <c r="K8" s="117">
        <v>0.0</v>
      </c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</row>
    <row r="9" ht="22.5" customHeight="1">
      <c r="A9" s="1" t="s">
        <v>12</v>
      </c>
      <c r="B9" s="1" t="s">
        <v>13</v>
      </c>
      <c r="C9" s="134">
        <f>'R7.8'!AC9</f>
        <v>0</v>
      </c>
      <c r="D9" s="116">
        <v>40000.0</v>
      </c>
      <c r="E9" s="116">
        <v>5000.0</v>
      </c>
      <c r="F9" s="116">
        <v>5000.0</v>
      </c>
      <c r="G9" s="116">
        <v>2000.0</v>
      </c>
      <c r="H9" s="117">
        <v>10000.0</v>
      </c>
      <c r="I9" s="117">
        <v>3850.0</v>
      </c>
      <c r="J9" s="119"/>
      <c r="K9" s="139">
        <v>0.0</v>
      </c>
      <c r="L9" s="117">
        <v>0.0</v>
      </c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2">
        <f t="shared" si="4"/>
        <v>65850</v>
      </c>
      <c r="X9" s="123"/>
      <c r="Y9" s="123"/>
      <c r="Z9" s="120">
        <f t="shared" si="2"/>
        <v>65850</v>
      </c>
      <c r="AA9" s="124" t="s">
        <v>129</v>
      </c>
      <c r="AB9" s="63" t="s">
        <v>128</v>
      </c>
      <c r="AC9" s="125">
        <f t="shared" si="3"/>
        <v>0</v>
      </c>
    </row>
    <row r="10" ht="22.5" customHeight="1">
      <c r="A10" s="1" t="s">
        <v>14</v>
      </c>
      <c r="B10" s="1" t="s">
        <v>15</v>
      </c>
      <c r="C10" s="134">
        <f>'R7.8'!AC10</f>
        <v>0</v>
      </c>
      <c r="D10" s="116">
        <v>40000.0</v>
      </c>
      <c r="E10" s="116">
        <v>5000.0</v>
      </c>
      <c r="F10" s="116">
        <v>5000.0</v>
      </c>
      <c r="G10" s="116">
        <v>2000.0</v>
      </c>
      <c r="H10" s="117">
        <v>10000.0</v>
      </c>
      <c r="I10" s="117">
        <v>42900.0</v>
      </c>
      <c r="J10" s="119"/>
      <c r="K10" s="139">
        <v>0.0</v>
      </c>
      <c r="L10" s="117">
        <v>2190.0</v>
      </c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22">
        <f t="shared" si="4"/>
        <v>107090</v>
      </c>
      <c r="X10" s="129"/>
      <c r="Y10" s="129"/>
      <c r="Z10" s="120">
        <f t="shared" si="2"/>
        <v>107090</v>
      </c>
      <c r="AA10" s="124" t="s">
        <v>129</v>
      </c>
      <c r="AB10" s="63" t="s">
        <v>128</v>
      </c>
      <c r="AC10" s="125">
        <f t="shared" si="3"/>
        <v>0</v>
      </c>
    </row>
    <row r="11" ht="22.5" customHeight="1">
      <c r="A11" s="1" t="s">
        <v>16</v>
      </c>
      <c r="B11" s="1" t="s">
        <v>17</v>
      </c>
      <c r="C11" s="134">
        <f>'R7.8'!AC11</f>
        <v>0</v>
      </c>
      <c r="D11" s="116">
        <v>40000.0</v>
      </c>
      <c r="E11" s="116">
        <v>5000.0</v>
      </c>
      <c r="F11" s="116">
        <v>5000.0</v>
      </c>
      <c r="G11" s="116">
        <v>2000.0</v>
      </c>
      <c r="H11" s="117">
        <v>10000.0</v>
      </c>
      <c r="I11" s="117">
        <v>9900.0</v>
      </c>
      <c r="J11" s="119"/>
      <c r="K11" s="139">
        <v>0.0</v>
      </c>
      <c r="L11" s="117">
        <v>2190.0</v>
      </c>
      <c r="M11" s="130"/>
      <c r="N11" s="117"/>
      <c r="O11" s="117"/>
      <c r="P11" s="117"/>
      <c r="Q11" s="117"/>
      <c r="R11" s="117"/>
      <c r="S11" s="120"/>
      <c r="T11" s="117"/>
      <c r="U11" s="117"/>
      <c r="V11" s="117"/>
      <c r="W11" s="122">
        <f t="shared" si="4"/>
        <v>74090</v>
      </c>
      <c r="X11" s="123"/>
      <c r="Y11" s="123"/>
      <c r="Z11" s="120">
        <f t="shared" si="2"/>
        <v>74090</v>
      </c>
      <c r="AA11" s="131"/>
      <c r="AB11" s="63" t="s">
        <v>128</v>
      </c>
      <c r="AC11" s="125">
        <f t="shared" si="3"/>
        <v>0</v>
      </c>
    </row>
    <row r="12" ht="22.5" customHeight="1">
      <c r="A12" s="1" t="s">
        <v>18</v>
      </c>
      <c r="B12" s="1" t="s">
        <v>19</v>
      </c>
      <c r="C12" s="134">
        <f>'R7.8'!AC12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>
        <v>0.0</v>
      </c>
      <c r="O12" s="117">
        <v>0.0</v>
      </c>
      <c r="P12" s="117"/>
      <c r="Q12" s="117"/>
      <c r="R12" s="117"/>
      <c r="S12" s="117"/>
      <c r="T12" s="117">
        <v>0.0</v>
      </c>
      <c r="U12" s="117"/>
      <c r="V12" s="117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</row>
    <row r="13" ht="22.5" customHeight="1">
      <c r="A13" s="1"/>
      <c r="B13" s="3"/>
      <c r="C13" s="134">
        <f>'R7.8'!AC13</f>
        <v>0</v>
      </c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</row>
    <row r="14" ht="22.5" customHeight="1">
      <c r="A14" s="1"/>
      <c r="B14" s="3"/>
      <c r="C14" s="134">
        <f>'R7.8'!AC14</f>
        <v>0</v>
      </c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33"/>
      <c r="AG14" s="133"/>
      <c r="AH14" s="133"/>
      <c r="AI14" s="133"/>
      <c r="AJ14" s="133"/>
    </row>
    <row r="15" ht="22.5" customHeight="1">
      <c r="A15" s="1"/>
      <c r="B15" s="3"/>
      <c r="C15" s="134">
        <f>'R7.8'!AC15</f>
        <v>0</v>
      </c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33"/>
      <c r="AG15" s="133"/>
      <c r="AH15" s="133"/>
      <c r="AI15" s="133"/>
      <c r="AJ15" s="133"/>
    </row>
    <row r="16" ht="22.5" customHeight="1">
      <c r="A16" s="1"/>
      <c r="B16" s="3"/>
      <c r="C16" s="134">
        <f>'R7.8'!AC16</f>
        <v>0</v>
      </c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33"/>
      <c r="AG16" s="133"/>
      <c r="AH16" s="133"/>
      <c r="AI16" s="133"/>
      <c r="AJ16" s="133"/>
    </row>
    <row r="17" ht="22.5" customHeight="1">
      <c r="A17" s="3"/>
      <c r="B17" s="3"/>
      <c r="C17" s="134">
        <f>'R7.8'!AC17</f>
        <v>0</v>
      </c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33"/>
      <c r="AG17" s="133"/>
      <c r="AH17" s="133"/>
      <c r="AI17" s="133"/>
      <c r="AJ17" s="133"/>
    </row>
    <row r="18" ht="22.5" customHeight="1">
      <c r="A18" s="3"/>
      <c r="B18" s="3"/>
      <c r="C18" s="134">
        <f>'R7.8'!AC18</f>
        <v>0</v>
      </c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33"/>
      <c r="AG18" s="133"/>
      <c r="AH18" s="133"/>
      <c r="AI18" s="133"/>
      <c r="AJ18" s="133"/>
    </row>
    <row r="19" ht="22.5" customHeight="1">
      <c r="A19" s="3"/>
      <c r="B19" s="3"/>
      <c r="C19" s="134">
        <f>'R7.8'!AC19</f>
        <v>0</v>
      </c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33"/>
      <c r="AG19" s="133"/>
      <c r="AH19" s="133"/>
      <c r="AI19" s="133"/>
      <c r="AJ19" s="133"/>
    </row>
    <row r="20" ht="22.5" customHeight="1">
      <c r="A20" s="3"/>
      <c r="B20" s="3"/>
      <c r="C20" s="134">
        <f>'R7.8'!AC20</f>
        <v>0</v>
      </c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33"/>
      <c r="AG20" s="133"/>
      <c r="AH20" s="133"/>
      <c r="AI20" s="133"/>
      <c r="AJ20" s="133"/>
    </row>
    <row r="21" ht="22.5" customHeight="1">
      <c r="A21" s="3"/>
      <c r="B21" s="3"/>
      <c r="C21" s="134">
        <f>'R7.8'!AC21</f>
        <v>0</v>
      </c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33"/>
      <c r="AG21" s="133"/>
      <c r="AH21" s="133"/>
      <c r="AI21" s="133"/>
      <c r="AJ21" s="133"/>
    </row>
    <row r="22" ht="22.5" hidden="1" customHeight="1">
      <c r="A22" s="3"/>
      <c r="B22" s="3"/>
      <c r="C22" s="134">
        <f>'R7.8'!AC22</f>
        <v>0</v>
      </c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33"/>
      <c r="AG22" s="133"/>
      <c r="AH22" s="133"/>
      <c r="AI22" s="133"/>
      <c r="AJ22" s="133"/>
    </row>
    <row r="23" ht="22.5" hidden="1" customHeight="1">
      <c r="A23" s="3"/>
      <c r="B23" s="3"/>
      <c r="C23" s="134">
        <f>'R7.8'!AC23</f>
        <v>0</v>
      </c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33"/>
      <c r="AG23" s="133"/>
      <c r="AH23" s="133"/>
      <c r="AI23" s="133"/>
      <c r="AJ23" s="133"/>
    </row>
    <row r="24" ht="22.5" hidden="1" customHeight="1">
      <c r="A24" s="3"/>
      <c r="B24" s="3"/>
      <c r="C24" s="134">
        <f>'R7.8'!AC24</f>
        <v>0</v>
      </c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33"/>
      <c r="AG24" s="133"/>
      <c r="AH24" s="133"/>
      <c r="AI24" s="133"/>
      <c r="AJ24" s="133"/>
    </row>
    <row r="25" ht="22.5" hidden="1" customHeight="1">
      <c r="A25" s="3"/>
      <c r="B25" s="3"/>
      <c r="C25" s="134">
        <f>'R7.8'!AC25</f>
        <v>0</v>
      </c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33"/>
      <c r="AG25" s="133"/>
      <c r="AH25" s="133"/>
      <c r="AI25" s="133"/>
      <c r="AJ25" s="133"/>
    </row>
    <row r="26" ht="22.5" hidden="1" customHeight="1">
      <c r="A26" s="3"/>
      <c r="B26" s="3"/>
      <c r="C26" s="134">
        <f>'R7.8'!AC26</f>
        <v>0</v>
      </c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33"/>
      <c r="AG26" s="133"/>
      <c r="AH26" s="133"/>
      <c r="AI26" s="133"/>
      <c r="AJ26" s="133"/>
    </row>
    <row r="27" ht="22.5" hidden="1" customHeight="1">
      <c r="A27" s="3"/>
      <c r="B27" s="3"/>
      <c r="C27" s="134">
        <f>'R7.8'!AC27</f>
        <v>0</v>
      </c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33"/>
      <c r="AG27" s="133"/>
      <c r="AH27" s="133"/>
      <c r="AI27" s="133"/>
      <c r="AJ27" s="133"/>
    </row>
    <row r="28" ht="22.5" hidden="1" customHeight="1">
      <c r="A28" s="3"/>
      <c r="B28" s="3"/>
      <c r="C28" s="134">
        <f>'R7.8'!AC28</f>
        <v>0</v>
      </c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33"/>
      <c r="AG28" s="133"/>
      <c r="AH28" s="133"/>
      <c r="AI28" s="133"/>
      <c r="AJ28" s="133"/>
    </row>
    <row r="29" ht="22.5" hidden="1" customHeight="1">
      <c r="A29" s="3"/>
      <c r="B29" s="3"/>
      <c r="C29" s="134">
        <f>'R7.8'!AC29</f>
        <v>0</v>
      </c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33"/>
      <c r="AG29" s="133"/>
      <c r="AH29" s="133"/>
      <c r="AI29" s="133"/>
      <c r="AJ29" s="133"/>
    </row>
    <row r="30" ht="22.5" hidden="1" customHeight="1">
      <c r="A30" s="3"/>
      <c r="B30" s="3"/>
      <c r="C30" s="134">
        <f>'R7.8'!AC30</f>
        <v>0</v>
      </c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33"/>
      <c r="AG30" s="133"/>
      <c r="AH30" s="133"/>
      <c r="AI30" s="133"/>
      <c r="AJ30" s="133"/>
    </row>
    <row r="31" ht="22.5" hidden="1" customHeight="1">
      <c r="A31" s="3"/>
      <c r="B31" s="3"/>
      <c r="C31" s="134">
        <f>'R7.8'!AC31</f>
        <v>0</v>
      </c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33"/>
      <c r="AG31" s="133"/>
      <c r="AH31" s="133"/>
      <c r="AI31" s="133"/>
      <c r="AJ31" s="133"/>
    </row>
    <row r="32" ht="22.5" hidden="1" customHeight="1">
      <c r="A32" s="3"/>
      <c r="B32" s="3"/>
      <c r="C32" s="134">
        <f>'R7.8'!AC32</f>
        <v>0</v>
      </c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33"/>
      <c r="AG32" s="133"/>
      <c r="AH32" s="133"/>
      <c r="AI32" s="133"/>
      <c r="AJ32" s="133"/>
    </row>
    <row r="33" ht="22.5" hidden="1" customHeight="1">
      <c r="A33" s="3"/>
      <c r="B33" s="3"/>
      <c r="C33" s="134">
        <f>'R7.8'!AC33</f>
        <v>0</v>
      </c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33"/>
      <c r="AG33" s="133"/>
      <c r="AH33" s="133"/>
      <c r="AI33" s="133"/>
      <c r="AJ33" s="133"/>
    </row>
    <row r="34" ht="22.5" hidden="1" customHeight="1">
      <c r="A34" s="3"/>
      <c r="B34" s="3"/>
      <c r="C34" s="134">
        <f>'R7.8'!AC34</f>
        <v>0</v>
      </c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33"/>
      <c r="AG34" s="133"/>
      <c r="AH34" s="133"/>
      <c r="AI34" s="133"/>
      <c r="AJ34" s="133"/>
    </row>
    <row r="35" ht="22.5" hidden="1" customHeight="1">
      <c r="A35" s="3"/>
      <c r="B35" s="3"/>
      <c r="C35" s="134">
        <f>'R7.8'!AC35</f>
        <v>0</v>
      </c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33"/>
      <c r="AG35" s="133"/>
      <c r="AH35" s="133"/>
      <c r="AI35" s="133"/>
      <c r="AJ35" s="133"/>
    </row>
    <row r="36" ht="22.5" hidden="1" customHeight="1">
      <c r="A36" s="3"/>
      <c r="B36" s="3"/>
      <c r="C36" s="134">
        <f>'R7.8'!AC36</f>
        <v>0</v>
      </c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33"/>
      <c r="AG36" s="133"/>
      <c r="AH36" s="133"/>
      <c r="AI36" s="133"/>
      <c r="AJ36" s="133"/>
    </row>
    <row r="37" ht="22.5" hidden="1" customHeight="1">
      <c r="A37" s="3"/>
      <c r="B37" s="3"/>
      <c r="C37" s="134">
        <f>'R7.8'!AC37</f>
        <v>0</v>
      </c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33"/>
      <c r="AG37" s="133"/>
      <c r="AH37" s="133"/>
      <c r="AI37" s="133"/>
      <c r="AJ37" s="133"/>
    </row>
    <row r="38" ht="22.5" hidden="1" customHeight="1">
      <c r="A38" s="3"/>
      <c r="B38" s="3"/>
      <c r="C38" s="134">
        <f>'R7.8'!AC38</f>
        <v>0</v>
      </c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33"/>
      <c r="AG38" s="133"/>
      <c r="AH38" s="133"/>
      <c r="AI38" s="133"/>
      <c r="AJ38" s="133"/>
    </row>
    <row r="39" ht="22.5" hidden="1" customHeight="1">
      <c r="A39" s="3"/>
      <c r="B39" s="3"/>
      <c r="C39" s="134">
        <f>'R7.8'!AC39</f>
        <v>0</v>
      </c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33"/>
      <c r="AG39" s="133"/>
      <c r="AH39" s="133"/>
      <c r="AI39" s="133"/>
      <c r="AJ39" s="133"/>
    </row>
    <row r="40" ht="22.5" hidden="1" customHeight="1">
      <c r="A40" s="3"/>
      <c r="B40" s="3"/>
      <c r="C40" s="134">
        <f>'R7.8'!AC40</f>
        <v>0</v>
      </c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33"/>
      <c r="AG40" s="133"/>
      <c r="AH40" s="133"/>
      <c r="AI40" s="133"/>
      <c r="AJ40" s="133"/>
    </row>
    <row r="41" ht="22.5" hidden="1" customHeight="1">
      <c r="A41" s="3"/>
      <c r="B41" s="3"/>
      <c r="C41" s="134">
        <f>'R7.8'!AC41</f>
        <v>0</v>
      </c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33"/>
      <c r="AG41" s="133"/>
      <c r="AH41" s="133"/>
      <c r="AI41" s="133"/>
      <c r="AJ41" s="133"/>
    </row>
    <row r="42" ht="22.5" hidden="1" customHeight="1">
      <c r="A42" s="3"/>
      <c r="B42" s="3"/>
      <c r="C42" s="134">
        <f>'R7.8'!AC42</f>
        <v>0</v>
      </c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33"/>
      <c r="AG42" s="133"/>
      <c r="AH42" s="133"/>
      <c r="AI42" s="133"/>
      <c r="AJ42" s="133"/>
    </row>
    <row r="43" ht="22.5" hidden="1" customHeight="1">
      <c r="A43" s="3"/>
      <c r="B43" s="3"/>
      <c r="C43" s="134">
        <f>'R7.8'!AC43</f>
        <v>0</v>
      </c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33"/>
      <c r="AG43" s="133"/>
      <c r="AH43" s="133"/>
      <c r="AI43" s="133"/>
      <c r="AJ43" s="133"/>
    </row>
    <row r="44" ht="22.5" hidden="1" customHeight="1">
      <c r="A44" s="3"/>
      <c r="B44" s="3"/>
      <c r="C44" s="134">
        <f>'R7.8'!AC44</f>
        <v>0</v>
      </c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33"/>
      <c r="AG44" s="133"/>
      <c r="AH44" s="133"/>
      <c r="AI44" s="133"/>
      <c r="AJ44" s="133"/>
    </row>
    <row r="45" ht="22.5" hidden="1" customHeight="1">
      <c r="A45" s="3"/>
      <c r="B45" s="3"/>
      <c r="C45" s="134">
        <f>'R7.8'!AC45</f>
        <v>0</v>
      </c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33"/>
      <c r="AG45" s="133"/>
      <c r="AH45" s="133"/>
      <c r="AI45" s="133"/>
      <c r="AJ45" s="133"/>
    </row>
    <row r="46" ht="22.5" hidden="1" customHeight="1">
      <c r="A46" s="3"/>
      <c r="B46" s="3"/>
      <c r="C46" s="134">
        <f>'R7.8'!AC46</f>
        <v>0</v>
      </c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33"/>
      <c r="AG46" s="133"/>
      <c r="AH46" s="133"/>
      <c r="AI46" s="133"/>
      <c r="AJ46" s="133"/>
    </row>
    <row r="47" ht="22.5" hidden="1" customHeight="1">
      <c r="A47" s="3"/>
      <c r="B47" s="3"/>
      <c r="C47" s="134">
        <f>'R7.8'!AC47</f>
        <v>0</v>
      </c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33"/>
      <c r="AG47" s="133"/>
      <c r="AH47" s="133"/>
      <c r="AI47" s="133"/>
      <c r="AJ47" s="133"/>
    </row>
    <row r="48" ht="22.5" hidden="1" customHeight="1">
      <c r="A48" s="3"/>
      <c r="B48" s="3"/>
      <c r="C48" s="134">
        <f>'R7.8'!AC48</f>
        <v>0</v>
      </c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33"/>
      <c r="AG48" s="133"/>
      <c r="AH48" s="133"/>
      <c r="AI48" s="133"/>
      <c r="AJ48" s="133"/>
    </row>
    <row r="49" ht="22.5" hidden="1" customHeight="1">
      <c r="A49" s="3"/>
      <c r="B49" s="3"/>
      <c r="C49" s="134">
        <f>'R7.8'!AC49</f>
        <v>0</v>
      </c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33"/>
      <c r="AG49" s="133"/>
      <c r="AH49" s="133"/>
      <c r="AI49" s="133"/>
      <c r="AJ49" s="133"/>
    </row>
    <row r="50" ht="22.5" hidden="1" customHeight="1">
      <c r="A50" s="3"/>
      <c r="B50" s="3"/>
      <c r="C50" s="134">
        <f>'R7.8'!AC50</f>
        <v>0</v>
      </c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33"/>
      <c r="AG50" s="133"/>
      <c r="AH50" s="133"/>
      <c r="AI50" s="133"/>
      <c r="AJ50" s="133"/>
    </row>
    <row r="51" ht="22.5" hidden="1" customHeight="1">
      <c r="A51" s="3"/>
      <c r="B51" s="3"/>
      <c r="C51" s="134">
        <f>'R7.8'!AC51</f>
        <v>0</v>
      </c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33"/>
      <c r="AG51" s="133"/>
      <c r="AH51" s="133"/>
      <c r="AI51" s="133"/>
      <c r="AJ51" s="133"/>
    </row>
    <row r="52" ht="22.5" hidden="1" customHeight="1">
      <c r="A52" s="3"/>
      <c r="B52" s="3"/>
      <c r="C52" s="134">
        <f>'R7.8'!AC52</f>
        <v>0</v>
      </c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33"/>
      <c r="AG52" s="133"/>
      <c r="AH52" s="133"/>
      <c r="AI52" s="133"/>
      <c r="AJ52" s="133"/>
    </row>
    <row r="53" ht="22.5" hidden="1" customHeight="1">
      <c r="A53" s="3"/>
      <c r="B53" s="3"/>
      <c r="C53" s="134">
        <f>'R7.8'!AC53</f>
        <v>0</v>
      </c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33"/>
      <c r="AG53" s="133"/>
      <c r="AH53" s="133"/>
      <c r="AI53" s="133"/>
      <c r="AJ53" s="133"/>
    </row>
    <row r="54" ht="22.5" hidden="1" customHeight="1">
      <c r="A54" s="3"/>
      <c r="B54" s="3"/>
      <c r="C54" s="134">
        <f>'R7.8'!AC54</f>
        <v>0</v>
      </c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33"/>
      <c r="AG54" s="133"/>
      <c r="AH54" s="133"/>
      <c r="AI54" s="133"/>
      <c r="AJ54" s="133"/>
    </row>
    <row r="55" ht="22.5" hidden="1" customHeight="1">
      <c r="A55" s="3"/>
      <c r="B55" s="3"/>
      <c r="C55" s="134">
        <f>'R7.8'!AC55</f>
        <v>0</v>
      </c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33"/>
      <c r="AG55" s="133"/>
      <c r="AH55" s="133"/>
      <c r="AI55" s="133"/>
      <c r="AJ55" s="133"/>
    </row>
    <row r="56" ht="22.5" hidden="1" customHeight="1">
      <c r="A56" s="3"/>
      <c r="B56" s="3"/>
      <c r="C56" s="134">
        <f>'R7.8'!AC56</f>
        <v>0</v>
      </c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33"/>
      <c r="AG56" s="133"/>
      <c r="AH56" s="133"/>
      <c r="AI56" s="133"/>
      <c r="AJ56" s="133"/>
    </row>
    <row r="57" ht="22.5" hidden="1" customHeight="1">
      <c r="A57" s="3"/>
      <c r="B57" s="3"/>
      <c r="C57" s="134">
        <f>'R7.8'!AC57</f>
        <v>0</v>
      </c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33"/>
      <c r="AG57" s="133"/>
      <c r="AH57" s="133"/>
      <c r="AI57" s="133"/>
      <c r="AJ57" s="133"/>
    </row>
    <row r="58" ht="22.5" hidden="1" customHeight="1">
      <c r="A58" s="3"/>
      <c r="B58" s="3"/>
      <c r="C58" s="134">
        <f>'R7.8'!AC58</f>
        <v>0</v>
      </c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33"/>
      <c r="AG58" s="133"/>
      <c r="AH58" s="133"/>
      <c r="AI58" s="133"/>
      <c r="AJ58" s="133"/>
    </row>
    <row r="59" ht="22.5" hidden="1" customHeight="1">
      <c r="A59" s="3"/>
      <c r="B59" s="3"/>
      <c r="C59" s="134">
        <f>'R7.8'!AC59</f>
        <v>0</v>
      </c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33"/>
      <c r="AG59" s="133"/>
      <c r="AH59" s="133"/>
      <c r="AI59" s="133"/>
      <c r="AJ59" s="133"/>
    </row>
    <row r="60" ht="22.5" hidden="1" customHeight="1">
      <c r="A60" s="3"/>
      <c r="B60" s="3"/>
      <c r="C60" s="134">
        <f>'R7.8'!AC60</f>
        <v>0</v>
      </c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33"/>
      <c r="AG60" s="133"/>
      <c r="AH60" s="133"/>
      <c r="AI60" s="133"/>
      <c r="AJ60" s="133"/>
    </row>
    <row r="61" ht="22.5" hidden="1" customHeight="1">
      <c r="A61" s="3"/>
      <c r="B61" s="3"/>
      <c r="C61" s="134">
        <f>'R7.8'!AC61</f>
        <v>0</v>
      </c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33"/>
      <c r="AG61" s="133"/>
      <c r="AH61" s="133"/>
      <c r="AI61" s="133"/>
      <c r="AJ61" s="133"/>
    </row>
    <row r="62" ht="22.5" hidden="1" customHeight="1">
      <c r="A62" s="3"/>
      <c r="B62" s="3"/>
      <c r="C62" s="134">
        <f>'R7.8'!AC62</f>
        <v>0</v>
      </c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33"/>
      <c r="AG62" s="133"/>
      <c r="AH62" s="133"/>
      <c r="AI62" s="133"/>
      <c r="AJ62" s="133"/>
    </row>
    <row r="63" ht="22.5" hidden="1" customHeight="1">
      <c r="A63" s="3"/>
      <c r="B63" s="3"/>
      <c r="C63" s="134">
        <f>'R7.8'!AC63</f>
        <v>0</v>
      </c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33"/>
      <c r="AG63" s="133"/>
      <c r="AH63" s="133"/>
      <c r="AI63" s="133"/>
      <c r="AJ63" s="133"/>
    </row>
    <row r="64" ht="22.5" hidden="1" customHeight="1">
      <c r="A64" s="3"/>
      <c r="B64" s="3"/>
      <c r="C64" s="134">
        <f>'R7.8'!AC64</f>
        <v>0</v>
      </c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33"/>
      <c r="AG64" s="133"/>
      <c r="AH64" s="133"/>
      <c r="AI64" s="133"/>
      <c r="AJ64" s="133"/>
    </row>
    <row r="65" ht="22.5" hidden="1" customHeight="1">
      <c r="A65" s="3"/>
      <c r="B65" s="3"/>
      <c r="C65" s="134">
        <f>'R7.8'!AC65</f>
        <v>0</v>
      </c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33"/>
      <c r="AG65" s="133"/>
      <c r="AH65" s="133"/>
      <c r="AI65" s="133"/>
      <c r="AJ65" s="133"/>
    </row>
    <row r="66" ht="22.5" hidden="1" customHeight="1">
      <c r="A66" s="3"/>
      <c r="B66" s="3"/>
      <c r="C66" s="134">
        <f>'R7.8'!AC66</f>
        <v>0</v>
      </c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33"/>
      <c r="AG66" s="133"/>
      <c r="AH66" s="133"/>
      <c r="AI66" s="133"/>
      <c r="AJ66" s="133"/>
    </row>
    <row r="67" ht="22.5" hidden="1" customHeight="1">
      <c r="A67" s="3"/>
      <c r="B67" s="3"/>
      <c r="C67" s="134">
        <f>'R7.8'!AC67</f>
        <v>0</v>
      </c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33"/>
      <c r="AG67" s="133"/>
      <c r="AH67" s="133"/>
      <c r="AI67" s="133"/>
      <c r="AJ67" s="133"/>
    </row>
    <row r="68" ht="22.5" hidden="1" customHeight="1">
      <c r="A68" s="3"/>
      <c r="B68" s="3"/>
      <c r="C68" s="134">
        <f>'R7.8'!AC68</f>
        <v>0</v>
      </c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33"/>
      <c r="AG68" s="133"/>
      <c r="AH68" s="133"/>
      <c r="AI68" s="133"/>
      <c r="AJ68" s="133"/>
    </row>
    <row r="69" ht="22.5" hidden="1" customHeight="1">
      <c r="A69" s="3"/>
      <c r="B69" s="3"/>
      <c r="C69" s="134">
        <f>'R7.8'!AC69</f>
        <v>0</v>
      </c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33"/>
      <c r="AG69" s="133"/>
      <c r="AH69" s="133"/>
      <c r="AI69" s="133"/>
      <c r="AJ69" s="133"/>
    </row>
    <row r="70" ht="22.5" hidden="1" customHeight="1">
      <c r="A70" s="3"/>
      <c r="B70" s="3"/>
      <c r="C70" s="134">
        <f>'R7.8'!AC70</f>
        <v>0</v>
      </c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33"/>
      <c r="AG70" s="133"/>
      <c r="AH70" s="133"/>
      <c r="AI70" s="133"/>
      <c r="AJ70" s="133"/>
    </row>
    <row r="71" ht="22.5" hidden="1" customHeight="1">
      <c r="A71" s="3"/>
      <c r="B71" s="3"/>
      <c r="C71" s="134">
        <f>'R7.8'!AC71</f>
        <v>0</v>
      </c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33"/>
      <c r="AG71" s="133"/>
      <c r="AH71" s="133"/>
      <c r="AI71" s="133"/>
      <c r="AJ71" s="133"/>
    </row>
    <row r="72" ht="22.5" hidden="1" customHeight="1">
      <c r="A72" s="3"/>
      <c r="B72" s="3"/>
      <c r="C72" s="134">
        <f>'R7.8'!AC72</f>
        <v>0</v>
      </c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33"/>
      <c r="AG72" s="133"/>
      <c r="AH72" s="133"/>
      <c r="AI72" s="133"/>
      <c r="AJ72" s="133"/>
    </row>
    <row r="73" ht="22.5" hidden="1" customHeight="1">
      <c r="A73" s="3"/>
      <c r="B73" s="3"/>
      <c r="C73" s="134">
        <f>'R7.8'!AC73</f>
        <v>0</v>
      </c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33"/>
      <c r="AG73" s="133"/>
      <c r="AH73" s="133"/>
      <c r="AI73" s="133"/>
      <c r="AJ73" s="133"/>
    </row>
    <row r="74" ht="22.5" hidden="1" customHeight="1">
      <c r="A74" s="3"/>
      <c r="B74" s="3"/>
      <c r="C74" s="134">
        <f>'R7.8'!AC74</f>
        <v>0</v>
      </c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33"/>
      <c r="AG74" s="133"/>
      <c r="AH74" s="133"/>
      <c r="AI74" s="133"/>
      <c r="AJ74" s="133"/>
    </row>
    <row r="75" ht="22.5" hidden="1" customHeight="1">
      <c r="A75" s="3"/>
      <c r="B75" s="3"/>
      <c r="C75" s="134">
        <f>'R7.8'!AC75</f>
        <v>0</v>
      </c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33"/>
      <c r="AG75" s="133"/>
      <c r="AH75" s="133"/>
      <c r="AI75" s="133"/>
      <c r="AJ75" s="133"/>
    </row>
    <row r="76" ht="22.5" hidden="1" customHeight="1">
      <c r="A76" s="3"/>
      <c r="B76" s="3"/>
      <c r="C76" s="134">
        <f>'R7.8'!AC76</f>
        <v>0</v>
      </c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33"/>
      <c r="AG76" s="133"/>
      <c r="AH76" s="133"/>
      <c r="AI76" s="133"/>
      <c r="AJ76" s="133"/>
    </row>
    <row r="77" ht="22.5" hidden="1" customHeight="1">
      <c r="A77" s="3"/>
      <c r="B77" s="3"/>
      <c r="C77" s="134">
        <f>'R7.8'!AC77</f>
        <v>0</v>
      </c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33"/>
      <c r="AG77" s="133"/>
      <c r="AH77" s="133"/>
      <c r="AI77" s="133"/>
      <c r="AJ77" s="133"/>
    </row>
    <row r="78" ht="22.5" hidden="1" customHeight="1">
      <c r="A78" s="3"/>
      <c r="B78" s="3"/>
      <c r="C78" s="134">
        <f>'R7.8'!AC78</f>
        <v>0</v>
      </c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33"/>
      <c r="AG78" s="133"/>
      <c r="AH78" s="133"/>
      <c r="AI78" s="133"/>
      <c r="AJ78" s="133"/>
    </row>
    <row r="79" ht="22.5" hidden="1" customHeight="1">
      <c r="A79" s="3"/>
      <c r="B79" s="3"/>
      <c r="C79" s="134">
        <f>'R7.8'!AC79</f>
        <v>0</v>
      </c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33"/>
      <c r="AG79" s="133"/>
      <c r="AH79" s="133"/>
      <c r="AI79" s="133"/>
      <c r="AJ79" s="133"/>
    </row>
    <row r="80" ht="22.5" hidden="1" customHeight="1">
      <c r="A80" s="3"/>
      <c r="B80" s="3"/>
      <c r="C80" s="134">
        <f>'R7.8'!AC80</f>
        <v>0</v>
      </c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33"/>
      <c r="AG80" s="133"/>
      <c r="AH80" s="133"/>
      <c r="AI80" s="133"/>
      <c r="AJ80" s="133"/>
    </row>
    <row r="81" ht="22.5" hidden="1" customHeight="1">
      <c r="A81" s="3"/>
      <c r="B81" s="3"/>
      <c r="C81" s="134">
        <f>'R7.8'!AC81</f>
        <v>0</v>
      </c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33"/>
      <c r="AG81" s="133"/>
      <c r="AH81" s="133"/>
      <c r="AI81" s="133"/>
      <c r="AJ81" s="133"/>
    </row>
    <row r="82" ht="22.5" hidden="1" customHeight="1">
      <c r="A82" s="3"/>
      <c r="B82" s="3"/>
      <c r="C82" s="134">
        <f>'R7.8'!AC82</f>
        <v>0</v>
      </c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33"/>
      <c r="AG82" s="133"/>
      <c r="AH82" s="133"/>
      <c r="AI82" s="133"/>
      <c r="AJ82" s="133"/>
    </row>
    <row r="83" ht="22.5" hidden="1" customHeight="1">
      <c r="A83" s="3"/>
      <c r="B83" s="3"/>
      <c r="C83" s="134">
        <f>'R7.8'!AC83</f>
        <v>0</v>
      </c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33"/>
      <c r="AG83" s="133"/>
      <c r="AH83" s="133"/>
      <c r="AI83" s="133"/>
      <c r="AJ83" s="133"/>
    </row>
    <row r="84" ht="22.5" hidden="1" customHeight="1">
      <c r="A84" s="3"/>
      <c r="B84" s="3"/>
      <c r="C84" s="134">
        <f>'R7.8'!AC84</f>
        <v>0</v>
      </c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33"/>
      <c r="AG84" s="133"/>
      <c r="AH84" s="133"/>
      <c r="AI84" s="133"/>
      <c r="AJ84" s="133"/>
    </row>
    <row r="85" ht="22.5" hidden="1" customHeight="1">
      <c r="A85" s="3"/>
      <c r="B85" s="3"/>
      <c r="C85" s="134">
        <f>'R7.8'!AC85</f>
        <v>0</v>
      </c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33"/>
      <c r="AG85" s="133"/>
      <c r="AH85" s="133"/>
      <c r="AI85" s="133"/>
      <c r="AJ85" s="133"/>
    </row>
    <row r="86" ht="22.5" hidden="1" customHeight="1">
      <c r="A86" s="3"/>
      <c r="B86" s="3"/>
      <c r="C86" s="134">
        <f>'R7.8'!AC86</f>
        <v>0</v>
      </c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33"/>
      <c r="AG86" s="133"/>
      <c r="AH86" s="133"/>
      <c r="AI86" s="133"/>
      <c r="AJ86" s="133"/>
    </row>
    <row r="87" ht="22.5" hidden="1" customHeight="1">
      <c r="A87" s="3"/>
      <c r="B87" s="3"/>
      <c r="C87" s="134">
        <f>'R7.8'!AC87</f>
        <v>0</v>
      </c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33"/>
      <c r="AG87" s="133"/>
      <c r="AH87" s="133"/>
      <c r="AI87" s="133"/>
      <c r="AJ87" s="133"/>
    </row>
    <row r="88" ht="22.5" hidden="1" customHeight="1">
      <c r="A88" s="3"/>
      <c r="B88" s="3"/>
      <c r="C88" s="134">
        <f>'R7.8'!AC88</f>
        <v>0</v>
      </c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33"/>
      <c r="AG88" s="133"/>
      <c r="AH88" s="133"/>
      <c r="AI88" s="133"/>
      <c r="AJ88" s="133"/>
    </row>
    <row r="89" ht="22.5" hidden="1" customHeight="1">
      <c r="A89" s="3"/>
      <c r="B89" s="3"/>
      <c r="C89" s="134">
        <f>'R7.8'!AC89</f>
        <v>0</v>
      </c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33"/>
      <c r="AG89" s="133"/>
      <c r="AH89" s="133"/>
      <c r="AI89" s="133"/>
      <c r="AJ89" s="133"/>
    </row>
    <row r="90" ht="22.5" hidden="1" customHeight="1">
      <c r="A90" s="3"/>
      <c r="B90" s="3"/>
      <c r="C90" s="134">
        <f>'R7.8'!AC90</f>
        <v>0</v>
      </c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33"/>
      <c r="AG90" s="133"/>
      <c r="AH90" s="133"/>
      <c r="AI90" s="133"/>
      <c r="AJ90" s="133"/>
    </row>
    <row r="91" ht="22.5" hidden="1" customHeight="1">
      <c r="A91" s="3"/>
      <c r="B91" s="3"/>
      <c r="C91" s="134">
        <f>'R7.8'!AC91</f>
        <v>0</v>
      </c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33"/>
      <c r="AG91" s="133"/>
      <c r="AH91" s="133"/>
      <c r="AI91" s="133"/>
      <c r="AJ91" s="133"/>
    </row>
    <row r="92" ht="22.5" hidden="1" customHeight="1">
      <c r="A92" s="3"/>
      <c r="B92" s="3"/>
      <c r="C92" s="134">
        <f>'R7.8'!AC92</f>
        <v>0</v>
      </c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33"/>
      <c r="AG92" s="133"/>
      <c r="AH92" s="133"/>
      <c r="AI92" s="133"/>
      <c r="AJ92" s="133"/>
    </row>
    <row r="93" ht="22.5" hidden="1" customHeight="1">
      <c r="A93" s="3"/>
      <c r="B93" s="3"/>
      <c r="C93" s="134">
        <f>'R7.8'!AC93</f>
        <v>0</v>
      </c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33"/>
      <c r="AG93" s="133"/>
      <c r="AH93" s="133"/>
      <c r="AI93" s="133"/>
      <c r="AJ93" s="133"/>
    </row>
    <row r="94" ht="22.5" hidden="1" customHeight="1">
      <c r="A94" s="3"/>
      <c r="B94" s="3"/>
      <c r="C94" s="134">
        <f>'R7.8'!AC94</f>
        <v>0</v>
      </c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33"/>
      <c r="AG94" s="133"/>
      <c r="AH94" s="133"/>
      <c r="AI94" s="133"/>
      <c r="AJ94" s="133"/>
    </row>
    <row r="95" ht="22.5" hidden="1" customHeight="1">
      <c r="A95" s="3"/>
      <c r="B95" s="3"/>
      <c r="C95" s="134">
        <f>'R7.8'!AC95</f>
        <v>0</v>
      </c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33"/>
      <c r="AG95" s="133"/>
      <c r="AH95" s="133"/>
      <c r="AI95" s="133"/>
      <c r="AJ95" s="133"/>
    </row>
    <row r="96" ht="22.5" hidden="1" customHeight="1">
      <c r="A96" s="3"/>
      <c r="B96" s="3"/>
      <c r="C96" s="134">
        <f>'R7.8'!AC96</f>
        <v>0</v>
      </c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33"/>
      <c r="AG96" s="133"/>
      <c r="AH96" s="133"/>
      <c r="AI96" s="133"/>
      <c r="AJ96" s="133"/>
    </row>
    <row r="97" ht="22.5" hidden="1" customHeight="1">
      <c r="A97" s="3"/>
      <c r="B97" s="3"/>
      <c r="C97" s="134">
        <f>'R7.8'!AC97</f>
        <v>0</v>
      </c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33"/>
      <c r="AG97" s="133"/>
      <c r="AH97" s="133"/>
      <c r="AI97" s="133"/>
      <c r="AJ97" s="133"/>
    </row>
    <row r="98" ht="22.5" hidden="1" customHeight="1">
      <c r="A98" s="3"/>
      <c r="B98" s="3"/>
      <c r="C98" s="134">
        <f>'R7.8'!AC98</f>
        <v>0</v>
      </c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33"/>
      <c r="AG98" s="133"/>
      <c r="AH98" s="133"/>
      <c r="AI98" s="133"/>
      <c r="AJ98" s="133"/>
    </row>
    <row r="99" ht="22.5" hidden="1" customHeight="1">
      <c r="A99" s="3"/>
      <c r="B99" s="3"/>
      <c r="C99" s="134">
        <f>'R7.8'!AC99</f>
        <v>0</v>
      </c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33"/>
      <c r="AG99" s="133"/>
      <c r="AH99" s="133"/>
      <c r="AI99" s="133"/>
      <c r="AJ99" s="133"/>
    </row>
    <row r="100" ht="22.5" hidden="1" customHeight="1">
      <c r="A100" s="3"/>
      <c r="B100" s="3"/>
      <c r="C100" s="134">
        <f>'R7.8'!AC100</f>
        <v>0</v>
      </c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33"/>
      <c r="AG100" s="133"/>
      <c r="AH100" s="133"/>
      <c r="AI100" s="133"/>
      <c r="AJ100" s="133"/>
    </row>
    <row r="101" ht="22.5" hidden="1" customHeight="1">
      <c r="A101" s="3"/>
      <c r="B101" s="3"/>
      <c r="C101" s="134">
        <f>'R7.8'!AC101</f>
        <v>0</v>
      </c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33"/>
      <c r="AG101" s="133"/>
      <c r="AH101" s="133"/>
      <c r="AI101" s="133"/>
      <c r="AJ101" s="133"/>
    </row>
    <row r="102" ht="22.5" hidden="1" customHeight="1">
      <c r="A102" s="3"/>
      <c r="B102" s="3"/>
      <c r="C102" s="134">
        <f>'R7.8'!AC102</f>
        <v>0</v>
      </c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33"/>
      <c r="AG102" s="133"/>
      <c r="AH102" s="133"/>
      <c r="AI102" s="133"/>
      <c r="AJ102" s="133"/>
    </row>
    <row r="103" ht="22.5" hidden="1" customHeight="1">
      <c r="A103" s="3"/>
      <c r="B103" s="3"/>
      <c r="C103" s="134">
        <f>'R7.8'!AC103</f>
        <v>0</v>
      </c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33"/>
      <c r="AG103" s="133"/>
      <c r="AH103" s="133"/>
      <c r="AI103" s="133"/>
      <c r="AJ103" s="133"/>
    </row>
    <row r="104" ht="22.5" hidden="1" customHeight="1">
      <c r="A104" s="3"/>
      <c r="B104" s="3"/>
      <c r="C104" s="134">
        <f>'R7.8'!AC104</f>
        <v>0</v>
      </c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33"/>
      <c r="AG104" s="133"/>
      <c r="AH104" s="133"/>
      <c r="AI104" s="133"/>
      <c r="AJ104" s="133"/>
    </row>
    <row r="105" ht="22.5" hidden="1" customHeight="1">
      <c r="A105" s="3"/>
      <c r="B105" s="3"/>
      <c r="C105" s="134">
        <f>'R7.8'!AC105</f>
        <v>0</v>
      </c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33"/>
      <c r="AG105" s="133"/>
      <c r="AH105" s="133"/>
      <c r="AI105" s="133"/>
      <c r="AJ105" s="133"/>
    </row>
    <row r="106" ht="22.5" hidden="1" customHeight="1">
      <c r="A106" s="3"/>
      <c r="B106" s="3"/>
      <c r="C106" s="134">
        <f>'R7.8'!AC106</f>
        <v>0</v>
      </c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33"/>
      <c r="AG106" s="133"/>
      <c r="AH106" s="133"/>
      <c r="AI106" s="133"/>
      <c r="AJ106" s="133"/>
    </row>
    <row r="107" ht="22.5" hidden="1" customHeight="1">
      <c r="A107" s="3"/>
      <c r="B107" s="3"/>
      <c r="C107" s="134">
        <f>'R7.8'!AC107</f>
        <v>0</v>
      </c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33"/>
      <c r="AG107" s="133"/>
      <c r="AH107" s="133"/>
      <c r="AI107" s="133"/>
      <c r="AJ107" s="133"/>
    </row>
    <row r="108" ht="22.5" hidden="1" customHeight="1">
      <c r="A108" s="3"/>
      <c r="B108" s="3"/>
      <c r="C108" s="134">
        <f>'R7.8'!AC108</f>
        <v>0</v>
      </c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33"/>
      <c r="AG108" s="133"/>
      <c r="AH108" s="133"/>
      <c r="AI108" s="133"/>
      <c r="AJ108" s="133"/>
    </row>
    <row r="109" ht="22.5" customHeight="1">
      <c r="A109" s="3"/>
      <c r="B109" s="3"/>
      <c r="C109" s="134">
        <f>'R7.8'!AC109</f>
        <v>0</v>
      </c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3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5">SUM(D3:D109)</f>
        <v>320000</v>
      </c>
      <c r="E110" s="120">
        <f t="shared" si="5"/>
        <v>40000</v>
      </c>
      <c r="F110" s="120">
        <f t="shared" si="5"/>
        <v>40000</v>
      </c>
      <c r="G110" s="120">
        <f t="shared" si="5"/>
        <v>16000</v>
      </c>
      <c r="H110" s="120">
        <f t="shared" si="5"/>
        <v>80000</v>
      </c>
      <c r="I110" s="120">
        <f t="shared" si="5"/>
        <v>194700</v>
      </c>
      <c r="J110" s="135">
        <f t="shared" si="5"/>
        <v>-86637</v>
      </c>
      <c r="K110" s="120">
        <f t="shared" si="5"/>
        <v>0</v>
      </c>
      <c r="L110" s="120">
        <f t="shared" si="5"/>
        <v>13140</v>
      </c>
      <c r="M110" s="120">
        <f t="shared" si="5"/>
        <v>20000</v>
      </c>
      <c r="N110" s="120">
        <f t="shared" si="5"/>
        <v>0</v>
      </c>
      <c r="O110" s="120">
        <f t="shared" si="5"/>
        <v>0</v>
      </c>
      <c r="P110" s="120">
        <f t="shared" si="5"/>
        <v>0</v>
      </c>
      <c r="Q110" s="120">
        <f t="shared" si="5"/>
        <v>21846</v>
      </c>
      <c r="R110" s="120">
        <f t="shared" si="5"/>
        <v>0</v>
      </c>
      <c r="S110" s="120">
        <f t="shared" si="5"/>
        <v>0</v>
      </c>
      <c r="T110" s="120">
        <f t="shared" si="5"/>
        <v>0</v>
      </c>
      <c r="U110" s="120">
        <f t="shared" si="5"/>
        <v>0</v>
      </c>
      <c r="V110" s="120">
        <f t="shared" si="5"/>
        <v>-100000</v>
      </c>
      <c r="W110" s="122">
        <f t="shared" si="4"/>
        <v>559049</v>
      </c>
      <c r="X110" s="120">
        <f t="shared" ref="X110:Y110" si="6">SUM(X3:X109)</f>
        <v>49161</v>
      </c>
      <c r="Y110" s="120">
        <f t="shared" si="6"/>
        <v>7500</v>
      </c>
      <c r="Z110" s="120">
        <f t="shared" si="2"/>
        <v>615710</v>
      </c>
      <c r="AA110" s="124"/>
      <c r="AC110" s="136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>
      <c r="A228" s="114"/>
      <c r="B228" s="114"/>
    </row>
    <row r="229" ht="15.75" customHeight="1">
      <c r="A229" s="114"/>
      <c r="B229" s="114"/>
    </row>
    <row r="230" ht="15.75" customHeight="1">
      <c r="A230" s="114"/>
      <c r="B230" s="114"/>
    </row>
    <row r="231" ht="15.75" customHeight="1">
      <c r="A231" s="114"/>
      <c r="B231" s="114"/>
    </row>
    <row r="232" ht="15.75" customHeight="1">
      <c r="A232" s="114"/>
      <c r="B232" s="114"/>
    </row>
    <row r="233" ht="15.75" customHeight="1">
      <c r="A233" s="114"/>
      <c r="B233" s="114"/>
    </row>
    <row r="234" ht="15.75" customHeight="1">
      <c r="A234" s="114"/>
      <c r="B234" s="114"/>
    </row>
    <row r="235" ht="15.75" customHeight="1">
      <c r="A235" s="114"/>
      <c r="B235" s="114"/>
    </row>
    <row r="236" ht="15.75" customHeight="1">
      <c r="A236" s="114"/>
      <c r="B236" s="114"/>
    </row>
    <row r="237" ht="15.75" customHeight="1">
      <c r="A237" s="114"/>
      <c r="B237" s="114"/>
    </row>
    <row r="238" ht="15.75" customHeight="1">
      <c r="A238" s="114"/>
      <c r="B238" s="114"/>
    </row>
    <row r="239" ht="15.75" customHeight="1">
      <c r="A239" s="114"/>
      <c r="B239" s="114"/>
    </row>
    <row r="240" ht="15.75" customHeight="1">
      <c r="A240" s="114"/>
      <c r="B240" s="114"/>
    </row>
    <row r="241" ht="15.75" customHeight="1">
      <c r="A241" s="114"/>
      <c r="B241" s="114"/>
    </row>
    <row r="242" ht="15.75" customHeight="1">
      <c r="A242" s="114"/>
      <c r="B242" s="114"/>
    </row>
    <row r="243" ht="15.75" customHeight="1">
      <c r="A243" s="114"/>
      <c r="B243" s="114"/>
    </row>
    <row r="244" ht="15.75" customHeight="1">
      <c r="A244" s="114"/>
      <c r="B244" s="114"/>
    </row>
    <row r="245" ht="15.75" customHeight="1">
      <c r="A245" s="114"/>
      <c r="B245" s="114"/>
    </row>
    <row r="246" ht="15.75" customHeight="1">
      <c r="A246" s="114"/>
      <c r="B246" s="114"/>
    </row>
    <row r="247" ht="15.75" customHeight="1">
      <c r="A247" s="114"/>
      <c r="B247" s="114"/>
    </row>
    <row r="248" ht="15.75" customHeight="1">
      <c r="A248" s="114"/>
      <c r="B248" s="114"/>
    </row>
    <row r="249" ht="15.75" customHeight="1">
      <c r="A249" s="114"/>
      <c r="B249" s="114"/>
    </row>
    <row r="250" ht="15.75" customHeight="1">
      <c r="A250" s="114"/>
      <c r="B250" s="114"/>
    </row>
    <row r="251" ht="15.75" customHeight="1">
      <c r="A251" s="114"/>
      <c r="B251" s="114"/>
    </row>
    <row r="252" ht="15.75" customHeight="1">
      <c r="A252" s="114"/>
      <c r="B252" s="114"/>
    </row>
    <row r="253" ht="15.75" customHeight="1">
      <c r="A253" s="114"/>
      <c r="B253" s="114"/>
    </row>
    <row r="254" ht="15.75" customHeight="1">
      <c r="A254" s="114"/>
      <c r="B254" s="114"/>
    </row>
    <row r="255" ht="15.75" customHeight="1">
      <c r="A255" s="114"/>
      <c r="B255" s="114"/>
    </row>
    <row r="256" ht="15.75" customHeight="1">
      <c r="A256" s="114"/>
      <c r="B256" s="114"/>
    </row>
    <row r="257" ht="15.75" customHeight="1">
      <c r="A257" s="114"/>
      <c r="B257" s="114"/>
    </row>
    <row r="258" ht="15.75" customHeight="1">
      <c r="A258" s="114"/>
      <c r="B258" s="114"/>
    </row>
    <row r="259" ht="15.75" customHeight="1">
      <c r="A259" s="114"/>
      <c r="B259" s="114"/>
    </row>
    <row r="260" ht="15.75" customHeight="1">
      <c r="A260" s="114"/>
      <c r="B260" s="114"/>
    </row>
    <row r="261" ht="15.75" customHeight="1">
      <c r="A261" s="114"/>
      <c r="B261" s="114"/>
    </row>
    <row r="262" ht="15.75" customHeight="1">
      <c r="A262" s="114"/>
      <c r="B262" s="114"/>
    </row>
    <row r="263" ht="15.75" customHeight="1">
      <c r="A263" s="114"/>
      <c r="B263" s="114"/>
    </row>
    <row r="264" ht="15.75" customHeight="1">
      <c r="A264" s="114"/>
      <c r="B264" s="114"/>
    </row>
    <row r="265" ht="15.75" customHeight="1">
      <c r="A265" s="114"/>
      <c r="B265" s="114"/>
    </row>
    <row r="266" ht="15.75" customHeight="1">
      <c r="A266" s="114"/>
      <c r="B266" s="114"/>
    </row>
    <row r="267" ht="15.75" customHeight="1">
      <c r="A267" s="114"/>
      <c r="B267" s="114"/>
    </row>
    <row r="268" ht="15.75" customHeight="1">
      <c r="A268" s="114"/>
      <c r="B268" s="114"/>
    </row>
    <row r="269" ht="15.75" customHeight="1">
      <c r="A269" s="114"/>
      <c r="B269" s="114"/>
    </row>
    <row r="270" ht="15.75" customHeight="1">
      <c r="A270" s="114"/>
      <c r="B270" s="114"/>
    </row>
    <row r="271" ht="15.75" customHeight="1">
      <c r="A271" s="114"/>
      <c r="B271" s="114"/>
    </row>
    <row r="272" ht="15.75" customHeight="1">
      <c r="A272" s="114"/>
      <c r="B272" s="114"/>
    </row>
    <row r="273" ht="15.75" customHeight="1">
      <c r="A273" s="114"/>
      <c r="B273" s="114"/>
    </row>
    <row r="274" ht="15.75" customHeight="1">
      <c r="A274" s="114"/>
      <c r="B274" s="114"/>
    </row>
    <row r="275" ht="15.75" customHeight="1">
      <c r="A275" s="114"/>
      <c r="B275" s="114"/>
    </row>
    <row r="276" ht="15.75" customHeight="1">
      <c r="A276" s="114"/>
      <c r="B276" s="114"/>
    </row>
    <row r="277" ht="15.75" customHeight="1">
      <c r="A277" s="114"/>
      <c r="B277" s="114"/>
    </row>
    <row r="278" ht="15.75" customHeight="1">
      <c r="A278" s="114"/>
      <c r="B278" s="114"/>
    </row>
    <row r="279" ht="15.75" customHeight="1">
      <c r="A279" s="114"/>
      <c r="B279" s="114"/>
    </row>
    <row r="280" ht="15.75" customHeight="1">
      <c r="A280" s="114"/>
      <c r="B280" s="114"/>
    </row>
    <row r="281" ht="15.75" customHeight="1">
      <c r="A281" s="114"/>
      <c r="B281" s="114"/>
    </row>
    <row r="282" ht="15.75" customHeight="1">
      <c r="A282" s="114"/>
      <c r="B282" s="114"/>
    </row>
    <row r="283" ht="15.75" customHeight="1">
      <c r="A283" s="114"/>
      <c r="B283" s="114"/>
    </row>
    <row r="284" ht="15.75" customHeight="1">
      <c r="A284" s="114"/>
      <c r="B284" s="114"/>
    </row>
    <row r="285" ht="15.75" customHeight="1">
      <c r="A285" s="114"/>
      <c r="B285" s="114"/>
    </row>
    <row r="286" ht="15.75" customHeight="1">
      <c r="A286" s="114"/>
      <c r="B286" s="114"/>
    </row>
    <row r="287" ht="15.75" customHeight="1">
      <c r="A287" s="114"/>
      <c r="B287" s="114"/>
    </row>
    <row r="288" ht="15.75" customHeight="1">
      <c r="A288" s="114"/>
      <c r="B288" s="114"/>
    </row>
    <row r="289" ht="15.75" customHeight="1">
      <c r="A289" s="114"/>
      <c r="B289" s="114"/>
    </row>
    <row r="290" ht="15.75" customHeight="1">
      <c r="A290" s="114"/>
      <c r="B290" s="114"/>
    </row>
    <row r="291" ht="15.75" customHeight="1">
      <c r="A291" s="114"/>
      <c r="B291" s="114"/>
    </row>
    <row r="292" ht="15.75" customHeight="1">
      <c r="A292" s="114"/>
      <c r="B292" s="114"/>
    </row>
    <row r="293" ht="15.75" customHeight="1">
      <c r="A293" s="114"/>
      <c r="B293" s="114"/>
    </row>
    <row r="294" ht="15.75" customHeight="1">
      <c r="A294" s="114"/>
      <c r="B294" s="114"/>
    </row>
    <row r="295" ht="15.75" customHeight="1">
      <c r="A295" s="114"/>
      <c r="B295" s="114"/>
    </row>
    <row r="296" ht="15.75" customHeight="1">
      <c r="A296" s="114"/>
      <c r="B296" s="114"/>
    </row>
    <row r="297" ht="15.75" customHeight="1">
      <c r="A297" s="114"/>
      <c r="B297" s="114"/>
    </row>
    <row r="298" ht="15.75" customHeight="1">
      <c r="A298" s="114"/>
      <c r="B298" s="114"/>
    </row>
    <row r="299" ht="15.75" customHeight="1">
      <c r="A299" s="114"/>
      <c r="B299" s="114"/>
    </row>
    <row r="300" ht="15.75" customHeight="1">
      <c r="A300" s="114"/>
      <c r="B300" s="114"/>
    </row>
    <row r="301" ht="15.75" customHeight="1">
      <c r="A301" s="114"/>
      <c r="B301" s="114"/>
    </row>
    <row r="302" ht="15.75" customHeight="1">
      <c r="A302" s="114"/>
      <c r="B302" s="114"/>
    </row>
    <row r="303" ht="15.75" customHeight="1">
      <c r="A303" s="114"/>
      <c r="B303" s="114"/>
    </row>
    <row r="304" ht="15.75" customHeight="1">
      <c r="A304" s="114"/>
      <c r="B304" s="114"/>
    </row>
    <row r="305" ht="15.75" customHeight="1">
      <c r="A305" s="114"/>
      <c r="B305" s="114"/>
    </row>
    <row r="306" ht="15.75" customHeight="1">
      <c r="A306" s="114"/>
      <c r="B306" s="114"/>
    </row>
    <row r="307" ht="15.75" customHeight="1">
      <c r="A307" s="114"/>
      <c r="B307" s="114"/>
    </row>
    <row r="308" ht="15.75" customHeight="1">
      <c r="A308" s="114"/>
      <c r="B308" s="114"/>
    </row>
    <row r="309" ht="15.75" customHeight="1">
      <c r="A309" s="114"/>
      <c r="B309" s="114"/>
    </row>
    <row r="310" ht="15.75" customHeight="1">
      <c r="A310" s="114"/>
      <c r="B310" s="114"/>
    </row>
    <row r="311" ht="15.75" customHeight="1">
      <c r="A311" s="114"/>
      <c r="B311" s="114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45900.0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14"/>
      <c r="AG2" s="114"/>
      <c r="AH2" s="114"/>
      <c r="AI2" s="114"/>
      <c r="AJ2" s="114"/>
    </row>
    <row r="3" ht="22.5" customHeight="1">
      <c r="A3" s="1" t="s">
        <v>2</v>
      </c>
      <c r="B3" s="1" t="s">
        <v>3</v>
      </c>
      <c r="C3" s="134">
        <f>'R7.7'!AC3</f>
        <v>0</v>
      </c>
      <c r="D3" s="116">
        <v>40000.0</v>
      </c>
      <c r="E3" s="116">
        <v>5000.0</v>
      </c>
      <c r="F3" s="116">
        <v>5000.0</v>
      </c>
      <c r="G3" s="116">
        <v>2000.0</v>
      </c>
      <c r="H3" s="117">
        <v>10000.0</v>
      </c>
      <c r="I3" s="118">
        <v>44330.0</v>
      </c>
      <c r="J3" s="119"/>
      <c r="K3" s="117">
        <v>0.0</v>
      </c>
      <c r="L3" s="117">
        <f>73*31</f>
        <v>2263</v>
      </c>
      <c r="M3" s="120">
        <v>0.0</v>
      </c>
      <c r="N3" s="117">
        <v>0.0</v>
      </c>
      <c r="O3" s="117">
        <v>0.0</v>
      </c>
      <c r="P3" s="117"/>
      <c r="Q3" s="117">
        <v>0.0</v>
      </c>
      <c r="R3" s="119"/>
      <c r="S3" s="119"/>
      <c r="T3" s="119"/>
      <c r="U3" s="119"/>
      <c r="V3" s="119"/>
      <c r="W3" s="122">
        <f t="shared" ref="W3:W6" si="1">SUM(D3:V3)</f>
        <v>108593</v>
      </c>
      <c r="X3" s="123"/>
      <c r="Y3" s="123"/>
      <c r="Z3" s="120">
        <f t="shared" ref="Z3:Z110" si="2">SUM(W3:Y3)</f>
        <v>108593</v>
      </c>
      <c r="AA3" s="124"/>
      <c r="AB3" s="63" t="s">
        <v>128</v>
      </c>
      <c r="AC3" s="125">
        <f t="shared" ref="AC3:AC109" si="3">C3-M3</f>
        <v>0</v>
      </c>
    </row>
    <row r="4" ht="22.5" customHeight="1">
      <c r="A4" s="1" t="s">
        <v>4</v>
      </c>
      <c r="B4" s="1" t="s">
        <v>5</v>
      </c>
      <c r="C4" s="134">
        <f>'R7.7'!AC4</f>
        <v>0</v>
      </c>
      <c r="D4" s="116">
        <v>40000.0</v>
      </c>
      <c r="E4" s="116">
        <v>5000.0</v>
      </c>
      <c r="F4" s="116">
        <v>5000.0</v>
      </c>
      <c r="G4" s="116">
        <v>2000.0</v>
      </c>
      <c r="H4" s="117">
        <v>10000.0</v>
      </c>
      <c r="I4" s="118">
        <v>17050.0</v>
      </c>
      <c r="J4" s="119"/>
      <c r="K4" s="117">
        <v>0.0</v>
      </c>
      <c r="L4" s="117">
        <v>0.0</v>
      </c>
      <c r="M4" s="117">
        <v>0.0</v>
      </c>
      <c r="N4" s="117">
        <v>0.0</v>
      </c>
      <c r="O4" s="117">
        <v>0.0</v>
      </c>
      <c r="P4" s="117"/>
      <c r="Q4" s="117">
        <v>0.0</v>
      </c>
      <c r="R4" s="117"/>
      <c r="S4" s="117"/>
      <c r="T4" s="117">
        <v>0.0</v>
      </c>
      <c r="U4" s="117"/>
      <c r="V4" s="117"/>
      <c r="W4" s="122">
        <f t="shared" si="1"/>
        <v>79050</v>
      </c>
      <c r="X4" s="123"/>
      <c r="Y4" s="123"/>
      <c r="Z4" s="120">
        <f t="shared" si="2"/>
        <v>79050</v>
      </c>
      <c r="AA4" s="124" t="s">
        <v>129</v>
      </c>
      <c r="AB4" s="107" t="s">
        <v>128</v>
      </c>
      <c r="AC4" s="125">
        <f t="shared" si="3"/>
        <v>0</v>
      </c>
    </row>
    <row r="5" ht="22.5" customHeight="1">
      <c r="A5" s="1" t="s">
        <v>6</v>
      </c>
      <c r="B5" s="1" t="s">
        <v>132</v>
      </c>
      <c r="C5" s="134">
        <f>'R7.7'!AC5</f>
        <v>112000</v>
      </c>
      <c r="D5" s="116">
        <v>40000.0</v>
      </c>
      <c r="E5" s="116">
        <v>5000.0</v>
      </c>
      <c r="F5" s="116">
        <v>5000.0</v>
      </c>
      <c r="G5" s="116">
        <v>2000.0</v>
      </c>
      <c r="H5" s="117">
        <v>10000.0</v>
      </c>
      <c r="I5" s="117">
        <v>42130.0</v>
      </c>
      <c r="J5" s="127">
        <v>-32753.0</v>
      </c>
      <c r="K5" s="117">
        <v>0.0</v>
      </c>
      <c r="L5" s="117">
        <f t="shared" ref="L5:L7" si="4">73*31</f>
        <v>2263</v>
      </c>
      <c r="M5" s="117">
        <v>10000.0</v>
      </c>
      <c r="N5" s="117">
        <v>0.0</v>
      </c>
      <c r="O5" s="117">
        <v>0.0</v>
      </c>
      <c r="P5" s="117"/>
      <c r="Q5" s="117">
        <v>8006.0</v>
      </c>
      <c r="R5" s="117"/>
      <c r="S5" s="117"/>
      <c r="T5" s="117">
        <v>0.0</v>
      </c>
      <c r="U5" s="117"/>
      <c r="V5" s="117"/>
      <c r="W5" s="122">
        <f t="shared" si="1"/>
        <v>91646</v>
      </c>
      <c r="X5" s="123">
        <v>18354.0</v>
      </c>
      <c r="Y5" s="123"/>
      <c r="Z5" s="120">
        <f t="shared" si="2"/>
        <v>110000</v>
      </c>
      <c r="AA5" s="124">
        <v>110000.0</v>
      </c>
      <c r="AB5" s="63" t="s">
        <v>128</v>
      </c>
      <c r="AC5" s="125">
        <f t="shared" si="3"/>
        <v>102000</v>
      </c>
    </row>
    <row r="6" ht="22.5" customHeight="1">
      <c r="A6" s="1" t="s">
        <v>7</v>
      </c>
      <c r="B6" s="1" t="s">
        <v>8</v>
      </c>
      <c r="C6" s="134">
        <f>'R7.7'!AC6</f>
        <v>0</v>
      </c>
      <c r="D6" s="116">
        <v>40000.0</v>
      </c>
      <c r="E6" s="116">
        <v>5000.0</v>
      </c>
      <c r="F6" s="116">
        <v>5000.0</v>
      </c>
      <c r="G6" s="116">
        <v>2000.0</v>
      </c>
      <c r="H6" s="117">
        <v>10000.0</v>
      </c>
      <c r="I6" s="117">
        <v>0.0</v>
      </c>
      <c r="J6" s="119"/>
      <c r="K6" s="117">
        <v>0.0</v>
      </c>
      <c r="L6" s="117">
        <f t="shared" si="4"/>
        <v>2263</v>
      </c>
      <c r="M6" s="117">
        <v>0.0</v>
      </c>
      <c r="N6" s="117">
        <v>1500.0</v>
      </c>
      <c r="O6" s="117">
        <v>0.0</v>
      </c>
      <c r="P6" s="117"/>
      <c r="Q6" s="117">
        <v>50.0</v>
      </c>
      <c r="R6" s="117"/>
      <c r="S6" s="117"/>
      <c r="T6" s="117">
        <v>0.0</v>
      </c>
      <c r="U6" s="117"/>
      <c r="V6" s="117"/>
      <c r="W6" s="122">
        <f t="shared" si="1"/>
        <v>65813</v>
      </c>
      <c r="X6" s="123"/>
      <c r="Y6" s="123"/>
      <c r="Z6" s="120">
        <f t="shared" si="2"/>
        <v>65813</v>
      </c>
      <c r="AA6" s="124" t="s">
        <v>129</v>
      </c>
      <c r="AB6" s="63" t="s">
        <v>128</v>
      </c>
      <c r="AC6" s="125">
        <f t="shared" si="3"/>
        <v>0</v>
      </c>
    </row>
    <row r="7" ht="22.5" customHeight="1">
      <c r="A7" s="1" t="s">
        <v>9</v>
      </c>
      <c r="B7" s="1" t="s">
        <v>10</v>
      </c>
      <c r="C7" s="134">
        <f>'R7.7'!AC7</f>
        <v>60000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10000.0</v>
      </c>
      <c r="I7" s="117">
        <v>42130.0</v>
      </c>
      <c r="J7" s="127">
        <v>-42448.0</v>
      </c>
      <c r="K7" s="117">
        <v>0.0</v>
      </c>
      <c r="L7" s="117">
        <f t="shared" si="4"/>
        <v>2263</v>
      </c>
      <c r="M7" s="117">
        <v>10000.0</v>
      </c>
      <c r="N7" s="117"/>
      <c r="O7" s="117">
        <v>6899.0</v>
      </c>
      <c r="P7" s="117"/>
      <c r="Q7" s="117">
        <v>0.0</v>
      </c>
      <c r="R7" s="117"/>
      <c r="S7" s="117"/>
      <c r="T7" s="117"/>
      <c r="U7" s="117"/>
      <c r="V7" s="119">
        <f>'R7.7'!AE7</f>
        <v>10000</v>
      </c>
      <c r="W7" s="122">
        <f>SUM(D7:U7)-V7</f>
        <v>70844</v>
      </c>
      <c r="X7" s="116">
        <v>26656.0</v>
      </c>
      <c r="Y7" s="128">
        <v>2500.0</v>
      </c>
      <c r="Z7" s="120">
        <f t="shared" si="2"/>
        <v>100000</v>
      </c>
      <c r="AA7" s="124">
        <v>110000.0</v>
      </c>
      <c r="AB7" s="63" t="s">
        <v>128</v>
      </c>
      <c r="AC7" s="125">
        <f t="shared" si="3"/>
        <v>50000</v>
      </c>
      <c r="AE7" s="124">
        <f>AD7-Z7</f>
        <v>-100000</v>
      </c>
    </row>
    <row r="8" ht="22.5" customHeight="1">
      <c r="A8" s="1" t="s">
        <v>11</v>
      </c>
      <c r="B8" s="1"/>
      <c r="C8" s="134">
        <f>'R7.7'!AC8</f>
        <v>0</v>
      </c>
      <c r="D8" s="116"/>
      <c r="E8" s="116"/>
      <c r="F8" s="116"/>
      <c r="G8" s="116"/>
      <c r="H8" s="117"/>
      <c r="I8" s="117"/>
      <c r="J8" s="119"/>
      <c r="K8" s="117">
        <v>0.0</v>
      </c>
      <c r="L8" s="117">
        <v>0.0</v>
      </c>
      <c r="M8" s="117"/>
      <c r="N8" s="117"/>
      <c r="O8" s="117">
        <v>0.0</v>
      </c>
      <c r="P8" s="117"/>
      <c r="Q8" s="117"/>
      <c r="R8" s="117"/>
      <c r="S8" s="117"/>
      <c r="T8" s="117"/>
      <c r="U8" s="117"/>
      <c r="V8" s="117"/>
      <c r="W8" s="122">
        <f t="shared" ref="W8:W110" si="5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</row>
    <row r="9" ht="22.5" customHeight="1">
      <c r="A9" s="1" t="s">
        <v>12</v>
      </c>
      <c r="B9" s="1" t="s">
        <v>13</v>
      </c>
      <c r="C9" s="134">
        <f>'R7.7'!AC9</f>
        <v>0</v>
      </c>
      <c r="D9" s="116">
        <v>40000.0</v>
      </c>
      <c r="E9" s="116">
        <v>5000.0</v>
      </c>
      <c r="F9" s="116">
        <v>5000.0</v>
      </c>
      <c r="G9" s="116">
        <v>2000.0</v>
      </c>
      <c r="H9" s="117">
        <v>10000.0</v>
      </c>
      <c r="I9" s="117">
        <v>13750.0</v>
      </c>
      <c r="J9" s="119"/>
      <c r="K9" s="117">
        <v>0.0</v>
      </c>
      <c r="L9" s="117">
        <f>73*25</f>
        <v>1825</v>
      </c>
      <c r="M9" s="117">
        <v>0.0</v>
      </c>
      <c r="N9" s="117">
        <v>0.0</v>
      </c>
      <c r="O9" s="117">
        <v>0.0</v>
      </c>
      <c r="P9" s="117"/>
      <c r="Q9" s="117">
        <v>0.0</v>
      </c>
      <c r="R9" s="117"/>
      <c r="S9" s="117"/>
      <c r="T9" s="117">
        <v>0.0</v>
      </c>
      <c r="U9" s="117"/>
      <c r="V9" s="117"/>
      <c r="W9" s="122">
        <f t="shared" si="5"/>
        <v>77575</v>
      </c>
      <c r="X9" s="123"/>
      <c r="Y9" s="123"/>
      <c r="Z9" s="120">
        <f t="shared" si="2"/>
        <v>77575</v>
      </c>
      <c r="AA9" s="124" t="s">
        <v>129</v>
      </c>
      <c r="AB9" s="63" t="s">
        <v>128</v>
      </c>
      <c r="AC9" s="125">
        <f t="shared" si="3"/>
        <v>0</v>
      </c>
    </row>
    <row r="10" ht="22.5" customHeight="1">
      <c r="A10" s="1" t="s">
        <v>14</v>
      </c>
      <c r="B10" s="1" t="s">
        <v>15</v>
      </c>
      <c r="C10" s="134">
        <f>'R7.7'!AC10</f>
        <v>0</v>
      </c>
      <c r="D10" s="116">
        <v>40000.0</v>
      </c>
      <c r="E10" s="116">
        <v>5000.0</v>
      </c>
      <c r="F10" s="116">
        <v>5000.0</v>
      </c>
      <c r="G10" s="116">
        <v>2000.0</v>
      </c>
      <c r="H10" s="117">
        <v>10000.0</v>
      </c>
      <c r="I10" s="117">
        <v>44330.0</v>
      </c>
      <c r="J10" s="119"/>
      <c r="K10" s="117">
        <v>0.0</v>
      </c>
      <c r="L10" s="117">
        <f t="shared" ref="L10:L11" si="6">73*31</f>
        <v>2263</v>
      </c>
      <c r="M10" s="117">
        <v>0.0</v>
      </c>
      <c r="N10" s="117">
        <v>0.0</v>
      </c>
      <c r="O10" s="117">
        <v>0.0</v>
      </c>
      <c r="P10" s="117"/>
      <c r="Q10" s="117">
        <v>0.0</v>
      </c>
      <c r="R10" s="117"/>
      <c r="S10" s="117"/>
      <c r="T10" s="117">
        <v>0.0</v>
      </c>
      <c r="U10" s="117"/>
      <c r="V10" s="117"/>
      <c r="W10" s="122">
        <f t="shared" si="5"/>
        <v>108593</v>
      </c>
      <c r="X10" s="129"/>
      <c r="Y10" s="129"/>
      <c r="Z10" s="120">
        <f t="shared" si="2"/>
        <v>108593</v>
      </c>
      <c r="AA10" s="124" t="s">
        <v>129</v>
      </c>
      <c r="AB10" s="63" t="s">
        <v>128</v>
      </c>
      <c r="AC10" s="125">
        <f t="shared" si="3"/>
        <v>0</v>
      </c>
    </row>
    <row r="11" ht="22.5" customHeight="1">
      <c r="A11" s="1" t="s">
        <v>16</v>
      </c>
      <c r="B11" s="1" t="s">
        <v>17</v>
      </c>
      <c r="C11" s="134">
        <f>'R7.7'!AC11</f>
        <v>0</v>
      </c>
      <c r="D11" s="116">
        <v>40000.0</v>
      </c>
      <c r="E11" s="116">
        <v>5000.0</v>
      </c>
      <c r="F11" s="116">
        <v>5000.0</v>
      </c>
      <c r="G11" s="116">
        <v>2000.0</v>
      </c>
      <c r="H11" s="117">
        <v>10000.0</v>
      </c>
      <c r="I11" s="117">
        <v>25300.0</v>
      </c>
      <c r="J11" s="119"/>
      <c r="K11" s="117">
        <v>0.0</v>
      </c>
      <c r="L11" s="117">
        <f t="shared" si="6"/>
        <v>2263</v>
      </c>
      <c r="M11" s="130">
        <v>0.0</v>
      </c>
      <c r="N11" s="117">
        <v>0.0</v>
      </c>
      <c r="O11" s="117">
        <v>0.0</v>
      </c>
      <c r="P11" s="117"/>
      <c r="Q11" s="117">
        <v>0.0</v>
      </c>
      <c r="R11" s="117"/>
      <c r="S11" s="120"/>
      <c r="T11" s="117">
        <v>0.0</v>
      </c>
      <c r="U11" s="117"/>
      <c r="V11" s="117"/>
      <c r="W11" s="122">
        <f t="shared" si="5"/>
        <v>89563</v>
      </c>
      <c r="X11" s="123"/>
      <c r="Y11" s="123"/>
      <c r="Z11" s="120">
        <f t="shared" si="2"/>
        <v>89563</v>
      </c>
      <c r="AA11" s="131"/>
      <c r="AB11" s="63" t="s">
        <v>128</v>
      </c>
      <c r="AC11" s="125">
        <f t="shared" si="3"/>
        <v>0</v>
      </c>
    </row>
    <row r="12" ht="22.5" customHeight="1">
      <c r="A12" s="1" t="s">
        <v>18</v>
      </c>
      <c r="B12" s="1" t="s">
        <v>19</v>
      </c>
      <c r="C12" s="134">
        <f>'R7.7'!AC12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>
        <v>0.0</v>
      </c>
      <c r="O12" s="117">
        <v>0.0</v>
      </c>
      <c r="P12" s="117"/>
      <c r="Q12" s="117"/>
      <c r="R12" s="117"/>
      <c r="S12" s="117"/>
      <c r="T12" s="117">
        <v>0.0</v>
      </c>
      <c r="U12" s="117"/>
      <c r="V12" s="117"/>
      <c r="W12" s="122">
        <f t="shared" si="5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</row>
    <row r="13" ht="22.5" customHeight="1">
      <c r="A13" s="1"/>
      <c r="B13" s="3"/>
      <c r="C13" s="134">
        <f>'R7.7'!AC13</f>
        <v>0</v>
      </c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5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</row>
    <row r="14" ht="22.5" customHeight="1">
      <c r="A14" s="1"/>
      <c r="B14" s="3"/>
      <c r="C14" s="134">
        <f>'R7.7'!AC14</f>
        <v>0</v>
      </c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5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33"/>
      <c r="AG14" s="133"/>
      <c r="AH14" s="133"/>
      <c r="AI14" s="133"/>
      <c r="AJ14" s="133"/>
    </row>
    <row r="15" ht="22.5" customHeight="1">
      <c r="A15" s="1"/>
      <c r="B15" s="3"/>
      <c r="C15" s="134">
        <f>'R7.7'!AC15</f>
        <v>0</v>
      </c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5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33"/>
      <c r="AG15" s="133"/>
      <c r="AH15" s="133"/>
      <c r="AI15" s="133"/>
      <c r="AJ15" s="133"/>
    </row>
    <row r="16" ht="22.5" customHeight="1">
      <c r="A16" s="1"/>
      <c r="B16" s="3"/>
      <c r="C16" s="134">
        <f>'R7.7'!AC16</f>
        <v>0</v>
      </c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5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33"/>
      <c r="AG16" s="133"/>
      <c r="AH16" s="133"/>
      <c r="AI16" s="133"/>
      <c r="AJ16" s="133"/>
    </row>
    <row r="17" ht="22.5" customHeight="1">
      <c r="A17" s="3"/>
      <c r="B17" s="3"/>
      <c r="C17" s="134">
        <f>'R7.7'!AC17</f>
        <v>0</v>
      </c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5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33"/>
      <c r="AG17" s="133"/>
      <c r="AH17" s="133"/>
      <c r="AI17" s="133"/>
      <c r="AJ17" s="133"/>
    </row>
    <row r="18" ht="22.5" customHeight="1">
      <c r="A18" s="3"/>
      <c r="B18" s="3"/>
      <c r="C18" s="134">
        <f>'R7.7'!AC18</f>
        <v>0</v>
      </c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5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33"/>
      <c r="AG18" s="133"/>
      <c r="AH18" s="133"/>
      <c r="AI18" s="133"/>
      <c r="AJ18" s="133"/>
    </row>
    <row r="19" ht="22.5" customHeight="1">
      <c r="A19" s="3"/>
      <c r="B19" s="3"/>
      <c r="C19" s="134">
        <f>'R7.7'!AC19</f>
        <v>0</v>
      </c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5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33"/>
      <c r="AG19" s="133"/>
      <c r="AH19" s="133"/>
      <c r="AI19" s="133"/>
      <c r="AJ19" s="133"/>
    </row>
    <row r="20" ht="22.5" customHeight="1">
      <c r="A20" s="3"/>
      <c r="B20" s="3"/>
      <c r="C20" s="134">
        <f>'R7.7'!AC20</f>
        <v>0</v>
      </c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5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33"/>
      <c r="AG20" s="133"/>
      <c r="AH20" s="133"/>
      <c r="AI20" s="133"/>
      <c r="AJ20" s="133"/>
    </row>
    <row r="21" ht="22.5" customHeight="1">
      <c r="A21" s="3"/>
      <c r="B21" s="3"/>
      <c r="C21" s="134">
        <f>'R7.7'!AC21</f>
        <v>0</v>
      </c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5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33"/>
      <c r="AG21" s="133"/>
      <c r="AH21" s="133"/>
      <c r="AI21" s="133"/>
      <c r="AJ21" s="133"/>
    </row>
    <row r="22" ht="22.5" hidden="1" customHeight="1">
      <c r="A22" s="3"/>
      <c r="B22" s="3"/>
      <c r="C22" s="134">
        <f>'R7.7'!AC22</f>
        <v>0</v>
      </c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5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33"/>
      <c r="AG22" s="133"/>
      <c r="AH22" s="133"/>
      <c r="AI22" s="133"/>
      <c r="AJ22" s="133"/>
    </row>
    <row r="23" ht="22.5" hidden="1" customHeight="1">
      <c r="A23" s="3"/>
      <c r="B23" s="3"/>
      <c r="C23" s="134">
        <f>'R7.7'!AC23</f>
        <v>0</v>
      </c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5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33"/>
      <c r="AG23" s="133"/>
      <c r="AH23" s="133"/>
      <c r="AI23" s="133"/>
      <c r="AJ23" s="133"/>
    </row>
    <row r="24" ht="22.5" hidden="1" customHeight="1">
      <c r="A24" s="3"/>
      <c r="B24" s="3"/>
      <c r="C24" s="134">
        <f>'R7.7'!AC24</f>
        <v>0</v>
      </c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5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33"/>
      <c r="AG24" s="133"/>
      <c r="AH24" s="133"/>
      <c r="AI24" s="133"/>
      <c r="AJ24" s="133"/>
    </row>
    <row r="25" ht="22.5" hidden="1" customHeight="1">
      <c r="A25" s="3"/>
      <c r="B25" s="3"/>
      <c r="C25" s="134">
        <f>'R7.7'!AC25</f>
        <v>0</v>
      </c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5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33"/>
      <c r="AG25" s="133"/>
      <c r="AH25" s="133"/>
      <c r="AI25" s="133"/>
      <c r="AJ25" s="133"/>
    </row>
    <row r="26" ht="22.5" hidden="1" customHeight="1">
      <c r="A26" s="3"/>
      <c r="B26" s="3"/>
      <c r="C26" s="134">
        <f>'R7.7'!AC26</f>
        <v>0</v>
      </c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5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33"/>
      <c r="AG26" s="133"/>
      <c r="AH26" s="133"/>
      <c r="AI26" s="133"/>
      <c r="AJ26" s="133"/>
    </row>
    <row r="27" ht="22.5" hidden="1" customHeight="1">
      <c r="A27" s="3"/>
      <c r="B27" s="3"/>
      <c r="C27" s="134">
        <f>'R7.7'!AC27</f>
        <v>0</v>
      </c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5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33"/>
      <c r="AG27" s="133"/>
      <c r="AH27" s="133"/>
      <c r="AI27" s="133"/>
      <c r="AJ27" s="133"/>
    </row>
    <row r="28" ht="22.5" hidden="1" customHeight="1">
      <c r="A28" s="3"/>
      <c r="B28" s="3"/>
      <c r="C28" s="134">
        <f>'R7.7'!AC28</f>
        <v>0</v>
      </c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5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33"/>
      <c r="AG28" s="133"/>
      <c r="AH28" s="133"/>
      <c r="AI28" s="133"/>
      <c r="AJ28" s="133"/>
    </row>
    <row r="29" ht="22.5" hidden="1" customHeight="1">
      <c r="A29" s="3"/>
      <c r="B29" s="3"/>
      <c r="C29" s="134">
        <f>'R7.7'!AC29</f>
        <v>0</v>
      </c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5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33"/>
      <c r="AG29" s="133"/>
      <c r="AH29" s="133"/>
      <c r="AI29" s="133"/>
      <c r="AJ29" s="133"/>
    </row>
    <row r="30" ht="22.5" hidden="1" customHeight="1">
      <c r="A30" s="3"/>
      <c r="B30" s="3"/>
      <c r="C30" s="134">
        <f>'R7.7'!AC30</f>
        <v>0</v>
      </c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5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33"/>
      <c r="AG30" s="133"/>
      <c r="AH30" s="133"/>
      <c r="AI30" s="133"/>
      <c r="AJ30" s="133"/>
    </row>
    <row r="31" ht="22.5" hidden="1" customHeight="1">
      <c r="A31" s="3"/>
      <c r="B31" s="3"/>
      <c r="C31" s="134">
        <f>'R7.7'!AC31</f>
        <v>0</v>
      </c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5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33"/>
      <c r="AG31" s="133"/>
      <c r="AH31" s="133"/>
      <c r="AI31" s="133"/>
      <c r="AJ31" s="133"/>
    </row>
    <row r="32" ht="22.5" hidden="1" customHeight="1">
      <c r="A32" s="3"/>
      <c r="B32" s="3"/>
      <c r="C32" s="134">
        <f>'R7.7'!AC32</f>
        <v>0</v>
      </c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5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33"/>
      <c r="AG32" s="133"/>
      <c r="AH32" s="133"/>
      <c r="AI32" s="133"/>
      <c r="AJ32" s="133"/>
    </row>
    <row r="33" ht="22.5" hidden="1" customHeight="1">
      <c r="A33" s="3"/>
      <c r="B33" s="3"/>
      <c r="C33" s="134">
        <f>'R7.7'!AC33</f>
        <v>0</v>
      </c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5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33"/>
      <c r="AG33" s="133"/>
      <c r="AH33" s="133"/>
      <c r="AI33" s="133"/>
      <c r="AJ33" s="133"/>
    </row>
    <row r="34" ht="22.5" hidden="1" customHeight="1">
      <c r="A34" s="3"/>
      <c r="B34" s="3"/>
      <c r="C34" s="134">
        <f>'R7.7'!AC34</f>
        <v>0</v>
      </c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5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33"/>
      <c r="AG34" s="133"/>
      <c r="AH34" s="133"/>
      <c r="AI34" s="133"/>
      <c r="AJ34" s="133"/>
    </row>
    <row r="35" ht="22.5" hidden="1" customHeight="1">
      <c r="A35" s="3"/>
      <c r="B35" s="3"/>
      <c r="C35" s="134">
        <f>'R7.7'!AC35</f>
        <v>0</v>
      </c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5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33"/>
      <c r="AG35" s="133"/>
      <c r="AH35" s="133"/>
      <c r="AI35" s="133"/>
      <c r="AJ35" s="133"/>
    </row>
    <row r="36" ht="22.5" hidden="1" customHeight="1">
      <c r="A36" s="3"/>
      <c r="B36" s="3"/>
      <c r="C36" s="134">
        <f>'R7.7'!AC36</f>
        <v>0</v>
      </c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5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33"/>
      <c r="AG36" s="133"/>
      <c r="AH36" s="133"/>
      <c r="AI36" s="133"/>
      <c r="AJ36" s="133"/>
    </row>
    <row r="37" ht="22.5" hidden="1" customHeight="1">
      <c r="A37" s="3"/>
      <c r="B37" s="3"/>
      <c r="C37" s="134">
        <f>'R7.7'!AC37</f>
        <v>0</v>
      </c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5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33"/>
      <c r="AG37" s="133"/>
      <c r="AH37" s="133"/>
      <c r="AI37" s="133"/>
      <c r="AJ37" s="133"/>
    </row>
    <row r="38" ht="22.5" hidden="1" customHeight="1">
      <c r="A38" s="3"/>
      <c r="B38" s="3"/>
      <c r="C38" s="134">
        <f>'R7.7'!AC38</f>
        <v>0</v>
      </c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5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33"/>
      <c r="AG38" s="133"/>
      <c r="AH38" s="133"/>
      <c r="AI38" s="133"/>
      <c r="AJ38" s="133"/>
    </row>
    <row r="39" ht="22.5" hidden="1" customHeight="1">
      <c r="A39" s="3"/>
      <c r="B39" s="3"/>
      <c r="C39" s="134">
        <f>'R7.7'!AC39</f>
        <v>0</v>
      </c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5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33"/>
      <c r="AG39" s="133"/>
      <c r="AH39" s="133"/>
      <c r="AI39" s="133"/>
      <c r="AJ39" s="133"/>
    </row>
    <row r="40" ht="22.5" hidden="1" customHeight="1">
      <c r="A40" s="3"/>
      <c r="B40" s="3"/>
      <c r="C40" s="134">
        <f>'R7.7'!AC40</f>
        <v>0</v>
      </c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5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33"/>
      <c r="AG40" s="133"/>
      <c r="AH40" s="133"/>
      <c r="AI40" s="133"/>
      <c r="AJ40" s="133"/>
    </row>
    <row r="41" ht="22.5" hidden="1" customHeight="1">
      <c r="A41" s="3"/>
      <c r="B41" s="3"/>
      <c r="C41" s="134">
        <f>'R7.7'!AC41</f>
        <v>0</v>
      </c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5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33"/>
      <c r="AG41" s="133"/>
      <c r="AH41" s="133"/>
      <c r="AI41" s="133"/>
      <c r="AJ41" s="133"/>
    </row>
    <row r="42" ht="22.5" hidden="1" customHeight="1">
      <c r="A42" s="3"/>
      <c r="B42" s="3"/>
      <c r="C42" s="134">
        <f>'R7.7'!AC42</f>
        <v>0</v>
      </c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5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33"/>
      <c r="AG42" s="133"/>
      <c r="AH42" s="133"/>
      <c r="AI42" s="133"/>
      <c r="AJ42" s="133"/>
    </row>
    <row r="43" ht="22.5" hidden="1" customHeight="1">
      <c r="A43" s="3"/>
      <c r="B43" s="3"/>
      <c r="C43" s="134">
        <f>'R7.7'!AC43</f>
        <v>0</v>
      </c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5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33"/>
      <c r="AG43" s="133"/>
      <c r="AH43" s="133"/>
      <c r="AI43" s="133"/>
      <c r="AJ43" s="133"/>
    </row>
    <row r="44" ht="22.5" hidden="1" customHeight="1">
      <c r="A44" s="3"/>
      <c r="B44" s="3"/>
      <c r="C44" s="134">
        <f>'R7.7'!AC44</f>
        <v>0</v>
      </c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5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33"/>
      <c r="AG44" s="133"/>
      <c r="AH44" s="133"/>
      <c r="AI44" s="133"/>
      <c r="AJ44" s="133"/>
    </row>
    <row r="45" ht="22.5" hidden="1" customHeight="1">
      <c r="A45" s="3"/>
      <c r="B45" s="3"/>
      <c r="C45" s="134">
        <f>'R7.7'!AC45</f>
        <v>0</v>
      </c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5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33"/>
      <c r="AG45" s="133"/>
      <c r="AH45" s="133"/>
      <c r="AI45" s="133"/>
      <c r="AJ45" s="133"/>
    </row>
    <row r="46" ht="22.5" hidden="1" customHeight="1">
      <c r="A46" s="3"/>
      <c r="B46" s="3"/>
      <c r="C46" s="134">
        <f>'R7.7'!AC46</f>
        <v>0</v>
      </c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5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33"/>
      <c r="AG46" s="133"/>
      <c r="AH46" s="133"/>
      <c r="AI46" s="133"/>
      <c r="AJ46" s="133"/>
    </row>
    <row r="47" ht="22.5" hidden="1" customHeight="1">
      <c r="A47" s="3"/>
      <c r="B47" s="3"/>
      <c r="C47" s="134">
        <f>'R7.7'!AC47</f>
        <v>0</v>
      </c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5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33"/>
      <c r="AG47" s="133"/>
      <c r="AH47" s="133"/>
      <c r="AI47" s="133"/>
      <c r="AJ47" s="133"/>
    </row>
    <row r="48" ht="22.5" hidden="1" customHeight="1">
      <c r="A48" s="3"/>
      <c r="B48" s="3"/>
      <c r="C48" s="134">
        <f>'R7.7'!AC48</f>
        <v>0</v>
      </c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5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33"/>
      <c r="AG48" s="133"/>
      <c r="AH48" s="133"/>
      <c r="AI48" s="133"/>
      <c r="AJ48" s="133"/>
    </row>
    <row r="49" ht="22.5" hidden="1" customHeight="1">
      <c r="A49" s="3"/>
      <c r="B49" s="3"/>
      <c r="C49" s="134">
        <f>'R7.7'!AC49</f>
        <v>0</v>
      </c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5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33"/>
      <c r="AG49" s="133"/>
      <c r="AH49" s="133"/>
      <c r="AI49" s="133"/>
      <c r="AJ49" s="133"/>
    </row>
    <row r="50" ht="22.5" hidden="1" customHeight="1">
      <c r="A50" s="3"/>
      <c r="B50" s="3"/>
      <c r="C50" s="134">
        <f>'R7.7'!AC50</f>
        <v>0</v>
      </c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5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33"/>
      <c r="AG50" s="133"/>
      <c r="AH50" s="133"/>
      <c r="AI50" s="133"/>
      <c r="AJ50" s="133"/>
    </row>
    <row r="51" ht="22.5" hidden="1" customHeight="1">
      <c r="A51" s="3"/>
      <c r="B51" s="3"/>
      <c r="C51" s="134">
        <f>'R7.7'!AC51</f>
        <v>0</v>
      </c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5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33"/>
      <c r="AG51" s="133"/>
      <c r="AH51" s="133"/>
      <c r="AI51" s="133"/>
      <c r="AJ51" s="133"/>
    </row>
    <row r="52" ht="22.5" hidden="1" customHeight="1">
      <c r="A52" s="3"/>
      <c r="B52" s="3"/>
      <c r="C52" s="134">
        <f>'R7.7'!AC52</f>
        <v>0</v>
      </c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5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33"/>
      <c r="AG52" s="133"/>
      <c r="AH52" s="133"/>
      <c r="AI52" s="133"/>
      <c r="AJ52" s="133"/>
    </row>
    <row r="53" ht="22.5" hidden="1" customHeight="1">
      <c r="A53" s="3"/>
      <c r="B53" s="3"/>
      <c r="C53" s="134">
        <f>'R7.7'!AC53</f>
        <v>0</v>
      </c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5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33"/>
      <c r="AG53" s="133"/>
      <c r="AH53" s="133"/>
      <c r="AI53" s="133"/>
      <c r="AJ53" s="133"/>
    </row>
    <row r="54" ht="22.5" hidden="1" customHeight="1">
      <c r="A54" s="3"/>
      <c r="B54" s="3"/>
      <c r="C54" s="134">
        <f>'R7.7'!AC54</f>
        <v>0</v>
      </c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5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33"/>
      <c r="AG54" s="133"/>
      <c r="AH54" s="133"/>
      <c r="AI54" s="133"/>
      <c r="AJ54" s="133"/>
    </row>
    <row r="55" ht="22.5" hidden="1" customHeight="1">
      <c r="A55" s="3"/>
      <c r="B55" s="3"/>
      <c r="C55" s="134">
        <f>'R7.7'!AC55</f>
        <v>0</v>
      </c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5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33"/>
      <c r="AG55" s="133"/>
      <c r="AH55" s="133"/>
      <c r="AI55" s="133"/>
      <c r="AJ55" s="133"/>
    </row>
    <row r="56" ht="22.5" hidden="1" customHeight="1">
      <c r="A56" s="3"/>
      <c r="B56" s="3"/>
      <c r="C56" s="134">
        <f>'R7.7'!AC56</f>
        <v>0</v>
      </c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5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33"/>
      <c r="AG56" s="133"/>
      <c r="AH56" s="133"/>
      <c r="AI56" s="133"/>
      <c r="AJ56" s="133"/>
    </row>
    <row r="57" ht="22.5" hidden="1" customHeight="1">
      <c r="A57" s="3"/>
      <c r="B57" s="3"/>
      <c r="C57" s="134">
        <f>'R7.7'!AC57</f>
        <v>0</v>
      </c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5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33"/>
      <c r="AG57" s="133"/>
      <c r="AH57" s="133"/>
      <c r="AI57" s="133"/>
      <c r="AJ57" s="133"/>
    </row>
    <row r="58" ht="22.5" hidden="1" customHeight="1">
      <c r="A58" s="3"/>
      <c r="B58" s="3"/>
      <c r="C58" s="134">
        <f>'R7.7'!AC58</f>
        <v>0</v>
      </c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5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33"/>
      <c r="AG58" s="133"/>
      <c r="AH58" s="133"/>
      <c r="AI58" s="133"/>
      <c r="AJ58" s="133"/>
    </row>
    <row r="59" ht="22.5" hidden="1" customHeight="1">
      <c r="A59" s="3"/>
      <c r="B59" s="3"/>
      <c r="C59" s="134">
        <f>'R7.7'!AC59</f>
        <v>0</v>
      </c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5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33"/>
      <c r="AG59" s="133"/>
      <c r="AH59" s="133"/>
      <c r="AI59" s="133"/>
      <c r="AJ59" s="133"/>
    </row>
    <row r="60" ht="22.5" hidden="1" customHeight="1">
      <c r="A60" s="3"/>
      <c r="B60" s="3"/>
      <c r="C60" s="134">
        <f>'R7.7'!AC60</f>
        <v>0</v>
      </c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5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33"/>
      <c r="AG60" s="133"/>
      <c r="AH60" s="133"/>
      <c r="AI60" s="133"/>
      <c r="AJ60" s="133"/>
    </row>
    <row r="61" ht="22.5" hidden="1" customHeight="1">
      <c r="A61" s="3"/>
      <c r="B61" s="3"/>
      <c r="C61" s="134">
        <f>'R7.7'!AC61</f>
        <v>0</v>
      </c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5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33"/>
      <c r="AG61" s="133"/>
      <c r="AH61" s="133"/>
      <c r="AI61" s="133"/>
      <c r="AJ61" s="133"/>
    </row>
    <row r="62" ht="22.5" hidden="1" customHeight="1">
      <c r="A62" s="3"/>
      <c r="B62" s="3"/>
      <c r="C62" s="134">
        <f>'R7.7'!AC62</f>
        <v>0</v>
      </c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5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33"/>
      <c r="AG62" s="133"/>
      <c r="AH62" s="133"/>
      <c r="AI62" s="133"/>
      <c r="AJ62" s="133"/>
    </row>
    <row r="63" ht="22.5" hidden="1" customHeight="1">
      <c r="A63" s="3"/>
      <c r="B63" s="3"/>
      <c r="C63" s="134">
        <f>'R7.7'!AC63</f>
        <v>0</v>
      </c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5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33"/>
      <c r="AG63" s="133"/>
      <c r="AH63" s="133"/>
      <c r="AI63" s="133"/>
      <c r="AJ63" s="133"/>
    </row>
    <row r="64" ht="22.5" hidden="1" customHeight="1">
      <c r="A64" s="3"/>
      <c r="B64" s="3"/>
      <c r="C64" s="134">
        <f>'R7.7'!AC64</f>
        <v>0</v>
      </c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5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33"/>
      <c r="AG64" s="133"/>
      <c r="AH64" s="133"/>
      <c r="AI64" s="133"/>
      <c r="AJ64" s="133"/>
    </row>
    <row r="65" ht="22.5" hidden="1" customHeight="1">
      <c r="A65" s="3"/>
      <c r="B65" s="3"/>
      <c r="C65" s="134">
        <f>'R7.7'!AC65</f>
        <v>0</v>
      </c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5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33"/>
      <c r="AG65" s="133"/>
      <c r="AH65" s="133"/>
      <c r="AI65" s="133"/>
      <c r="AJ65" s="133"/>
    </row>
    <row r="66" ht="22.5" hidden="1" customHeight="1">
      <c r="A66" s="3"/>
      <c r="B66" s="3"/>
      <c r="C66" s="134">
        <f>'R7.7'!AC66</f>
        <v>0</v>
      </c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5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33"/>
      <c r="AG66" s="133"/>
      <c r="AH66" s="133"/>
      <c r="AI66" s="133"/>
      <c r="AJ66" s="133"/>
    </row>
    <row r="67" ht="22.5" hidden="1" customHeight="1">
      <c r="A67" s="3"/>
      <c r="B67" s="3"/>
      <c r="C67" s="134">
        <f>'R7.7'!AC67</f>
        <v>0</v>
      </c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5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33"/>
      <c r="AG67" s="133"/>
      <c r="AH67" s="133"/>
      <c r="AI67" s="133"/>
      <c r="AJ67" s="133"/>
    </row>
    <row r="68" ht="22.5" hidden="1" customHeight="1">
      <c r="A68" s="3"/>
      <c r="B68" s="3"/>
      <c r="C68" s="134">
        <f>'R7.7'!AC68</f>
        <v>0</v>
      </c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5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33"/>
      <c r="AG68" s="133"/>
      <c r="AH68" s="133"/>
      <c r="AI68" s="133"/>
      <c r="AJ68" s="133"/>
    </row>
    <row r="69" ht="22.5" hidden="1" customHeight="1">
      <c r="A69" s="3"/>
      <c r="B69" s="3"/>
      <c r="C69" s="134">
        <f>'R7.7'!AC69</f>
        <v>0</v>
      </c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5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33"/>
      <c r="AG69" s="133"/>
      <c r="AH69" s="133"/>
      <c r="AI69" s="133"/>
      <c r="AJ69" s="133"/>
    </row>
    <row r="70" ht="22.5" hidden="1" customHeight="1">
      <c r="A70" s="3"/>
      <c r="B70" s="3"/>
      <c r="C70" s="134">
        <f>'R7.7'!AC70</f>
        <v>0</v>
      </c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5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33"/>
      <c r="AG70" s="133"/>
      <c r="AH70" s="133"/>
      <c r="AI70" s="133"/>
      <c r="AJ70" s="133"/>
    </row>
    <row r="71" ht="22.5" hidden="1" customHeight="1">
      <c r="A71" s="3"/>
      <c r="B71" s="3"/>
      <c r="C71" s="134">
        <f>'R7.7'!AC71</f>
        <v>0</v>
      </c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5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33"/>
      <c r="AG71" s="133"/>
      <c r="AH71" s="133"/>
      <c r="AI71" s="133"/>
      <c r="AJ71" s="133"/>
    </row>
    <row r="72" ht="22.5" hidden="1" customHeight="1">
      <c r="A72" s="3"/>
      <c r="B72" s="3"/>
      <c r="C72" s="134">
        <f>'R7.7'!AC72</f>
        <v>0</v>
      </c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5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33"/>
      <c r="AG72" s="133"/>
      <c r="AH72" s="133"/>
      <c r="AI72" s="133"/>
      <c r="AJ72" s="133"/>
    </row>
    <row r="73" ht="22.5" hidden="1" customHeight="1">
      <c r="A73" s="3"/>
      <c r="B73" s="3"/>
      <c r="C73" s="134">
        <f>'R7.7'!AC73</f>
        <v>0</v>
      </c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5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33"/>
      <c r="AG73" s="133"/>
      <c r="AH73" s="133"/>
      <c r="AI73" s="133"/>
      <c r="AJ73" s="133"/>
    </row>
    <row r="74" ht="22.5" hidden="1" customHeight="1">
      <c r="A74" s="3"/>
      <c r="B74" s="3"/>
      <c r="C74" s="134">
        <f>'R7.7'!AC74</f>
        <v>0</v>
      </c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5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33"/>
      <c r="AG74" s="133"/>
      <c r="AH74" s="133"/>
      <c r="AI74" s="133"/>
      <c r="AJ74" s="133"/>
    </row>
    <row r="75" ht="22.5" hidden="1" customHeight="1">
      <c r="A75" s="3"/>
      <c r="B75" s="3"/>
      <c r="C75" s="134">
        <f>'R7.7'!AC75</f>
        <v>0</v>
      </c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5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33"/>
      <c r="AG75" s="133"/>
      <c r="AH75" s="133"/>
      <c r="AI75" s="133"/>
      <c r="AJ75" s="133"/>
    </row>
    <row r="76" ht="22.5" hidden="1" customHeight="1">
      <c r="A76" s="3"/>
      <c r="B76" s="3"/>
      <c r="C76" s="134">
        <f>'R7.7'!AC76</f>
        <v>0</v>
      </c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5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33"/>
      <c r="AG76" s="133"/>
      <c r="AH76" s="133"/>
      <c r="AI76" s="133"/>
      <c r="AJ76" s="133"/>
    </row>
    <row r="77" ht="22.5" hidden="1" customHeight="1">
      <c r="A77" s="3"/>
      <c r="B77" s="3"/>
      <c r="C77" s="134">
        <f>'R7.7'!AC77</f>
        <v>0</v>
      </c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5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33"/>
      <c r="AG77" s="133"/>
      <c r="AH77" s="133"/>
      <c r="AI77" s="133"/>
      <c r="AJ77" s="133"/>
    </row>
    <row r="78" ht="22.5" hidden="1" customHeight="1">
      <c r="A78" s="3"/>
      <c r="B78" s="3"/>
      <c r="C78" s="134">
        <f>'R7.7'!AC78</f>
        <v>0</v>
      </c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5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33"/>
      <c r="AG78" s="133"/>
      <c r="AH78" s="133"/>
      <c r="AI78" s="133"/>
      <c r="AJ78" s="133"/>
    </row>
    <row r="79" ht="22.5" hidden="1" customHeight="1">
      <c r="A79" s="3"/>
      <c r="B79" s="3"/>
      <c r="C79" s="134">
        <f>'R7.7'!AC79</f>
        <v>0</v>
      </c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5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33"/>
      <c r="AG79" s="133"/>
      <c r="AH79" s="133"/>
      <c r="AI79" s="133"/>
      <c r="AJ79" s="133"/>
    </row>
    <row r="80" ht="22.5" hidden="1" customHeight="1">
      <c r="A80" s="3"/>
      <c r="B80" s="3"/>
      <c r="C80" s="134">
        <f>'R7.7'!AC80</f>
        <v>0</v>
      </c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5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33"/>
      <c r="AG80" s="133"/>
      <c r="AH80" s="133"/>
      <c r="AI80" s="133"/>
      <c r="AJ80" s="133"/>
    </row>
    <row r="81" ht="22.5" hidden="1" customHeight="1">
      <c r="A81" s="3"/>
      <c r="B81" s="3"/>
      <c r="C81" s="134">
        <f>'R7.7'!AC81</f>
        <v>0</v>
      </c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5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33"/>
      <c r="AG81" s="133"/>
      <c r="AH81" s="133"/>
      <c r="AI81" s="133"/>
      <c r="AJ81" s="133"/>
    </row>
    <row r="82" ht="22.5" hidden="1" customHeight="1">
      <c r="A82" s="3"/>
      <c r="B82" s="3"/>
      <c r="C82" s="134">
        <f>'R7.7'!AC82</f>
        <v>0</v>
      </c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5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33"/>
      <c r="AG82" s="133"/>
      <c r="AH82" s="133"/>
      <c r="AI82" s="133"/>
      <c r="AJ82" s="133"/>
    </row>
    <row r="83" ht="22.5" hidden="1" customHeight="1">
      <c r="A83" s="3"/>
      <c r="B83" s="3"/>
      <c r="C83" s="134">
        <f>'R7.7'!AC83</f>
        <v>0</v>
      </c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5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33"/>
      <c r="AG83" s="133"/>
      <c r="AH83" s="133"/>
      <c r="AI83" s="133"/>
      <c r="AJ83" s="133"/>
    </row>
    <row r="84" ht="22.5" hidden="1" customHeight="1">
      <c r="A84" s="3"/>
      <c r="B84" s="3"/>
      <c r="C84" s="134">
        <f>'R7.7'!AC84</f>
        <v>0</v>
      </c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5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33"/>
      <c r="AG84" s="133"/>
      <c r="AH84" s="133"/>
      <c r="AI84" s="133"/>
      <c r="AJ84" s="133"/>
    </row>
    <row r="85" ht="22.5" hidden="1" customHeight="1">
      <c r="A85" s="3"/>
      <c r="B85" s="3"/>
      <c r="C85" s="134">
        <f>'R7.7'!AC85</f>
        <v>0</v>
      </c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5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33"/>
      <c r="AG85" s="133"/>
      <c r="AH85" s="133"/>
      <c r="AI85" s="133"/>
      <c r="AJ85" s="133"/>
    </row>
    <row r="86" ht="22.5" hidden="1" customHeight="1">
      <c r="A86" s="3"/>
      <c r="B86" s="3"/>
      <c r="C86" s="134">
        <f>'R7.7'!AC86</f>
        <v>0</v>
      </c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5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33"/>
      <c r="AG86" s="133"/>
      <c r="AH86" s="133"/>
      <c r="AI86" s="133"/>
      <c r="AJ86" s="133"/>
    </row>
    <row r="87" ht="22.5" hidden="1" customHeight="1">
      <c r="A87" s="3"/>
      <c r="B87" s="3"/>
      <c r="C87" s="134">
        <f>'R7.7'!AC87</f>
        <v>0</v>
      </c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5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33"/>
      <c r="AG87" s="133"/>
      <c r="AH87" s="133"/>
      <c r="AI87" s="133"/>
      <c r="AJ87" s="133"/>
    </row>
    <row r="88" ht="22.5" hidden="1" customHeight="1">
      <c r="A88" s="3"/>
      <c r="B88" s="3"/>
      <c r="C88" s="134">
        <f>'R7.7'!AC88</f>
        <v>0</v>
      </c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5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33"/>
      <c r="AG88" s="133"/>
      <c r="AH88" s="133"/>
      <c r="AI88" s="133"/>
      <c r="AJ88" s="133"/>
    </row>
    <row r="89" ht="22.5" hidden="1" customHeight="1">
      <c r="A89" s="3"/>
      <c r="B89" s="3"/>
      <c r="C89" s="134">
        <f>'R7.7'!AC89</f>
        <v>0</v>
      </c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5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33"/>
      <c r="AG89" s="133"/>
      <c r="AH89" s="133"/>
      <c r="AI89" s="133"/>
      <c r="AJ89" s="133"/>
    </row>
    <row r="90" ht="22.5" hidden="1" customHeight="1">
      <c r="A90" s="3"/>
      <c r="B90" s="3"/>
      <c r="C90" s="134">
        <f>'R7.7'!AC90</f>
        <v>0</v>
      </c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5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33"/>
      <c r="AG90" s="133"/>
      <c r="AH90" s="133"/>
      <c r="AI90" s="133"/>
      <c r="AJ90" s="133"/>
    </row>
    <row r="91" ht="22.5" hidden="1" customHeight="1">
      <c r="A91" s="3"/>
      <c r="B91" s="3"/>
      <c r="C91" s="134">
        <f>'R7.7'!AC91</f>
        <v>0</v>
      </c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5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33"/>
      <c r="AG91" s="133"/>
      <c r="AH91" s="133"/>
      <c r="AI91" s="133"/>
      <c r="AJ91" s="133"/>
    </row>
    <row r="92" ht="22.5" hidden="1" customHeight="1">
      <c r="A92" s="3"/>
      <c r="B92" s="3"/>
      <c r="C92" s="134">
        <f>'R7.7'!AC92</f>
        <v>0</v>
      </c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5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33"/>
      <c r="AG92" s="133"/>
      <c r="AH92" s="133"/>
      <c r="AI92" s="133"/>
      <c r="AJ92" s="133"/>
    </row>
    <row r="93" ht="22.5" hidden="1" customHeight="1">
      <c r="A93" s="3"/>
      <c r="B93" s="3"/>
      <c r="C93" s="134">
        <f>'R7.7'!AC93</f>
        <v>0</v>
      </c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5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33"/>
      <c r="AG93" s="133"/>
      <c r="AH93" s="133"/>
      <c r="AI93" s="133"/>
      <c r="AJ93" s="133"/>
    </row>
    <row r="94" ht="22.5" hidden="1" customHeight="1">
      <c r="A94" s="3"/>
      <c r="B94" s="3"/>
      <c r="C94" s="134">
        <f>'R7.7'!AC94</f>
        <v>0</v>
      </c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5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33"/>
      <c r="AG94" s="133"/>
      <c r="AH94" s="133"/>
      <c r="AI94" s="133"/>
      <c r="AJ94" s="133"/>
    </row>
    <row r="95" ht="22.5" hidden="1" customHeight="1">
      <c r="A95" s="3"/>
      <c r="B95" s="3"/>
      <c r="C95" s="134">
        <f>'R7.7'!AC95</f>
        <v>0</v>
      </c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5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33"/>
      <c r="AG95" s="133"/>
      <c r="AH95" s="133"/>
      <c r="AI95" s="133"/>
      <c r="AJ95" s="133"/>
    </row>
    <row r="96" ht="22.5" hidden="1" customHeight="1">
      <c r="A96" s="3"/>
      <c r="B96" s="3"/>
      <c r="C96" s="134">
        <f>'R7.7'!AC96</f>
        <v>0</v>
      </c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5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33"/>
      <c r="AG96" s="133"/>
      <c r="AH96" s="133"/>
      <c r="AI96" s="133"/>
      <c r="AJ96" s="133"/>
    </row>
    <row r="97" ht="22.5" hidden="1" customHeight="1">
      <c r="A97" s="3"/>
      <c r="B97" s="3"/>
      <c r="C97" s="134">
        <f>'R7.7'!AC97</f>
        <v>0</v>
      </c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5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33"/>
      <c r="AG97" s="133"/>
      <c r="AH97" s="133"/>
      <c r="AI97" s="133"/>
      <c r="AJ97" s="133"/>
    </row>
    <row r="98" ht="22.5" hidden="1" customHeight="1">
      <c r="A98" s="3"/>
      <c r="B98" s="3"/>
      <c r="C98" s="134">
        <f>'R7.7'!AC98</f>
        <v>0</v>
      </c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5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33"/>
      <c r="AG98" s="133"/>
      <c r="AH98" s="133"/>
      <c r="AI98" s="133"/>
      <c r="AJ98" s="133"/>
    </row>
    <row r="99" ht="22.5" hidden="1" customHeight="1">
      <c r="A99" s="3"/>
      <c r="B99" s="3"/>
      <c r="C99" s="134">
        <f>'R7.7'!AC99</f>
        <v>0</v>
      </c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5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33"/>
      <c r="AG99" s="133"/>
      <c r="AH99" s="133"/>
      <c r="AI99" s="133"/>
      <c r="AJ99" s="133"/>
    </row>
    <row r="100" ht="22.5" hidden="1" customHeight="1">
      <c r="A100" s="3"/>
      <c r="B100" s="3"/>
      <c r="C100" s="134">
        <f>'R7.7'!AC100</f>
        <v>0</v>
      </c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5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33"/>
      <c r="AG100" s="133"/>
      <c r="AH100" s="133"/>
      <c r="AI100" s="133"/>
      <c r="AJ100" s="133"/>
    </row>
    <row r="101" ht="22.5" hidden="1" customHeight="1">
      <c r="A101" s="3"/>
      <c r="B101" s="3"/>
      <c r="C101" s="134">
        <f>'R7.7'!AC101</f>
        <v>0</v>
      </c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5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33"/>
      <c r="AG101" s="133"/>
      <c r="AH101" s="133"/>
      <c r="AI101" s="133"/>
      <c r="AJ101" s="133"/>
    </row>
    <row r="102" ht="22.5" hidden="1" customHeight="1">
      <c r="A102" s="3"/>
      <c r="B102" s="3"/>
      <c r="C102" s="134">
        <f>'R7.7'!AC102</f>
        <v>0</v>
      </c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5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33"/>
      <c r="AG102" s="133"/>
      <c r="AH102" s="133"/>
      <c r="AI102" s="133"/>
      <c r="AJ102" s="133"/>
    </row>
    <row r="103" ht="22.5" hidden="1" customHeight="1">
      <c r="A103" s="3"/>
      <c r="B103" s="3"/>
      <c r="C103" s="134">
        <f>'R7.7'!AC103</f>
        <v>0</v>
      </c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5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33"/>
      <c r="AG103" s="133"/>
      <c r="AH103" s="133"/>
      <c r="AI103" s="133"/>
      <c r="AJ103" s="133"/>
    </row>
    <row r="104" ht="22.5" hidden="1" customHeight="1">
      <c r="A104" s="3"/>
      <c r="B104" s="3"/>
      <c r="C104" s="134">
        <f>'R7.7'!AC104</f>
        <v>0</v>
      </c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5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33"/>
      <c r="AG104" s="133"/>
      <c r="AH104" s="133"/>
      <c r="AI104" s="133"/>
      <c r="AJ104" s="133"/>
    </row>
    <row r="105" ht="22.5" hidden="1" customHeight="1">
      <c r="A105" s="3"/>
      <c r="B105" s="3"/>
      <c r="C105" s="134">
        <f>'R7.7'!AC105</f>
        <v>0</v>
      </c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5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33"/>
      <c r="AG105" s="133"/>
      <c r="AH105" s="133"/>
      <c r="AI105" s="133"/>
      <c r="AJ105" s="133"/>
    </row>
    <row r="106" ht="22.5" hidden="1" customHeight="1">
      <c r="A106" s="3"/>
      <c r="B106" s="3"/>
      <c r="C106" s="134">
        <f>'R7.7'!AC106</f>
        <v>0</v>
      </c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5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33"/>
      <c r="AG106" s="133"/>
      <c r="AH106" s="133"/>
      <c r="AI106" s="133"/>
      <c r="AJ106" s="133"/>
    </row>
    <row r="107" ht="22.5" hidden="1" customHeight="1">
      <c r="A107" s="3"/>
      <c r="B107" s="3"/>
      <c r="C107" s="134">
        <f>'R7.7'!AC107</f>
        <v>0</v>
      </c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5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33"/>
      <c r="AG107" s="133"/>
      <c r="AH107" s="133"/>
      <c r="AI107" s="133"/>
      <c r="AJ107" s="133"/>
    </row>
    <row r="108" ht="22.5" hidden="1" customHeight="1">
      <c r="A108" s="3"/>
      <c r="B108" s="3"/>
      <c r="C108" s="134">
        <f>'R7.7'!AC108</f>
        <v>0</v>
      </c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5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33"/>
      <c r="AG108" s="133"/>
      <c r="AH108" s="133"/>
      <c r="AI108" s="133"/>
      <c r="AJ108" s="133"/>
    </row>
    <row r="109" ht="22.5" customHeight="1">
      <c r="A109" s="3"/>
      <c r="B109" s="3"/>
      <c r="C109" s="134">
        <f>'R7.7'!AC109</f>
        <v>0</v>
      </c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5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3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7">SUM(D3:D109)</f>
        <v>320000</v>
      </c>
      <c r="E110" s="120">
        <f t="shared" si="7"/>
        <v>40000</v>
      </c>
      <c r="F110" s="120">
        <f t="shared" si="7"/>
        <v>40000</v>
      </c>
      <c r="G110" s="120">
        <f t="shared" si="7"/>
        <v>16000</v>
      </c>
      <c r="H110" s="120">
        <f t="shared" si="7"/>
        <v>80000</v>
      </c>
      <c r="I110" s="120">
        <f t="shared" si="7"/>
        <v>229020</v>
      </c>
      <c r="J110" s="135">
        <f t="shared" si="7"/>
        <v>-75201</v>
      </c>
      <c r="K110" s="120">
        <f t="shared" si="7"/>
        <v>0</v>
      </c>
      <c r="L110" s="120">
        <f t="shared" si="7"/>
        <v>15403</v>
      </c>
      <c r="M110" s="120">
        <f t="shared" si="7"/>
        <v>20000</v>
      </c>
      <c r="N110" s="120">
        <f t="shared" si="7"/>
        <v>1500</v>
      </c>
      <c r="O110" s="120">
        <f t="shared" si="7"/>
        <v>6899</v>
      </c>
      <c r="P110" s="120">
        <f t="shared" si="7"/>
        <v>0</v>
      </c>
      <c r="Q110" s="120">
        <f t="shared" si="7"/>
        <v>8056</v>
      </c>
      <c r="R110" s="120">
        <f t="shared" si="7"/>
        <v>0</v>
      </c>
      <c r="S110" s="120">
        <f t="shared" si="7"/>
        <v>0</v>
      </c>
      <c r="T110" s="120">
        <f t="shared" si="7"/>
        <v>0</v>
      </c>
      <c r="U110" s="120">
        <f t="shared" si="7"/>
        <v>0</v>
      </c>
      <c r="V110" s="120">
        <f t="shared" si="7"/>
        <v>10000</v>
      </c>
      <c r="W110" s="122">
        <f t="shared" si="5"/>
        <v>711677</v>
      </c>
      <c r="X110" s="120">
        <f t="shared" ref="X110:Y110" si="8">SUM(X3:X109)</f>
        <v>45010</v>
      </c>
      <c r="Y110" s="120">
        <f t="shared" si="8"/>
        <v>2500</v>
      </c>
      <c r="Z110" s="120">
        <f t="shared" si="2"/>
        <v>759187</v>
      </c>
      <c r="AA110" s="124"/>
      <c r="AC110" s="136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>
      <c r="A228" s="114"/>
      <c r="B228" s="114"/>
    </row>
    <row r="229" ht="15.75" customHeight="1">
      <c r="A229" s="114"/>
      <c r="B229" s="114"/>
    </row>
    <row r="230" ht="15.75" customHeight="1">
      <c r="A230" s="114"/>
      <c r="B230" s="114"/>
    </row>
    <row r="231" ht="15.75" customHeight="1">
      <c r="A231" s="114"/>
      <c r="B231" s="114"/>
    </row>
    <row r="232" ht="15.75" customHeight="1">
      <c r="A232" s="114"/>
      <c r="B232" s="114"/>
    </row>
    <row r="233" ht="15.75" customHeight="1">
      <c r="A233" s="114"/>
      <c r="B233" s="114"/>
    </row>
    <row r="234" ht="15.75" customHeight="1">
      <c r="A234" s="114"/>
      <c r="B234" s="114"/>
    </row>
    <row r="235" ht="15.75" customHeight="1">
      <c r="A235" s="114"/>
      <c r="B235" s="114"/>
    </row>
    <row r="236" ht="15.75" customHeight="1">
      <c r="A236" s="114"/>
      <c r="B236" s="114"/>
    </row>
    <row r="237" ht="15.75" customHeight="1">
      <c r="A237" s="114"/>
      <c r="B237" s="114"/>
    </row>
    <row r="238" ht="15.75" customHeight="1">
      <c r="A238" s="114"/>
      <c r="B238" s="114"/>
    </row>
    <row r="239" ht="15.75" customHeight="1">
      <c r="A239" s="114"/>
      <c r="B239" s="114"/>
    </row>
    <row r="240" ht="15.75" customHeight="1">
      <c r="A240" s="114"/>
      <c r="B240" s="114"/>
    </row>
    <row r="241" ht="15.75" customHeight="1">
      <c r="A241" s="114"/>
      <c r="B241" s="114"/>
    </row>
    <row r="242" ht="15.75" customHeight="1">
      <c r="A242" s="114"/>
      <c r="B242" s="114"/>
    </row>
    <row r="243" ht="15.75" customHeight="1">
      <c r="A243" s="114"/>
      <c r="B243" s="114"/>
    </row>
    <row r="244" ht="15.75" customHeight="1">
      <c r="A244" s="114"/>
      <c r="B244" s="114"/>
    </row>
    <row r="245" ht="15.75" customHeight="1">
      <c r="A245" s="114"/>
      <c r="B245" s="114"/>
    </row>
    <row r="246" ht="15.75" customHeight="1">
      <c r="A246" s="114"/>
      <c r="B246" s="114"/>
    </row>
    <row r="247" ht="15.75" customHeight="1">
      <c r="A247" s="114"/>
      <c r="B247" s="114"/>
    </row>
    <row r="248" ht="15.75" customHeight="1">
      <c r="A248" s="114"/>
      <c r="B248" s="114"/>
    </row>
    <row r="249" ht="15.75" customHeight="1">
      <c r="A249" s="114"/>
      <c r="B249" s="114"/>
    </row>
    <row r="250" ht="15.75" customHeight="1">
      <c r="A250" s="114"/>
      <c r="B250" s="114"/>
    </row>
    <row r="251" ht="15.75" customHeight="1">
      <c r="A251" s="114"/>
      <c r="B251" s="114"/>
    </row>
    <row r="252" ht="15.75" customHeight="1">
      <c r="A252" s="114"/>
      <c r="B252" s="114"/>
    </row>
    <row r="253" ht="15.75" customHeight="1">
      <c r="A253" s="114"/>
      <c r="B253" s="114"/>
    </row>
    <row r="254" ht="15.75" customHeight="1">
      <c r="A254" s="114"/>
      <c r="B254" s="114"/>
    </row>
    <row r="255" ht="15.75" customHeight="1">
      <c r="A255" s="114"/>
      <c r="B255" s="114"/>
    </row>
    <row r="256" ht="15.75" customHeight="1">
      <c r="A256" s="114"/>
      <c r="B256" s="114"/>
    </row>
    <row r="257" ht="15.75" customHeight="1">
      <c r="A257" s="114"/>
      <c r="B257" s="114"/>
    </row>
    <row r="258" ht="15.75" customHeight="1">
      <c r="A258" s="114"/>
      <c r="B258" s="114"/>
    </row>
    <row r="259" ht="15.75" customHeight="1">
      <c r="A259" s="114"/>
      <c r="B259" s="114"/>
    </row>
    <row r="260" ht="15.75" customHeight="1">
      <c r="A260" s="114"/>
      <c r="B260" s="114"/>
    </row>
    <row r="261" ht="15.75" customHeight="1">
      <c r="A261" s="114"/>
      <c r="B261" s="114"/>
    </row>
    <row r="262" ht="15.75" customHeight="1">
      <c r="A262" s="114"/>
      <c r="B262" s="114"/>
    </row>
    <row r="263" ht="15.75" customHeight="1">
      <c r="A263" s="114"/>
      <c r="B263" s="114"/>
    </row>
    <row r="264" ht="15.75" customHeight="1">
      <c r="A264" s="114"/>
      <c r="B264" s="114"/>
    </row>
    <row r="265" ht="15.75" customHeight="1">
      <c r="A265" s="114"/>
      <c r="B265" s="114"/>
    </row>
    <row r="266" ht="15.75" customHeight="1">
      <c r="A266" s="114"/>
      <c r="B266" s="114"/>
    </row>
    <row r="267" ht="15.75" customHeight="1">
      <c r="A267" s="114"/>
      <c r="B267" s="114"/>
    </row>
    <row r="268" ht="15.75" customHeight="1">
      <c r="A268" s="114"/>
      <c r="B268" s="114"/>
    </row>
    <row r="269" ht="15.75" customHeight="1">
      <c r="A269" s="114"/>
      <c r="B269" s="114"/>
    </row>
    <row r="270" ht="15.75" customHeight="1">
      <c r="A270" s="114"/>
      <c r="B270" s="114"/>
    </row>
    <row r="271" ht="15.75" customHeight="1">
      <c r="A271" s="114"/>
      <c r="B271" s="114"/>
    </row>
    <row r="272" ht="15.75" customHeight="1">
      <c r="A272" s="114"/>
      <c r="B272" s="114"/>
    </row>
    <row r="273" ht="15.75" customHeight="1">
      <c r="A273" s="114"/>
      <c r="B273" s="114"/>
    </row>
    <row r="274" ht="15.75" customHeight="1">
      <c r="A274" s="114"/>
      <c r="B274" s="114"/>
    </row>
    <row r="275" ht="15.75" customHeight="1">
      <c r="A275" s="114"/>
      <c r="B275" s="114"/>
    </row>
    <row r="276" ht="15.75" customHeight="1">
      <c r="A276" s="114"/>
      <c r="B276" s="114"/>
    </row>
    <row r="277" ht="15.75" customHeight="1">
      <c r="A277" s="114"/>
      <c r="B277" s="114"/>
    </row>
    <row r="278" ht="15.75" customHeight="1">
      <c r="A278" s="114"/>
      <c r="B278" s="114"/>
    </row>
    <row r="279" ht="15.75" customHeight="1">
      <c r="A279" s="114"/>
      <c r="B279" s="114"/>
    </row>
    <row r="280" ht="15.75" customHeight="1">
      <c r="A280" s="114"/>
      <c r="B280" s="114"/>
    </row>
    <row r="281" ht="15.75" customHeight="1">
      <c r="A281" s="114"/>
      <c r="B281" s="114"/>
    </row>
    <row r="282" ht="15.75" customHeight="1">
      <c r="A282" s="114"/>
      <c r="B282" s="114"/>
    </row>
    <row r="283" ht="15.75" customHeight="1">
      <c r="A283" s="114"/>
      <c r="B283" s="114"/>
    </row>
    <row r="284" ht="15.75" customHeight="1">
      <c r="A284" s="114"/>
      <c r="B284" s="114"/>
    </row>
    <row r="285" ht="15.75" customHeight="1">
      <c r="A285" s="114"/>
      <c r="B285" s="114"/>
    </row>
    <row r="286" ht="15.75" customHeight="1">
      <c r="A286" s="114"/>
      <c r="B286" s="114"/>
    </row>
    <row r="287" ht="15.75" customHeight="1">
      <c r="A287" s="114"/>
      <c r="B287" s="114"/>
    </row>
    <row r="288" ht="15.75" customHeight="1">
      <c r="A288" s="114"/>
      <c r="B288" s="114"/>
    </row>
    <row r="289" ht="15.75" customHeight="1">
      <c r="A289" s="114"/>
      <c r="B289" s="114"/>
    </row>
    <row r="290" ht="15.75" customHeight="1">
      <c r="A290" s="114"/>
      <c r="B290" s="114"/>
    </row>
    <row r="291" ht="15.75" customHeight="1">
      <c r="A291" s="114"/>
      <c r="B291" s="114"/>
    </row>
    <row r="292" ht="15.75" customHeight="1">
      <c r="A292" s="114"/>
      <c r="B292" s="114"/>
    </row>
    <row r="293" ht="15.75" customHeight="1">
      <c r="A293" s="114"/>
      <c r="B293" s="114"/>
    </row>
    <row r="294" ht="15.75" customHeight="1">
      <c r="A294" s="114"/>
      <c r="B294" s="114"/>
    </row>
    <row r="295" ht="15.75" customHeight="1">
      <c r="A295" s="114"/>
      <c r="B295" s="114"/>
    </row>
    <row r="296" ht="15.75" customHeight="1">
      <c r="A296" s="114"/>
      <c r="B296" s="114"/>
    </row>
    <row r="297" ht="15.75" customHeight="1">
      <c r="A297" s="114"/>
      <c r="B297" s="114"/>
    </row>
    <row r="298" ht="15.75" customHeight="1">
      <c r="A298" s="114"/>
      <c r="B298" s="114"/>
    </row>
    <row r="299" ht="15.75" customHeight="1">
      <c r="A299" s="114"/>
      <c r="B299" s="114"/>
    </row>
    <row r="300" ht="15.75" customHeight="1">
      <c r="A300" s="114"/>
      <c r="B300" s="114"/>
    </row>
    <row r="301" ht="15.75" customHeight="1">
      <c r="A301" s="114"/>
      <c r="B301" s="114"/>
    </row>
    <row r="302" ht="15.75" customHeight="1">
      <c r="A302" s="114"/>
      <c r="B302" s="114"/>
    </row>
    <row r="303" ht="15.75" customHeight="1">
      <c r="A303" s="114"/>
      <c r="B303" s="114"/>
    </row>
    <row r="304" ht="15.75" customHeight="1">
      <c r="A304" s="114"/>
      <c r="B304" s="114"/>
    </row>
    <row r="305" ht="15.75" customHeight="1">
      <c r="A305" s="114"/>
      <c r="B305" s="114"/>
    </row>
    <row r="306" ht="15.75" customHeight="1">
      <c r="A306" s="114"/>
      <c r="B306" s="114"/>
    </row>
    <row r="307" ht="15.75" customHeight="1">
      <c r="A307" s="114"/>
      <c r="B307" s="114"/>
    </row>
    <row r="308" ht="15.75" customHeight="1">
      <c r="A308" s="114"/>
      <c r="B308" s="114"/>
    </row>
    <row r="309" ht="15.75" customHeight="1">
      <c r="A309" s="114"/>
      <c r="B309" s="114"/>
    </row>
    <row r="310" ht="15.75" customHeight="1">
      <c r="A310" s="114"/>
      <c r="B310" s="114"/>
    </row>
    <row r="311" ht="15.75" customHeight="1">
      <c r="A311" s="114"/>
      <c r="B311" s="114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45869.0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14"/>
      <c r="AG2" s="114"/>
      <c r="AH2" s="114"/>
      <c r="AI2" s="114"/>
      <c r="AJ2" s="114"/>
    </row>
    <row r="3" ht="22.5" customHeight="1">
      <c r="A3" s="1" t="s">
        <v>2</v>
      </c>
      <c r="B3" s="1"/>
      <c r="C3" s="134">
        <f>'R7.6'!AC3</f>
        <v>0</v>
      </c>
      <c r="D3" s="116"/>
      <c r="E3" s="116"/>
      <c r="F3" s="116"/>
      <c r="G3" s="116"/>
      <c r="H3" s="117"/>
      <c r="I3" s="118"/>
      <c r="J3" s="119"/>
      <c r="K3" s="117"/>
      <c r="L3" s="117"/>
      <c r="M3" s="120"/>
      <c r="N3" s="117"/>
      <c r="O3" s="117"/>
      <c r="P3" s="117"/>
      <c r="Q3" s="117"/>
      <c r="R3" s="119"/>
      <c r="S3" s="119"/>
      <c r="T3" s="119"/>
      <c r="U3" s="119"/>
      <c r="V3" s="119"/>
      <c r="W3" s="122">
        <f t="shared" ref="W3:W6" si="1">SUM(D3:V3)</f>
        <v>0</v>
      </c>
      <c r="X3" s="123"/>
      <c r="Y3" s="123"/>
      <c r="Z3" s="120">
        <f t="shared" ref="Z3:Z110" si="2">SUM(W3:Y3)</f>
        <v>0</v>
      </c>
      <c r="AA3" s="124"/>
      <c r="AB3" s="63" t="s">
        <v>128</v>
      </c>
      <c r="AC3" s="125">
        <f t="shared" ref="AC3:AC4" si="3">C3-M3</f>
        <v>0</v>
      </c>
    </row>
    <row r="4" ht="22.5" customHeight="1">
      <c r="A4" s="1" t="s">
        <v>4</v>
      </c>
      <c r="B4" s="1"/>
      <c r="C4" s="134">
        <f>'R7.6'!AC4</f>
        <v>0</v>
      </c>
      <c r="D4" s="116"/>
      <c r="E4" s="116"/>
      <c r="F4" s="116"/>
      <c r="G4" s="116"/>
      <c r="H4" s="117"/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2">
        <f t="shared" si="1"/>
        <v>0</v>
      </c>
      <c r="X4" s="123"/>
      <c r="Y4" s="123"/>
      <c r="Z4" s="120">
        <f t="shared" si="2"/>
        <v>0</v>
      </c>
      <c r="AA4" s="124" t="s">
        <v>129</v>
      </c>
      <c r="AB4" s="107" t="s">
        <v>128</v>
      </c>
      <c r="AC4" s="125">
        <f t="shared" si="3"/>
        <v>0</v>
      </c>
    </row>
    <row r="5" ht="22.5" customHeight="1">
      <c r="A5" s="1" t="s">
        <v>6</v>
      </c>
      <c r="B5" s="1"/>
      <c r="C5" s="134">
        <f>'R7.6'!AC5</f>
        <v>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36">
        <v>112000.0</v>
      </c>
    </row>
    <row r="6" ht="22.5" customHeight="1">
      <c r="A6" s="1" t="s">
        <v>7</v>
      </c>
      <c r="B6" s="1"/>
      <c r="C6" s="134">
        <f>'R7.6'!AC6</f>
        <v>0</v>
      </c>
      <c r="D6" s="116"/>
      <c r="E6" s="116"/>
      <c r="F6" s="116"/>
      <c r="G6" s="116"/>
      <c r="H6" s="117"/>
      <c r="I6" s="117"/>
      <c r="J6" s="119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2">
        <f t="shared" si="1"/>
        <v>0</v>
      </c>
      <c r="X6" s="123"/>
      <c r="Y6" s="123"/>
      <c r="Z6" s="120">
        <f t="shared" si="2"/>
        <v>0</v>
      </c>
      <c r="AA6" s="124" t="s">
        <v>129</v>
      </c>
      <c r="AB6" s="63" t="s">
        <v>128</v>
      </c>
      <c r="AC6" s="125">
        <f t="shared" ref="AC6:AC109" si="4">C6-M6</f>
        <v>0</v>
      </c>
    </row>
    <row r="7" ht="22.5" customHeight="1">
      <c r="A7" s="1" t="s">
        <v>9</v>
      </c>
      <c r="B7" s="1" t="s">
        <v>10</v>
      </c>
      <c r="C7" s="134">
        <f>'R7.6'!AC7</f>
        <v>70000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0.0</v>
      </c>
      <c r="I7" s="117">
        <v>21793.0</v>
      </c>
      <c r="J7" s="127"/>
      <c r="K7" s="117"/>
      <c r="L7" s="117"/>
      <c r="M7" s="117">
        <v>10000.0</v>
      </c>
      <c r="N7" s="117"/>
      <c r="O7" s="117"/>
      <c r="P7" s="117"/>
      <c r="Q7" s="117"/>
      <c r="R7" s="117"/>
      <c r="S7" s="117"/>
      <c r="T7" s="117"/>
      <c r="U7" s="117"/>
      <c r="V7" s="119">
        <f>'R7.6'!AE7</f>
        <v>120000</v>
      </c>
      <c r="W7" s="122">
        <f>SUM(D7:U7)-V7</f>
        <v>-36207</v>
      </c>
      <c r="X7" s="116">
        <v>26207.0</v>
      </c>
      <c r="Y7" s="128"/>
      <c r="Z7" s="120">
        <f t="shared" si="2"/>
        <v>-10000</v>
      </c>
      <c r="AA7" s="124">
        <v>110000.0</v>
      </c>
      <c r="AB7" s="63" t="s">
        <v>128</v>
      </c>
      <c r="AC7" s="125">
        <f t="shared" si="4"/>
        <v>60000</v>
      </c>
      <c r="AE7" s="124">
        <f>AD7-Z7</f>
        <v>10000</v>
      </c>
    </row>
    <row r="8" ht="22.5" customHeight="1">
      <c r="A8" s="1" t="s">
        <v>11</v>
      </c>
      <c r="B8" s="1"/>
      <c r="C8" s="134">
        <f>'R7.6'!AC8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2">
        <f t="shared" ref="W8:W110" si="5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4"/>
        <v>0</v>
      </c>
    </row>
    <row r="9" ht="22.5" customHeight="1">
      <c r="A9" s="1" t="s">
        <v>12</v>
      </c>
      <c r="B9" s="1"/>
      <c r="C9" s="134">
        <f>'R7.6'!AC9</f>
        <v>0</v>
      </c>
      <c r="D9" s="116"/>
      <c r="E9" s="116"/>
      <c r="F9" s="116"/>
      <c r="G9" s="116"/>
      <c r="H9" s="117"/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2">
        <f t="shared" si="5"/>
        <v>0</v>
      </c>
      <c r="X9" s="123"/>
      <c r="Y9" s="123"/>
      <c r="Z9" s="120">
        <f t="shared" si="2"/>
        <v>0</v>
      </c>
      <c r="AA9" s="124" t="s">
        <v>129</v>
      </c>
      <c r="AB9" s="63" t="s">
        <v>128</v>
      </c>
      <c r="AC9" s="125">
        <f t="shared" si="4"/>
        <v>0</v>
      </c>
    </row>
    <row r="10" ht="22.5" customHeight="1">
      <c r="A10" s="1" t="s">
        <v>14</v>
      </c>
      <c r="B10" s="1"/>
      <c r="C10" s="134">
        <f>'R7.6'!AC10</f>
        <v>0</v>
      </c>
      <c r="D10" s="116"/>
      <c r="E10" s="116"/>
      <c r="F10" s="116"/>
      <c r="G10" s="116"/>
      <c r="H10" s="117"/>
      <c r="I10" s="117"/>
      <c r="J10" s="119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22">
        <f t="shared" si="5"/>
        <v>0</v>
      </c>
      <c r="X10" s="129"/>
      <c r="Y10" s="129"/>
      <c r="Z10" s="120">
        <f t="shared" si="2"/>
        <v>0</v>
      </c>
      <c r="AA10" s="124" t="s">
        <v>129</v>
      </c>
      <c r="AB10" s="63" t="s">
        <v>128</v>
      </c>
      <c r="AC10" s="125">
        <f t="shared" si="4"/>
        <v>0</v>
      </c>
    </row>
    <row r="11" ht="22.5" customHeight="1">
      <c r="A11" s="1" t="s">
        <v>16</v>
      </c>
      <c r="B11" s="1"/>
      <c r="C11" s="134">
        <f>'R7.6'!AC11</f>
        <v>0</v>
      </c>
      <c r="D11" s="116"/>
      <c r="E11" s="116"/>
      <c r="F11" s="116"/>
      <c r="G11" s="116"/>
      <c r="H11" s="117"/>
      <c r="I11" s="117"/>
      <c r="J11" s="119"/>
      <c r="K11" s="117"/>
      <c r="L11" s="117"/>
      <c r="M11" s="130"/>
      <c r="N11" s="117"/>
      <c r="O11" s="117"/>
      <c r="P11" s="117"/>
      <c r="Q11" s="117"/>
      <c r="R11" s="117"/>
      <c r="S11" s="120"/>
      <c r="T11" s="117"/>
      <c r="U11" s="117"/>
      <c r="V11" s="117"/>
      <c r="W11" s="122">
        <f t="shared" si="5"/>
        <v>0</v>
      </c>
      <c r="X11" s="123"/>
      <c r="Y11" s="123"/>
      <c r="Z11" s="120">
        <f t="shared" si="2"/>
        <v>0</v>
      </c>
      <c r="AA11" s="131"/>
      <c r="AB11" s="63" t="s">
        <v>128</v>
      </c>
      <c r="AC11" s="125">
        <f t="shared" si="4"/>
        <v>0</v>
      </c>
    </row>
    <row r="12" ht="22.5" customHeight="1">
      <c r="A12" s="1" t="s">
        <v>18</v>
      </c>
      <c r="B12" s="1"/>
      <c r="C12" s="134">
        <f>'R7.6'!AC12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2">
        <f t="shared" si="5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4"/>
        <v>0</v>
      </c>
    </row>
    <row r="13" ht="22.5" customHeight="1">
      <c r="A13" s="1"/>
      <c r="B13" s="3"/>
      <c r="C13" s="140"/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5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4"/>
        <v>0</v>
      </c>
    </row>
    <row r="14" ht="22.5" customHeight="1">
      <c r="A14" s="1"/>
      <c r="B14" s="3"/>
      <c r="C14" s="140"/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5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4"/>
        <v>0</v>
      </c>
      <c r="AD14" s="133"/>
      <c r="AF14" s="133"/>
      <c r="AG14" s="133"/>
      <c r="AH14" s="133"/>
      <c r="AI14" s="133"/>
      <c r="AJ14" s="133"/>
    </row>
    <row r="15" ht="22.5" customHeight="1">
      <c r="A15" s="1"/>
      <c r="B15" s="3"/>
      <c r="C15" s="140"/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5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4"/>
        <v>0</v>
      </c>
      <c r="AD15" s="133"/>
      <c r="AF15" s="133"/>
      <c r="AG15" s="133"/>
      <c r="AH15" s="133"/>
      <c r="AI15" s="133"/>
      <c r="AJ15" s="133"/>
    </row>
    <row r="16" ht="22.5" customHeight="1">
      <c r="A16" s="1"/>
      <c r="B16" s="3"/>
      <c r="C16" s="140"/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5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4"/>
        <v>0</v>
      </c>
      <c r="AD16" s="133"/>
      <c r="AF16" s="133"/>
      <c r="AG16" s="133"/>
      <c r="AH16" s="133"/>
      <c r="AI16" s="133"/>
      <c r="AJ16" s="133"/>
    </row>
    <row r="17" ht="22.5" customHeight="1">
      <c r="A17" s="3"/>
      <c r="B17" s="3"/>
      <c r="C17" s="140"/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5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4"/>
        <v>0</v>
      </c>
      <c r="AD17" s="133"/>
      <c r="AF17" s="133"/>
      <c r="AG17" s="133"/>
      <c r="AH17" s="133"/>
      <c r="AI17" s="133"/>
      <c r="AJ17" s="133"/>
    </row>
    <row r="18" ht="22.5" customHeight="1">
      <c r="A18" s="3"/>
      <c r="B18" s="3"/>
      <c r="C18" s="140"/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5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4"/>
        <v>0</v>
      </c>
      <c r="AD18" s="133"/>
      <c r="AF18" s="133"/>
      <c r="AG18" s="133"/>
      <c r="AH18" s="133"/>
      <c r="AI18" s="133"/>
      <c r="AJ18" s="133"/>
    </row>
    <row r="19" ht="22.5" customHeight="1">
      <c r="A19" s="3"/>
      <c r="B19" s="3"/>
      <c r="C19" s="140"/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5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4"/>
        <v>0</v>
      </c>
      <c r="AD19" s="133"/>
      <c r="AF19" s="133"/>
      <c r="AG19" s="133"/>
      <c r="AH19" s="133"/>
      <c r="AI19" s="133"/>
      <c r="AJ19" s="133"/>
    </row>
    <row r="20" ht="22.5" customHeight="1">
      <c r="A20" s="3"/>
      <c r="B20" s="3"/>
      <c r="C20" s="140"/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5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4"/>
        <v>0</v>
      </c>
      <c r="AD20" s="133"/>
      <c r="AF20" s="133"/>
      <c r="AG20" s="133"/>
      <c r="AH20" s="133"/>
      <c r="AI20" s="133"/>
      <c r="AJ20" s="133"/>
    </row>
    <row r="21" ht="22.5" customHeight="1">
      <c r="A21" s="3"/>
      <c r="B21" s="3"/>
      <c r="C21" s="140"/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5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4"/>
        <v>0</v>
      </c>
      <c r="AD21" s="133"/>
      <c r="AF21" s="133"/>
      <c r="AG21" s="133"/>
      <c r="AH21" s="133"/>
      <c r="AI21" s="133"/>
      <c r="AJ21" s="133"/>
    </row>
    <row r="22" ht="22.5" hidden="1" customHeight="1">
      <c r="A22" s="3"/>
      <c r="B22" s="3"/>
      <c r="C22" s="140"/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5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4"/>
        <v>0</v>
      </c>
      <c r="AD22" s="133"/>
      <c r="AF22" s="133"/>
      <c r="AG22" s="133"/>
      <c r="AH22" s="133"/>
      <c r="AI22" s="133"/>
      <c r="AJ22" s="133"/>
    </row>
    <row r="23" ht="22.5" hidden="1" customHeight="1">
      <c r="A23" s="3"/>
      <c r="B23" s="3"/>
      <c r="C23" s="140"/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5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4"/>
        <v>0</v>
      </c>
      <c r="AD23" s="133"/>
      <c r="AF23" s="133"/>
      <c r="AG23" s="133"/>
      <c r="AH23" s="133"/>
      <c r="AI23" s="133"/>
      <c r="AJ23" s="133"/>
    </row>
    <row r="24" ht="22.5" hidden="1" customHeight="1">
      <c r="A24" s="3"/>
      <c r="B24" s="3"/>
      <c r="C24" s="140"/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5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4"/>
        <v>0</v>
      </c>
      <c r="AD24" s="133"/>
      <c r="AF24" s="133"/>
      <c r="AG24" s="133"/>
      <c r="AH24" s="133"/>
      <c r="AI24" s="133"/>
      <c r="AJ24" s="133"/>
    </row>
    <row r="25" ht="22.5" hidden="1" customHeight="1">
      <c r="A25" s="3"/>
      <c r="B25" s="3"/>
      <c r="C25" s="140"/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5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4"/>
        <v>0</v>
      </c>
      <c r="AD25" s="133"/>
      <c r="AF25" s="133"/>
      <c r="AG25" s="133"/>
      <c r="AH25" s="133"/>
      <c r="AI25" s="133"/>
      <c r="AJ25" s="133"/>
    </row>
    <row r="26" ht="22.5" hidden="1" customHeight="1">
      <c r="A26" s="3"/>
      <c r="B26" s="3"/>
      <c r="C26" s="140"/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5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4"/>
        <v>0</v>
      </c>
      <c r="AD26" s="133"/>
      <c r="AF26" s="133"/>
      <c r="AG26" s="133"/>
      <c r="AH26" s="133"/>
      <c r="AI26" s="133"/>
      <c r="AJ26" s="133"/>
    </row>
    <row r="27" ht="22.5" hidden="1" customHeight="1">
      <c r="A27" s="3"/>
      <c r="B27" s="3"/>
      <c r="C27" s="140"/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5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4"/>
        <v>0</v>
      </c>
      <c r="AD27" s="133"/>
      <c r="AF27" s="133"/>
      <c r="AG27" s="133"/>
      <c r="AH27" s="133"/>
      <c r="AI27" s="133"/>
      <c r="AJ27" s="133"/>
    </row>
    <row r="28" ht="22.5" hidden="1" customHeight="1">
      <c r="A28" s="3"/>
      <c r="B28" s="3"/>
      <c r="C28" s="140"/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5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4"/>
        <v>0</v>
      </c>
      <c r="AD28" s="133"/>
      <c r="AF28" s="133"/>
      <c r="AG28" s="133"/>
      <c r="AH28" s="133"/>
      <c r="AI28" s="133"/>
      <c r="AJ28" s="133"/>
    </row>
    <row r="29" ht="22.5" hidden="1" customHeight="1">
      <c r="A29" s="3"/>
      <c r="B29" s="3"/>
      <c r="C29" s="140"/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5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4"/>
        <v>0</v>
      </c>
      <c r="AD29" s="133"/>
      <c r="AF29" s="133"/>
      <c r="AG29" s="133"/>
      <c r="AH29" s="133"/>
      <c r="AI29" s="133"/>
      <c r="AJ29" s="133"/>
    </row>
    <row r="30" ht="22.5" hidden="1" customHeight="1">
      <c r="A30" s="3"/>
      <c r="B30" s="3"/>
      <c r="C30" s="140"/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5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4"/>
        <v>0</v>
      </c>
      <c r="AD30" s="133"/>
      <c r="AF30" s="133"/>
      <c r="AG30" s="133"/>
      <c r="AH30" s="133"/>
      <c r="AI30" s="133"/>
      <c r="AJ30" s="133"/>
    </row>
    <row r="31" ht="22.5" hidden="1" customHeight="1">
      <c r="A31" s="3"/>
      <c r="B31" s="3"/>
      <c r="C31" s="140"/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5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4"/>
        <v>0</v>
      </c>
      <c r="AD31" s="133"/>
      <c r="AF31" s="133"/>
      <c r="AG31" s="133"/>
      <c r="AH31" s="133"/>
      <c r="AI31" s="133"/>
      <c r="AJ31" s="133"/>
    </row>
    <row r="32" ht="22.5" hidden="1" customHeight="1">
      <c r="A32" s="3"/>
      <c r="B32" s="3"/>
      <c r="C32" s="140"/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5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4"/>
        <v>0</v>
      </c>
      <c r="AD32" s="133"/>
      <c r="AF32" s="133"/>
      <c r="AG32" s="133"/>
      <c r="AH32" s="133"/>
      <c r="AI32" s="133"/>
      <c r="AJ32" s="133"/>
    </row>
    <row r="33" ht="22.5" hidden="1" customHeight="1">
      <c r="A33" s="3"/>
      <c r="B33" s="3"/>
      <c r="C33" s="140"/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5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4"/>
        <v>0</v>
      </c>
      <c r="AD33" s="133"/>
      <c r="AF33" s="133"/>
      <c r="AG33" s="133"/>
      <c r="AH33" s="133"/>
      <c r="AI33" s="133"/>
      <c r="AJ33" s="133"/>
    </row>
    <row r="34" ht="22.5" hidden="1" customHeight="1">
      <c r="A34" s="3"/>
      <c r="B34" s="3"/>
      <c r="C34" s="140"/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5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4"/>
        <v>0</v>
      </c>
      <c r="AD34" s="133"/>
      <c r="AF34" s="133"/>
      <c r="AG34" s="133"/>
      <c r="AH34" s="133"/>
      <c r="AI34" s="133"/>
      <c r="AJ34" s="133"/>
    </row>
    <row r="35" ht="22.5" hidden="1" customHeight="1">
      <c r="A35" s="3"/>
      <c r="B35" s="3"/>
      <c r="C35" s="140"/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5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4"/>
        <v>0</v>
      </c>
      <c r="AD35" s="133"/>
      <c r="AF35" s="133"/>
      <c r="AG35" s="133"/>
      <c r="AH35" s="133"/>
      <c r="AI35" s="133"/>
      <c r="AJ35" s="133"/>
    </row>
    <row r="36" ht="22.5" hidden="1" customHeight="1">
      <c r="A36" s="3"/>
      <c r="B36" s="3"/>
      <c r="C36" s="140"/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5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4"/>
        <v>0</v>
      </c>
      <c r="AD36" s="133"/>
      <c r="AF36" s="133"/>
      <c r="AG36" s="133"/>
      <c r="AH36" s="133"/>
      <c r="AI36" s="133"/>
      <c r="AJ36" s="133"/>
    </row>
    <row r="37" ht="22.5" hidden="1" customHeight="1">
      <c r="A37" s="3"/>
      <c r="B37" s="3"/>
      <c r="C37" s="140"/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5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4"/>
        <v>0</v>
      </c>
      <c r="AD37" s="133"/>
      <c r="AF37" s="133"/>
      <c r="AG37" s="133"/>
      <c r="AH37" s="133"/>
      <c r="AI37" s="133"/>
      <c r="AJ37" s="133"/>
    </row>
    <row r="38" ht="22.5" hidden="1" customHeight="1">
      <c r="A38" s="3"/>
      <c r="B38" s="3"/>
      <c r="C38" s="140"/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5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4"/>
        <v>0</v>
      </c>
      <c r="AD38" s="133"/>
      <c r="AF38" s="133"/>
      <c r="AG38" s="133"/>
      <c r="AH38" s="133"/>
      <c r="AI38" s="133"/>
      <c r="AJ38" s="133"/>
    </row>
    <row r="39" ht="22.5" hidden="1" customHeight="1">
      <c r="A39" s="3"/>
      <c r="B39" s="3"/>
      <c r="C39" s="140"/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5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4"/>
        <v>0</v>
      </c>
      <c r="AD39" s="133"/>
      <c r="AF39" s="133"/>
      <c r="AG39" s="133"/>
      <c r="AH39" s="133"/>
      <c r="AI39" s="133"/>
      <c r="AJ39" s="133"/>
    </row>
    <row r="40" ht="22.5" hidden="1" customHeight="1">
      <c r="A40" s="3"/>
      <c r="B40" s="3"/>
      <c r="C40" s="140"/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5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4"/>
        <v>0</v>
      </c>
      <c r="AD40" s="133"/>
      <c r="AF40" s="133"/>
      <c r="AG40" s="133"/>
      <c r="AH40" s="133"/>
      <c r="AI40" s="133"/>
      <c r="AJ40" s="133"/>
    </row>
    <row r="41" ht="22.5" hidden="1" customHeight="1">
      <c r="A41" s="3"/>
      <c r="B41" s="3"/>
      <c r="C41" s="140"/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5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4"/>
        <v>0</v>
      </c>
      <c r="AD41" s="133"/>
      <c r="AF41" s="133"/>
      <c r="AG41" s="133"/>
      <c r="AH41" s="133"/>
      <c r="AI41" s="133"/>
      <c r="AJ41" s="133"/>
    </row>
    <row r="42" ht="22.5" hidden="1" customHeight="1">
      <c r="A42" s="3"/>
      <c r="B42" s="3"/>
      <c r="C42" s="140"/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5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4"/>
        <v>0</v>
      </c>
      <c r="AD42" s="133"/>
      <c r="AF42" s="133"/>
      <c r="AG42" s="133"/>
      <c r="AH42" s="133"/>
      <c r="AI42" s="133"/>
      <c r="AJ42" s="133"/>
    </row>
    <row r="43" ht="22.5" hidden="1" customHeight="1">
      <c r="A43" s="3"/>
      <c r="B43" s="3"/>
      <c r="C43" s="140"/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5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4"/>
        <v>0</v>
      </c>
      <c r="AD43" s="133"/>
      <c r="AF43" s="133"/>
      <c r="AG43" s="133"/>
      <c r="AH43" s="133"/>
      <c r="AI43" s="133"/>
      <c r="AJ43" s="133"/>
    </row>
    <row r="44" ht="22.5" hidden="1" customHeight="1">
      <c r="A44" s="3"/>
      <c r="B44" s="3"/>
      <c r="C44" s="140"/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5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4"/>
        <v>0</v>
      </c>
      <c r="AD44" s="133"/>
      <c r="AF44" s="133"/>
      <c r="AG44" s="133"/>
      <c r="AH44" s="133"/>
      <c r="AI44" s="133"/>
      <c r="AJ44" s="133"/>
    </row>
    <row r="45" ht="22.5" hidden="1" customHeight="1">
      <c r="A45" s="3"/>
      <c r="B45" s="3"/>
      <c r="C45" s="140"/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5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4"/>
        <v>0</v>
      </c>
      <c r="AD45" s="133"/>
      <c r="AF45" s="133"/>
      <c r="AG45" s="133"/>
      <c r="AH45" s="133"/>
      <c r="AI45" s="133"/>
      <c r="AJ45" s="133"/>
    </row>
    <row r="46" ht="22.5" hidden="1" customHeight="1">
      <c r="A46" s="3"/>
      <c r="B46" s="3"/>
      <c r="C46" s="140"/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5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4"/>
        <v>0</v>
      </c>
      <c r="AD46" s="133"/>
      <c r="AF46" s="133"/>
      <c r="AG46" s="133"/>
      <c r="AH46" s="133"/>
      <c r="AI46" s="133"/>
      <c r="AJ46" s="133"/>
    </row>
    <row r="47" ht="22.5" hidden="1" customHeight="1">
      <c r="A47" s="3"/>
      <c r="B47" s="3"/>
      <c r="C47" s="140"/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5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4"/>
        <v>0</v>
      </c>
      <c r="AD47" s="133"/>
      <c r="AF47" s="133"/>
      <c r="AG47" s="133"/>
      <c r="AH47" s="133"/>
      <c r="AI47" s="133"/>
      <c r="AJ47" s="133"/>
    </row>
    <row r="48" ht="22.5" hidden="1" customHeight="1">
      <c r="A48" s="3"/>
      <c r="B48" s="3"/>
      <c r="C48" s="140"/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5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4"/>
        <v>0</v>
      </c>
      <c r="AD48" s="133"/>
      <c r="AF48" s="133"/>
      <c r="AG48" s="133"/>
      <c r="AH48" s="133"/>
      <c r="AI48" s="133"/>
      <c r="AJ48" s="133"/>
    </row>
    <row r="49" ht="22.5" hidden="1" customHeight="1">
      <c r="A49" s="3"/>
      <c r="B49" s="3"/>
      <c r="C49" s="140"/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5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4"/>
        <v>0</v>
      </c>
      <c r="AD49" s="133"/>
      <c r="AF49" s="133"/>
      <c r="AG49" s="133"/>
      <c r="AH49" s="133"/>
      <c r="AI49" s="133"/>
      <c r="AJ49" s="133"/>
    </row>
    <row r="50" ht="22.5" hidden="1" customHeight="1">
      <c r="A50" s="3"/>
      <c r="B50" s="3"/>
      <c r="C50" s="140"/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5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4"/>
        <v>0</v>
      </c>
      <c r="AD50" s="133"/>
      <c r="AF50" s="133"/>
      <c r="AG50" s="133"/>
      <c r="AH50" s="133"/>
      <c r="AI50" s="133"/>
      <c r="AJ50" s="133"/>
    </row>
    <row r="51" ht="22.5" hidden="1" customHeight="1">
      <c r="A51" s="3"/>
      <c r="B51" s="3"/>
      <c r="C51" s="140"/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5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4"/>
        <v>0</v>
      </c>
      <c r="AD51" s="133"/>
      <c r="AF51" s="133"/>
      <c r="AG51" s="133"/>
      <c r="AH51" s="133"/>
      <c r="AI51" s="133"/>
      <c r="AJ51" s="133"/>
    </row>
    <row r="52" ht="22.5" hidden="1" customHeight="1">
      <c r="A52" s="3"/>
      <c r="B52" s="3"/>
      <c r="C52" s="140"/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5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4"/>
        <v>0</v>
      </c>
      <c r="AD52" s="133"/>
      <c r="AF52" s="133"/>
      <c r="AG52" s="133"/>
      <c r="AH52" s="133"/>
      <c r="AI52" s="133"/>
      <c r="AJ52" s="133"/>
    </row>
    <row r="53" ht="22.5" hidden="1" customHeight="1">
      <c r="A53" s="3"/>
      <c r="B53" s="3"/>
      <c r="C53" s="140"/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5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4"/>
        <v>0</v>
      </c>
      <c r="AD53" s="133"/>
      <c r="AF53" s="133"/>
      <c r="AG53" s="133"/>
      <c r="AH53" s="133"/>
      <c r="AI53" s="133"/>
      <c r="AJ53" s="133"/>
    </row>
    <row r="54" ht="22.5" hidden="1" customHeight="1">
      <c r="A54" s="3"/>
      <c r="B54" s="3"/>
      <c r="C54" s="140"/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5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4"/>
        <v>0</v>
      </c>
      <c r="AD54" s="133"/>
      <c r="AF54" s="133"/>
      <c r="AG54" s="133"/>
      <c r="AH54" s="133"/>
      <c r="AI54" s="133"/>
      <c r="AJ54" s="133"/>
    </row>
    <row r="55" ht="22.5" hidden="1" customHeight="1">
      <c r="A55" s="3"/>
      <c r="B55" s="3"/>
      <c r="C55" s="140"/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5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4"/>
        <v>0</v>
      </c>
      <c r="AD55" s="133"/>
      <c r="AF55" s="133"/>
      <c r="AG55" s="133"/>
      <c r="AH55" s="133"/>
      <c r="AI55" s="133"/>
      <c r="AJ55" s="133"/>
    </row>
    <row r="56" ht="22.5" hidden="1" customHeight="1">
      <c r="A56" s="3"/>
      <c r="B56" s="3"/>
      <c r="C56" s="140"/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5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4"/>
        <v>0</v>
      </c>
      <c r="AD56" s="133"/>
      <c r="AF56" s="133"/>
      <c r="AG56" s="133"/>
      <c r="AH56" s="133"/>
      <c r="AI56" s="133"/>
      <c r="AJ56" s="133"/>
    </row>
    <row r="57" ht="22.5" hidden="1" customHeight="1">
      <c r="A57" s="3"/>
      <c r="B57" s="3"/>
      <c r="C57" s="140"/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5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4"/>
        <v>0</v>
      </c>
      <c r="AD57" s="133"/>
      <c r="AF57" s="133"/>
      <c r="AG57" s="133"/>
      <c r="AH57" s="133"/>
      <c r="AI57" s="133"/>
      <c r="AJ57" s="133"/>
    </row>
    <row r="58" ht="22.5" hidden="1" customHeight="1">
      <c r="A58" s="3"/>
      <c r="B58" s="3"/>
      <c r="C58" s="140"/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5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4"/>
        <v>0</v>
      </c>
      <c r="AD58" s="133"/>
      <c r="AF58" s="133"/>
      <c r="AG58" s="133"/>
      <c r="AH58" s="133"/>
      <c r="AI58" s="133"/>
      <c r="AJ58" s="133"/>
    </row>
    <row r="59" ht="22.5" hidden="1" customHeight="1">
      <c r="A59" s="3"/>
      <c r="B59" s="3"/>
      <c r="C59" s="140"/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5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4"/>
        <v>0</v>
      </c>
      <c r="AD59" s="133"/>
      <c r="AF59" s="133"/>
      <c r="AG59" s="133"/>
      <c r="AH59" s="133"/>
      <c r="AI59" s="133"/>
      <c r="AJ59" s="133"/>
    </row>
    <row r="60" ht="22.5" hidden="1" customHeight="1">
      <c r="A60" s="3"/>
      <c r="B60" s="3"/>
      <c r="C60" s="140"/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5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4"/>
        <v>0</v>
      </c>
      <c r="AD60" s="133"/>
      <c r="AF60" s="133"/>
      <c r="AG60" s="133"/>
      <c r="AH60" s="133"/>
      <c r="AI60" s="133"/>
      <c r="AJ60" s="133"/>
    </row>
    <row r="61" ht="22.5" hidden="1" customHeight="1">
      <c r="A61" s="3"/>
      <c r="B61" s="3"/>
      <c r="C61" s="140"/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5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4"/>
        <v>0</v>
      </c>
      <c r="AD61" s="133"/>
      <c r="AF61" s="133"/>
      <c r="AG61" s="133"/>
      <c r="AH61" s="133"/>
      <c r="AI61" s="133"/>
      <c r="AJ61" s="133"/>
    </row>
    <row r="62" ht="22.5" hidden="1" customHeight="1">
      <c r="A62" s="3"/>
      <c r="B62" s="3"/>
      <c r="C62" s="140"/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5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4"/>
        <v>0</v>
      </c>
      <c r="AD62" s="133"/>
      <c r="AF62" s="133"/>
      <c r="AG62" s="133"/>
      <c r="AH62" s="133"/>
      <c r="AI62" s="133"/>
      <c r="AJ62" s="133"/>
    </row>
    <row r="63" ht="22.5" hidden="1" customHeight="1">
      <c r="A63" s="3"/>
      <c r="B63" s="3"/>
      <c r="C63" s="140"/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5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4"/>
        <v>0</v>
      </c>
      <c r="AD63" s="133"/>
      <c r="AF63" s="133"/>
      <c r="AG63" s="133"/>
      <c r="AH63" s="133"/>
      <c r="AI63" s="133"/>
      <c r="AJ63" s="133"/>
    </row>
    <row r="64" ht="22.5" hidden="1" customHeight="1">
      <c r="A64" s="3"/>
      <c r="B64" s="3"/>
      <c r="C64" s="140"/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5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4"/>
        <v>0</v>
      </c>
      <c r="AD64" s="133"/>
      <c r="AF64" s="133"/>
      <c r="AG64" s="133"/>
      <c r="AH64" s="133"/>
      <c r="AI64" s="133"/>
      <c r="AJ64" s="133"/>
    </row>
    <row r="65" ht="22.5" hidden="1" customHeight="1">
      <c r="A65" s="3"/>
      <c r="B65" s="3"/>
      <c r="C65" s="140"/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5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4"/>
        <v>0</v>
      </c>
      <c r="AD65" s="133"/>
      <c r="AF65" s="133"/>
      <c r="AG65" s="133"/>
      <c r="AH65" s="133"/>
      <c r="AI65" s="133"/>
      <c r="AJ65" s="133"/>
    </row>
    <row r="66" ht="22.5" hidden="1" customHeight="1">
      <c r="A66" s="3"/>
      <c r="B66" s="3"/>
      <c r="C66" s="140"/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5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4"/>
        <v>0</v>
      </c>
      <c r="AD66" s="133"/>
      <c r="AF66" s="133"/>
      <c r="AG66" s="133"/>
      <c r="AH66" s="133"/>
      <c r="AI66" s="133"/>
      <c r="AJ66" s="133"/>
    </row>
    <row r="67" ht="22.5" hidden="1" customHeight="1">
      <c r="A67" s="3"/>
      <c r="B67" s="3"/>
      <c r="C67" s="140"/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5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4"/>
        <v>0</v>
      </c>
      <c r="AD67" s="133"/>
      <c r="AF67" s="133"/>
      <c r="AG67" s="133"/>
      <c r="AH67" s="133"/>
      <c r="AI67" s="133"/>
      <c r="AJ67" s="133"/>
    </row>
    <row r="68" ht="22.5" hidden="1" customHeight="1">
      <c r="A68" s="3"/>
      <c r="B68" s="3"/>
      <c r="C68" s="140"/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5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4"/>
        <v>0</v>
      </c>
      <c r="AD68" s="133"/>
      <c r="AF68" s="133"/>
      <c r="AG68" s="133"/>
      <c r="AH68" s="133"/>
      <c r="AI68" s="133"/>
      <c r="AJ68" s="133"/>
    </row>
    <row r="69" ht="22.5" hidden="1" customHeight="1">
      <c r="A69" s="3"/>
      <c r="B69" s="3"/>
      <c r="C69" s="140"/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5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4"/>
        <v>0</v>
      </c>
      <c r="AD69" s="133"/>
      <c r="AF69" s="133"/>
      <c r="AG69" s="133"/>
      <c r="AH69" s="133"/>
      <c r="AI69" s="133"/>
      <c r="AJ69" s="133"/>
    </row>
    <row r="70" ht="22.5" hidden="1" customHeight="1">
      <c r="A70" s="3"/>
      <c r="B70" s="3"/>
      <c r="C70" s="140"/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5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4"/>
        <v>0</v>
      </c>
      <c r="AD70" s="133"/>
      <c r="AF70" s="133"/>
      <c r="AG70" s="133"/>
      <c r="AH70" s="133"/>
      <c r="AI70" s="133"/>
      <c r="AJ70" s="133"/>
    </row>
    <row r="71" ht="22.5" hidden="1" customHeight="1">
      <c r="A71" s="3"/>
      <c r="B71" s="3"/>
      <c r="C71" s="140"/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5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4"/>
        <v>0</v>
      </c>
      <c r="AD71" s="133"/>
      <c r="AF71" s="133"/>
      <c r="AG71" s="133"/>
      <c r="AH71" s="133"/>
      <c r="AI71" s="133"/>
      <c r="AJ71" s="133"/>
    </row>
    <row r="72" ht="22.5" hidden="1" customHeight="1">
      <c r="A72" s="3"/>
      <c r="B72" s="3"/>
      <c r="C72" s="140"/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5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4"/>
        <v>0</v>
      </c>
      <c r="AD72" s="133"/>
      <c r="AF72" s="133"/>
      <c r="AG72" s="133"/>
      <c r="AH72" s="133"/>
      <c r="AI72" s="133"/>
      <c r="AJ72" s="133"/>
    </row>
    <row r="73" ht="22.5" hidden="1" customHeight="1">
      <c r="A73" s="3"/>
      <c r="B73" s="3"/>
      <c r="C73" s="140"/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5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4"/>
        <v>0</v>
      </c>
      <c r="AD73" s="133"/>
      <c r="AF73" s="133"/>
      <c r="AG73" s="133"/>
      <c r="AH73" s="133"/>
      <c r="AI73" s="133"/>
      <c r="AJ73" s="133"/>
    </row>
    <row r="74" ht="22.5" hidden="1" customHeight="1">
      <c r="A74" s="3"/>
      <c r="B74" s="3"/>
      <c r="C74" s="140"/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5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4"/>
        <v>0</v>
      </c>
      <c r="AD74" s="133"/>
      <c r="AF74" s="133"/>
      <c r="AG74" s="133"/>
      <c r="AH74" s="133"/>
      <c r="AI74" s="133"/>
      <c r="AJ74" s="133"/>
    </row>
    <row r="75" ht="22.5" hidden="1" customHeight="1">
      <c r="A75" s="3"/>
      <c r="B75" s="3"/>
      <c r="C75" s="140"/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5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4"/>
        <v>0</v>
      </c>
      <c r="AD75" s="133"/>
      <c r="AF75" s="133"/>
      <c r="AG75" s="133"/>
      <c r="AH75" s="133"/>
      <c r="AI75" s="133"/>
      <c r="AJ75" s="133"/>
    </row>
    <row r="76" ht="22.5" hidden="1" customHeight="1">
      <c r="A76" s="3"/>
      <c r="B76" s="3"/>
      <c r="C76" s="140"/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5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4"/>
        <v>0</v>
      </c>
      <c r="AD76" s="133"/>
      <c r="AF76" s="133"/>
      <c r="AG76" s="133"/>
      <c r="AH76" s="133"/>
      <c r="AI76" s="133"/>
      <c r="AJ76" s="133"/>
    </row>
    <row r="77" ht="22.5" hidden="1" customHeight="1">
      <c r="A77" s="3"/>
      <c r="B77" s="3"/>
      <c r="C77" s="140"/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5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4"/>
        <v>0</v>
      </c>
      <c r="AD77" s="133"/>
      <c r="AF77" s="133"/>
      <c r="AG77" s="133"/>
      <c r="AH77" s="133"/>
      <c r="AI77" s="133"/>
      <c r="AJ77" s="133"/>
    </row>
    <row r="78" ht="22.5" hidden="1" customHeight="1">
      <c r="A78" s="3"/>
      <c r="B78" s="3"/>
      <c r="C78" s="140"/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5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4"/>
        <v>0</v>
      </c>
      <c r="AD78" s="133"/>
      <c r="AF78" s="133"/>
      <c r="AG78" s="133"/>
      <c r="AH78" s="133"/>
      <c r="AI78" s="133"/>
      <c r="AJ78" s="133"/>
    </row>
    <row r="79" ht="22.5" hidden="1" customHeight="1">
      <c r="A79" s="3"/>
      <c r="B79" s="3"/>
      <c r="C79" s="140"/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5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4"/>
        <v>0</v>
      </c>
      <c r="AD79" s="133"/>
      <c r="AF79" s="133"/>
      <c r="AG79" s="133"/>
      <c r="AH79" s="133"/>
      <c r="AI79" s="133"/>
      <c r="AJ79" s="133"/>
    </row>
    <row r="80" ht="22.5" hidden="1" customHeight="1">
      <c r="A80" s="3"/>
      <c r="B80" s="3"/>
      <c r="C80" s="140"/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5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4"/>
        <v>0</v>
      </c>
      <c r="AD80" s="133"/>
      <c r="AF80" s="133"/>
      <c r="AG80" s="133"/>
      <c r="AH80" s="133"/>
      <c r="AI80" s="133"/>
      <c r="AJ80" s="133"/>
    </row>
    <row r="81" ht="22.5" hidden="1" customHeight="1">
      <c r="A81" s="3"/>
      <c r="B81" s="3"/>
      <c r="C81" s="140"/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5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4"/>
        <v>0</v>
      </c>
      <c r="AD81" s="133"/>
      <c r="AF81" s="133"/>
      <c r="AG81" s="133"/>
      <c r="AH81" s="133"/>
      <c r="AI81" s="133"/>
      <c r="AJ81" s="133"/>
    </row>
    <row r="82" ht="22.5" hidden="1" customHeight="1">
      <c r="A82" s="3"/>
      <c r="B82" s="3"/>
      <c r="C82" s="140"/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5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4"/>
        <v>0</v>
      </c>
      <c r="AD82" s="133"/>
      <c r="AF82" s="133"/>
      <c r="AG82" s="133"/>
      <c r="AH82" s="133"/>
      <c r="AI82" s="133"/>
      <c r="AJ82" s="133"/>
    </row>
    <row r="83" ht="22.5" hidden="1" customHeight="1">
      <c r="A83" s="3"/>
      <c r="B83" s="3"/>
      <c r="C83" s="140"/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5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4"/>
        <v>0</v>
      </c>
      <c r="AD83" s="133"/>
      <c r="AF83" s="133"/>
      <c r="AG83" s="133"/>
      <c r="AH83" s="133"/>
      <c r="AI83" s="133"/>
      <c r="AJ83" s="133"/>
    </row>
    <row r="84" ht="22.5" hidden="1" customHeight="1">
      <c r="A84" s="3"/>
      <c r="B84" s="3"/>
      <c r="C84" s="140"/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5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4"/>
        <v>0</v>
      </c>
      <c r="AD84" s="133"/>
      <c r="AF84" s="133"/>
      <c r="AG84" s="133"/>
      <c r="AH84" s="133"/>
      <c r="AI84" s="133"/>
      <c r="AJ84" s="133"/>
    </row>
    <row r="85" ht="22.5" hidden="1" customHeight="1">
      <c r="A85" s="3"/>
      <c r="B85" s="3"/>
      <c r="C85" s="140"/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5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4"/>
        <v>0</v>
      </c>
      <c r="AD85" s="133"/>
      <c r="AF85" s="133"/>
      <c r="AG85" s="133"/>
      <c r="AH85" s="133"/>
      <c r="AI85" s="133"/>
      <c r="AJ85" s="133"/>
    </row>
    <row r="86" ht="22.5" hidden="1" customHeight="1">
      <c r="A86" s="3"/>
      <c r="B86" s="3"/>
      <c r="C86" s="140"/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5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4"/>
        <v>0</v>
      </c>
      <c r="AD86" s="133"/>
      <c r="AF86" s="133"/>
      <c r="AG86" s="133"/>
      <c r="AH86" s="133"/>
      <c r="AI86" s="133"/>
      <c r="AJ86" s="133"/>
    </row>
    <row r="87" ht="22.5" hidden="1" customHeight="1">
      <c r="A87" s="3"/>
      <c r="B87" s="3"/>
      <c r="C87" s="140"/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5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4"/>
        <v>0</v>
      </c>
      <c r="AD87" s="133"/>
      <c r="AF87" s="133"/>
      <c r="AG87" s="133"/>
      <c r="AH87" s="133"/>
      <c r="AI87" s="133"/>
      <c r="AJ87" s="133"/>
    </row>
    <row r="88" ht="22.5" hidden="1" customHeight="1">
      <c r="A88" s="3"/>
      <c r="B88" s="3"/>
      <c r="C88" s="140"/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5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4"/>
        <v>0</v>
      </c>
      <c r="AD88" s="133"/>
      <c r="AF88" s="133"/>
      <c r="AG88" s="133"/>
      <c r="AH88" s="133"/>
      <c r="AI88" s="133"/>
      <c r="AJ88" s="133"/>
    </row>
    <row r="89" ht="22.5" hidden="1" customHeight="1">
      <c r="A89" s="3"/>
      <c r="B89" s="3"/>
      <c r="C89" s="140"/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5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4"/>
        <v>0</v>
      </c>
      <c r="AD89" s="133"/>
      <c r="AF89" s="133"/>
      <c r="AG89" s="133"/>
      <c r="AH89" s="133"/>
      <c r="AI89" s="133"/>
      <c r="AJ89" s="133"/>
    </row>
    <row r="90" ht="22.5" hidden="1" customHeight="1">
      <c r="A90" s="3"/>
      <c r="B90" s="3"/>
      <c r="C90" s="140"/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5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4"/>
        <v>0</v>
      </c>
      <c r="AD90" s="133"/>
      <c r="AF90" s="133"/>
      <c r="AG90" s="133"/>
      <c r="AH90" s="133"/>
      <c r="AI90" s="133"/>
      <c r="AJ90" s="133"/>
    </row>
    <row r="91" ht="22.5" hidden="1" customHeight="1">
      <c r="A91" s="3"/>
      <c r="B91" s="3"/>
      <c r="C91" s="140"/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5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4"/>
        <v>0</v>
      </c>
      <c r="AD91" s="133"/>
      <c r="AF91" s="133"/>
      <c r="AG91" s="133"/>
      <c r="AH91" s="133"/>
      <c r="AI91" s="133"/>
      <c r="AJ91" s="133"/>
    </row>
    <row r="92" ht="22.5" hidden="1" customHeight="1">
      <c r="A92" s="3"/>
      <c r="B92" s="3"/>
      <c r="C92" s="140"/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5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4"/>
        <v>0</v>
      </c>
      <c r="AD92" s="133"/>
      <c r="AF92" s="133"/>
      <c r="AG92" s="133"/>
      <c r="AH92" s="133"/>
      <c r="AI92" s="133"/>
      <c r="AJ92" s="133"/>
    </row>
    <row r="93" ht="22.5" hidden="1" customHeight="1">
      <c r="A93" s="3"/>
      <c r="B93" s="3"/>
      <c r="C93" s="140"/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5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4"/>
        <v>0</v>
      </c>
      <c r="AD93" s="133"/>
      <c r="AF93" s="133"/>
      <c r="AG93" s="133"/>
      <c r="AH93" s="133"/>
      <c r="AI93" s="133"/>
      <c r="AJ93" s="133"/>
    </row>
    <row r="94" ht="22.5" hidden="1" customHeight="1">
      <c r="A94" s="3"/>
      <c r="B94" s="3"/>
      <c r="C94" s="140"/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5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4"/>
        <v>0</v>
      </c>
      <c r="AD94" s="133"/>
      <c r="AF94" s="133"/>
      <c r="AG94" s="133"/>
      <c r="AH94" s="133"/>
      <c r="AI94" s="133"/>
      <c r="AJ94" s="133"/>
    </row>
    <row r="95" ht="22.5" hidden="1" customHeight="1">
      <c r="A95" s="3"/>
      <c r="B95" s="3"/>
      <c r="C95" s="140"/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5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4"/>
        <v>0</v>
      </c>
      <c r="AD95" s="133"/>
      <c r="AF95" s="133"/>
      <c r="AG95" s="133"/>
      <c r="AH95" s="133"/>
      <c r="AI95" s="133"/>
      <c r="AJ95" s="133"/>
    </row>
    <row r="96" ht="22.5" hidden="1" customHeight="1">
      <c r="A96" s="3"/>
      <c r="B96" s="3"/>
      <c r="C96" s="140"/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5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4"/>
        <v>0</v>
      </c>
      <c r="AD96" s="133"/>
      <c r="AF96" s="133"/>
      <c r="AG96" s="133"/>
      <c r="AH96" s="133"/>
      <c r="AI96" s="133"/>
      <c r="AJ96" s="133"/>
    </row>
    <row r="97" ht="22.5" hidden="1" customHeight="1">
      <c r="A97" s="3"/>
      <c r="B97" s="3"/>
      <c r="C97" s="140"/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5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4"/>
        <v>0</v>
      </c>
      <c r="AD97" s="133"/>
      <c r="AF97" s="133"/>
      <c r="AG97" s="133"/>
      <c r="AH97" s="133"/>
      <c r="AI97" s="133"/>
      <c r="AJ97" s="133"/>
    </row>
    <row r="98" ht="22.5" hidden="1" customHeight="1">
      <c r="A98" s="3"/>
      <c r="B98" s="3"/>
      <c r="C98" s="140"/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5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4"/>
        <v>0</v>
      </c>
      <c r="AD98" s="133"/>
      <c r="AF98" s="133"/>
      <c r="AG98" s="133"/>
      <c r="AH98" s="133"/>
      <c r="AI98" s="133"/>
      <c r="AJ98" s="133"/>
    </row>
    <row r="99" ht="22.5" hidden="1" customHeight="1">
      <c r="A99" s="3"/>
      <c r="B99" s="3"/>
      <c r="C99" s="140"/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5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4"/>
        <v>0</v>
      </c>
      <c r="AD99" s="133"/>
      <c r="AF99" s="133"/>
      <c r="AG99" s="133"/>
      <c r="AH99" s="133"/>
      <c r="AI99" s="133"/>
      <c r="AJ99" s="133"/>
    </row>
    <row r="100" ht="22.5" hidden="1" customHeight="1">
      <c r="A100" s="3"/>
      <c r="B100" s="3"/>
      <c r="C100" s="140"/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5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4"/>
        <v>0</v>
      </c>
      <c r="AD100" s="133"/>
      <c r="AF100" s="133"/>
      <c r="AG100" s="133"/>
      <c r="AH100" s="133"/>
      <c r="AI100" s="133"/>
      <c r="AJ100" s="133"/>
    </row>
    <row r="101" ht="22.5" hidden="1" customHeight="1">
      <c r="A101" s="3"/>
      <c r="B101" s="3"/>
      <c r="C101" s="140"/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5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4"/>
        <v>0</v>
      </c>
      <c r="AD101" s="133"/>
      <c r="AF101" s="133"/>
      <c r="AG101" s="133"/>
      <c r="AH101" s="133"/>
      <c r="AI101" s="133"/>
      <c r="AJ101" s="133"/>
    </row>
    <row r="102" ht="22.5" hidden="1" customHeight="1">
      <c r="A102" s="3"/>
      <c r="B102" s="3"/>
      <c r="C102" s="140"/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5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4"/>
        <v>0</v>
      </c>
      <c r="AD102" s="133"/>
      <c r="AF102" s="133"/>
      <c r="AG102" s="133"/>
      <c r="AH102" s="133"/>
      <c r="AI102" s="133"/>
      <c r="AJ102" s="133"/>
    </row>
    <row r="103" ht="22.5" hidden="1" customHeight="1">
      <c r="A103" s="3"/>
      <c r="B103" s="3"/>
      <c r="C103" s="140"/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5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4"/>
        <v>0</v>
      </c>
      <c r="AD103" s="133"/>
      <c r="AF103" s="133"/>
      <c r="AG103" s="133"/>
      <c r="AH103" s="133"/>
      <c r="AI103" s="133"/>
      <c r="AJ103" s="133"/>
    </row>
    <row r="104" ht="22.5" hidden="1" customHeight="1">
      <c r="A104" s="3"/>
      <c r="B104" s="3"/>
      <c r="C104" s="140"/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5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4"/>
        <v>0</v>
      </c>
      <c r="AD104" s="133"/>
      <c r="AF104" s="133"/>
      <c r="AG104" s="133"/>
      <c r="AH104" s="133"/>
      <c r="AI104" s="133"/>
      <c r="AJ104" s="133"/>
    </row>
    <row r="105" ht="22.5" hidden="1" customHeight="1">
      <c r="A105" s="3"/>
      <c r="B105" s="3"/>
      <c r="C105" s="140"/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5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4"/>
        <v>0</v>
      </c>
      <c r="AD105" s="133"/>
      <c r="AF105" s="133"/>
      <c r="AG105" s="133"/>
      <c r="AH105" s="133"/>
      <c r="AI105" s="133"/>
      <c r="AJ105" s="133"/>
    </row>
    <row r="106" ht="22.5" hidden="1" customHeight="1">
      <c r="A106" s="3"/>
      <c r="B106" s="3"/>
      <c r="C106" s="140"/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5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4"/>
        <v>0</v>
      </c>
      <c r="AD106" s="133"/>
      <c r="AF106" s="133"/>
      <c r="AG106" s="133"/>
      <c r="AH106" s="133"/>
      <c r="AI106" s="133"/>
      <c r="AJ106" s="133"/>
    </row>
    <row r="107" ht="22.5" hidden="1" customHeight="1">
      <c r="A107" s="3"/>
      <c r="B107" s="3"/>
      <c r="C107" s="140"/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5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4"/>
        <v>0</v>
      </c>
      <c r="AD107" s="133"/>
      <c r="AF107" s="133"/>
      <c r="AG107" s="133"/>
      <c r="AH107" s="133"/>
      <c r="AI107" s="133"/>
      <c r="AJ107" s="133"/>
    </row>
    <row r="108" ht="22.5" hidden="1" customHeight="1">
      <c r="A108" s="3"/>
      <c r="B108" s="3"/>
      <c r="C108" s="140"/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5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4"/>
        <v>0</v>
      </c>
      <c r="AD108" s="133"/>
      <c r="AF108" s="133"/>
      <c r="AG108" s="133"/>
      <c r="AH108" s="133"/>
      <c r="AI108" s="133"/>
      <c r="AJ108" s="133"/>
    </row>
    <row r="109" ht="22.5" customHeight="1">
      <c r="A109" s="3"/>
      <c r="B109" s="3"/>
      <c r="C109" s="140"/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5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4"/>
        <v>0</v>
      </c>
      <c r="AD109" s="133"/>
      <c r="AF109" s="13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6">SUM(D3:D109)</f>
        <v>40000</v>
      </c>
      <c r="E110" s="120">
        <f t="shared" si="6"/>
        <v>5000</v>
      </c>
      <c r="F110" s="120">
        <f t="shared" si="6"/>
        <v>5000</v>
      </c>
      <c r="G110" s="120">
        <f t="shared" si="6"/>
        <v>2000</v>
      </c>
      <c r="H110" s="120">
        <f t="shared" si="6"/>
        <v>0</v>
      </c>
      <c r="I110" s="120">
        <f t="shared" si="6"/>
        <v>21793</v>
      </c>
      <c r="J110" s="135">
        <f t="shared" si="6"/>
        <v>0</v>
      </c>
      <c r="K110" s="120">
        <f t="shared" si="6"/>
        <v>0</v>
      </c>
      <c r="L110" s="120">
        <f t="shared" si="6"/>
        <v>0</v>
      </c>
      <c r="M110" s="120">
        <f t="shared" si="6"/>
        <v>10000</v>
      </c>
      <c r="N110" s="120">
        <f t="shared" si="6"/>
        <v>0</v>
      </c>
      <c r="O110" s="120">
        <f t="shared" si="6"/>
        <v>0</v>
      </c>
      <c r="P110" s="120">
        <f t="shared" si="6"/>
        <v>0</v>
      </c>
      <c r="Q110" s="120">
        <f t="shared" si="6"/>
        <v>0</v>
      </c>
      <c r="R110" s="120">
        <f t="shared" si="6"/>
        <v>0</v>
      </c>
      <c r="S110" s="120">
        <f t="shared" si="6"/>
        <v>0</v>
      </c>
      <c r="T110" s="120">
        <f t="shared" si="6"/>
        <v>0</v>
      </c>
      <c r="U110" s="120">
        <f t="shared" si="6"/>
        <v>0</v>
      </c>
      <c r="V110" s="120">
        <f t="shared" si="6"/>
        <v>120000</v>
      </c>
      <c r="W110" s="122">
        <f t="shared" si="5"/>
        <v>203793</v>
      </c>
      <c r="X110" s="120">
        <f t="shared" ref="X110:Y110" si="7">SUM(X3:X109)</f>
        <v>26207</v>
      </c>
      <c r="Y110" s="120">
        <f t="shared" si="7"/>
        <v>0</v>
      </c>
      <c r="Z110" s="120">
        <f t="shared" si="2"/>
        <v>230000</v>
      </c>
      <c r="AA110" s="124"/>
      <c r="AC110" s="136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>
      <c r="A228" s="114"/>
      <c r="B228" s="114"/>
    </row>
    <row r="229" ht="15.75" customHeight="1">
      <c r="A229" s="114"/>
      <c r="B229" s="114"/>
    </row>
    <row r="230" ht="15.75" customHeight="1">
      <c r="A230" s="114"/>
      <c r="B230" s="114"/>
    </row>
    <row r="231" ht="15.75" customHeight="1">
      <c r="A231" s="114"/>
      <c r="B231" s="114"/>
    </row>
    <row r="232" ht="15.75" customHeight="1">
      <c r="A232" s="114"/>
      <c r="B232" s="114"/>
    </row>
    <row r="233" ht="15.75" customHeight="1">
      <c r="A233" s="114"/>
      <c r="B233" s="114"/>
    </row>
    <row r="234" ht="15.75" customHeight="1">
      <c r="A234" s="114"/>
      <c r="B234" s="114"/>
    </row>
    <row r="235" ht="15.75" customHeight="1">
      <c r="A235" s="114"/>
      <c r="B235" s="114"/>
    </row>
    <row r="236" ht="15.75" customHeight="1">
      <c r="A236" s="114"/>
      <c r="B236" s="114"/>
    </row>
    <row r="237" ht="15.75" customHeight="1">
      <c r="A237" s="114"/>
      <c r="B237" s="114"/>
    </row>
    <row r="238" ht="15.75" customHeight="1">
      <c r="A238" s="114"/>
      <c r="B238" s="114"/>
    </row>
    <row r="239" ht="15.75" customHeight="1">
      <c r="A239" s="114"/>
      <c r="B239" s="114"/>
    </row>
    <row r="240" ht="15.75" customHeight="1">
      <c r="A240" s="114"/>
      <c r="B240" s="114"/>
    </row>
    <row r="241" ht="15.75" customHeight="1">
      <c r="A241" s="114"/>
      <c r="B241" s="114"/>
    </row>
    <row r="242" ht="15.75" customHeight="1">
      <c r="A242" s="114"/>
      <c r="B242" s="114"/>
    </row>
    <row r="243" ht="15.75" customHeight="1">
      <c r="A243" s="114"/>
      <c r="B243" s="114"/>
    </row>
    <row r="244" ht="15.75" customHeight="1">
      <c r="A244" s="114"/>
      <c r="B244" s="114"/>
    </row>
    <row r="245" ht="15.75" customHeight="1">
      <c r="A245" s="114"/>
      <c r="B245" s="114"/>
    </row>
    <row r="246" ht="15.75" customHeight="1">
      <c r="A246" s="114"/>
      <c r="B246" s="114"/>
    </row>
    <row r="247" ht="15.75" customHeight="1">
      <c r="A247" s="114"/>
      <c r="B247" s="114"/>
    </row>
    <row r="248" ht="15.75" customHeight="1">
      <c r="A248" s="114"/>
      <c r="B248" s="114"/>
    </row>
    <row r="249" ht="15.75" customHeight="1">
      <c r="A249" s="114"/>
      <c r="B249" s="114"/>
    </row>
    <row r="250" ht="15.75" customHeight="1">
      <c r="A250" s="114"/>
      <c r="B250" s="114"/>
    </row>
    <row r="251" ht="15.75" customHeight="1">
      <c r="A251" s="114"/>
      <c r="B251" s="114"/>
    </row>
    <row r="252" ht="15.75" customHeight="1">
      <c r="A252" s="114"/>
      <c r="B252" s="114"/>
    </row>
    <row r="253" ht="15.75" customHeight="1">
      <c r="A253" s="114"/>
      <c r="B253" s="114"/>
    </row>
    <row r="254" ht="15.75" customHeight="1">
      <c r="A254" s="114"/>
      <c r="B254" s="114"/>
    </row>
    <row r="255" ht="15.75" customHeight="1">
      <c r="A255" s="114"/>
      <c r="B255" s="114"/>
    </row>
    <row r="256" ht="15.75" customHeight="1">
      <c r="A256" s="114"/>
      <c r="B256" s="114"/>
    </row>
    <row r="257" ht="15.75" customHeight="1">
      <c r="A257" s="114"/>
      <c r="B257" s="114"/>
    </row>
    <row r="258" ht="15.75" customHeight="1">
      <c r="A258" s="114"/>
      <c r="B258" s="114"/>
    </row>
    <row r="259" ht="15.75" customHeight="1">
      <c r="A259" s="114"/>
      <c r="B259" s="114"/>
    </row>
    <row r="260" ht="15.75" customHeight="1">
      <c r="A260" s="114"/>
      <c r="B260" s="114"/>
    </row>
    <row r="261" ht="15.75" customHeight="1">
      <c r="A261" s="114"/>
      <c r="B261" s="114"/>
    </row>
    <row r="262" ht="15.75" customHeight="1">
      <c r="A262" s="114"/>
      <c r="B262" s="114"/>
    </row>
    <row r="263" ht="15.75" customHeight="1">
      <c r="A263" s="114"/>
      <c r="B263" s="114"/>
    </row>
    <row r="264" ht="15.75" customHeight="1">
      <c r="A264" s="114"/>
      <c r="B264" s="114"/>
    </row>
    <row r="265" ht="15.75" customHeight="1">
      <c r="A265" s="114"/>
      <c r="B265" s="114"/>
    </row>
    <row r="266" ht="15.75" customHeight="1">
      <c r="A266" s="114"/>
      <c r="B266" s="114"/>
    </row>
    <row r="267" ht="15.75" customHeight="1">
      <c r="A267" s="114"/>
      <c r="B267" s="114"/>
    </row>
    <row r="268" ht="15.75" customHeight="1">
      <c r="A268" s="114"/>
      <c r="B268" s="114"/>
    </row>
    <row r="269" ht="15.75" customHeight="1">
      <c r="A269" s="114"/>
      <c r="B269" s="114"/>
    </row>
    <row r="270" ht="15.75" customHeight="1">
      <c r="A270" s="114"/>
      <c r="B270" s="114"/>
    </row>
    <row r="271" ht="15.75" customHeight="1">
      <c r="A271" s="114"/>
      <c r="B271" s="114"/>
    </row>
    <row r="272" ht="15.75" customHeight="1">
      <c r="A272" s="114"/>
      <c r="B272" s="114"/>
    </row>
    <row r="273" ht="15.75" customHeight="1">
      <c r="A273" s="114"/>
      <c r="B273" s="114"/>
    </row>
    <row r="274" ht="15.75" customHeight="1">
      <c r="A274" s="114"/>
      <c r="B274" s="114"/>
    </row>
    <row r="275" ht="15.75" customHeight="1">
      <c r="A275" s="114"/>
      <c r="B275" s="114"/>
    </row>
    <row r="276" ht="15.75" customHeight="1">
      <c r="A276" s="114"/>
      <c r="B276" s="114"/>
    </row>
    <row r="277" ht="15.75" customHeight="1">
      <c r="A277" s="114"/>
      <c r="B277" s="114"/>
    </row>
    <row r="278" ht="15.75" customHeight="1">
      <c r="A278" s="114"/>
      <c r="B278" s="114"/>
    </row>
    <row r="279" ht="15.75" customHeight="1">
      <c r="A279" s="114"/>
      <c r="B279" s="114"/>
    </row>
    <row r="280" ht="15.75" customHeight="1">
      <c r="A280" s="114"/>
      <c r="B280" s="114"/>
    </row>
    <row r="281" ht="15.75" customHeight="1">
      <c r="A281" s="114"/>
      <c r="B281" s="114"/>
    </row>
    <row r="282" ht="15.75" customHeight="1">
      <c r="A282" s="114"/>
      <c r="B282" s="114"/>
    </row>
    <row r="283" ht="15.75" customHeight="1">
      <c r="A283" s="114"/>
      <c r="B283" s="114"/>
    </row>
    <row r="284" ht="15.75" customHeight="1">
      <c r="A284" s="114"/>
      <c r="B284" s="114"/>
    </row>
    <row r="285" ht="15.75" customHeight="1">
      <c r="A285" s="114"/>
      <c r="B285" s="114"/>
    </row>
    <row r="286" ht="15.75" customHeight="1">
      <c r="A286" s="114"/>
      <c r="B286" s="114"/>
    </row>
    <row r="287" ht="15.75" customHeight="1">
      <c r="A287" s="114"/>
      <c r="B287" s="114"/>
    </row>
    <row r="288" ht="15.75" customHeight="1">
      <c r="A288" s="114"/>
      <c r="B288" s="114"/>
    </row>
    <row r="289" ht="15.75" customHeight="1">
      <c r="A289" s="114"/>
      <c r="B289" s="114"/>
    </row>
    <row r="290" ht="15.75" customHeight="1">
      <c r="A290" s="114"/>
      <c r="B290" s="114"/>
    </row>
    <row r="291" ht="15.75" customHeight="1">
      <c r="A291" s="114"/>
      <c r="B291" s="114"/>
    </row>
    <row r="292" ht="15.75" customHeight="1">
      <c r="A292" s="114"/>
      <c r="B292" s="114"/>
    </row>
    <row r="293" ht="15.75" customHeight="1">
      <c r="A293" s="114"/>
      <c r="B293" s="114"/>
    </row>
    <row r="294" ht="15.75" customHeight="1">
      <c r="A294" s="114"/>
      <c r="B294" s="114"/>
    </row>
    <row r="295" ht="15.75" customHeight="1">
      <c r="A295" s="114"/>
      <c r="B295" s="114"/>
    </row>
    <row r="296" ht="15.75" customHeight="1">
      <c r="A296" s="114"/>
      <c r="B296" s="114"/>
    </row>
    <row r="297" ht="15.75" customHeight="1">
      <c r="A297" s="114"/>
      <c r="B297" s="114"/>
    </row>
    <row r="298" ht="15.75" customHeight="1">
      <c r="A298" s="114"/>
      <c r="B298" s="114"/>
    </row>
    <row r="299" ht="15.75" customHeight="1">
      <c r="A299" s="114"/>
      <c r="B299" s="114"/>
    </row>
    <row r="300" ht="15.75" customHeight="1">
      <c r="A300" s="114"/>
      <c r="B300" s="114"/>
    </row>
    <row r="301" ht="15.75" customHeight="1">
      <c r="A301" s="114"/>
      <c r="B301" s="114"/>
    </row>
    <row r="302" ht="15.75" customHeight="1">
      <c r="A302" s="114"/>
      <c r="B302" s="114"/>
    </row>
    <row r="303" ht="15.75" customHeight="1">
      <c r="A303" s="114"/>
      <c r="B303" s="114"/>
    </row>
    <row r="304" ht="15.75" customHeight="1">
      <c r="A304" s="114"/>
      <c r="B304" s="114"/>
    </row>
    <row r="305" ht="15.75" customHeight="1">
      <c r="A305" s="114"/>
      <c r="B305" s="114"/>
    </row>
    <row r="306" ht="15.75" customHeight="1">
      <c r="A306" s="114"/>
      <c r="B306" s="114"/>
    </row>
    <row r="307" ht="15.75" customHeight="1">
      <c r="A307" s="114"/>
      <c r="B307" s="114"/>
    </row>
    <row r="308" ht="15.75" customHeight="1">
      <c r="A308" s="114"/>
      <c r="B308" s="114"/>
    </row>
    <row r="309" ht="15.75" customHeight="1">
      <c r="A309" s="114"/>
      <c r="B309" s="114"/>
    </row>
    <row r="310" ht="15.75" customHeight="1">
      <c r="A310" s="114"/>
      <c r="B310" s="114"/>
    </row>
    <row r="311" ht="15.75" customHeight="1">
      <c r="A311" s="114"/>
      <c r="B311" s="114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45838.0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  <c r="AF1" s="141"/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42"/>
      <c r="AG2" s="114"/>
      <c r="AH2" s="114"/>
      <c r="AI2" s="114"/>
      <c r="AJ2" s="114"/>
    </row>
    <row r="3" ht="22.5" customHeight="1">
      <c r="A3" s="1" t="s">
        <v>2</v>
      </c>
      <c r="B3" s="1"/>
      <c r="C3" s="134">
        <f>'R7.5'!AC3</f>
        <v>0</v>
      </c>
      <c r="D3" s="116"/>
      <c r="E3" s="116"/>
      <c r="F3" s="116"/>
      <c r="G3" s="116"/>
      <c r="H3" s="117"/>
      <c r="I3" s="118"/>
      <c r="J3" s="119"/>
      <c r="K3" s="117"/>
      <c r="L3" s="117"/>
      <c r="M3" s="120"/>
      <c r="N3" s="117"/>
      <c r="O3" s="117"/>
      <c r="P3" s="117"/>
      <c r="Q3" s="117"/>
      <c r="R3" s="119"/>
      <c r="S3" s="119"/>
      <c r="T3" s="119"/>
      <c r="U3" s="119"/>
      <c r="V3" s="119"/>
      <c r="W3" s="122">
        <f t="shared" ref="W3:W6" si="1">SUM(D3:V3)</f>
        <v>0</v>
      </c>
      <c r="X3" s="123"/>
      <c r="Y3" s="123"/>
      <c r="Z3" s="120">
        <f t="shared" ref="Z3:Z110" si="2">SUM(W3:Y3)</f>
        <v>0</v>
      </c>
      <c r="AA3" s="124"/>
      <c r="AB3" s="63" t="s">
        <v>128</v>
      </c>
      <c r="AC3" s="125">
        <f t="shared" ref="AC3:AC109" si="3">C3-M3</f>
        <v>0</v>
      </c>
      <c r="AF3" s="141"/>
    </row>
    <row r="4" ht="22.5" customHeight="1">
      <c r="A4" s="1" t="s">
        <v>4</v>
      </c>
      <c r="B4" s="1"/>
      <c r="C4" s="134">
        <f>'R7.5'!AC4</f>
        <v>0</v>
      </c>
      <c r="D4" s="116"/>
      <c r="E4" s="116"/>
      <c r="F4" s="116"/>
      <c r="G4" s="116"/>
      <c r="H4" s="117"/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2">
        <f t="shared" si="1"/>
        <v>0</v>
      </c>
      <c r="X4" s="123"/>
      <c r="Y4" s="123"/>
      <c r="Z4" s="120">
        <f t="shared" si="2"/>
        <v>0</v>
      </c>
      <c r="AA4" s="124" t="s">
        <v>129</v>
      </c>
      <c r="AB4" s="107" t="s">
        <v>128</v>
      </c>
      <c r="AC4" s="125">
        <f t="shared" si="3"/>
        <v>0</v>
      </c>
      <c r="AF4" s="141"/>
    </row>
    <row r="5" ht="22.5" customHeight="1">
      <c r="A5" s="1" t="s">
        <v>6</v>
      </c>
      <c r="B5" s="1"/>
      <c r="C5" s="134">
        <f>'R7.5'!AC5</f>
        <v>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0</v>
      </c>
      <c r="AF5" s="141"/>
    </row>
    <row r="6" ht="22.5" customHeight="1">
      <c r="A6" s="1" t="s">
        <v>7</v>
      </c>
      <c r="B6" s="1"/>
      <c r="C6" s="134">
        <f>'R7.5'!AC6</f>
        <v>0</v>
      </c>
      <c r="D6" s="116"/>
      <c r="E6" s="116"/>
      <c r="F6" s="116"/>
      <c r="G6" s="116"/>
      <c r="H6" s="117"/>
      <c r="I6" s="117"/>
      <c r="J6" s="119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2">
        <f t="shared" si="1"/>
        <v>0</v>
      </c>
      <c r="X6" s="123"/>
      <c r="Y6" s="123"/>
      <c r="Z6" s="120">
        <f t="shared" si="2"/>
        <v>0</v>
      </c>
      <c r="AA6" s="124" t="s">
        <v>129</v>
      </c>
      <c r="AB6" s="63" t="s">
        <v>128</v>
      </c>
      <c r="AC6" s="125">
        <f t="shared" si="3"/>
        <v>0</v>
      </c>
      <c r="AF6" s="141"/>
    </row>
    <row r="7" ht="22.5" customHeight="1">
      <c r="A7" s="1" t="s">
        <v>9</v>
      </c>
      <c r="B7" s="1" t="s">
        <v>10</v>
      </c>
      <c r="C7" s="134">
        <f>'R7.5'!AC7</f>
        <v>80000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0.0</v>
      </c>
      <c r="I7" s="117">
        <v>40700.0</v>
      </c>
      <c r="J7" s="127"/>
      <c r="K7" s="117"/>
      <c r="L7" s="117"/>
      <c r="M7" s="117">
        <v>10000.0</v>
      </c>
      <c r="N7" s="117"/>
      <c r="O7" s="117"/>
      <c r="P7" s="117"/>
      <c r="Q7" s="117"/>
      <c r="R7" s="117"/>
      <c r="S7" s="117">
        <v>7300.0</v>
      </c>
      <c r="T7" s="117"/>
      <c r="U7" s="117"/>
      <c r="V7" s="119">
        <f>'R7.5'!AE7</f>
        <v>30000</v>
      </c>
      <c r="W7" s="122">
        <f>SUM(D7:U7)-V7</f>
        <v>80000</v>
      </c>
      <c r="X7" s="116"/>
      <c r="Y7" s="128"/>
      <c r="Z7" s="120">
        <f t="shared" si="2"/>
        <v>80000</v>
      </c>
      <c r="AA7" s="124">
        <v>110000.0</v>
      </c>
      <c r="AB7" s="63" t="s">
        <v>128</v>
      </c>
      <c r="AC7" s="125">
        <f t="shared" si="3"/>
        <v>70000</v>
      </c>
      <c r="AD7" s="63">
        <v>200000.0</v>
      </c>
      <c r="AE7" s="124">
        <f>AD7-Z7</f>
        <v>120000</v>
      </c>
      <c r="AF7" s="141">
        <v>45950.0</v>
      </c>
    </row>
    <row r="8" ht="22.5" customHeight="1">
      <c r="A8" s="1" t="s">
        <v>11</v>
      </c>
      <c r="B8" s="1"/>
      <c r="C8" s="134">
        <f>'R7.5'!AC8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  <c r="AF8" s="141"/>
    </row>
    <row r="9" ht="22.5" customHeight="1">
      <c r="A9" s="1" t="s">
        <v>12</v>
      </c>
      <c r="B9" s="1"/>
      <c r="C9" s="134">
        <f>'R7.5'!AC9</f>
        <v>0</v>
      </c>
      <c r="D9" s="116"/>
      <c r="E9" s="116"/>
      <c r="F9" s="116"/>
      <c r="G9" s="116"/>
      <c r="H9" s="117"/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2">
        <f t="shared" si="4"/>
        <v>0</v>
      </c>
      <c r="X9" s="123"/>
      <c r="Y9" s="123"/>
      <c r="Z9" s="120">
        <f t="shared" si="2"/>
        <v>0</v>
      </c>
      <c r="AA9" s="124" t="s">
        <v>129</v>
      </c>
      <c r="AB9" s="63" t="s">
        <v>128</v>
      </c>
      <c r="AC9" s="125">
        <f t="shared" si="3"/>
        <v>0</v>
      </c>
      <c r="AF9" s="141"/>
    </row>
    <row r="10" ht="22.5" customHeight="1">
      <c r="A10" s="1" t="s">
        <v>14</v>
      </c>
      <c r="B10" s="1"/>
      <c r="C10" s="134">
        <f>'R7.5'!AC10</f>
        <v>0</v>
      </c>
      <c r="D10" s="116"/>
      <c r="E10" s="116"/>
      <c r="F10" s="116"/>
      <c r="G10" s="116"/>
      <c r="H10" s="117"/>
      <c r="I10" s="117"/>
      <c r="J10" s="119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22">
        <f t="shared" si="4"/>
        <v>0</v>
      </c>
      <c r="X10" s="129"/>
      <c r="Y10" s="129"/>
      <c r="Z10" s="120">
        <f t="shared" si="2"/>
        <v>0</v>
      </c>
      <c r="AA10" s="124" t="s">
        <v>129</v>
      </c>
      <c r="AB10" s="63" t="s">
        <v>128</v>
      </c>
      <c r="AC10" s="125">
        <f t="shared" si="3"/>
        <v>0</v>
      </c>
      <c r="AF10" s="141"/>
    </row>
    <row r="11" ht="22.5" customHeight="1">
      <c r="A11" s="1" t="s">
        <v>16</v>
      </c>
      <c r="B11" s="1"/>
      <c r="C11" s="134">
        <f>'R7.5'!AC11</f>
        <v>0</v>
      </c>
      <c r="D11" s="116"/>
      <c r="E11" s="116"/>
      <c r="F11" s="116"/>
      <c r="G11" s="116"/>
      <c r="H11" s="117"/>
      <c r="I11" s="117"/>
      <c r="J11" s="119"/>
      <c r="K11" s="117"/>
      <c r="L11" s="117"/>
      <c r="M11" s="130"/>
      <c r="N11" s="117"/>
      <c r="O11" s="117"/>
      <c r="P11" s="117"/>
      <c r="Q11" s="117"/>
      <c r="R11" s="117"/>
      <c r="S11" s="120"/>
      <c r="T11" s="117"/>
      <c r="U11" s="117"/>
      <c r="V11" s="117"/>
      <c r="W11" s="122">
        <f t="shared" si="4"/>
        <v>0</v>
      </c>
      <c r="X11" s="123"/>
      <c r="Y11" s="123"/>
      <c r="Z11" s="120">
        <f t="shared" si="2"/>
        <v>0</v>
      </c>
      <c r="AA11" s="131"/>
      <c r="AB11" s="63" t="s">
        <v>128</v>
      </c>
      <c r="AC11" s="125">
        <f t="shared" si="3"/>
        <v>0</v>
      </c>
      <c r="AF11" s="141"/>
    </row>
    <row r="12" ht="22.5" customHeight="1">
      <c r="A12" s="1" t="s">
        <v>18</v>
      </c>
      <c r="B12" s="1"/>
      <c r="C12" s="134">
        <f>'R7.5'!AC12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  <c r="AF12" s="141"/>
    </row>
    <row r="13" ht="22.5" customHeight="1">
      <c r="A13" s="1"/>
      <c r="B13" s="3"/>
      <c r="C13" s="140"/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  <c r="AF13" s="141"/>
    </row>
    <row r="14" ht="22.5" customHeight="1">
      <c r="A14" s="1"/>
      <c r="B14" s="3"/>
      <c r="C14" s="140"/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43"/>
      <c r="AG14" s="133"/>
      <c r="AH14" s="133"/>
      <c r="AI14" s="133"/>
      <c r="AJ14" s="133"/>
    </row>
    <row r="15" ht="22.5" customHeight="1">
      <c r="A15" s="1"/>
      <c r="B15" s="3"/>
      <c r="C15" s="140"/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43"/>
      <c r="AG15" s="133"/>
      <c r="AH15" s="133"/>
      <c r="AI15" s="133"/>
      <c r="AJ15" s="133"/>
    </row>
    <row r="16" ht="22.5" customHeight="1">
      <c r="A16" s="1"/>
      <c r="B16" s="3"/>
      <c r="C16" s="140"/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43"/>
      <c r="AG16" s="133"/>
      <c r="AH16" s="133"/>
      <c r="AI16" s="133"/>
      <c r="AJ16" s="133"/>
    </row>
    <row r="17" ht="22.5" customHeight="1">
      <c r="A17" s="3"/>
      <c r="B17" s="3"/>
      <c r="C17" s="140"/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43"/>
      <c r="AG17" s="133"/>
      <c r="AH17" s="133"/>
      <c r="AI17" s="133"/>
      <c r="AJ17" s="133"/>
    </row>
    <row r="18" ht="22.5" customHeight="1">
      <c r="A18" s="3"/>
      <c r="B18" s="3"/>
      <c r="C18" s="140"/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43"/>
      <c r="AG18" s="133"/>
      <c r="AH18" s="133"/>
      <c r="AI18" s="133"/>
      <c r="AJ18" s="133"/>
    </row>
    <row r="19" ht="22.5" customHeight="1">
      <c r="A19" s="3"/>
      <c r="B19" s="3"/>
      <c r="C19" s="140"/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43"/>
      <c r="AG19" s="133"/>
      <c r="AH19" s="133"/>
      <c r="AI19" s="133"/>
      <c r="AJ19" s="133"/>
    </row>
    <row r="20" ht="22.5" customHeight="1">
      <c r="A20" s="3"/>
      <c r="B20" s="3"/>
      <c r="C20" s="140"/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43"/>
      <c r="AG20" s="133"/>
      <c r="AH20" s="133"/>
      <c r="AI20" s="133"/>
      <c r="AJ20" s="133"/>
    </row>
    <row r="21" ht="22.5" customHeight="1">
      <c r="A21" s="3"/>
      <c r="B21" s="3"/>
      <c r="C21" s="140"/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43"/>
      <c r="AG21" s="133"/>
      <c r="AH21" s="133"/>
      <c r="AI21" s="133"/>
      <c r="AJ21" s="133"/>
    </row>
    <row r="22" ht="22.5" hidden="1" customHeight="1">
      <c r="A22" s="3"/>
      <c r="B22" s="3"/>
      <c r="C22" s="140"/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43"/>
      <c r="AG22" s="133"/>
      <c r="AH22" s="133"/>
      <c r="AI22" s="133"/>
      <c r="AJ22" s="133"/>
    </row>
    <row r="23" ht="22.5" hidden="1" customHeight="1">
      <c r="A23" s="3"/>
      <c r="B23" s="3"/>
      <c r="C23" s="140"/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43"/>
      <c r="AG23" s="133"/>
      <c r="AH23" s="133"/>
      <c r="AI23" s="133"/>
      <c r="AJ23" s="133"/>
    </row>
    <row r="24" ht="22.5" hidden="1" customHeight="1">
      <c r="A24" s="3"/>
      <c r="B24" s="3"/>
      <c r="C24" s="140"/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43"/>
      <c r="AG24" s="133"/>
      <c r="AH24" s="133"/>
      <c r="AI24" s="133"/>
      <c r="AJ24" s="133"/>
    </row>
    <row r="25" ht="22.5" hidden="1" customHeight="1">
      <c r="A25" s="3"/>
      <c r="B25" s="3"/>
      <c r="C25" s="140"/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43"/>
      <c r="AG25" s="133"/>
      <c r="AH25" s="133"/>
      <c r="AI25" s="133"/>
      <c r="AJ25" s="133"/>
    </row>
    <row r="26" ht="22.5" hidden="1" customHeight="1">
      <c r="A26" s="3"/>
      <c r="B26" s="3"/>
      <c r="C26" s="140"/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43"/>
      <c r="AG26" s="133"/>
      <c r="AH26" s="133"/>
      <c r="AI26" s="133"/>
      <c r="AJ26" s="133"/>
    </row>
    <row r="27" ht="22.5" hidden="1" customHeight="1">
      <c r="A27" s="3"/>
      <c r="B27" s="3"/>
      <c r="C27" s="140"/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43"/>
      <c r="AG27" s="133"/>
      <c r="AH27" s="133"/>
      <c r="AI27" s="133"/>
      <c r="AJ27" s="133"/>
    </row>
    <row r="28" ht="22.5" hidden="1" customHeight="1">
      <c r="A28" s="3"/>
      <c r="B28" s="3"/>
      <c r="C28" s="140"/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43"/>
      <c r="AG28" s="133"/>
      <c r="AH28" s="133"/>
      <c r="AI28" s="133"/>
      <c r="AJ28" s="133"/>
    </row>
    <row r="29" ht="22.5" hidden="1" customHeight="1">
      <c r="A29" s="3"/>
      <c r="B29" s="3"/>
      <c r="C29" s="140"/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43"/>
      <c r="AG29" s="133"/>
      <c r="AH29" s="133"/>
      <c r="AI29" s="133"/>
      <c r="AJ29" s="133"/>
    </row>
    <row r="30" ht="22.5" hidden="1" customHeight="1">
      <c r="A30" s="3"/>
      <c r="B30" s="3"/>
      <c r="C30" s="140"/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43"/>
      <c r="AG30" s="133"/>
      <c r="AH30" s="133"/>
      <c r="AI30" s="133"/>
      <c r="AJ30" s="133"/>
    </row>
    <row r="31" ht="22.5" hidden="1" customHeight="1">
      <c r="A31" s="3"/>
      <c r="B31" s="3"/>
      <c r="C31" s="140"/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43"/>
      <c r="AG31" s="133"/>
      <c r="AH31" s="133"/>
      <c r="AI31" s="133"/>
      <c r="AJ31" s="133"/>
    </row>
    <row r="32" ht="22.5" hidden="1" customHeight="1">
      <c r="A32" s="3"/>
      <c r="B32" s="3"/>
      <c r="C32" s="140"/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43"/>
      <c r="AG32" s="133"/>
      <c r="AH32" s="133"/>
      <c r="AI32" s="133"/>
      <c r="AJ32" s="133"/>
    </row>
    <row r="33" ht="22.5" hidden="1" customHeight="1">
      <c r="A33" s="3"/>
      <c r="B33" s="3"/>
      <c r="C33" s="140"/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43"/>
      <c r="AG33" s="133"/>
      <c r="AH33" s="133"/>
      <c r="AI33" s="133"/>
      <c r="AJ33" s="133"/>
    </row>
    <row r="34" ht="22.5" hidden="1" customHeight="1">
      <c r="A34" s="3"/>
      <c r="B34" s="3"/>
      <c r="C34" s="140"/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43"/>
      <c r="AG34" s="133"/>
      <c r="AH34" s="133"/>
      <c r="AI34" s="133"/>
      <c r="AJ34" s="133"/>
    </row>
    <row r="35" ht="22.5" hidden="1" customHeight="1">
      <c r="A35" s="3"/>
      <c r="B35" s="3"/>
      <c r="C35" s="140"/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43"/>
      <c r="AG35" s="133"/>
      <c r="AH35" s="133"/>
      <c r="AI35" s="133"/>
      <c r="AJ35" s="133"/>
    </row>
    <row r="36" ht="22.5" hidden="1" customHeight="1">
      <c r="A36" s="3"/>
      <c r="B36" s="3"/>
      <c r="C36" s="140"/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43"/>
      <c r="AG36" s="133"/>
      <c r="AH36" s="133"/>
      <c r="AI36" s="133"/>
      <c r="AJ36" s="133"/>
    </row>
    <row r="37" ht="22.5" hidden="1" customHeight="1">
      <c r="A37" s="3"/>
      <c r="B37" s="3"/>
      <c r="C37" s="140"/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43"/>
      <c r="AG37" s="133"/>
      <c r="AH37" s="133"/>
      <c r="AI37" s="133"/>
      <c r="AJ37" s="133"/>
    </row>
    <row r="38" ht="22.5" hidden="1" customHeight="1">
      <c r="A38" s="3"/>
      <c r="B38" s="3"/>
      <c r="C38" s="140"/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43"/>
      <c r="AG38" s="133"/>
      <c r="AH38" s="133"/>
      <c r="AI38" s="133"/>
      <c r="AJ38" s="133"/>
    </row>
    <row r="39" ht="22.5" hidden="1" customHeight="1">
      <c r="A39" s="3"/>
      <c r="B39" s="3"/>
      <c r="C39" s="140"/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43"/>
      <c r="AG39" s="133"/>
      <c r="AH39" s="133"/>
      <c r="AI39" s="133"/>
      <c r="AJ39" s="133"/>
    </row>
    <row r="40" ht="22.5" hidden="1" customHeight="1">
      <c r="A40" s="3"/>
      <c r="B40" s="3"/>
      <c r="C40" s="140"/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43"/>
      <c r="AG40" s="133"/>
      <c r="AH40" s="133"/>
      <c r="AI40" s="133"/>
      <c r="AJ40" s="133"/>
    </row>
    <row r="41" ht="22.5" hidden="1" customHeight="1">
      <c r="A41" s="3"/>
      <c r="B41" s="3"/>
      <c r="C41" s="140"/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43"/>
      <c r="AG41" s="133"/>
      <c r="AH41" s="133"/>
      <c r="AI41" s="133"/>
      <c r="AJ41" s="133"/>
    </row>
    <row r="42" ht="22.5" hidden="1" customHeight="1">
      <c r="A42" s="3"/>
      <c r="B42" s="3"/>
      <c r="C42" s="140"/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43"/>
      <c r="AG42" s="133"/>
      <c r="AH42" s="133"/>
      <c r="AI42" s="133"/>
      <c r="AJ42" s="133"/>
    </row>
    <row r="43" ht="22.5" hidden="1" customHeight="1">
      <c r="A43" s="3"/>
      <c r="B43" s="3"/>
      <c r="C43" s="140"/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43"/>
      <c r="AG43" s="133"/>
      <c r="AH43" s="133"/>
      <c r="AI43" s="133"/>
      <c r="AJ43" s="133"/>
    </row>
    <row r="44" ht="22.5" hidden="1" customHeight="1">
      <c r="A44" s="3"/>
      <c r="B44" s="3"/>
      <c r="C44" s="140"/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43"/>
      <c r="AG44" s="133"/>
      <c r="AH44" s="133"/>
      <c r="AI44" s="133"/>
      <c r="AJ44" s="133"/>
    </row>
    <row r="45" ht="22.5" hidden="1" customHeight="1">
      <c r="A45" s="3"/>
      <c r="B45" s="3"/>
      <c r="C45" s="140"/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43"/>
      <c r="AG45" s="133"/>
      <c r="AH45" s="133"/>
      <c r="AI45" s="133"/>
      <c r="AJ45" s="133"/>
    </row>
    <row r="46" ht="22.5" hidden="1" customHeight="1">
      <c r="A46" s="3"/>
      <c r="B46" s="3"/>
      <c r="C46" s="140"/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43"/>
      <c r="AG46" s="133"/>
      <c r="AH46" s="133"/>
      <c r="AI46" s="133"/>
      <c r="AJ46" s="133"/>
    </row>
    <row r="47" ht="22.5" hidden="1" customHeight="1">
      <c r="A47" s="3"/>
      <c r="B47" s="3"/>
      <c r="C47" s="140"/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43"/>
      <c r="AG47" s="133"/>
      <c r="AH47" s="133"/>
      <c r="AI47" s="133"/>
      <c r="AJ47" s="133"/>
    </row>
    <row r="48" ht="22.5" hidden="1" customHeight="1">
      <c r="A48" s="3"/>
      <c r="B48" s="3"/>
      <c r="C48" s="140"/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43"/>
      <c r="AG48" s="133"/>
      <c r="AH48" s="133"/>
      <c r="AI48" s="133"/>
      <c r="AJ48" s="133"/>
    </row>
    <row r="49" ht="22.5" hidden="1" customHeight="1">
      <c r="A49" s="3"/>
      <c r="B49" s="3"/>
      <c r="C49" s="140"/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43"/>
      <c r="AG49" s="133"/>
      <c r="AH49" s="133"/>
      <c r="AI49" s="133"/>
      <c r="AJ49" s="133"/>
    </row>
    <row r="50" ht="22.5" hidden="1" customHeight="1">
      <c r="A50" s="3"/>
      <c r="B50" s="3"/>
      <c r="C50" s="140"/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43"/>
      <c r="AG50" s="133"/>
      <c r="AH50" s="133"/>
      <c r="AI50" s="133"/>
      <c r="AJ50" s="133"/>
    </row>
    <row r="51" ht="22.5" hidden="1" customHeight="1">
      <c r="A51" s="3"/>
      <c r="B51" s="3"/>
      <c r="C51" s="140"/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43"/>
      <c r="AG51" s="133"/>
      <c r="AH51" s="133"/>
      <c r="AI51" s="133"/>
      <c r="AJ51" s="133"/>
    </row>
    <row r="52" ht="22.5" hidden="1" customHeight="1">
      <c r="A52" s="3"/>
      <c r="B52" s="3"/>
      <c r="C52" s="140"/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43"/>
      <c r="AG52" s="133"/>
      <c r="AH52" s="133"/>
      <c r="AI52" s="133"/>
      <c r="AJ52" s="133"/>
    </row>
    <row r="53" ht="22.5" hidden="1" customHeight="1">
      <c r="A53" s="3"/>
      <c r="B53" s="3"/>
      <c r="C53" s="140"/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43"/>
      <c r="AG53" s="133"/>
      <c r="AH53" s="133"/>
      <c r="AI53" s="133"/>
      <c r="AJ53" s="133"/>
    </row>
    <row r="54" ht="22.5" hidden="1" customHeight="1">
      <c r="A54" s="3"/>
      <c r="B54" s="3"/>
      <c r="C54" s="140"/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43"/>
      <c r="AG54" s="133"/>
      <c r="AH54" s="133"/>
      <c r="AI54" s="133"/>
      <c r="AJ54" s="133"/>
    </row>
    <row r="55" ht="22.5" hidden="1" customHeight="1">
      <c r="A55" s="3"/>
      <c r="B55" s="3"/>
      <c r="C55" s="140"/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43"/>
      <c r="AG55" s="133"/>
      <c r="AH55" s="133"/>
      <c r="AI55" s="133"/>
      <c r="AJ55" s="133"/>
    </row>
    <row r="56" ht="22.5" hidden="1" customHeight="1">
      <c r="A56" s="3"/>
      <c r="B56" s="3"/>
      <c r="C56" s="140"/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43"/>
      <c r="AG56" s="133"/>
      <c r="AH56" s="133"/>
      <c r="AI56" s="133"/>
      <c r="AJ56" s="133"/>
    </row>
    <row r="57" ht="22.5" hidden="1" customHeight="1">
      <c r="A57" s="3"/>
      <c r="B57" s="3"/>
      <c r="C57" s="140"/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43"/>
      <c r="AG57" s="133"/>
      <c r="AH57" s="133"/>
      <c r="AI57" s="133"/>
      <c r="AJ57" s="133"/>
    </row>
    <row r="58" ht="22.5" hidden="1" customHeight="1">
      <c r="A58" s="3"/>
      <c r="B58" s="3"/>
      <c r="C58" s="140"/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43"/>
      <c r="AG58" s="133"/>
      <c r="AH58" s="133"/>
      <c r="AI58" s="133"/>
      <c r="AJ58" s="133"/>
    </row>
    <row r="59" ht="22.5" hidden="1" customHeight="1">
      <c r="A59" s="3"/>
      <c r="B59" s="3"/>
      <c r="C59" s="140"/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43"/>
      <c r="AG59" s="133"/>
      <c r="AH59" s="133"/>
      <c r="AI59" s="133"/>
      <c r="AJ59" s="133"/>
    </row>
    <row r="60" ht="22.5" hidden="1" customHeight="1">
      <c r="A60" s="3"/>
      <c r="B60" s="3"/>
      <c r="C60" s="140"/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43"/>
      <c r="AG60" s="133"/>
      <c r="AH60" s="133"/>
      <c r="AI60" s="133"/>
      <c r="AJ60" s="133"/>
    </row>
    <row r="61" ht="22.5" hidden="1" customHeight="1">
      <c r="A61" s="3"/>
      <c r="B61" s="3"/>
      <c r="C61" s="140"/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43"/>
      <c r="AG61" s="133"/>
      <c r="AH61" s="133"/>
      <c r="AI61" s="133"/>
      <c r="AJ61" s="133"/>
    </row>
    <row r="62" ht="22.5" hidden="1" customHeight="1">
      <c r="A62" s="3"/>
      <c r="B62" s="3"/>
      <c r="C62" s="140"/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43"/>
      <c r="AG62" s="133"/>
      <c r="AH62" s="133"/>
      <c r="AI62" s="133"/>
      <c r="AJ62" s="133"/>
    </row>
    <row r="63" ht="22.5" hidden="1" customHeight="1">
      <c r="A63" s="3"/>
      <c r="B63" s="3"/>
      <c r="C63" s="140"/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43"/>
      <c r="AG63" s="133"/>
      <c r="AH63" s="133"/>
      <c r="AI63" s="133"/>
      <c r="AJ63" s="133"/>
    </row>
    <row r="64" ht="22.5" hidden="1" customHeight="1">
      <c r="A64" s="3"/>
      <c r="B64" s="3"/>
      <c r="C64" s="140"/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43"/>
      <c r="AG64" s="133"/>
      <c r="AH64" s="133"/>
      <c r="AI64" s="133"/>
      <c r="AJ64" s="133"/>
    </row>
    <row r="65" ht="22.5" hidden="1" customHeight="1">
      <c r="A65" s="3"/>
      <c r="B65" s="3"/>
      <c r="C65" s="140"/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43"/>
      <c r="AG65" s="133"/>
      <c r="AH65" s="133"/>
      <c r="AI65" s="133"/>
      <c r="AJ65" s="133"/>
    </row>
    <row r="66" ht="22.5" hidden="1" customHeight="1">
      <c r="A66" s="3"/>
      <c r="B66" s="3"/>
      <c r="C66" s="140"/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43"/>
      <c r="AG66" s="133"/>
      <c r="AH66" s="133"/>
      <c r="AI66" s="133"/>
      <c r="AJ66" s="133"/>
    </row>
    <row r="67" ht="22.5" hidden="1" customHeight="1">
      <c r="A67" s="3"/>
      <c r="B67" s="3"/>
      <c r="C67" s="140"/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43"/>
      <c r="AG67" s="133"/>
      <c r="AH67" s="133"/>
      <c r="AI67" s="133"/>
      <c r="AJ67" s="133"/>
    </row>
    <row r="68" ht="22.5" hidden="1" customHeight="1">
      <c r="A68" s="3"/>
      <c r="B68" s="3"/>
      <c r="C68" s="140"/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43"/>
      <c r="AG68" s="133"/>
      <c r="AH68" s="133"/>
      <c r="AI68" s="133"/>
      <c r="AJ68" s="133"/>
    </row>
    <row r="69" ht="22.5" hidden="1" customHeight="1">
      <c r="A69" s="3"/>
      <c r="B69" s="3"/>
      <c r="C69" s="140"/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43"/>
      <c r="AG69" s="133"/>
      <c r="AH69" s="133"/>
      <c r="AI69" s="133"/>
      <c r="AJ69" s="133"/>
    </row>
    <row r="70" ht="22.5" hidden="1" customHeight="1">
      <c r="A70" s="3"/>
      <c r="B70" s="3"/>
      <c r="C70" s="140"/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43"/>
      <c r="AG70" s="133"/>
      <c r="AH70" s="133"/>
      <c r="AI70" s="133"/>
      <c r="AJ70" s="133"/>
    </row>
    <row r="71" ht="22.5" hidden="1" customHeight="1">
      <c r="A71" s="3"/>
      <c r="B71" s="3"/>
      <c r="C71" s="140"/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43"/>
      <c r="AG71" s="133"/>
      <c r="AH71" s="133"/>
      <c r="AI71" s="133"/>
      <c r="AJ71" s="133"/>
    </row>
    <row r="72" ht="22.5" hidden="1" customHeight="1">
      <c r="A72" s="3"/>
      <c r="B72" s="3"/>
      <c r="C72" s="140"/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43"/>
      <c r="AG72" s="133"/>
      <c r="AH72" s="133"/>
      <c r="AI72" s="133"/>
      <c r="AJ72" s="133"/>
    </row>
    <row r="73" ht="22.5" hidden="1" customHeight="1">
      <c r="A73" s="3"/>
      <c r="B73" s="3"/>
      <c r="C73" s="140"/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43"/>
      <c r="AG73" s="133"/>
      <c r="AH73" s="133"/>
      <c r="AI73" s="133"/>
      <c r="AJ73" s="133"/>
    </row>
    <row r="74" ht="22.5" hidden="1" customHeight="1">
      <c r="A74" s="3"/>
      <c r="B74" s="3"/>
      <c r="C74" s="140"/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43"/>
      <c r="AG74" s="133"/>
      <c r="AH74" s="133"/>
      <c r="AI74" s="133"/>
      <c r="AJ74" s="133"/>
    </row>
    <row r="75" ht="22.5" hidden="1" customHeight="1">
      <c r="A75" s="3"/>
      <c r="B75" s="3"/>
      <c r="C75" s="140"/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43"/>
      <c r="AG75" s="133"/>
      <c r="AH75" s="133"/>
      <c r="AI75" s="133"/>
      <c r="AJ75" s="133"/>
    </row>
    <row r="76" ht="22.5" hidden="1" customHeight="1">
      <c r="A76" s="3"/>
      <c r="B76" s="3"/>
      <c r="C76" s="140"/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43"/>
      <c r="AG76" s="133"/>
      <c r="AH76" s="133"/>
      <c r="AI76" s="133"/>
      <c r="AJ76" s="133"/>
    </row>
    <row r="77" ht="22.5" hidden="1" customHeight="1">
      <c r="A77" s="3"/>
      <c r="B77" s="3"/>
      <c r="C77" s="140"/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43"/>
      <c r="AG77" s="133"/>
      <c r="AH77" s="133"/>
      <c r="AI77" s="133"/>
      <c r="AJ77" s="133"/>
    </row>
    <row r="78" ht="22.5" hidden="1" customHeight="1">
      <c r="A78" s="3"/>
      <c r="B78" s="3"/>
      <c r="C78" s="140"/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43"/>
      <c r="AG78" s="133"/>
      <c r="AH78" s="133"/>
      <c r="AI78" s="133"/>
      <c r="AJ78" s="133"/>
    </row>
    <row r="79" ht="22.5" hidden="1" customHeight="1">
      <c r="A79" s="3"/>
      <c r="B79" s="3"/>
      <c r="C79" s="140"/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43"/>
      <c r="AG79" s="133"/>
      <c r="AH79" s="133"/>
      <c r="AI79" s="133"/>
      <c r="AJ79" s="133"/>
    </row>
    <row r="80" ht="22.5" hidden="1" customHeight="1">
      <c r="A80" s="3"/>
      <c r="B80" s="3"/>
      <c r="C80" s="140"/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43"/>
      <c r="AG80" s="133"/>
      <c r="AH80" s="133"/>
      <c r="AI80" s="133"/>
      <c r="AJ80" s="133"/>
    </row>
    <row r="81" ht="22.5" hidden="1" customHeight="1">
      <c r="A81" s="3"/>
      <c r="B81" s="3"/>
      <c r="C81" s="140"/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43"/>
      <c r="AG81" s="133"/>
      <c r="AH81" s="133"/>
      <c r="AI81" s="133"/>
      <c r="AJ81" s="133"/>
    </row>
    <row r="82" ht="22.5" hidden="1" customHeight="1">
      <c r="A82" s="3"/>
      <c r="B82" s="3"/>
      <c r="C82" s="140"/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43"/>
      <c r="AG82" s="133"/>
      <c r="AH82" s="133"/>
      <c r="AI82" s="133"/>
      <c r="AJ82" s="133"/>
    </row>
    <row r="83" ht="22.5" hidden="1" customHeight="1">
      <c r="A83" s="3"/>
      <c r="B83" s="3"/>
      <c r="C83" s="140"/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43"/>
      <c r="AG83" s="133"/>
      <c r="AH83" s="133"/>
      <c r="AI83" s="133"/>
      <c r="AJ83" s="133"/>
    </row>
    <row r="84" ht="22.5" hidden="1" customHeight="1">
      <c r="A84" s="3"/>
      <c r="B84" s="3"/>
      <c r="C84" s="140"/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43"/>
      <c r="AG84" s="133"/>
      <c r="AH84" s="133"/>
      <c r="AI84" s="133"/>
      <c r="AJ84" s="133"/>
    </row>
    <row r="85" ht="22.5" hidden="1" customHeight="1">
      <c r="A85" s="3"/>
      <c r="B85" s="3"/>
      <c r="C85" s="140"/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43"/>
      <c r="AG85" s="133"/>
      <c r="AH85" s="133"/>
      <c r="AI85" s="133"/>
      <c r="AJ85" s="133"/>
    </row>
    <row r="86" ht="22.5" hidden="1" customHeight="1">
      <c r="A86" s="3"/>
      <c r="B86" s="3"/>
      <c r="C86" s="140"/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43"/>
      <c r="AG86" s="133"/>
      <c r="AH86" s="133"/>
      <c r="AI86" s="133"/>
      <c r="AJ86" s="133"/>
    </row>
    <row r="87" ht="22.5" hidden="1" customHeight="1">
      <c r="A87" s="3"/>
      <c r="B87" s="3"/>
      <c r="C87" s="140"/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43"/>
      <c r="AG87" s="133"/>
      <c r="AH87" s="133"/>
      <c r="AI87" s="133"/>
      <c r="AJ87" s="133"/>
    </row>
    <row r="88" ht="22.5" hidden="1" customHeight="1">
      <c r="A88" s="3"/>
      <c r="B88" s="3"/>
      <c r="C88" s="140"/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43"/>
      <c r="AG88" s="133"/>
      <c r="AH88" s="133"/>
      <c r="AI88" s="133"/>
      <c r="AJ88" s="133"/>
    </row>
    <row r="89" ht="22.5" hidden="1" customHeight="1">
      <c r="A89" s="3"/>
      <c r="B89" s="3"/>
      <c r="C89" s="140"/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43"/>
      <c r="AG89" s="133"/>
      <c r="AH89" s="133"/>
      <c r="AI89" s="133"/>
      <c r="AJ89" s="133"/>
    </row>
    <row r="90" ht="22.5" hidden="1" customHeight="1">
      <c r="A90" s="3"/>
      <c r="B90" s="3"/>
      <c r="C90" s="140"/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43"/>
      <c r="AG90" s="133"/>
      <c r="AH90" s="133"/>
      <c r="AI90" s="133"/>
      <c r="AJ90" s="133"/>
    </row>
    <row r="91" ht="22.5" hidden="1" customHeight="1">
      <c r="A91" s="3"/>
      <c r="B91" s="3"/>
      <c r="C91" s="140"/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43"/>
      <c r="AG91" s="133"/>
      <c r="AH91" s="133"/>
      <c r="AI91" s="133"/>
      <c r="AJ91" s="133"/>
    </row>
    <row r="92" ht="22.5" hidden="1" customHeight="1">
      <c r="A92" s="3"/>
      <c r="B92" s="3"/>
      <c r="C92" s="140"/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43"/>
      <c r="AG92" s="133"/>
      <c r="AH92" s="133"/>
      <c r="AI92" s="133"/>
      <c r="AJ92" s="133"/>
    </row>
    <row r="93" ht="22.5" hidden="1" customHeight="1">
      <c r="A93" s="3"/>
      <c r="B93" s="3"/>
      <c r="C93" s="140"/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43"/>
      <c r="AG93" s="133"/>
      <c r="AH93" s="133"/>
      <c r="AI93" s="133"/>
      <c r="AJ93" s="133"/>
    </row>
    <row r="94" ht="22.5" hidden="1" customHeight="1">
      <c r="A94" s="3"/>
      <c r="B94" s="3"/>
      <c r="C94" s="140"/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43"/>
      <c r="AG94" s="133"/>
      <c r="AH94" s="133"/>
      <c r="AI94" s="133"/>
      <c r="AJ94" s="133"/>
    </row>
    <row r="95" ht="22.5" hidden="1" customHeight="1">
      <c r="A95" s="3"/>
      <c r="B95" s="3"/>
      <c r="C95" s="140"/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43"/>
      <c r="AG95" s="133"/>
      <c r="AH95" s="133"/>
      <c r="AI95" s="133"/>
      <c r="AJ95" s="133"/>
    </row>
    <row r="96" ht="22.5" hidden="1" customHeight="1">
      <c r="A96" s="3"/>
      <c r="B96" s="3"/>
      <c r="C96" s="140"/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43"/>
      <c r="AG96" s="133"/>
      <c r="AH96" s="133"/>
      <c r="AI96" s="133"/>
      <c r="AJ96" s="133"/>
    </row>
    <row r="97" ht="22.5" hidden="1" customHeight="1">
      <c r="A97" s="3"/>
      <c r="B97" s="3"/>
      <c r="C97" s="140"/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43"/>
      <c r="AG97" s="133"/>
      <c r="AH97" s="133"/>
      <c r="AI97" s="133"/>
      <c r="AJ97" s="133"/>
    </row>
    <row r="98" ht="22.5" hidden="1" customHeight="1">
      <c r="A98" s="3"/>
      <c r="B98" s="3"/>
      <c r="C98" s="140"/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43"/>
      <c r="AG98" s="133"/>
      <c r="AH98" s="133"/>
      <c r="AI98" s="133"/>
      <c r="AJ98" s="133"/>
    </row>
    <row r="99" ht="22.5" hidden="1" customHeight="1">
      <c r="A99" s="3"/>
      <c r="B99" s="3"/>
      <c r="C99" s="140"/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43"/>
      <c r="AG99" s="133"/>
      <c r="AH99" s="133"/>
      <c r="AI99" s="133"/>
      <c r="AJ99" s="133"/>
    </row>
    <row r="100" ht="22.5" hidden="1" customHeight="1">
      <c r="A100" s="3"/>
      <c r="B100" s="3"/>
      <c r="C100" s="140"/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43"/>
      <c r="AG100" s="133"/>
      <c r="AH100" s="133"/>
      <c r="AI100" s="133"/>
      <c r="AJ100" s="133"/>
    </row>
    <row r="101" ht="22.5" hidden="1" customHeight="1">
      <c r="A101" s="3"/>
      <c r="B101" s="3"/>
      <c r="C101" s="140"/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43"/>
      <c r="AG101" s="133"/>
      <c r="AH101" s="133"/>
      <c r="AI101" s="133"/>
      <c r="AJ101" s="133"/>
    </row>
    <row r="102" ht="22.5" hidden="1" customHeight="1">
      <c r="A102" s="3"/>
      <c r="B102" s="3"/>
      <c r="C102" s="140"/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43"/>
      <c r="AG102" s="133"/>
      <c r="AH102" s="133"/>
      <c r="AI102" s="133"/>
      <c r="AJ102" s="133"/>
    </row>
    <row r="103" ht="22.5" hidden="1" customHeight="1">
      <c r="A103" s="3"/>
      <c r="B103" s="3"/>
      <c r="C103" s="140"/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43"/>
      <c r="AG103" s="133"/>
      <c r="AH103" s="133"/>
      <c r="AI103" s="133"/>
      <c r="AJ103" s="133"/>
    </row>
    <row r="104" ht="22.5" hidden="1" customHeight="1">
      <c r="A104" s="3"/>
      <c r="B104" s="3"/>
      <c r="C104" s="140"/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43"/>
      <c r="AG104" s="133"/>
      <c r="AH104" s="133"/>
      <c r="AI104" s="133"/>
      <c r="AJ104" s="133"/>
    </row>
    <row r="105" ht="22.5" hidden="1" customHeight="1">
      <c r="A105" s="3"/>
      <c r="B105" s="3"/>
      <c r="C105" s="140"/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43"/>
      <c r="AG105" s="133"/>
      <c r="AH105" s="133"/>
      <c r="AI105" s="133"/>
      <c r="AJ105" s="133"/>
    </row>
    <row r="106" ht="22.5" hidden="1" customHeight="1">
      <c r="A106" s="3"/>
      <c r="B106" s="3"/>
      <c r="C106" s="140"/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43"/>
      <c r="AG106" s="133"/>
      <c r="AH106" s="133"/>
      <c r="AI106" s="133"/>
      <c r="AJ106" s="133"/>
    </row>
    <row r="107" ht="22.5" hidden="1" customHeight="1">
      <c r="A107" s="3"/>
      <c r="B107" s="3"/>
      <c r="C107" s="140"/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43"/>
      <c r="AG107" s="133"/>
      <c r="AH107" s="133"/>
      <c r="AI107" s="133"/>
      <c r="AJ107" s="133"/>
    </row>
    <row r="108" ht="22.5" hidden="1" customHeight="1">
      <c r="A108" s="3"/>
      <c r="B108" s="3"/>
      <c r="C108" s="140"/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43"/>
      <c r="AG108" s="133"/>
      <c r="AH108" s="133"/>
      <c r="AI108" s="133"/>
      <c r="AJ108" s="133"/>
    </row>
    <row r="109" ht="22.5" customHeight="1">
      <c r="A109" s="3"/>
      <c r="B109" s="3"/>
      <c r="C109" s="140"/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4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5">SUM(D3:D109)</f>
        <v>40000</v>
      </c>
      <c r="E110" s="120">
        <f t="shared" si="5"/>
        <v>5000</v>
      </c>
      <c r="F110" s="120">
        <f t="shared" si="5"/>
        <v>5000</v>
      </c>
      <c r="G110" s="120">
        <f t="shared" si="5"/>
        <v>2000</v>
      </c>
      <c r="H110" s="120">
        <f t="shared" si="5"/>
        <v>0</v>
      </c>
      <c r="I110" s="120">
        <f t="shared" si="5"/>
        <v>40700</v>
      </c>
      <c r="J110" s="135">
        <f t="shared" si="5"/>
        <v>0</v>
      </c>
      <c r="K110" s="120">
        <f t="shared" si="5"/>
        <v>0</v>
      </c>
      <c r="L110" s="120">
        <f t="shared" si="5"/>
        <v>0</v>
      </c>
      <c r="M110" s="120">
        <f t="shared" si="5"/>
        <v>10000</v>
      </c>
      <c r="N110" s="120">
        <f t="shared" si="5"/>
        <v>0</v>
      </c>
      <c r="O110" s="120">
        <f t="shared" si="5"/>
        <v>0</v>
      </c>
      <c r="P110" s="120">
        <f t="shared" si="5"/>
        <v>0</v>
      </c>
      <c r="Q110" s="120">
        <f t="shared" si="5"/>
        <v>0</v>
      </c>
      <c r="R110" s="120">
        <f t="shared" si="5"/>
        <v>0</v>
      </c>
      <c r="S110" s="120">
        <f t="shared" si="5"/>
        <v>7300</v>
      </c>
      <c r="T110" s="120">
        <f t="shared" si="5"/>
        <v>0</v>
      </c>
      <c r="U110" s="120">
        <f t="shared" si="5"/>
        <v>0</v>
      </c>
      <c r="V110" s="120">
        <f t="shared" si="5"/>
        <v>30000</v>
      </c>
      <c r="W110" s="122">
        <f t="shared" si="4"/>
        <v>140000</v>
      </c>
      <c r="X110" s="120">
        <f t="shared" ref="X110:Y110" si="6">SUM(X3:X109)</f>
        <v>0</v>
      </c>
      <c r="Y110" s="120">
        <f t="shared" si="6"/>
        <v>0</v>
      </c>
      <c r="Z110" s="120">
        <f t="shared" si="2"/>
        <v>140000</v>
      </c>
      <c r="AA110" s="124"/>
      <c r="AC110" s="136"/>
      <c r="AF110" s="141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  <c r="AF111" s="141"/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AF112" s="141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AF113" s="141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AF114" s="141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AF115" s="141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AF116" s="141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AF117" s="141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AF118" s="141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AF119" s="141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AF120" s="141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AF121" s="141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AF122" s="141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AF123" s="141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AF124" s="141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AF125" s="141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AF126" s="141"/>
    </row>
    <row r="127" ht="15.75" customHeight="1">
      <c r="A127" s="114"/>
      <c r="B127" s="114"/>
      <c r="AF127" s="141"/>
    </row>
    <row r="128" ht="15.75" customHeight="1">
      <c r="A128" s="114"/>
      <c r="B128" s="114"/>
      <c r="AF128" s="141"/>
    </row>
    <row r="129" ht="15.75" customHeight="1">
      <c r="A129" s="114"/>
      <c r="B129" s="114"/>
      <c r="AF129" s="141"/>
    </row>
    <row r="130" ht="15.75" customHeight="1">
      <c r="A130" s="114"/>
      <c r="B130" s="114"/>
      <c r="AF130" s="141"/>
    </row>
    <row r="131" ht="15.75" customHeight="1">
      <c r="A131" s="114"/>
      <c r="B131" s="114"/>
      <c r="AF131" s="141"/>
    </row>
    <row r="132" ht="15.75" customHeight="1">
      <c r="A132" s="114"/>
      <c r="B132" s="114"/>
      <c r="AF132" s="141"/>
    </row>
    <row r="133" ht="15.75" customHeight="1">
      <c r="A133" s="114"/>
      <c r="B133" s="114"/>
      <c r="AF133" s="141"/>
    </row>
    <row r="134" ht="15.75" customHeight="1">
      <c r="A134" s="114"/>
      <c r="B134" s="114"/>
      <c r="AF134" s="141"/>
    </row>
    <row r="135" ht="15.75" customHeight="1">
      <c r="A135" s="114"/>
      <c r="B135" s="114"/>
      <c r="AF135" s="141"/>
    </row>
    <row r="136" ht="15.75" customHeight="1">
      <c r="A136" s="114"/>
      <c r="B136" s="114"/>
      <c r="AF136" s="141"/>
    </row>
    <row r="137" ht="15.75" customHeight="1">
      <c r="A137" s="114"/>
      <c r="B137" s="114"/>
      <c r="AF137" s="141"/>
    </row>
    <row r="138" ht="15.75" customHeight="1">
      <c r="A138" s="114"/>
      <c r="B138" s="114"/>
      <c r="AF138" s="141"/>
    </row>
    <row r="139" ht="15.75" customHeight="1">
      <c r="A139" s="114"/>
      <c r="B139" s="114"/>
      <c r="AF139" s="141"/>
    </row>
    <row r="140" ht="15.75" customHeight="1">
      <c r="A140" s="114"/>
      <c r="B140" s="114"/>
      <c r="AF140" s="141"/>
    </row>
    <row r="141" ht="15.75" customHeight="1">
      <c r="A141" s="114"/>
      <c r="B141" s="114"/>
      <c r="AF141" s="141"/>
    </row>
    <row r="142" ht="15.75" customHeight="1">
      <c r="A142" s="114"/>
      <c r="B142" s="114"/>
      <c r="AF142" s="141"/>
    </row>
    <row r="143" ht="15.75" customHeight="1">
      <c r="A143" s="114"/>
      <c r="B143" s="114"/>
      <c r="AF143" s="141"/>
    </row>
    <row r="144" ht="15.75" customHeight="1">
      <c r="A144" s="114"/>
      <c r="B144" s="114"/>
      <c r="AF144" s="141"/>
    </row>
    <row r="145" ht="15.75" customHeight="1">
      <c r="A145" s="114"/>
      <c r="B145" s="114"/>
      <c r="AF145" s="141"/>
    </row>
    <row r="146" ht="15.75" customHeight="1">
      <c r="A146" s="114"/>
      <c r="B146" s="114"/>
      <c r="AF146" s="141"/>
    </row>
    <row r="147" ht="15.75" customHeight="1">
      <c r="A147" s="114"/>
      <c r="B147" s="114"/>
      <c r="AF147" s="141"/>
    </row>
    <row r="148" ht="15.75" customHeight="1">
      <c r="A148" s="114"/>
      <c r="B148" s="114"/>
      <c r="AF148" s="141"/>
    </row>
    <row r="149" ht="15.75" customHeight="1">
      <c r="A149" s="114"/>
      <c r="B149" s="114"/>
      <c r="AF149" s="141"/>
    </row>
    <row r="150" ht="15.75" customHeight="1">
      <c r="A150" s="114"/>
      <c r="B150" s="114"/>
      <c r="AF150" s="141"/>
    </row>
    <row r="151" ht="15.75" customHeight="1">
      <c r="A151" s="114"/>
      <c r="B151" s="114"/>
      <c r="AF151" s="141"/>
    </row>
    <row r="152" ht="15.75" customHeight="1">
      <c r="A152" s="114"/>
      <c r="B152" s="114"/>
      <c r="AF152" s="141"/>
    </row>
    <row r="153" ht="15.75" customHeight="1">
      <c r="A153" s="114"/>
      <c r="B153" s="114"/>
      <c r="AF153" s="141"/>
    </row>
    <row r="154" ht="15.75" customHeight="1">
      <c r="A154" s="114"/>
      <c r="B154" s="114"/>
      <c r="AF154" s="141"/>
    </row>
    <row r="155" ht="15.75" customHeight="1">
      <c r="A155" s="114"/>
      <c r="B155" s="114"/>
      <c r="AF155" s="141"/>
    </row>
    <row r="156" ht="15.75" customHeight="1">
      <c r="A156" s="114"/>
      <c r="B156" s="114"/>
      <c r="AF156" s="141"/>
    </row>
    <row r="157" ht="15.75" customHeight="1">
      <c r="A157" s="114"/>
      <c r="B157" s="114"/>
      <c r="AF157" s="141"/>
    </row>
    <row r="158" ht="15.75" customHeight="1">
      <c r="A158" s="114"/>
      <c r="B158" s="114"/>
      <c r="AF158" s="141"/>
    </row>
    <row r="159" ht="15.75" customHeight="1">
      <c r="A159" s="114"/>
      <c r="B159" s="114"/>
      <c r="AF159" s="141"/>
    </row>
    <row r="160" ht="15.75" customHeight="1">
      <c r="A160" s="114"/>
      <c r="B160" s="114"/>
      <c r="AF160" s="141"/>
    </row>
    <row r="161" ht="15.75" customHeight="1">
      <c r="A161" s="114"/>
      <c r="B161" s="114"/>
      <c r="AF161" s="141"/>
    </row>
    <row r="162" ht="15.75" customHeight="1">
      <c r="A162" s="114"/>
      <c r="B162" s="114"/>
      <c r="AF162" s="141"/>
    </row>
    <row r="163" ht="15.75" customHeight="1">
      <c r="A163" s="114"/>
      <c r="B163" s="114"/>
      <c r="AF163" s="141"/>
    </row>
    <row r="164" ht="15.75" customHeight="1">
      <c r="A164" s="114"/>
      <c r="B164" s="114"/>
      <c r="AF164" s="141"/>
    </row>
    <row r="165" ht="15.75" customHeight="1">
      <c r="A165" s="114"/>
      <c r="B165" s="114"/>
      <c r="AF165" s="141"/>
    </row>
    <row r="166" ht="15.75" customHeight="1">
      <c r="A166" s="114"/>
      <c r="B166" s="114"/>
      <c r="AF166" s="141"/>
    </row>
    <row r="167" ht="15.75" customHeight="1">
      <c r="A167" s="114"/>
      <c r="B167" s="114"/>
      <c r="AF167" s="141"/>
    </row>
    <row r="168" ht="15.75" customHeight="1">
      <c r="A168" s="114"/>
      <c r="B168" s="114"/>
      <c r="AF168" s="141"/>
    </row>
    <row r="169" ht="15.75" customHeight="1">
      <c r="A169" s="114"/>
      <c r="B169" s="114"/>
      <c r="AF169" s="141"/>
    </row>
    <row r="170" ht="15.75" customHeight="1">
      <c r="A170" s="114"/>
      <c r="B170" s="114"/>
      <c r="AF170" s="141"/>
    </row>
    <row r="171" ht="15.75" customHeight="1">
      <c r="A171" s="114"/>
      <c r="B171" s="114"/>
      <c r="AF171" s="141"/>
    </row>
    <row r="172" ht="15.75" customHeight="1">
      <c r="A172" s="114"/>
      <c r="B172" s="114"/>
      <c r="AF172" s="141"/>
    </row>
    <row r="173" ht="15.75" customHeight="1">
      <c r="A173" s="114"/>
      <c r="B173" s="114"/>
      <c r="AF173" s="141"/>
    </row>
    <row r="174" ht="15.75" customHeight="1">
      <c r="A174" s="114"/>
      <c r="B174" s="114"/>
      <c r="AF174" s="141"/>
    </row>
    <row r="175" ht="15.75" customHeight="1">
      <c r="A175" s="114"/>
      <c r="B175" s="114"/>
      <c r="AF175" s="141"/>
    </row>
    <row r="176" ht="15.75" customHeight="1">
      <c r="A176" s="114"/>
      <c r="B176" s="114"/>
      <c r="AF176" s="141"/>
    </row>
    <row r="177" ht="15.75" customHeight="1">
      <c r="A177" s="114"/>
      <c r="B177" s="114"/>
      <c r="AF177" s="141"/>
    </row>
    <row r="178" ht="15.75" customHeight="1">
      <c r="A178" s="114"/>
      <c r="B178" s="114"/>
      <c r="AF178" s="141"/>
    </row>
    <row r="179" ht="15.75" customHeight="1">
      <c r="A179" s="114"/>
      <c r="B179" s="114"/>
      <c r="AF179" s="141"/>
    </row>
    <row r="180" ht="15.75" customHeight="1">
      <c r="A180" s="114"/>
      <c r="B180" s="114"/>
      <c r="AF180" s="141"/>
    </row>
    <row r="181" ht="15.75" customHeight="1">
      <c r="A181" s="114"/>
      <c r="B181" s="114"/>
      <c r="AF181" s="141"/>
    </row>
    <row r="182" ht="15.75" customHeight="1">
      <c r="A182" s="114"/>
      <c r="B182" s="114"/>
      <c r="AF182" s="141"/>
    </row>
    <row r="183" ht="15.75" customHeight="1">
      <c r="A183" s="114"/>
      <c r="B183" s="114"/>
      <c r="AF183" s="141"/>
    </row>
    <row r="184" ht="15.75" customHeight="1">
      <c r="A184" s="114"/>
      <c r="B184" s="114"/>
      <c r="AF184" s="141"/>
    </row>
    <row r="185" ht="15.75" customHeight="1">
      <c r="A185" s="114"/>
      <c r="B185" s="114"/>
      <c r="AF185" s="141"/>
    </row>
    <row r="186" ht="15.75" customHeight="1">
      <c r="A186" s="114"/>
      <c r="B186" s="114"/>
      <c r="AF186" s="141"/>
    </row>
    <row r="187" ht="15.75" customHeight="1">
      <c r="A187" s="114"/>
      <c r="B187" s="114"/>
      <c r="AF187" s="141"/>
    </row>
    <row r="188" ht="15.75" customHeight="1">
      <c r="A188" s="114"/>
      <c r="B188" s="114"/>
      <c r="AF188" s="141"/>
    </row>
    <row r="189" ht="15.75" customHeight="1">
      <c r="A189" s="114"/>
      <c r="B189" s="114"/>
      <c r="AF189" s="141"/>
    </row>
    <row r="190" ht="15.75" customHeight="1">
      <c r="A190" s="114"/>
      <c r="B190" s="114"/>
      <c r="AF190" s="141"/>
    </row>
    <row r="191" ht="15.75" customHeight="1">
      <c r="A191" s="114"/>
      <c r="B191" s="114"/>
      <c r="AF191" s="141"/>
    </row>
    <row r="192" ht="15.75" customHeight="1">
      <c r="A192" s="114"/>
      <c r="B192" s="114"/>
      <c r="AF192" s="141"/>
    </row>
    <row r="193" ht="15.75" customHeight="1">
      <c r="A193" s="114"/>
      <c r="B193" s="114"/>
      <c r="AF193" s="141"/>
    </row>
    <row r="194" ht="15.75" customHeight="1">
      <c r="A194" s="114"/>
      <c r="B194" s="114"/>
      <c r="AF194" s="141"/>
    </row>
    <row r="195" ht="15.75" customHeight="1">
      <c r="A195" s="114"/>
      <c r="B195" s="114"/>
      <c r="AF195" s="141"/>
    </row>
    <row r="196" ht="15.75" customHeight="1">
      <c r="A196" s="114"/>
      <c r="B196" s="114"/>
      <c r="AF196" s="141"/>
    </row>
    <row r="197" ht="15.75" customHeight="1">
      <c r="A197" s="114"/>
      <c r="B197" s="114"/>
      <c r="AF197" s="141"/>
    </row>
    <row r="198" ht="15.75" customHeight="1">
      <c r="A198" s="114"/>
      <c r="B198" s="114"/>
      <c r="AF198" s="141"/>
    </row>
    <row r="199" ht="15.75" customHeight="1">
      <c r="A199" s="114"/>
      <c r="B199" s="114"/>
      <c r="AF199" s="141"/>
    </row>
    <row r="200" ht="15.75" customHeight="1">
      <c r="A200" s="114"/>
      <c r="B200" s="114"/>
      <c r="AF200" s="141"/>
    </row>
    <row r="201" ht="15.75" customHeight="1">
      <c r="A201" s="114"/>
      <c r="B201" s="114"/>
      <c r="AF201" s="141"/>
    </row>
    <row r="202" ht="15.75" customHeight="1">
      <c r="A202" s="114"/>
      <c r="B202" s="114"/>
      <c r="AF202" s="141"/>
    </row>
    <row r="203" ht="15.75" customHeight="1">
      <c r="A203" s="114"/>
      <c r="B203" s="114"/>
      <c r="AF203" s="141"/>
    </row>
    <row r="204" ht="15.75" customHeight="1">
      <c r="A204" s="114"/>
      <c r="B204" s="114"/>
      <c r="AF204" s="141"/>
    </row>
    <row r="205" ht="15.75" customHeight="1">
      <c r="A205" s="114"/>
      <c r="B205" s="114"/>
      <c r="AF205" s="141"/>
    </row>
    <row r="206" ht="15.75" customHeight="1">
      <c r="A206" s="114"/>
      <c r="B206" s="114"/>
      <c r="AF206" s="141"/>
    </row>
    <row r="207" ht="15.75" customHeight="1">
      <c r="A207" s="114"/>
      <c r="B207" s="114"/>
      <c r="AF207" s="141"/>
    </row>
    <row r="208" ht="15.75" customHeight="1">
      <c r="A208" s="114"/>
      <c r="B208" s="114"/>
      <c r="AF208" s="141"/>
    </row>
    <row r="209" ht="15.75" customHeight="1">
      <c r="A209" s="114"/>
      <c r="B209" s="114"/>
      <c r="AF209" s="141"/>
    </row>
    <row r="210" ht="15.75" customHeight="1">
      <c r="A210" s="114"/>
      <c r="B210" s="114"/>
      <c r="AF210" s="141"/>
    </row>
    <row r="211" ht="15.75" customHeight="1">
      <c r="A211" s="114"/>
      <c r="B211" s="114"/>
      <c r="AF211" s="141"/>
    </row>
    <row r="212" ht="15.75" customHeight="1">
      <c r="A212" s="114"/>
      <c r="B212" s="114"/>
      <c r="AF212" s="141"/>
    </row>
    <row r="213" ht="15.75" customHeight="1">
      <c r="A213" s="114"/>
      <c r="B213" s="114"/>
      <c r="AF213" s="141"/>
    </row>
    <row r="214" ht="15.75" customHeight="1">
      <c r="A214" s="114"/>
      <c r="B214" s="114"/>
      <c r="AF214" s="141"/>
    </row>
    <row r="215" ht="15.75" customHeight="1">
      <c r="A215" s="114"/>
      <c r="B215" s="114"/>
      <c r="AF215" s="141"/>
    </row>
    <row r="216" ht="15.75" customHeight="1">
      <c r="A216" s="114"/>
      <c r="B216" s="114"/>
      <c r="AF216" s="141"/>
    </row>
    <row r="217" ht="15.75" customHeight="1">
      <c r="A217" s="114"/>
      <c r="B217" s="114"/>
      <c r="AF217" s="141"/>
    </row>
    <row r="218" ht="15.75" customHeight="1">
      <c r="A218" s="114"/>
      <c r="B218" s="114"/>
      <c r="AF218" s="141"/>
    </row>
    <row r="219" ht="15.75" customHeight="1">
      <c r="A219" s="114"/>
      <c r="B219" s="114"/>
      <c r="AF219" s="141"/>
    </row>
    <row r="220" ht="15.75" customHeight="1">
      <c r="A220" s="114"/>
      <c r="B220" s="114"/>
      <c r="AF220" s="141"/>
    </row>
    <row r="221" ht="15.75" customHeight="1">
      <c r="A221" s="114"/>
      <c r="B221" s="114"/>
      <c r="AF221" s="141"/>
    </row>
    <row r="222" ht="15.75" customHeight="1">
      <c r="A222" s="114"/>
      <c r="B222" s="114"/>
      <c r="AF222" s="141"/>
    </row>
    <row r="223" ht="15.75" customHeight="1">
      <c r="A223" s="114"/>
      <c r="B223" s="114"/>
      <c r="AF223" s="141"/>
    </row>
    <row r="224" ht="15.75" customHeight="1">
      <c r="A224" s="114"/>
      <c r="B224" s="114"/>
      <c r="AF224" s="141"/>
    </row>
    <row r="225" ht="15.75" customHeight="1">
      <c r="A225" s="114"/>
      <c r="B225" s="114"/>
      <c r="AF225" s="141"/>
    </row>
    <row r="226" ht="15.75" customHeight="1">
      <c r="A226" s="114"/>
      <c r="B226" s="114"/>
      <c r="AF226" s="141"/>
    </row>
    <row r="227" ht="15.75" customHeight="1">
      <c r="A227" s="114"/>
      <c r="B227" s="114"/>
      <c r="AF227" s="141"/>
    </row>
    <row r="228" ht="15.75" customHeight="1">
      <c r="A228" s="114"/>
      <c r="B228" s="114"/>
      <c r="AF228" s="141"/>
    </row>
    <row r="229" ht="15.75" customHeight="1">
      <c r="A229" s="114"/>
      <c r="B229" s="114"/>
      <c r="AF229" s="141"/>
    </row>
    <row r="230" ht="15.75" customHeight="1">
      <c r="A230" s="114"/>
      <c r="B230" s="114"/>
      <c r="AF230" s="141"/>
    </row>
    <row r="231" ht="15.75" customHeight="1">
      <c r="A231" s="114"/>
      <c r="B231" s="114"/>
      <c r="AF231" s="141"/>
    </row>
    <row r="232" ht="15.75" customHeight="1">
      <c r="A232" s="114"/>
      <c r="B232" s="114"/>
      <c r="AF232" s="141"/>
    </row>
    <row r="233" ht="15.75" customHeight="1">
      <c r="A233" s="114"/>
      <c r="B233" s="114"/>
      <c r="AF233" s="141"/>
    </row>
    <row r="234" ht="15.75" customHeight="1">
      <c r="A234" s="114"/>
      <c r="B234" s="114"/>
      <c r="AF234" s="141"/>
    </row>
    <row r="235" ht="15.75" customHeight="1">
      <c r="A235" s="114"/>
      <c r="B235" s="114"/>
      <c r="AF235" s="141"/>
    </row>
    <row r="236" ht="15.75" customHeight="1">
      <c r="A236" s="114"/>
      <c r="B236" s="114"/>
      <c r="AF236" s="141"/>
    </row>
    <row r="237" ht="15.75" customHeight="1">
      <c r="A237" s="114"/>
      <c r="B237" s="114"/>
      <c r="AF237" s="141"/>
    </row>
    <row r="238" ht="15.75" customHeight="1">
      <c r="A238" s="114"/>
      <c r="B238" s="114"/>
      <c r="AF238" s="141"/>
    </row>
    <row r="239" ht="15.75" customHeight="1">
      <c r="A239" s="114"/>
      <c r="B239" s="114"/>
      <c r="AF239" s="141"/>
    </row>
    <row r="240" ht="15.75" customHeight="1">
      <c r="A240" s="114"/>
      <c r="B240" s="114"/>
      <c r="AF240" s="141"/>
    </row>
    <row r="241" ht="15.75" customHeight="1">
      <c r="A241" s="114"/>
      <c r="B241" s="114"/>
      <c r="AF241" s="141"/>
    </row>
    <row r="242" ht="15.75" customHeight="1">
      <c r="A242" s="114"/>
      <c r="B242" s="114"/>
      <c r="AF242" s="141"/>
    </row>
    <row r="243" ht="15.75" customHeight="1">
      <c r="A243" s="114"/>
      <c r="B243" s="114"/>
      <c r="AF243" s="141"/>
    </row>
    <row r="244" ht="15.75" customHeight="1">
      <c r="A244" s="114"/>
      <c r="B244" s="114"/>
      <c r="AF244" s="141"/>
    </row>
    <row r="245" ht="15.75" customHeight="1">
      <c r="A245" s="114"/>
      <c r="B245" s="114"/>
      <c r="AF245" s="141"/>
    </row>
    <row r="246" ht="15.75" customHeight="1">
      <c r="A246" s="114"/>
      <c r="B246" s="114"/>
      <c r="AF246" s="141"/>
    </row>
    <row r="247" ht="15.75" customHeight="1">
      <c r="A247" s="114"/>
      <c r="B247" s="114"/>
      <c r="AF247" s="141"/>
    </row>
    <row r="248" ht="15.75" customHeight="1">
      <c r="A248" s="114"/>
      <c r="B248" s="114"/>
      <c r="AF248" s="141"/>
    </row>
    <row r="249" ht="15.75" customHeight="1">
      <c r="A249" s="114"/>
      <c r="B249" s="114"/>
      <c r="AF249" s="141"/>
    </row>
    <row r="250" ht="15.75" customHeight="1">
      <c r="A250" s="114"/>
      <c r="B250" s="114"/>
      <c r="AF250" s="141"/>
    </row>
    <row r="251" ht="15.75" customHeight="1">
      <c r="A251" s="114"/>
      <c r="B251" s="114"/>
      <c r="AF251" s="141"/>
    </row>
    <row r="252" ht="15.75" customHeight="1">
      <c r="A252" s="114"/>
      <c r="B252" s="114"/>
      <c r="AF252" s="141"/>
    </row>
    <row r="253" ht="15.75" customHeight="1">
      <c r="A253" s="114"/>
      <c r="B253" s="114"/>
      <c r="AF253" s="141"/>
    </row>
    <row r="254" ht="15.75" customHeight="1">
      <c r="A254" s="114"/>
      <c r="B254" s="114"/>
      <c r="AF254" s="141"/>
    </row>
    <row r="255" ht="15.75" customHeight="1">
      <c r="A255" s="114"/>
      <c r="B255" s="114"/>
      <c r="AF255" s="141"/>
    </row>
    <row r="256" ht="15.75" customHeight="1">
      <c r="A256" s="114"/>
      <c r="B256" s="114"/>
      <c r="AF256" s="141"/>
    </row>
    <row r="257" ht="15.75" customHeight="1">
      <c r="A257" s="114"/>
      <c r="B257" s="114"/>
      <c r="AF257" s="141"/>
    </row>
    <row r="258" ht="15.75" customHeight="1">
      <c r="A258" s="114"/>
      <c r="B258" s="114"/>
      <c r="AF258" s="141"/>
    </row>
    <row r="259" ht="15.75" customHeight="1">
      <c r="A259" s="114"/>
      <c r="B259" s="114"/>
      <c r="AF259" s="141"/>
    </row>
    <row r="260" ht="15.75" customHeight="1">
      <c r="A260" s="114"/>
      <c r="B260" s="114"/>
      <c r="AF260" s="141"/>
    </row>
    <row r="261" ht="15.75" customHeight="1">
      <c r="A261" s="114"/>
      <c r="B261" s="114"/>
      <c r="AF261" s="141"/>
    </row>
    <row r="262" ht="15.75" customHeight="1">
      <c r="A262" s="114"/>
      <c r="B262" s="114"/>
      <c r="AF262" s="141"/>
    </row>
    <row r="263" ht="15.75" customHeight="1">
      <c r="A263" s="114"/>
      <c r="B263" s="114"/>
      <c r="AF263" s="141"/>
    </row>
    <row r="264" ht="15.75" customHeight="1">
      <c r="A264" s="114"/>
      <c r="B264" s="114"/>
      <c r="AF264" s="141"/>
    </row>
    <row r="265" ht="15.75" customHeight="1">
      <c r="A265" s="114"/>
      <c r="B265" s="114"/>
      <c r="AF265" s="141"/>
    </row>
    <row r="266" ht="15.75" customHeight="1">
      <c r="A266" s="114"/>
      <c r="B266" s="114"/>
      <c r="AF266" s="141"/>
    </row>
    <row r="267" ht="15.75" customHeight="1">
      <c r="A267" s="114"/>
      <c r="B267" s="114"/>
      <c r="AF267" s="141"/>
    </row>
    <row r="268" ht="15.75" customHeight="1">
      <c r="A268" s="114"/>
      <c r="B268" s="114"/>
      <c r="AF268" s="141"/>
    </row>
    <row r="269" ht="15.75" customHeight="1">
      <c r="A269" s="114"/>
      <c r="B269" s="114"/>
      <c r="AF269" s="141"/>
    </row>
    <row r="270" ht="15.75" customHeight="1">
      <c r="A270" s="114"/>
      <c r="B270" s="114"/>
      <c r="AF270" s="141"/>
    </row>
    <row r="271" ht="15.75" customHeight="1">
      <c r="A271" s="114"/>
      <c r="B271" s="114"/>
      <c r="AF271" s="141"/>
    </row>
    <row r="272" ht="15.75" customHeight="1">
      <c r="A272" s="114"/>
      <c r="B272" s="114"/>
      <c r="AF272" s="141"/>
    </row>
    <row r="273" ht="15.75" customHeight="1">
      <c r="A273" s="114"/>
      <c r="B273" s="114"/>
      <c r="AF273" s="141"/>
    </row>
    <row r="274" ht="15.75" customHeight="1">
      <c r="A274" s="114"/>
      <c r="B274" s="114"/>
      <c r="AF274" s="141"/>
    </row>
    <row r="275" ht="15.75" customHeight="1">
      <c r="A275" s="114"/>
      <c r="B275" s="114"/>
      <c r="AF275" s="141"/>
    </row>
    <row r="276" ht="15.75" customHeight="1">
      <c r="A276" s="114"/>
      <c r="B276" s="114"/>
      <c r="AF276" s="141"/>
    </row>
    <row r="277" ht="15.75" customHeight="1">
      <c r="A277" s="114"/>
      <c r="B277" s="114"/>
      <c r="AF277" s="141"/>
    </row>
    <row r="278" ht="15.75" customHeight="1">
      <c r="A278" s="114"/>
      <c r="B278" s="114"/>
      <c r="AF278" s="141"/>
    </row>
    <row r="279" ht="15.75" customHeight="1">
      <c r="A279" s="114"/>
      <c r="B279" s="114"/>
      <c r="AF279" s="141"/>
    </row>
    <row r="280" ht="15.75" customHeight="1">
      <c r="A280" s="114"/>
      <c r="B280" s="114"/>
      <c r="AF280" s="141"/>
    </row>
    <row r="281" ht="15.75" customHeight="1">
      <c r="A281" s="114"/>
      <c r="B281" s="114"/>
      <c r="AF281" s="141"/>
    </row>
    <row r="282" ht="15.75" customHeight="1">
      <c r="A282" s="114"/>
      <c r="B282" s="114"/>
      <c r="AF282" s="141"/>
    </row>
    <row r="283" ht="15.75" customHeight="1">
      <c r="A283" s="114"/>
      <c r="B283" s="114"/>
      <c r="AF283" s="141"/>
    </row>
    <row r="284" ht="15.75" customHeight="1">
      <c r="A284" s="114"/>
      <c r="B284" s="114"/>
      <c r="AF284" s="141"/>
    </row>
    <row r="285" ht="15.75" customHeight="1">
      <c r="A285" s="114"/>
      <c r="B285" s="114"/>
      <c r="AF285" s="141"/>
    </row>
    <row r="286" ht="15.75" customHeight="1">
      <c r="A286" s="114"/>
      <c r="B286" s="114"/>
      <c r="AF286" s="141"/>
    </row>
    <row r="287" ht="15.75" customHeight="1">
      <c r="A287" s="114"/>
      <c r="B287" s="114"/>
      <c r="AF287" s="141"/>
    </row>
    <row r="288" ht="15.75" customHeight="1">
      <c r="A288" s="114"/>
      <c r="B288" s="114"/>
      <c r="AF288" s="141"/>
    </row>
    <row r="289" ht="15.75" customHeight="1">
      <c r="A289" s="114"/>
      <c r="B289" s="114"/>
      <c r="AF289" s="141"/>
    </row>
    <row r="290" ht="15.75" customHeight="1">
      <c r="A290" s="114"/>
      <c r="B290" s="114"/>
      <c r="AF290" s="141"/>
    </row>
    <row r="291" ht="15.75" customHeight="1">
      <c r="A291" s="114"/>
      <c r="B291" s="114"/>
      <c r="AF291" s="141"/>
    </row>
    <row r="292" ht="15.75" customHeight="1">
      <c r="A292" s="114"/>
      <c r="B292" s="114"/>
      <c r="AF292" s="141"/>
    </row>
    <row r="293" ht="15.75" customHeight="1">
      <c r="A293" s="114"/>
      <c r="B293" s="114"/>
      <c r="AF293" s="141"/>
    </row>
    <row r="294" ht="15.75" customHeight="1">
      <c r="A294" s="114"/>
      <c r="B294" s="114"/>
      <c r="AF294" s="141"/>
    </row>
    <row r="295" ht="15.75" customHeight="1">
      <c r="A295" s="114"/>
      <c r="B295" s="114"/>
      <c r="AF295" s="141"/>
    </row>
    <row r="296" ht="15.75" customHeight="1">
      <c r="A296" s="114"/>
      <c r="B296" s="114"/>
      <c r="AF296" s="141"/>
    </row>
    <row r="297" ht="15.75" customHeight="1">
      <c r="A297" s="114"/>
      <c r="B297" s="114"/>
      <c r="AF297" s="141"/>
    </row>
    <row r="298" ht="15.75" customHeight="1">
      <c r="A298" s="114"/>
      <c r="B298" s="114"/>
      <c r="AF298" s="141"/>
    </row>
    <row r="299" ht="15.75" customHeight="1">
      <c r="A299" s="114"/>
      <c r="B299" s="114"/>
      <c r="AF299" s="141"/>
    </row>
    <row r="300" ht="15.75" customHeight="1">
      <c r="A300" s="114"/>
      <c r="B300" s="114"/>
      <c r="AF300" s="141"/>
    </row>
    <row r="301" ht="15.75" customHeight="1">
      <c r="A301" s="114"/>
      <c r="B301" s="114"/>
      <c r="AF301" s="141"/>
    </row>
    <row r="302" ht="15.75" customHeight="1">
      <c r="A302" s="114"/>
      <c r="B302" s="114"/>
      <c r="AF302" s="141"/>
    </row>
    <row r="303" ht="15.75" customHeight="1">
      <c r="A303" s="114"/>
      <c r="B303" s="114"/>
      <c r="AF303" s="141"/>
    </row>
    <row r="304" ht="15.75" customHeight="1">
      <c r="A304" s="114"/>
      <c r="B304" s="114"/>
      <c r="AF304" s="141"/>
    </row>
    <row r="305" ht="15.75" customHeight="1">
      <c r="A305" s="114"/>
      <c r="B305" s="114"/>
      <c r="AF305" s="141"/>
    </row>
    <row r="306" ht="15.75" customHeight="1">
      <c r="A306" s="114"/>
      <c r="B306" s="114"/>
      <c r="AF306" s="141"/>
    </row>
    <row r="307" ht="15.75" customHeight="1">
      <c r="A307" s="114"/>
      <c r="B307" s="114"/>
      <c r="AF307" s="141"/>
    </row>
    <row r="308" ht="15.75" customHeight="1">
      <c r="A308" s="114"/>
      <c r="B308" s="114"/>
      <c r="AF308" s="141"/>
    </row>
    <row r="309" ht="15.75" customHeight="1">
      <c r="A309" s="114"/>
      <c r="B309" s="114"/>
      <c r="AF309" s="141"/>
    </row>
    <row r="310" ht="15.75" customHeight="1">
      <c r="A310" s="114"/>
      <c r="B310" s="114"/>
      <c r="AF310" s="141"/>
    </row>
    <row r="311" ht="15.75" customHeight="1">
      <c r="A311" s="114"/>
      <c r="B311" s="114"/>
      <c r="AF311" s="141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45808.0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  <c r="AF1" s="141"/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42"/>
      <c r="AG2" s="114"/>
      <c r="AH2" s="114"/>
      <c r="AI2" s="114"/>
      <c r="AJ2" s="114"/>
    </row>
    <row r="3" ht="22.5" customHeight="1">
      <c r="A3" s="1" t="s">
        <v>2</v>
      </c>
      <c r="B3" s="1"/>
      <c r="C3" s="134">
        <f>'R7.4'!AC3</f>
        <v>0</v>
      </c>
      <c r="D3" s="116"/>
      <c r="E3" s="116"/>
      <c r="F3" s="116"/>
      <c r="G3" s="116"/>
      <c r="H3" s="117"/>
      <c r="I3" s="118"/>
      <c r="J3" s="119"/>
      <c r="K3" s="117"/>
      <c r="L3" s="117"/>
      <c r="M3" s="120"/>
      <c r="N3" s="117"/>
      <c r="O3" s="117"/>
      <c r="P3" s="117"/>
      <c r="Q3" s="117"/>
      <c r="R3" s="119"/>
      <c r="S3" s="119"/>
      <c r="T3" s="119"/>
      <c r="U3" s="119"/>
      <c r="V3" s="119"/>
      <c r="W3" s="122">
        <f t="shared" ref="W3:W6" si="1">SUM(D3:V3)</f>
        <v>0</v>
      </c>
      <c r="X3" s="123"/>
      <c r="Y3" s="123"/>
      <c r="Z3" s="120">
        <f t="shared" ref="Z3:Z110" si="2">SUM(W3:Y3)</f>
        <v>0</v>
      </c>
      <c r="AA3" s="124"/>
      <c r="AB3" s="63" t="s">
        <v>128</v>
      </c>
      <c r="AC3" s="125">
        <f t="shared" ref="AC3:AC109" si="3">C3-M3</f>
        <v>0</v>
      </c>
      <c r="AF3" s="141"/>
    </row>
    <row r="4" ht="22.5" customHeight="1">
      <c r="A4" s="1" t="s">
        <v>4</v>
      </c>
      <c r="B4" s="1"/>
      <c r="C4" s="134">
        <f>'R7.4'!AC4</f>
        <v>0</v>
      </c>
      <c r="D4" s="116"/>
      <c r="E4" s="116"/>
      <c r="F4" s="116"/>
      <c r="G4" s="116"/>
      <c r="H4" s="117"/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2">
        <f t="shared" si="1"/>
        <v>0</v>
      </c>
      <c r="X4" s="123"/>
      <c r="Y4" s="123"/>
      <c r="Z4" s="120">
        <f t="shared" si="2"/>
        <v>0</v>
      </c>
      <c r="AA4" s="124" t="s">
        <v>129</v>
      </c>
      <c r="AB4" s="107" t="s">
        <v>128</v>
      </c>
      <c r="AC4" s="125">
        <f t="shared" si="3"/>
        <v>0</v>
      </c>
      <c r="AF4" s="141"/>
    </row>
    <row r="5" ht="22.5" customHeight="1">
      <c r="A5" s="1" t="s">
        <v>6</v>
      </c>
      <c r="B5" s="1"/>
      <c r="C5" s="134">
        <f>'R7.4'!AC5</f>
        <v>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0</v>
      </c>
      <c r="AF5" s="141"/>
    </row>
    <row r="6" ht="22.5" customHeight="1">
      <c r="A6" s="1" t="s">
        <v>7</v>
      </c>
      <c r="B6" s="1"/>
      <c r="C6" s="134">
        <f>'R7.4'!AC6</f>
        <v>0</v>
      </c>
      <c r="D6" s="116"/>
      <c r="E6" s="116"/>
      <c r="F6" s="116"/>
      <c r="G6" s="116"/>
      <c r="H6" s="117"/>
      <c r="I6" s="117"/>
      <c r="J6" s="119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2">
        <f t="shared" si="1"/>
        <v>0</v>
      </c>
      <c r="X6" s="123"/>
      <c r="Y6" s="123"/>
      <c r="Z6" s="120">
        <f t="shared" si="2"/>
        <v>0</v>
      </c>
      <c r="AA6" s="124" t="s">
        <v>129</v>
      </c>
      <c r="AB6" s="63" t="s">
        <v>128</v>
      </c>
      <c r="AC6" s="125">
        <f t="shared" si="3"/>
        <v>0</v>
      </c>
      <c r="AF6" s="141"/>
    </row>
    <row r="7" ht="22.5" customHeight="1">
      <c r="A7" s="1" t="s">
        <v>9</v>
      </c>
      <c r="B7" s="1" t="s">
        <v>10</v>
      </c>
      <c r="C7" s="134">
        <f>'R7.4'!AC7</f>
        <v>90000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0.0</v>
      </c>
      <c r="I7" s="117">
        <v>42130.0</v>
      </c>
      <c r="J7" s="127"/>
      <c r="K7" s="117"/>
      <c r="L7" s="117"/>
      <c r="M7" s="117">
        <v>10000.0</v>
      </c>
      <c r="N7" s="117"/>
      <c r="O7" s="117"/>
      <c r="P7" s="117"/>
      <c r="Q7" s="117"/>
      <c r="R7" s="117"/>
      <c r="S7" s="117">
        <v>5870.0</v>
      </c>
      <c r="T7" s="117"/>
      <c r="U7" s="117"/>
      <c r="V7" s="119">
        <f>'R7.4'!AE7</f>
        <v>50000</v>
      </c>
      <c r="W7" s="122">
        <f>SUM(D7:U7)-V7</f>
        <v>60000</v>
      </c>
      <c r="X7" s="116"/>
      <c r="Y7" s="128"/>
      <c r="Z7" s="120">
        <f t="shared" si="2"/>
        <v>60000</v>
      </c>
      <c r="AA7" s="124">
        <v>110000.0</v>
      </c>
      <c r="AB7" s="63" t="s">
        <v>128</v>
      </c>
      <c r="AC7" s="125">
        <f t="shared" si="3"/>
        <v>80000</v>
      </c>
      <c r="AD7" s="63">
        <v>90000.0</v>
      </c>
      <c r="AE7" s="124">
        <f>AD7-Z7</f>
        <v>30000</v>
      </c>
      <c r="AF7" s="141">
        <v>45894.0</v>
      </c>
    </row>
    <row r="8" ht="22.5" customHeight="1">
      <c r="A8" s="1" t="s">
        <v>11</v>
      </c>
      <c r="B8" s="1"/>
      <c r="C8" s="134">
        <f>'R7.4'!AC8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  <c r="AF8" s="141"/>
    </row>
    <row r="9" ht="22.5" customHeight="1">
      <c r="A9" s="1" t="s">
        <v>12</v>
      </c>
      <c r="B9" s="1"/>
      <c r="C9" s="134">
        <f>'R7.4'!AC9</f>
        <v>0</v>
      </c>
      <c r="D9" s="116"/>
      <c r="E9" s="116"/>
      <c r="F9" s="116"/>
      <c r="G9" s="116"/>
      <c r="H9" s="117"/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2">
        <f t="shared" si="4"/>
        <v>0</v>
      </c>
      <c r="X9" s="123"/>
      <c r="Y9" s="123"/>
      <c r="Z9" s="120">
        <f t="shared" si="2"/>
        <v>0</v>
      </c>
      <c r="AA9" s="124" t="s">
        <v>129</v>
      </c>
      <c r="AB9" s="63" t="s">
        <v>128</v>
      </c>
      <c r="AC9" s="125">
        <f t="shared" si="3"/>
        <v>0</v>
      </c>
      <c r="AF9" s="141"/>
    </row>
    <row r="10" ht="22.5" customHeight="1">
      <c r="A10" s="1" t="s">
        <v>14</v>
      </c>
      <c r="B10" s="1"/>
      <c r="C10" s="134">
        <f>'R7.4'!AC10</f>
        <v>0</v>
      </c>
      <c r="D10" s="116"/>
      <c r="E10" s="116"/>
      <c r="F10" s="116"/>
      <c r="G10" s="116"/>
      <c r="H10" s="117"/>
      <c r="I10" s="117"/>
      <c r="J10" s="119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22">
        <f t="shared" si="4"/>
        <v>0</v>
      </c>
      <c r="X10" s="129"/>
      <c r="Y10" s="129"/>
      <c r="Z10" s="120">
        <f t="shared" si="2"/>
        <v>0</v>
      </c>
      <c r="AA10" s="124" t="s">
        <v>129</v>
      </c>
      <c r="AB10" s="63" t="s">
        <v>128</v>
      </c>
      <c r="AC10" s="125">
        <f t="shared" si="3"/>
        <v>0</v>
      </c>
      <c r="AF10" s="141"/>
    </row>
    <row r="11" ht="22.5" customHeight="1">
      <c r="A11" s="1" t="s">
        <v>16</v>
      </c>
      <c r="B11" s="1"/>
      <c r="C11" s="134">
        <f>'R7.4'!AC11</f>
        <v>0</v>
      </c>
      <c r="D11" s="116"/>
      <c r="E11" s="116"/>
      <c r="F11" s="116"/>
      <c r="G11" s="116"/>
      <c r="H11" s="117"/>
      <c r="I11" s="117"/>
      <c r="J11" s="119"/>
      <c r="K11" s="117"/>
      <c r="L11" s="117"/>
      <c r="M11" s="130"/>
      <c r="N11" s="117"/>
      <c r="O11" s="117"/>
      <c r="P11" s="117"/>
      <c r="Q11" s="117"/>
      <c r="R11" s="117"/>
      <c r="S11" s="120"/>
      <c r="T11" s="117"/>
      <c r="U11" s="117"/>
      <c r="V11" s="117"/>
      <c r="W11" s="122">
        <f t="shared" si="4"/>
        <v>0</v>
      </c>
      <c r="X11" s="123"/>
      <c r="Y11" s="123"/>
      <c r="Z11" s="120">
        <f t="shared" si="2"/>
        <v>0</v>
      </c>
      <c r="AA11" s="131"/>
      <c r="AB11" s="63" t="s">
        <v>128</v>
      </c>
      <c r="AC11" s="125">
        <f t="shared" si="3"/>
        <v>0</v>
      </c>
      <c r="AF11" s="141"/>
    </row>
    <row r="12" ht="22.5" customHeight="1">
      <c r="A12" s="1" t="s">
        <v>18</v>
      </c>
      <c r="B12" s="1"/>
      <c r="C12" s="134">
        <f>'R7.4'!AC12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  <c r="AF12" s="141"/>
    </row>
    <row r="13" ht="22.5" customHeight="1">
      <c r="A13" s="1"/>
      <c r="B13" s="3"/>
      <c r="C13" s="140"/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  <c r="AF13" s="141"/>
    </row>
    <row r="14" ht="22.5" customHeight="1">
      <c r="A14" s="1"/>
      <c r="B14" s="3"/>
      <c r="C14" s="140"/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43"/>
      <c r="AG14" s="133"/>
      <c r="AH14" s="133"/>
      <c r="AI14" s="133"/>
      <c r="AJ14" s="133"/>
    </row>
    <row r="15" ht="22.5" customHeight="1">
      <c r="A15" s="1"/>
      <c r="B15" s="3"/>
      <c r="C15" s="140"/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43"/>
      <c r="AG15" s="133"/>
      <c r="AH15" s="133"/>
      <c r="AI15" s="133"/>
      <c r="AJ15" s="133"/>
    </row>
    <row r="16" ht="22.5" customHeight="1">
      <c r="A16" s="1"/>
      <c r="B16" s="3"/>
      <c r="C16" s="140"/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43"/>
      <c r="AG16" s="133"/>
      <c r="AH16" s="133"/>
      <c r="AI16" s="133"/>
      <c r="AJ16" s="133"/>
    </row>
    <row r="17" ht="22.5" customHeight="1">
      <c r="A17" s="3"/>
      <c r="B17" s="3"/>
      <c r="C17" s="140"/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43"/>
      <c r="AG17" s="133"/>
      <c r="AH17" s="133"/>
      <c r="AI17" s="133"/>
      <c r="AJ17" s="133"/>
    </row>
    <row r="18" ht="22.5" customHeight="1">
      <c r="A18" s="3"/>
      <c r="B18" s="3"/>
      <c r="C18" s="140"/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43"/>
      <c r="AG18" s="133"/>
      <c r="AH18" s="133"/>
      <c r="AI18" s="133"/>
      <c r="AJ18" s="133"/>
    </row>
    <row r="19" ht="22.5" customHeight="1">
      <c r="A19" s="3"/>
      <c r="B19" s="3"/>
      <c r="C19" s="140"/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43"/>
      <c r="AG19" s="133"/>
      <c r="AH19" s="133"/>
      <c r="AI19" s="133"/>
      <c r="AJ19" s="133"/>
    </row>
    <row r="20" ht="22.5" customHeight="1">
      <c r="A20" s="3"/>
      <c r="B20" s="3"/>
      <c r="C20" s="140"/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43"/>
      <c r="AG20" s="133"/>
      <c r="AH20" s="133"/>
      <c r="AI20" s="133"/>
      <c r="AJ20" s="133"/>
    </row>
    <row r="21" ht="22.5" customHeight="1">
      <c r="A21" s="3"/>
      <c r="B21" s="3"/>
      <c r="C21" s="140"/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43"/>
      <c r="AG21" s="133"/>
      <c r="AH21" s="133"/>
      <c r="AI21" s="133"/>
      <c r="AJ21" s="133"/>
    </row>
    <row r="22" ht="22.5" hidden="1" customHeight="1">
      <c r="A22" s="3"/>
      <c r="B22" s="3"/>
      <c r="C22" s="140"/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43"/>
      <c r="AG22" s="133"/>
      <c r="AH22" s="133"/>
      <c r="AI22" s="133"/>
      <c r="AJ22" s="133"/>
    </row>
    <row r="23" ht="22.5" hidden="1" customHeight="1">
      <c r="A23" s="3"/>
      <c r="B23" s="3"/>
      <c r="C23" s="140"/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43"/>
      <c r="AG23" s="133"/>
      <c r="AH23" s="133"/>
      <c r="AI23" s="133"/>
      <c r="AJ23" s="133"/>
    </row>
    <row r="24" ht="22.5" hidden="1" customHeight="1">
      <c r="A24" s="3"/>
      <c r="B24" s="3"/>
      <c r="C24" s="140"/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43"/>
      <c r="AG24" s="133"/>
      <c r="AH24" s="133"/>
      <c r="AI24" s="133"/>
      <c r="AJ24" s="133"/>
    </row>
    <row r="25" ht="22.5" hidden="1" customHeight="1">
      <c r="A25" s="3"/>
      <c r="B25" s="3"/>
      <c r="C25" s="140"/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43"/>
      <c r="AG25" s="133"/>
      <c r="AH25" s="133"/>
      <c r="AI25" s="133"/>
      <c r="AJ25" s="133"/>
    </row>
    <row r="26" ht="22.5" hidden="1" customHeight="1">
      <c r="A26" s="3"/>
      <c r="B26" s="3"/>
      <c r="C26" s="140"/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43"/>
      <c r="AG26" s="133"/>
      <c r="AH26" s="133"/>
      <c r="AI26" s="133"/>
      <c r="AJ26" s="133"/>
    </row>
    <row r="27" ht="22.5" hidden="1" customHeight="1">
      <c r="A27" s="3"/>
      <c r="B27" s="3"/>
      <c r="C27" s="140"/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43"/>
      <c r="AG27" s="133"/>
      <c r="AH27" s="133"/>
      <c r="AI27" s="133"/>
      <c r="AJ27" s="133"/>
    </row>
    <row r="28" ht="22.5" hidden="1" customHeight="1">
      <c r="A28" s="3"/>
      <c r="B28" s="3"/>
      <c r="C28" s="140"/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43"/>
      <c r="AG28" s="133"/>
      <c r="AH28" s="133"/>
      <c r="AI28" s="133"/>
      <c r="AJ28" s="133"/>
    </row>
    <row r="29" ht="22.5" hidden="1" customHeight="1">
      <c r="A29" s="3"/>
      <c r="B29" s="3"/>
      <c r="C29" s="140"/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43"/>
      <c r="AG29" s="133"/>
      <c r="AH29" s="133"/>
      <c r="AI29" s="133"/>
      <c r="AJ29" s="133"/>
    </row>
    <row r="30" ht="22.5" hidden="1" customHeight="1">
      <c r="A30" s="3"/>
      <c r="B30" s="3"/>
      <c r="C30" s="140"/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43"/>
      <c r="AG30" s="133"/>
      <c r="AH30" s="133"/>
      <c r="AI30" s="133"/>
      <c r="AJ30" s="133"/>
    </row>
    <row r="31" ht="22.5" hidden="1" customHeight="1">
      <c r="A31" s="3"/>
      <c r="B31" s="3"/>
      <c r="C31" s="140"/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43"/>
      <c r="AG31" s="133"/>
      <c r="AH31" s="133"/>
      <c r="AI31" s="133"/>
      <c r="AJ31" s="133"/>
    </row>
    <row r="32" ht="22.5" hidden="1" customHeight="1">
      <c r="A32" s="3"/>
      <c r="B32" s="3"/>
      <c r="C32" s="140"/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43"/>
      <c r="AG32" s="133"/>
      <c r="AH32" s="133"/>
      <c r="AI32" s="133"/>
      <c r="AJ32" s="133"/>
    </row>
    <row r="33" ht="22.5" hidden="1" customHeight="1">
      <c r="A33" s="3"/>
      <c r="B33" s="3"/>
      <c r="C33" s="140"/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43"/>
      <c r="AG33" s="133"/>
      <c r="AH33" s="133"/>
      <c r="AI33" s="133"/>
      <c r="AJ33" s="133"/>
    </row>
    <row r="34" ht="22.5" hidden="1" customHeight="1">
      <c r="A34" s="3"/>
      <c r="B34" s="3"/>
      <c r="C34" s="140"/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43"/>
      <c r="AG34" s="133"/>
      <c r="AH34" s="133"/>
      <c r="AI34" s="133"/>
      <c r="AJ34" s="133"/>
    </row>
    <row r="35" ht="22.5" hidden="1" customHeight="1">
      <c r="A35" s="3"/>
      <c r="B35" s="3"/>
      <c r="C35" s="140"/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43"/>
      <c r="AG35" s="133"/>
      <c r="AH35" s="133"/>
      <c r="AI35" s="133"/>
      <c r="AJ35" s="133"/>
    </row>
    <row r="36" ht="22.5" hidden="1" customHeight="1">
      <c r="A36" s="3"/>
      <c r="B36" s="3"/>
      <c r="C36" s="140"/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43"/>
      <c r="AG36" s="133"/>
      <c r="AH36" s="133"/>
      <c r="AI36" s="133"/>
      <c r="AJ36" s="133"/>
    </row>
    <row r="37" ht="22.5" hidden="1" customHeight="1">
      <c r="A37" s="3"/>
      <c r="B37" s="3"/>
      <c r="C37" s="140"/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43"/>
      <c r="AG37" s="133"/>
      <c r="AH37" s="133"/>
      <c r="AI37" s="133"/>
      <c r="AJ37" s="133"/>
    </row>
    <row r="38" ht="22.5" hidden="1" customHeight="1">
      <c r="A38" s="3"/>
      <c r="B38" s="3"/>
      <c r="C38" s="140"/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43"/>
      <c r="AG38" s="133"/>
      <c r="AH38" s="133"/>
      <c r="AI38" s="133"/>
      <c r="AJ38" s="133"/>
    </row>
    <row r="39" ht="22.5" hidden="1" customHeight="1">
      <c r="A39" s="3"/>
      <c r="B39" s="3"/>
      <c r="C39" s="140"/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43"/>
      <c r="AG39" s="133"/>
      <c r="AH39" s="133"/>
      <c r="AI39" s="133"/>
      <c r="AJ39" s="133"/>
    </row>
    <row r="40" ht="22.5" hidden="1" customHeight="1">
      <c r="A40" s="3"/>
      <c r="B40" s="3"/>
      <c r="C40" s="140"/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43"/>
      <c r="AG40" s="133"/>
      <c r="AH40" s="133"/>
      <c r="AI40" s="133"/>
      <c r="AJ40" s="133"/>
    </row>
    <row r="41" ht="22.5" hidden="1" customHeight="1">
      <c r="A41" s="3"/>
      <c r="B41" s="3"/>
      <c r="C41" s="140"/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43"/>
      <c r="AG41" s="133"/>
      <c r="AH41" s="133"/>
      <c r="AI41" s="133"/>
      <c r="AJ41" s="133"/>
    </row>
    <row r="42" ht="22.5" hidden="1" customHeight="1">
      <c r="A42" s="3"/>
      <c r="B42" s="3"/>
      <c r="C42" s="140"/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43"/>
      <c r="AG42" s="133"/>
      <c r="AH42" s="133"/>
      <c r="AI42" s="133"/>
      <c r="AJ42" s="133"/>
    </row>
    <row r="43" ht="22.5" hidden="1" customHeight="1">
      <c r="A43" s="3"/>
      <c r="B43" s="3"/>
      <c r="C43" s="140"/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43"/>
      <c r="AG43" s="133"/>
      <c r="AH43" s="133"/>
      <c r="AI43" s="133"/>
      <c r="AJ43" s="133"/>
    </row>
    <row r="44" ht="22.5" hidden="1" customHeight="1">
      <c r="A44" s="3"/>
      <c r="B44" s="3"/>
      <c r="C44" s="140"/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43"/>
      <c r="AG44" s="133"/>
      <c r="AH44" s="133"/>
      <c r="AI44" s="133"/>
      <c r="AJ44" s="133"/>
    </row>
    <row r="45" ht="22.5" hidden="1" customHeight="1">
      <c r="A45" s="3"/>
      <c r="B45" s="3"/>
      <c r="C45" s="140"/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43"/>
      <c r="AG45" s="133"/>
      <c r="AH45" s="133"/>
      <c r="AI45" s="133"/>
      <c r="AJ45" s="133"/>
    </row>
    <row r="46" ht="22.5" hidden="1" customHeight="1">
      <c r="A46" s="3"/>
      <c r="B46" s="3"/>
      <c r="C46" s="140"/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43"/>
      <c r="AG46" s="133"/>
      <c r="AH46" s="133"/>
      <c r="AI46" s="133"/>
      <c r="AJ46" s="133"/>
    </row>
    <row r="47" ht="22.5" hidden="1" customHeight="1">
      <c r="A47" s="3"/>
      <c r="B47" s="3"/>
      <c r="C47" s="140"/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43"/>
      <c r="AG47" s="133"/>
      <c r="AH47" s="133"/>
      <c r="AI47" s="133"/>
      <c r="AJ47" s="133"/>
    </row>
    <row r="48" ht="22.5" hidden="1" customHeight="1">
      <c r="A48" s="3"/>
      <c r="B48" s="3"/>
      <c r="C48" s="140"/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43"/>
      <c r="AG48" s="133"/>
      <c r="AH48" s="133"/>
      <c r="AI48" s="133"/>
      <c r="AJ48" s="133"/>
    </row>
    <row r="49" ht="22.5" hidden="1" customHeight="1">
      <c r="A49" s="3"/>
      <c r="B49" s="3"/>
      <c r="C49" s="140"/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43"/>
      <c r="AG49" s="133"/>
      <c r="AH49" s="133"/>
      <c r="AI49" s="133"/>
      <c r="AJ49" s="133"/>
    </row>
    <row r="50" ht="22.5" hidden="1" customHeight="1">
      <c r="A50" s="3"/>
      <c r="B50" s="3"/>
      <c r="C50" s="140"/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43"/>
      <c r="AG50" s="133"/>
      <c r="AH50" s="133"/>
      <c r="AI50" s="133"/>
      <c r="AJ50" s="133"/>
    </row>
    <row r="51" ht="22.5" hidden="1" customHeight="1">
      <c r="A51" s="3"/>
      <c r="B51" s="3"/>
      <c r="C51" s="140"/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43"/>
      <c r="AG51" s="133"/>
      <c r="AH51" s="133"/>
      <c r="AI51" s="133"/>
      <c r="AJ51" s="133"/>
    </row>
    <row r="52" ht="22.5" hidden="1" customHeight="1">
      <c r="A52" s="3"/>
      <c r="B52" s="3"/>
      <c r="C52" s="140"/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43"/>
      <c r="AG52" s="133"/>
      <c r="AH52" s="133"/>
      <c r="AI52" s="133"/>
      <c r="AJ52" s="133"/>
    </row>
    <row r="53" ht="22.5" hidden="1" customHeight="1">
      <c r="A53" s="3"/>
      <c r="B53" s="3"/>
      <c r="C53" s="140"/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43"/>
      <c r="AG53" s="133"/>
      <c r="AH53" s="133"/>
      <c r="AI53" s="133"/>
      <c r="AJ53" s="133"/>
    </row>
    <row r="54" ht="22.5" hidden="1" customHeight="1">
      <c r="A54" s="3"/>
      <c r="B54" s="3"/>
      <c r="C54" s="140"/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43"/>
      <c r="AG54" s="133"/>
      <c r="AH54" s="133"/>
      <c r="AI54" s="133"/>
      <c r="AJ54" s="133"/>
    </row>
    <row r="55" ht="22.5" hidden="1" customHeight="1">
      <c r="A55" s="3"/>
      <c r="B55" s="3"/>
      <c r="C55" s="140"/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43"/>
      <c r="AG55" s="133"/>
      <c r="AH55" s="133"/>
      <c r="AI55" s="133"/>
      <c r="AJ55" s="133"/>
    </row>
    <row r="56" ht="22.5" hidden="1" customHeight="1">
      <c r="A56" s="3"/>
      <c r="B56" s="3"/>
      <c r="C56" s="140"/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43"/>
      <c r="AG56" s="133"/>
      <c r="AH56" s="133"/>
      <c r="AI56" s="133"/>
      <c r="AJ56" s="133"/>
    </row>
    <row r="57" ht="22.5" hidden="1" customHeight="1">
      <c r="A57" s="3"/>
      <c r="B57" s="3"/>
      <c r="C57" s="140"/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43"/>
      <c r="AG57" s="133"/>
      <c r="AH57" s="133"/>
      <c r="AI57" s="133"/>
      <c r="AJ57" s="133"/>
    </row>
    <row r="58" ht="22.5" hidden="1" customHeight="1">
      <c r="A58" s="3"/>
      <c r="B58" s="3"/>
      <c r="C58" s="140"/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43"/>
      <c r="AG58" s="133"/>
      <c r="AH58" s="133"/>
      <c r="AI58" s="133"/>
      <c r="AJ58" s="133"/>
    </row>
    <row r="59" ht="22.5" hidden="1" customHeight="1">
      <c r="A59" s="3"/>
      <c r="B59" s="3"/>
      <c r="C59" s="140"/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43"/>
      <c r="AG59" s="133"/>
      <c r="AH59" s="133"/>
      <c r="AI59" s="133"/>
      <c r="AJ59" s="133"/>
    </row>
    <row r="60" ht="22.5" hidden="1" customHeight="1">
      <c r="A60" s="3"/>
      <c r="B60" s="3"/>
      <c r="C60" s="140"/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43"/>
      <c r="AG60" s="133"/>
      <c r="AH60" s="133"/>
      <c r="AI60" s="133"/>
      <c r="AJ60" s="133"/>
    </row>
    <row r="61" ht="22.5" hidden="1" customHeight="1">
      <c r="A61" s="3"/>
      <c r="B61" s="3"/>
      <c r="C61" s="140"/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43"/>
      <c r="AG61" s="133"/>
      <c r="AH61" s="133"/>
      <c r="AI61" s="133"/>
      <c r="AJ61" s="133"/>
    </row>
    <row r="62" ht="22.5" hidden="1" customHeight="1">
      <c r="A62" s="3"/>
      <c r="B62" s="3"/>
      <c r="C62" s="140"/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43"/>
      <c r="AG62" s="133"/>
      <c r="AH62" s="133"/>
      <c r="AI62" s="133"/>
      <c r="AJ62" s="133"/>
    </row>
    <row r="63" ht="22.5" hidden="1" customHeight="1">
      <c r="A63" s="3"/>
      <c r="B63" s="3"/>
      <c r="C63" s="140"/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43"/>
      <c r="AG63" s="133"/>
      <c r="AH63" s="133"/>
      <c r="AI63" s="133"/>
      <c r="AJ63" s="133"/>
    </row>
    <row r="64" ht="22.5" hidden="1" customHeight="1">
      <c r="A64" s="3"/>
      <c r="B64" s="3"/>
      <c r="C64" s="140"/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43"/>
      <c r="AG64" s="133"/>
      <c r="AH64" s="133"/>
      <c r="AI64" s="133"/>
      <c r="AJ64" s="133"/>
    </row>
    <row r="65" ht="22.5" hidden="1" customHeight="1">
      <c r="A65" s="3"/>
      <c r="B65" s="3"/>
      <c r="C65" s="140"/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43"/>
      <c r="AG65" s="133"/>
      <c r="AH65" s="133"/>
      <c r="AI65" s="133"/>
      <c r="AJ65" s="133"/>
    </row>
    <row r="66" ht="22.5" hidden="1" customHeight="1">
      <c r="A66" s="3"/>
      <c r="B66" s="3"/>
      <c r="C66" s="140"/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43"/>
      <c r="AG66" s="133"/>
      <c r="AH66" s="133"/>
      <c r="AI66" s="133"/>
      <c r="AJ66" s="133"/>
    </row>
    <row r="67" ht="22.5" hidden="1" customHeight="1">
      <c r="A67" s="3"/>
      <c r="B67" s="3"/>
      <c r="C67" s="140"/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43"/>
      <c r="AG67" s="133"/>
      <c r="AH67" s="133"/>
      <c r="AI67" s="133"/>
      <c r="AJ67" s="133"/>
    </row>
    <row r="68" ht="22.5" hidden="1" customHeight="1">
      <c r="A68" s="3"/>
      <c r="B68" s="3"/>
      <c r="C68" s="140"/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43"/>
      <c r="AG68" s="133"/>
      <c r="AH68" s="133"/>
      <c r="AI68" s="133"/>
      <c r="AJ68" s="133"/>
    </row>
    <row r="69" ht="22.5" hidden="1" customHeight="1">
      <c r="A69" s="3"/>
      <c r="B69" s="3"/>
      <c r="C69" s="140"/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43"/>
      <c r="AG69" s="133"/>
      <c r="AH69" s="133"/>
      <c r="AI69" s="133"/>
      <c r="AJ69" s="133"/>
    </row>
    <row r="70" ht="22.5" hidden="1" customHeight="1">
      <c r="A70" s="3"/>
      <c r="B70" s="3"/>
      <c r="C70" s="140"/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43"/>
      <c r="AG70" s="133"/>
      <c r="AH70" s="133"/>
      <c r="AI70" s="133"/>
      <c r="AJ70" s="133"/>
    </row>
    <row r="71" ht="22.5" hidden="1" customHeight="1">
      <c r="A71" s="3"/>
      <c r="B71" s="3"/>
      <c r="C71" s="140"/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43"/>
      <c r="AG71" s="133"/>
      <c r="AH71" s="133"/>
      <c r="AI71" s="133"/>
      <c r="AJ71" s="133"/>
    </row>
    <row r="72" ht="22.5" hidden="1" customHeight="1">
      <c r="A72" s="3"/>
      <c r="B72" s="3"/>
      <c r="C72" s="140"/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43"/>
      <c r="AG72" s="133"/>
      <c r="AH72" s="133"/>
      <c r="AI72" s="133"/>
      <c r="AJ72" s="133"/>
    </row>
    <row r="73" ht="22.5" hidden="1" customHeight="1">
      <c r="A73" s="3"/>
      <c r="B73" s="3"/>
      <c r="C73" s="140"/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43"/>
      <c r="AG73" s="133"/>
      <c r="AH73" s="133"/>
      <c r="AI73" s="133"/>
      <c r="AJ73" s="133"/>
    </row>
    <row r="74" ht="22.5" hidden="1" customHeight="1">
      <c r="A74" s="3"/>
      <c r="B74" s="3"/>
      <c r="C74" s="140"/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43"/>
      <c r="AG74" s="133"/>
      <c r="AH74" s="133"/>
      <c r="AI74" s="133"/>
      <c r="AJ74" s="133"/>
    </row>
    <row r="75" ht="22.5" hidden="1" customHeight="1">
      <c r="A75" s="3"/>
      <c r="B75" s="3"/>
      <c r="C75" s="140"/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43"/>
      <c r="AG75" s="133"/>
      <c r="AH75" s="133"/>
      <c r="AI75" s="133"/>
      <c r="AJ75" s="133"/>
    </row>
    <row r="76" ht="22.5" hidden="1" customHeight="1">
      <c r="A76" s="3"/>
      <c r="B76" s="3"/>
      <c r="C76" s="140"/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43"/>
      <c r="AG76" s="133"/>
      <c r="AH76" s="133"/>
      <c r="AI76" s="133"/>
      <c r="AJ76" s="133"/>
    </row>
    <row r="77" ht="22.5" hidden="1" customHeight="1">
      <c r="A77" s="3"/>
      <c r="B77" s="3"/>
      <c r="C77" s="140"/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43"/>
      <c r="AG77" s="133"/>
      <c r="AH77" s="133"/>
      <c r="AI77" s="133"/>
      <c r="AJ77" s="133"/>
    </row>
    <row r="78" ht="22.5" hidden="1" customHeight="1">
      <c r="A78" s="3"/>
      <c r="B78" s="3"/>
      <c r="C78" s="140"/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43"/>
      <c r="AG78" s="133"/>
      <c r="AH78" s="133"/>
      <c r="AI78" s="133"/>
      <c r="AJ78" s="133"/>
    </row>
    <row r="79" ht="22.5" hidden="1" customHeight="1">
      <c r="A79" s="3"/>
      <c r="B79" s="3"/>
      <c r="C79" s="140"/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43"/>
      <c r="AG79" s="133"/>
      <c r="AH79" s="133"/>
      <c r="AI79" s="133"/>
      <c r="AJ79" s="133"/>
    </row>
    <row r="80" ht="22.5" hidden="1" customHeight="1">
      <c r="A80" s="3"/>
      <c r="B80" s="3"/>
      <c r="C80" s="140"/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43"/>
      <c r="AG80" s="133"/>
      <c r="AH80" s="133"/>
      <c r="AI80" s="133"/>
      <c r="AJ80" s="133"/>
    </row>
    <row r="81" ht="22.5" hidden="1" customHeight="1">
      <c r="A81" s="3"/>
      <c r="B81" s="3"/>
      <c r="C81" s="140"/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43"/>
      <c r="AG81" s="133"/>
      <c r="AH81" s="133"/>
      <c r="AI81" s="133"/>
      <c r="AJ81" s="133"/>
    </row>
    <row r="82" ht="22.5" hidden="1" customHeight="1">
      <c r="A82" s="3"/>
      <c r="B82" s="3"/>
      <c r="C82" s="140"/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43"/>
      <c r="AG82" s="133"/>
      <c r="AH82" s="133"/>
      <c r="AI82" s="133"/>
      <c r="AJ82" s="133"/>
    </row>
    <row r="83" ht="22.5" hidden="1" customHeight="1">
      <c r="A83" s="3"/>
      <c r="B83" s="3"/>
      <c r="C83" s="140"/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43"/>
      <c r="AG83" s="133"/>
      <c r="AH83" s="133"/>
      <c r="AI83" s="133"/>
      <c r="AJ83" s="133"/>
    </row>
    <row r="84" ht="22.5" hidden="1" customHeight="1">
      <c r="A84" s="3"/>
      <c r="B84" s="3"/>
      <c r="C84" s="140"/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43"/>
      <c r="AG84" s="133"/>
      <c r="AH84" s="133"/>
      <c r="AI84" s="133"/>
      <c r="AJ84" s="133"/>
    </row>
    <row r="85" ht="22.5" hidden="1" customHeight="1">
      <c r="A85" s="3"/>
      <c r="B85" s="3"/>
      <c r="C85" s="140"/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43"/>
      <c r="AG85" s="133"/>
      <c r="AH85" s="133"/>
      <c r="AI85" s="133"/>
      <c r="AJ85" s="133"/>
    </row>
    <row r="86" ht="22.5" hidden="1" customHeight="1">
      <c r="A86" s="3"/>
      <c r="B86" s="3"/>
      <c r="C86" s="140"/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43"/>
      <c r="AG86" s="133"/>
      <c r="AH86" s="133"/>
      <c r="AI86" s="133"/>
      <c r="AJ86" s="133"/>
    </row>
    <row r="87" ht="22.5" hidden="1" customHeight="1">
      <c r="A87" s="3"/>
      <c r="B87" s="3"/>
      <c r="C87" s="140"/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43"/>
      <c r="AG87" s="133"/>
      <c r="AH87" s="133"/>
      <c r="AI87" s="133"/>
      <c r="AJ87" s="133"/>
    </row>
    <row r="88" ht="22.5" hidden="1" customHeight="1">
      <c r="A88" s="3"/>
      <c r="B88" s="3"/>
      <c r="C88" s="140"/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43"/>
      <c r="AG88" s="133"/>
      <c r="AH88" s="133"/>
      <c r="AI88" s="133"/>
      <c r="AJ88" s="133"/>
    </row>
    <row r="89" ht="22.5" hidden="1" customHeight="1">
      <c r="A89" s="3"/>
      <c r="B89" s="3"/>
      <c r="C89" s="140"/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43"/>
      <c r="AG89" s="133"/>
      <c r="AH89" s="133"/>
      <c r="AI89" s="133"/>
      <c r="AJ89" s="133"/>
    </row>
    <row r="90" ht="22.5" hidden="1" customHeight="1">
      <c r="A90" s="3"/>
      <c r="B90" s="3"/>
      <c r="C90" s="140"/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43"/>
      <c r="AG90" s="133"/>
      <c r="AH90" s="133"/>
      <c r="AI90" s="133"/>
      <c r="AJ90" s="133"/>
    </row>
    <row r="91" ht="22.5" hidden="1" customHeight="1">
      <c r="A91" s="3"/>
      <c r="B91" s="3"/>
      <c r="C91" s="140"/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43"/>
      <c r="AG91" s="133"/>
      <c r="AH91" s="133"/>
      <c r="AI91" s="133"/>
      <c r="AJ91" s="133"/>
    </row>
    <row r="92" ht="22.5" hidden="1" customHeight="1">
      <c r="A92" s="3"/>
      <c r="B92" s="3"/>
      <c r="C92" s="140"/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43"/>
      <c r="AG92" s="133"/>
      <c r="AH92" s="133"/>
      <c r="AI92" s="133"/>
      <c r="AJ92" s="133"/>
    </row>
    <row r="93" ht="22.5" hidden="1" customHeight="1">
      <c r="A93" s="3"/>
      <c r="B93" s="3"/>
      <c r="C93" s="140"/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43"/>
      <c r="AG93" s="133"/>
      <c r="AH93" s="133"/>
      <c r="AI93" s="133"/>
      <c r="AJ93" s="133"/>
    </row>
    <row r="94" ht="22.5" hidden="1" customHeight="1">
      <c r="A94" s="3"/>
      <c r="B94" s="3"/>
      <c r="C94" s="140"/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43"/>
      <c r="AG94" s="133"/>
      <c r="AH94" s="133"/>
      <c r="AI94" s="133"/>
      <c r="AJ94" s="133"/>
    </row>
    <row r="95" ht="22.5" hidden="1" customHeight="1">
      <c r="A95" s="3"/>
      <c r="B95" s="3"/>
      <c r="C95" s="140"/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43"/>
      <c r="AG95" s="133"/>
      <c r="AH95" s="133"/>
      <c r="AI95" s="133"/>
      <c r="AJ95" s="133"/>
    </row>
    <row r="96" ht="22.5" hidden="1" customHeight="1">
      <c r="A96" s="3"/>
      <c r="B96" s="3"/>
      <c r="C96" s="140"/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43"/>
      <c r="AG96" s="133"/>
      <c r="AH96" s="133"/>
      <c r="AI96" s="133"/>
      <c r="AJ96" s="133"/>
    </row>
    <row r="97" ht="22.5" hidden="1" customHeight="1">
      <c r="A97" s="3"/>
      <c r="B97" s="3"/>
      <c r="C97" s="140"/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43"/>
      <c r="AG97" s="133"/>
      <c r="AH97" s="133"/>
      <c r="AI97" s="133"/>
      <c r="AJ97" s="133"/>
    </row>
    <row r="98" ht="22.5" hidden="1" customHeight="1">
      <c r="A98" s="3"/>
      <c r="B98" s="3"/>
      <c r="C98" s="140"/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43"/>
      <c r="AG98" s="133"/>
      <c r="AH98" s="133"/>
      <c r="AI98" s="133"/>
      <c r="AJ98" s="133"/>
    </row>
    <row r="99" ht="22.5" hidden="1" customHeight="1">
      <c r="A99" s="3"/>
      <c r="B99" s="3"/>
      <c r="C99" s="140"/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43"/>
      <c r="AG99" s="133"/>
      <c r="AH99" s="133"/>
      <c r="AI99" s="133"/>
      <c r="AJ99" s="133"/>
    </row>
    <row r="100" ht="22.5" hidden="1" customHeight="1">
      <c r="A100" s="3"/>
      <c r="B100" s="3"/>
      <c r="C100" s="140"/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43"/>
      <c r="AG100" s="133"/>
      <c r="AH100" s="133"/>
      <c r="AI100" s="133"/>
      <c r="AJ100" s="133"/>
    </row>
    <row r="101" ht="22.5" hidden="1" customHeight="1">
      <c r="A101" s="3"/>
      <c r="B101" s="3"/>
      <c r="C101" s="140"/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43"/>
      <c r="AG101" s="133"/>
      <c r="AH101" s="133"/>
      <c r="AI101" s="133"/>
      <c r="AJ101" s="133"/>
    </row>
    <row r="102" ht="22.5" hidden="1" customHeight="1">
      <c r="A102" s="3"/>
      <c r="B102" s="3"/>
      <c r="C102" s="140"/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43"/>
      <c r="AG102" s="133"/>
      <c r="AH102" s="133"/>
      <c r="AI102" s="133"/>
      <c r="AJ102" s="133"/>
    </row>
    <row r="103" ht="22.5" hidden="1" customHeight="1">
      <c r="A103" s="3"/>
      <c r="B103" s="3"/>
      <c r="C103" s="140"/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43"/>
      <c r="AG103" s="133"/>
      <c r="AH103" s="133"/>
      <c r="AI103" s="133"/>
      <c r="AJ103" s="133"/>
    </row>
    <row r="104" ht="22.5" hidden="1" customHeight="1">
      <c r="A104" s="3"/>
      <c r="B104" s="3"/>
      <c r="C104" s="140"/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43"/>
      <c r="AG104" s="133"/>
      <c r="AH104" s="133"/>
      <c r="AI104" s="133"/>
      <c r="AJ104" s="133"/>
    </row>
    <row r="105" ht="22.5" hidden="1" customHeight="1">
      <c r="A105" s="3"/>
      <c r="B105" s="3"/>
      <c r="C105" s="140"/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43"/>
      <c r="AG105" s="133"/>
      <c r="AH105" s="133"/>
      <c r="AI105" s="133"/>
      <c r="AJ105" s="133"/>
    </row>
    <row r="106" ht="22.5" hidden="1" customHeight="1">
      <c r="A106" s="3"/>
      <c r="B106" s="3"/>
      <c r="C106" s="140"/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43"/>
      <c r="AG106" s="133"/>
      <c r="AH106" s="133"/>
      <c r="AI106" s="133"/>
      <c r="AJ106" s="133"/>
    </row>
    <row r="107" ht="22.5" hidden="1" customHeight="1">
      <c r="A107" s="3"/>
      <c r="B107" s="3"/>
      <c r="C107" s="140"/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43"/>
      <c r="AG107" s="133"/>
      <c r="AH107" s="133"/>
      <c r="AI107" s="133"/>
      <c r="AJ107" s="133"/>
    </row>
    <row r="108" ht="22.5" hidden="1" customHeight="1">
      <c r="A108" s="3"/>
      <c r="B108" s="3"/>
      <c r="C108" s="140"/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43"/>
      <c r="AG108" s="133"/>
      <c r="AH108" s="133"/>
      <c r="AI108" s="133"/>
      <c r="AJ108" s="133"/>
    </row>
    <row r="109" ht="22.5" customHeight="1">
      <c r="A109" s="3"/>
      <c r="B109" s="3"/>
      <c r="C109" s="140"/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4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5">SUM(D3:D109)</f>
        <v>40000</v>
      </c>
      <c r="E110" s="120">
        <f t="shared" si="5"/>
        <v>5000</v>
      </c>
      <c r="F110" s="120">
        <f t="shared" si="5"/>
        <v>5000</v>
      </c>
      <c r="G110" s="120">
        <f t="shared" si="5"/>
        <v>2000</v>
      </c>
      <c r="H110" s="120">
        <f t="shared" si="5"/>
        <v>0</v>
      </c>
      <c r="I110" s="120">
        <f t="shared" si="5"/>
        <v>42130</v>
      </c>
      <c r="J110" s="135">
        <f t="shared" si="5"/>
        <v>0</v>
      </c>
      <c r="K110" s="120">
        <f t="shared" si="5"/>
        <v>0</v>
      </c>
      <c r="L110" s="120">
        <f t="shared" si="5"/>
        <v>0</v>
      </c>
      <c r="M110" s="120">
        <f t="shared" si="5"/>
        <v>10000</v>
      </c>
      <c r="N110" s="120">
        <f t="shared" si="5"/>
        <v>0</v>
      </c>
      <c r="O110" s="120">
        <f t="shared" si="5"/>
        <v>0</v>
      </c>
      <c r="P110" s="120">
        <f t="shared" si="5"/>
        <v>0</v>
      </c>
      <c r="Q110" s="120">
        <f t="shared" si="5"/>
        <v>0</v>
      </c>
      <c r="R110" s="120">
        <f t="shared" si="5"/>
        <v>0</v>
      </c>
      <c r="S110" s="120">
        <f t="shared" si="5"/>
        <v>5870</v>
      </c>
      <c r="T110" s="120">
        <f t="shared" si="5"/>
        <v>0</v>
      </c>
      <c r="U110" s="120">
        <f t="shared" si="5"/>
        <v>0</v>
      </c>
      <c r="V110" s="120">
        <f t="shared" si="5"/>
        <v>50000</v>
      </c>
      <c r="W110" s="122">
        <f t="shared" si="4"/>
        <v>160000</v>
      </c>
      <c r="X110" s="120">
        <f t="shared" ref="X110:Y110" si="6">SUM(X3:X109)</f>
        <v>0</v>
      </c>
      <c r="Y110" s="120">
        <f t="shared" si="6"/>
        <v>0</v>
      </c>
      <c r="Z110" s="120">
        <f t="shared" si="2"/>
        <v>160000</v>
      </c>
      <c r="AA110" s="124"/>
      <c r="AC110" s="136"/>
      <c r="AF110" s="141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  <c r="AF111" s="141"/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AF112" s="141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AF113" s="141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AF114" s="141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AF115" s="141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AF116" s="141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AF117" s="141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AF118" s="141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AF119" s="141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AF120" s="141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AF121" s="141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AF122" s="141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AF123" s="141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AF124" s="141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AF125" s="141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AF126" s="141"/>
    </row>
    <row r="127" ht="15.75" customHeight="1">
      <c r="A127" s="114"/>
      <c r="B127" s="114"/>
      <c r="AF127" s="141"/>
    </row>
    <row r="128" ht="15.75" customHeight="1">
      <c r="A128" s="114"/>
      <c r="B128" s="114"/>
      <c r="AF128" s="141"/>
    </row>
    <row r="129" ht="15.75" customHeight="1">
      <c r="A129" s="114"/>
      <c r="B129" s="114"/>
      <c r="AF129" s="141"/>
    </row>
    <row r="130" ht="15.75" customHeight="1">
      <c r="A130" s="114"/>
      <c r="B130" s="114"/>
      <c r="AF130" s="141"/>
    </row>
    <row r="131" ht="15.75" customHeight="1">
      <c r="A131" s="114"/>
      <c r="B131" s="114"/>
      <c r="AF131" s="141"/>
    </row>
    <row r="132" ht="15.75" customHeight="1">
      <c r="A132" s="114"/>
      <c r="B132" s="114"/>
      <c r="AF132" s="141"/>
    </row>
    <row r="133" ht="15.75" customHeight="1">
      <c r="A133" s="114"/>
      <c r="B133" s="114"/>
      <c r="AF133" s="141"/>
    </row>
    <row r="134" ht="15.75" customHeight="1">
      <c r="A134" s="114"/>
      <c r="B134" s="114"/>
      <c r="AF134" s="141"/>
    </row>
    <row r="135" ht="15.75" customHeight="1">
      <c r="A135" s="114"/>
      <c r="B135" s="114"/>
      <c r="AF135" s="141"/>
    </row>
    <row r="136" ht="15.75" customHeight="1">
      <c r="A136" s="114"/>
      <c r="B136" s="114"/>
      <c r="AF136" s="141"/>
    </row>
    <row r="137" ht="15.75" customHeight="1">
      <c r="A137" s="114"/>
      <c r="B137" s="114"/>
      <c r="AF137" s="141"/>
    </row>
    <row r="138" ht="15.75" customHeight="1">
      <c r="A138" s="114"/>
      <c r="B138" s="114"/>
      <c r="AF138" s="141"/>
    </row>
    <row r="139" ht="15.75" customHeight="1">
      <c r="A139" s="114"/>
      <c r="B139" s="114"/>
      <c r="AF139" s="141"/>
    </row>
    <row r="140" ht="15.75" customHeight="1">
      <c r="A140" s="114"/>
      <c r="B140" s="114"/>
      <c r="AF140" s="141"/>
    </row>
    <row r="141" ht="15.75" customHeight="1">
      <c r="A141" s="114"/>
      <c r="B141" s="114"/>
      <c r="AF141" s="141"/>
    </row>
    <row r="142" ht="15.75" customHeight="1">
      <c r="A142" s="114"/>
      <c r="B142" s="114"/>
      <c r="AF142" s="141"/>
    </row>
    <row r="143" ht="15.75" customHeight="1">
      <c r="A143" s="114"/>
      <c r="B143" s="114"/>
      <c r="AF143" s="141"/>
    </row>
    <row r="144" ht="15.75" customHeight="1">
      <c r="A144" s="114"/>
      <c r="B144" s="114"/>
      <c r="AF144" s="141"/>
    </row>
    <row r="145" ht="15.75" customHeight="1">
      <c r="A145" s="114"/>
      <c r="B145" s="114"/>
      <c r="AF145" s="141"/>
    </row>
    <row r="146" ht="15.75" customHeight="1">
      <c r="A146" s="114"/>
      <c r="B146" s="114"/>
      <c r="AF146" s="141"/>
    </row>
    <row r="147" ht="15.75" customHeight="1">
      <c r="A147" s="114"/>
      <c r="B147" s="114"/>
      <c r="AF147" s="141"/>
    </row>
    <row r="148" ht="15.75" customHeight="1">
      <c r="A148" s="114"/>
      <c r="B148" s="114"/>
      <c r="AF148" s="141"/>
    </row>
    <row r="149" ht="15.75" customHeight="1">
      <c r="A149" s="114"/>
      <c r="B149" s="114"/>
      <c r="AF149" s="141"/>
    </row>
    <row r="150" ht="15.75" customHeight="1">
      <c r="A150" s="114"/>
      <c r="B150" s="114"/>
      <c r="AF150" s="141"/>
    </row>
    <row r="151" ht="15.75" customHeight="1">
      <c r="A151" s="114"/>
      <c r="B151" s="114"/>
      <c r="AF151" s="141"/>
    </row>
    <row r="152" ht="15.75" customHeight="1">
      <c r="A152" s="114"/>
      <c r="B152" s="114"/>
      <c r="AF152" s="141"/>
    </row>
    <row r="153" ht="15.75" customHeight="1">
      <c r="A153" s="114"/>
      <c r="B153" s="114"/>
      <c r="AF153" s="141"/>
    </row>
    <row r="154" ht="15.75" customHeight="1">
      <c r="A154" s="114"/>
      <c r="B154" s="114"/>
      <c r="AF154" s="141"/>
    </row>
    <row r="155" ht="15.75" customHeight="1">
      <c r="A155" s="114"/>
      <c r="B155" s="114"/>
      <c r="AF155" s="141"/>
    </row>
    <row r="156" ht="15.75" customHeight="1">
      <c r="A156" s="114"/>
      <c r="B156" s="114"/>
      <c r="AF156" s="141"/>
    </row>
    <row r="157" ht="15.75" customHeight="1">
      <c r="A157" s="114"/>
      <c r="B157" s="114"/>
      <c r="AF157" s="141"/>
    </row>
    <row r="158" ht="15.75" customHeight="1">
      <c r="A158" s="114"/>
      <c r="B158" s="114"/>
      <c r="AF158" s="141"/>
    </row>
    <row r="159" ht="15.75" customHeight="1">
      <c r="A159" s="114"/>
      <c r="B159" s="114"/>
      <c r="AF159" s="141"/>
    </row>
    <row r="160" ht="15.75" customHeight="1">
      <c r="A160" s="114"/>
      <c r="B160" s="114"/>
      <c r="AF160" s="141"/>
    </row>
    <row r="161" ht="15.75" customHeight="1">
      <c r="A161" s="114"/>
      <c r="B161" s="114"/>
      <c r="AF161" s="141"/>
    </row>
    <row r="162" ht="15.75" customHeight="1">
      <c r="A162" s="114"/>
      <c r="B162" s="114"/>
      <c r="AF162" s="141"/>
    </row>
    <row r="163" ht="15.75" customHeight="1">
      <c r="A163" s="114"/>
      <c r="B163" s="114"/>
      <c r="AF163" s="141"/>
    </row>
    <row r="164" ht="15.75" customHeight="1">
      <c r="A164" s="114"/>
      <c r="B164" s="114"/>
      <c r="AF164" s="141"/>
    </row>
    <row r="165" ht="15.75" customHeight="1">
      <c r="A165" s="114"/>
      <c r="B165" s="114"/>
      <c r="AF165" s="141"/>
    </row>
    <row r="166" ht="15.75" customHeight="1">
      <c r="A166" s="114"/>
      <c r="B166" s="114"/>
      <c r="AF166" s="141"/>
    </row>
    <row r="167" ht="15.75" customHeight="1">
      <c r="A167" s="114"/>
      <c r="B167" s="114"/>
      <c r="AF167" s="141"/>
    </row>
    <row r="168" ht="15.75" customHeight="1">
      <c r="A168" s="114"/>
      <c r="B168" s="114"/>
      <c r="AF168" s="141"/>
    </row>
    <row r="169" ht="15.75" customHeight="1">
      <c r="A169" s="114"/>
      <c r="B169" s="114"/>
      <c r="AF169" s="141"/>
    </row>
    <row r="170" ht="15.75" customHeight="1">
      <c r="A170" s="114"/>
      <c r="B170" s="114"/>
      <c r="AF170" s="141"/>
    </row>
    <row r="171" ht="15.75" customHeight="1">
      <c r="A171" s="114"/>
      <c r="B171" s="114"/>
      <c r="AF171" s="141"/>
    </row>
    <row r="172" ht="15.75" customHeight="1">
      <c r="A172" s="114"/>
      <c r="B172" s="114"/>
      <c r="AF172" s="141"/>
    </row>
    <row r="173" ht="15.75" customHeight="1">
      <c r="A173" s="114"/>
      <c r="B173" s="114"/>
      <c r="AF173" s="141"/>
    </row>
    <row r="174" ht="15.75" customHeight="1">
      <c r="A174" s="114"/>
      <c r="B174" s="114"/>
      <c r="AF174" s="141"/>
    </row>
    <row r="175" ht="15.75" customHeight="1">
      <c r="A175" s="114"/>
      <c r="B175" s="114"/>
      <c r="AF175" s="141"/>
    </row>
    <row r="176" ht="15.75" customHeight="1">
      <c r="A176" s="114"/>
      <c r="B176" s="114"/>
      <c r="AF176" s="141"/>
    </row>
    <row r="177" ht="15.75" customHeight="1">
      <c r="A177" s="114"/>
      <c r="B177" s="114"/>
      <c r="AF177" s="141"/>
    </row>
    <row r="178" ht="15.75" customHeight="1">
      <c r="A178" s="114"/>
      <c r="B178" s="114"/>
      <c r="AF178" s="141"/>
    </row>
    <row r="179" ht="15.75" customHeight="1">
      <c r="A179" s="114"/>
      <c r="B179" s="114"/>
      <c r="AF179" s="141"/>
    </row>
    <row r="180" ht="15.75" customHeight="1">
      <c r="A180" s="114"/>
      <c r="B180" s="114"/>
      <c r="AF180" s="141"/>
    </row>
    <row r="181" ht="15.75" customHeight="1">
      <c r="A181" s="114"/>
      <c r="B181" s="114"/>
      <c r="AF181" s="141"/>
    </row>
    <row r="182" ht="15.75" customHeight="1">
      <c r="A182" s="114"/>
      <c r="B182" s="114"/>
      <c r="AF182" s="141"/>
    </row>
    <row r="183" ht="15.75" customHeight="1">
      <c r="A183" s="114"/>
      <c r="B183" s="114"/>
      <c r="AF183" s="141"/>
    </row>
    <row r="184" ht="15.75" customHeight="1">
      <c r="A184" s="114"/>
      <c r="B184" s="114"/>
      <c r="AF184" s="141"/>
    </row>
    <row r="185" ht="15.75" customHeight="1">
      <c r="A185" s="114"/>
      <c r="B185" s="114"/>
      <c r="AF185" s="141"/>
    </row>
    <row r="186" ht="15.75" customHeight="1">
      <c r="A186" s="114"/>
      <c r="B186" s="114"/>
      <c r="AF186" s="141"/>
    </row>
    <row r="187" ht="15.75" customHeight="1">
      <c r="A187" s="114"/>
      <c r="B187" s="114"/>
      <c r="AF187" s="141"/>
    </row>
    <row r="188" ht="15.75" customHeight="1">
      <c r="A188" s="114"/>
      <c r="B188" s="114"/>
      <c r="AF188" s="141"/>
    </row>
    <row r="189" ht="15.75" customHeight="1">
      <c r="A189" s="114"/>
      <c r="B189" s="114"/>
      <c r="AF189" s="141"/>
    </row>
    <row r="190" ht="15.75" customHeight="1">
      <c r="A190" s="114"/>
      <c r="B190" s="114"/>
      <c r="AF190" s="141"/>
    </row>
    <row r="191" ht="15.75" customHeight="1">
      <c r="A191" s="114"/>
      <c r="B191" s="114"/>
      <c r="AF191" s="141"/>
    </row>
    <row r="192" ht="15.75" customHeight="1">
      <c r="A192" s="114"/>
      <c r="B192" s="114"/>
      <c r="AF192" s="141"/>
    </row>
    <row r="193" ht="15.75" customHeight="1">
      <c r="A193" s="114"/>
      <c r="B193" s="114"/>
      <c r="AF193" s="141"/>
    </row>
    <row r="194" ht="15.75" customHeight="1">
      <c r="A194" s="114"/>
      <c r="B194" s="114"/>
      <c r="AF194" s="141"/>
    </row>
    <row r="195" ht="15.75" customHeight="1">
      <c r="A195" s="114"/>
      <c r="B195" s="114"/>
      <c r="AF195" s="141"/>
    </row>
    <row r="196" ht="15.75" customHeight="1">
      <c r="A196" s="114"/>
      <c r="B196" s="114"/>
      <c r="AF196" s="141"/>
    </row>
    <row r="197" ht="15.75" customHeight="1">
      <c r="A197" s="114"/>
      <c r="B197" s="114"/>
      <c r="AF197" s="141"/>
    </row>
    <row r="198" ht="15.75" customHeight="1">
      <c r="A198" s="114"/>
      <c r="B198" s="114"/>
      <c r="AF198" s="141"/>
    </row>
    <row r="199" ht="15.75" customHeight="1">
      <c r="A199" s="114"/>
      <c r="B199" s="114"/>
      <c r="AF199" s="141"/>
    </row>
    <row r="200" ht="15.75" customHeight="1">
      <c r="A200" s="114"/>
      <c r="B200" s="114"/>
      <c r="AF200" s="141"/>
    </row>
    <row r="201" ht="15.75" customHeight="1">
      <c r="A201" s="114"/>
      <c r="B201" s="114"/>
      <c r="AF201" s="141"/>
    </row>
    <row r="202" ht="15.75" customHeight="1">
      <c r="A202" s="114"/>
      <c r="B202" s="114"/>
      <c r="AF202" s="141"/>
    </row>
    <row r="203" ht="15.75" customHeight="1">
      <c r="A203" s="114"/>
      <c r="B203" s="114"/>
      <c r="AF203" s="141"/>
    </row>
    <row r="204" ht="15.75" customHeight="1">
      <c r="A204" s="114"/>
      <c r="B204" s="114"/>
      <c r="AF204" s="141"/>
    </row>
    <row r="205" ht="15.75" customHeight="1">
      <c r="A205" s="114"/>
      <c r="B205" s="114"/>
      <c r="AF205" s="141"/>
    </row>
    <row r="206" ht="15.75" customHeight="1">
      <c r="A206" s="114"/>
      <c r="B206" s="114"/>
      <c r="AF206" s="141"/>
    </row>
    <row r="207" ht="15.75" customHeight="1">
      <c r="A207" s="114"/>
      <c r="B207" s="114"/>
      <c r="AF207" s="141"/>
    </row>
    <row r="208" ht="15.75" customHeight="1">
      <c r="A208" s="114"/>
      <c r="B208" s="114"/>
      <c r="AF208" s="141"/>
    </row>
    <row r="209" ht="15.75" customHeight="1">
      <c r="A209" s="114"/>
      <c r="B209" s="114"/>
      <c r="AF209" s="141"/>
    </row>
    <row r="210" ht="15.75" customHeight="1">
      <c r="A210" s="114"/>
      <c r="B210" s="114"/>
      <c r="AF210" s="141"/>
    </row>
    <row r="211" ht="15.75" customHeight="1">
      <c r="A211" s="114"/>
      <c r="B211" s="114"/>
      <c r="AF211" s="141"/>
    </row>
    <row r="212" ht="15.75" customHeight="1">
      <c r="A212" s="114"/>
      <c r="B212" s="114"/>
      <c r="AF212" s="141"/>
    </row>
    <row r="213" ht="15.75" customHeight="1">
      <c r="A213" s="114"/>
      <c r="B213" s="114"/>
      <c r="AF213" s="141"/>
    </row>
    <row r="214" ht="15.75" customHeight="1">
      <c r="A214" s="114"/>
      <c r="B214" s="114"/>
      <c r="AF214" s="141"/>
    </row>
    <row r="215" ht="15.75" customHeight="1">
      <c r="A215" s="114"/>
      <c r="B215" s="114"/>
      <c r="AF215" s="141"/>
    </row>
    <row r="216" ht="15.75" customHeight="1">
      <c r="A216" s="114"/>
      <c r="B216" s="114"/>
      <c r="AF216" s="141"/>
    </row>
    <row r="217" ht="15.75" customHeight="1">
      <c r="A217" s="114"/>
      <c r="B217" s="114"/>
      <c r="AF217" s="141"/>
    </row>
    <row r="218" ht="15.75" customHeight="1">
      <c r="A218" s="114"/>
      <c r="B218" s="114"/>
      <c r="AF218" s="141"/>
    </row>
    <row r="219" ht="15.75" customHeight="1">
      <c r="A219" s="114"/>
      <c r="B219" s="114"/>
      <c r="AF219" s="141"/>
    </row>
    <row r="220" ht="15.75" customHeight="1">
      <c r="A220" s="114"/>
      <c r="B220" s="114"/>
      <c r="AF220" s="141"/>
    </row>
    <row r="221" ht="15.75" customHeight="1">
      <c r="A221" s="114"/>
      <c r="B221" s="114"/>
      <c r="AF221" s="141"/>
    </row>
    <row r="222" ht="15.75" customHeight="1">
      <c r="A222" s="114"/>
      <c r="B222" s="114"/>
      <c r="AF222" s="141"/>
    </row>
    <row r="223" ht="15.75" customHeight="1">
      <c r="A223" s="114"/>
      <c r="B223" s="114"/>
      <c r="AF223" s="141"/>
    </row>
    <row r="224" ht="15.75" customHeight="1">
      <c r="A224" s="114"/>
      <c r="B224" s="114"/>
      <c r="AF224" s="141"/>
    </row>
    <row r="225" ht="15.75" customHeight="1">
      <c r="A225" s="114"/>
      <c r="B225" s="114"/>
      <c r="AF225" s="141"/>
    </row>
    <row r="226" ht="15.75" customHeight="1">
      <c r="A226" s="114"/>
      <c r="B226" s="114"/>
      <c r="AF226" s="141"/>
    </row>
    <row r="227" ht="15.75" customHeight="1">
      <c r="A227" s="114"/>
      <c r="B227" s="114"/>
      <c r="AF227" s="141"/>
    </row>
    <row r="228" ht="15.75" customHeight="1">
      <c r="A228" s="114"/>
      <c r="B228" s="114"/>
      <c r="AF228" s="141"/>
    </row>
    <row r="229" ht="15.75" customHeight="1">
      <c r="A229" s="114"/>
      <c r="B229" s="114"/>
      <c r="AF229" s="141"/>
    </row>
    <row r="230" ht="15.75" customHeight="1">
      <c r="A230" s="114"/>
      <c r="B230" s="114"/>
      <c r="AF230" s="141"/>
    </row>
    <row r="231" ht="15.75" customHeight="1">
      <c r="A231" s="114"/>
      <c r="B231" s="114"/>
      <c r="AF231" s="141"/>
    </row>
    <row r="232" ht="15.75" customHeight="1">
      <c r="A232" s="114"/>
      <c r="B232" s="114"/>
      <c r="AF232" s="141"/>
    </row>
    <row r="233" ht="15.75" customHeight="1">
      <c r="A233" s="114"/>
      <c r="B233" s="114"/>
      <c r="AF233" s="141"/>
    </row>
    <row r="234" ht="15.75" customHeight="1">
      <c r="A234" s="114"/>
      <c r="B234" s="114"/>
      <c r="AF234" s="141"/>
    </row>
    <row r="235" ht="15.75" customHeight="1">
      <c r="A235" s="114"/>
      <c r="B235" s="114"/>
      <c r="AF235" s="141"/>
    </row>
    <row r="236" ht="15.75" customHeight="1">
      <c r="A236" s="114"/>
      <c r="B236" s="114"/>
      <c r="AF236" s="141"/>
    </row>
    <row r="237" ht="15.75" customHeight="1">
      <c r="A237" s="114"/>
      <c r="B237" s="114"/>
      <c r="AF237" s="141"/>
    </row>
    <row r="238" ht="15.75" customHeight="1">
      <c r="A238" s="114"/>
      <c r="B238" s="114"/>
      <c r="AF238" s="141"/>
    </row>
    <row r="239" ht="15.75" customHeight="1">
      <c r="A239" s="114"/>
      <c r="B239" s="114"/>
      <c r="AF239" s="141"/>
    </row>
    <row r="240" ht="15.75" customHeight="1">
      <c r="A240" s="114"/>
      <c r="B240" s="114"/>
      <c r="AF240" s="141"/>
    </row>
    <row r="241" ht="15.75" customHeight="1">
      <c r="A241" s="114"/>
      <c r="B241" s="114"/>
      <c r="AF241" s="141"/>
    </row>
    <row r="242" ht="15.75" customHeight="1">
      <c r="A242" s="114"/>
      <c r="B242" s="114"/>
      <c r="AF242" s="141"/>
    </row>
    <row r="243" ht="15.75" customHeight="1">
      <c r="A243" s="114"/>
      <c r="B243" s="114"/>
      <c r="AF243" s="141"/>
    </row>
    <row r="244" ht="15.75" customHeight="1">
      <c r="A244" s="114"/>
      <c r="B244" s="114"/>
      <c r="AF244" s="141"/>
    </row>
    <row r="245" ht="15.75" customHeight="1">
      <c r="A245" s="114"/>
      <c r="B245" s="114"/>
      <c r="AF245" s="141"/>
    </row>
    <row r="246" ht="15.75" customHeight="1">
      <c r="A246" s="114"/>
      <c r="B246" s="114"/>
      <c r="AF246" s="141"/>
    </row>
    <row r="247" ht="15.75" customHeight="1">
      <c r="A247" s="114"/>
      <c r="B247" s="114"/>
      <c r="AF247" s="141"/>
    </row>
    <row r="248" ht="15.75" customHeight="1">
      <c r="A248" s="114"/>
      <c r="B248" s="114"/>
      <c r="AF248" s="141"/>
    </row>
    <row r="249" ht="15.75" customHeight="1">
      <c r="A249" s="114"/>
      <c r="B249" s="114"/>
      <c r="AF249" s="141"/>
    </row>
    <row r="250" ht="15.75" customHeight="1">
      <c r="A250" s="114"/>
      <c r="B250" s="114"/>
      <c r="AF250" s="141"/>
    </row>
    <row r="251" ht="15.75" customHeight="1">
      <c r="A251" s="114"/>
      <c r="B251" s="114"/>
      <c r="AF251" s="141"/>
    </row>
    <row r="252" ht="15.75" customHeight="1">
      <c r="A252" s="114"/>
      <c r="B252" s="114"/>
      <c r="AF252" s="141"/>
    </row>
    <row r="253" ht="15.75" customHeight="1">
      <c r="A253" s="114"/>
      <c r="B253" s="114"/>
      <c r="AF253" s="141"/>
    </row>
    <row r="254" ht="15.75" customHeight="1">
      <c r="A254" s="114"/>
      <c r="B254" s="114"/>
      <c r="AF254" s="141"/>
    </row>
    <row r="255" ht="15.75" customHeight="1">
      <c r="A255" s="114"/>
      <c r="B255" s="114"/>
      <c r="AF255" s="141"/>
    </row>
    <row r="256" ht="15.75" customHeight="1">
      <c r="A256" s="114"/>
      <c r="B256" s="114"/>
      <c r="AF256" s="141"/>
    </row>
    <row r="257" ht="15.75" customHeight="1">
      <c r="A257" s="114"/>
      <c r="B257" s="114"/>
      <c r="AF257" s="141"/>
    </row>
    <row r="258" ht="15.75" customHeight="1">
      <c r="A258" s="114"/>
      <c r="B258" s="114"/>
      <c r="AF258" s="141"/>
    </row>
    <row r="259" ht="15.75" customHeight="1">
      <c r="A259" s="114"/>
      <c r="B259" s="114"/>
      <c r="AF259" s="141"/>
    </row>
    <row r="260" ht="15.75" customHeight="1">
      <c r="A260" s="114"/>
      <c r="B260" s="114"/>
      <c r="AF260" s="141"/>
    </row>
    <row r="261" ht="15.75" customHeight="1">
      <c r="A261" s="114"/>
      <c r="B261" s="114"/>
      <c r="AF261" s="141"/>
    </row>
    <row r="262" ht="15.75" customHeight="1">
      <c r="A262" s="114"/>
      <c r="B262" s="114"/>
      <c r="AF262" s="141"/>
    </row>
    <row r="263" ht="15.75" customHeight="1">
      <c r="A263" s="114"/>
      <c r="B263" s="114"/>
      <c r="AF263" s="141"/>
    </row>
    <row r="264" ht="15.75" customHeight="1">
      <c r="A264" s="114"/>
      <c r="B264" s="114"/>
      <c r="AF264" s="141"/>
    </row>
    <row r="265" ht="15.75" customHeight="1">
      <c r="A265" s="114"/>
      <c r="B265" s="114"/>
      <c r="AF265" s="141"/>
    </row>
    <row r="266" ht="15.75" customHeight="1">
      <c r="A266" s="114"/>
      <c r="B266" s="114"/>
      <c r="AF266" s="141"/>
    </row>
    <row r="267" ht="15.75" customHeight="1">
      <c r="A267" s="114"/>
      <c r="B267" s="114"/>
      <c r="AF267" s="141"/>
    </row>
    <row r="268" ht="15.75" customHeight="1">
      <c r="A268" s="114"/>
      <c r="B268" s="114"/>
      <c r="AF268" s="141"/>
    </row>
    <row r="269" ht="15.75" customHeight="1">
      <c r="A269" s="114"/>
      <c r="B269" s="114"/>
      <c r="AF269" s="141"/>
    </row>
    <row r="270" ht="15.75" customHeight="1">
      <c r="A270" s="114"/>
      <c r="B270" s="114"/>
      <c r="AF270" s="141"/>
    </row>
    <row r="271" ht="15.75" customHeight="1">
      <c r="A271" s="114"/>
      <c r="B271" s="114"/>
      <c r="AF271" s="141"/>
    </row>
    <row r="272" ht="15.75" customHeight="1">
      <c r="A272" s="114"/>
      <c r="B272" s="114"/>
      <c r="AF272" s="141"/>
    </row>
    <row r="273" ht="15.75" customHeight="1">
      <c r="A273" s="114"/>
      <c r="B273" s="114"/>
      <c r="AF273" s="141"/>
    </row>
    <row r="274" ht="15.75" customHeight="1">
      <c r="A274" s="114"/>
      <c r="B274" s="114"/>
      <c r="AF274" s="141"/>
    </row>
    <row r="275" ht="15.75" customHeight="1">
      <c r="A275" s="114"/>
      <c r="B275" s="114"/>
      <c r="AF275" s="141"/>
    </row>
    <row r="276" ht="15.75" customHeight="1">
      <c r="A276" s="114"/>
      <c r="B276" s="114"/>
      <c r="AF276" s="141"/>
    </row>
    <row r="277" ht="15.75" customHeight="1">
      <c r="A277" s="114"/>
      <c r="B277" s="114"/>
      <c r="AF277" s="141"/>
    </row>
    <row r="278" ht="15.75" customHeight="1">
      <c r="A278" s="114"/>
      <c r="B278" s="114"/>
      <c r="AF278" s="141"/>
    </row>
    <row r="279" ht="15.75" customHeight="1">
      <c r="A279" s="114"/>
      <c r="B279" s="114"/>
      <c r="AF279" s="141"/>
    </row>
    <row r="280" ht="15.75" customHeight="1">
      <c r="A280" s="114"/>
      <c r="B280" s="114"/>
      <c r="AF280" s="141"/>
    </row>
    <row r="281" ht="15.75" customHeight="1">
      <c r="A281" s="114"/>
      <c r="B281" s="114"/>
      <c r="AF281" s="141"/>
    </row>
    <row r="282" ht="15.75" customHeight="1">
      <c r="A282" s="114"/>
      <c r="B282" s="114"/>
      <c r="AF282" s="141"/>
    </row>
    <row r="283" ht="15.75" customHeight="1">
      <c r="A283" s="114"/>
      <c r="B283" s="114"/>
      <c r="AF283" s="141"/>
    </row>
    <row r="284" ht="15.75" customHeight="1">
      <c r="A284" s="114"/>
      <c r="B284" s="114"/>
      <c r="AF284" s="141"/>
    </row>
    <row r="285" ht="15.75" customHeight="1">
      <c r="A285" s="114"/>
      <c r="B285" s="114"/>
      <c r="AF285" s="141"/>
    </row>
    <row r="286" ht="15.75" customHeight="1">
      <c r="A286" s="114"/>
      <c r="B286" s="114"/>
      <c r="AF286" s="141"/>
    </row>
    <row r="287" ht="15.75" customHeight="1">
      <c r="A287" s="114"/>
      <c r="B287" s="114"/>
      <c r="AF287" s="141"/>
    </row>
    <row r="288" ht="15.75" customHeight="1">
      <c r="A288" s="114"/>
      <c r="B288" s="114"/>
      <c r="AF288" s="141"/>
    </row>
    <row r="289" ht="15.75" customHeight="1">
      <c r="A289" s="114"/>
      <c r="B289" s="114"/>
      <c r="AF289" s="141"/>
    </row>
    <row r="290" ht="15.75" customHeight="1">
      <c r="A290" s="114"/>
      <c r="B290" s="114"/>
      <c r="AF290" s="141"/>
    </row>
    <row r="291" ht="15.75" customHeight="1">
      <c r="A291" s="114"/>
      <c r="B291" s="114"/>
      <c r="AF291" s="141"/>
    </row>
    <row r="292" ht="15.75" customHeight="1">
      <c r="A292" s="114"/>
      <c r="B292" s="114"/>
      <c r="AF292" s="141"/>
    </row>
    <row r="293" ht="15.75" customHeight="1">
      <c r="A293" s="114"/>
      <c r="B293" s="114"/>
      <c r="AF293" s="141"/>
    </row>
    <row r="294" ht="15.75" customHeight="1">
      <c r="A294" s="114"/>
      <c r="B294" s="114"/>
      <c r="AF294" s="141"/>
    </row>
    <row r="295" ht="15.75" customHeight="1">
      <c r="A295" s="114"/>
      <c r="B295" s="114"/>
      <c r="AF295" s="141"/>
    </row>
    <row r="296" ht="15.75" customHeight="1">
      <c r="A296" s="114"/>
      <c r="B296" s="114"/>
      <c r="AF296" s="141"/>
    </row>
    <row r="297" ht="15.75" customHeight="1">
      <c r="A297" s="114"/>
      <c r="B297" s="114"/>
      <c r="AF297" s="141"/>
    </row>
    <row r="298" ht="15.75" customHeight="1">
      <c r="A298" s="114"/>
      <c r="B298" s="114"/>
      <c r="AF298" s="141"/>
    </row>
    <row r="299" ht="15.75" customHeight="1">
      <c r="A299" s="114"/>
      <c r="B299" s="114"/>
      <c r="AF299" s="141"/>
    </row>
    <row r="300" ht="15.75" customHeight="1">
      <c r="A300" s="114"/>
      <c r="B300" s="114"/>
      <c r="AF300" s="141"/>
    </row>
    <row r="301" ht="15.75" customHeight="1">
      <c r="A301" s="114"/>
      <c r="B301" s="114"/>
      <c r="AF301" s="141"/>
    </row>
    <row r="302" ht="15.75" customHeight="1">
      <c r="A302" s="114"/>
      <c r="B302" s="114"/>
      <c r="AF302" s="141"/>
    </row>
    <row r="303" ht="15.75" customHeight="1">
      <c r="A303" s="114"/>
      <c r="B303" s="114"/>
      <c r="AF303" s="141"/>
    </row>
    <row r="304" ht="15.75" customHeight="1">
      <c r="A304" s="114"/>
      <c r="B304" s="114"/>
      <c r="AF304" s="141"/>
    </row>
    <row r="305" ht="15.75" customHeight="1">
      <c r="A305" s="114"/>
      <c r="B305" s="114"/>
      <c r="AF305" s="141"/>
    </row>
    <row r="306" ht="15.75" customHeight="1">
      <c r="A306" s="114"/>
      <c r="B306" s="114"/>
      <c r="AF306" s="141"/>
    </row>
    <row r="307" ht="15.75" customHeight="1">
      <c r="A307" s="114"/>
      <c r="B307" s="114"/>
      <c r="AF307" s="141"/>
    </row>
    <row r="308" ht="15.75" customHeight="1">
      <c r="A308" s="114"/>
      <c r="B308" s="114"/>
      <c r="AF308" s="141"/>
    </row>
    <row r="309" ht="15.75" customHeight="1">
      <c r="A309" s="114"/>
      <c r="B309" s="114"/>
      <c r="AF309" s="141"/>
    </row>
    <row r="310" ht="15.75" customHeight="1">
      <c r="A310" s="114"/>
      <c r="B310" s="114"/>
      <c r="AF310" s="141"/>
    </row>
    <row r="311" ht="15.75" customHeight="1">
      <c r="A311" s="114"/>
      <c r="B311" s="114"/>
      <c r="AF311" s="141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45777.0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  <c r="AF1" s="141"/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42"/>
      <c r="AG2" s="114"/>
      <c r="AH2" s="114"/>
      <c r="AI2" s="114"/>
      <c r="AJ2" s="114"/>
    </row>
    <row r="3" ht="22.5" customHeight="1">
      <c r="A3" s="1" t="s">
        <v>2</v>
      </c>
      <c r="B3" s="1"/>
      <c r="C3" s="134">
        <f>'R7.3'!AC3</f>
        <v>0</v>
      </c>
      <c r="D3" s="116"/>
      <c r="E3" s="116"/>
      <c r="F3" s="116"/>
      <c r="G3" s="116"/>
      <c r="H3" s="117"/>
      <c r="I3" s="118"/>
      <c r="J3" s="119"/>
      <c r="K3" s="117"/>
      <c r="L3" s="117"/>
      <c r="M3" s="120"/>
      <c r="N3" s="117"/>
      <c r="O3" s="117"/>
      <c r="P3" s="117"/>
      <c r="Q3" s="117"/>
      <c r="R3" s="119"/>
      <c r="S3" s="119"/>
      <c r="T3" s="119"/>
      <c r="U3" s="119"/>
      <c r="V3" s="119"/>
      <c r="W3" s="122">
        <f t="shared" ref="W3:W6" si="1">SUM(D3:V3)</f>
        <v>0</v>
      </c>
      <c r="X3" s="123"/>
      <c r="Y3" s="123"/>
      <c r="Z3" s="120">
        <f t="shared" ref="Z3:Z110" si="2">SUM(W3:Y3)</f>
        <v>0</v>
      </c>
      <c r="AA3" s="124"/>
      <c r="AB3" s="63" t="s">
        <v>128</v>
      </c>
      <c r="AC3" s="125">
        <f t="shared" ref="AC3:AC109" si="3">C3-M3</f>
        <v>0</v>
      </c>
      <c r="AF3" s="141"/>
    </row>
    <row r="4" ht="22.5" customHeight="1">
      <c r="A4" s="1" t="s">
        <v>4</v>
      </c>
      <c r="B4" s="1"/>
      <c r="C4" s="134">
        <f>'R7.3'!AC4</f>
        <v>0</v>
      </c>
      <c r="D4" s="116"/>
      <c r="E4" s="116"/>
      <c r="F4" s="116"/>
      <c r="G4" s="116"/>
      <c r="H4" s="117"/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2">
        <f t="shared" si="1"/>
        <v>0</v>
      </c>
      <c r="X4" s="123"/>
      <c r="Y4" s="123"/>
      <c r="Z4" s="120">
        <f t="shared" si="2"/>
        <v>0</v>
      </c>
      <c r="AA4" s="124" t="s">
        <v>129</v>
      </c>
      <c r="AB4" s="107" t="s">
        <v>128</v>
      </c>
      <c r="AC4" s="125">
        <f t="shared" si="3"/>
        <v>0</v>
      </c>
      <c r="AF4" s="141"/>
    </row>
    <row r="5" ht="22.5" customHeight="1">
      <c r="A5" s="1" t="s">
        <v>6</v>
      </c>
      <c r="B5" s="1"/>
      <c r="C5" s="134">
        <f>'R7.3'!AC5</f>
        <v>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0</v>
      </c>
      <c r="AF5" s="141"/>
    </row>
    <row r="6" ht="22.5" customHeight="1">
      <c r="A6" s="1" t="s">
        <v>7</v>
      </c>
      <c r="B6" s="1"/>
      <c r="C6" s="134">
        <f>'R7.3'!AC6</f>
        <v>0</v>
      </c>
      <c r="D6" s="116"/>
      <c r="E6" s="116"/>
      <c r="F6" s="116"/>
      <c r="G6" s="116"/>
      <c r="H6" s="117"/>
      <c r="I6" s="117"/>
      <c r="J6" s="119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2">
        <f t="shared" si="1"/>
        <v>0</v>
      </c>
      <c r="X6" s="123"/>
      <c r="Y6" s="123"/>
      <c r="Z6" s="120">
        <f t="shared" si="2"/>
        <v>0</v>
      </c>
      <c r="AA6" s="124" t="s">
        <v>129</v>
      </c>
      <c r="AB6" s="63" t="s">
        <v>128</v>
      </c>
      <c r="AC6" s="125">
        <f t="shared" si="3"/>
        <v>0</v>
      </c>
      <c r="AF6" s="141"/>
    </row>
    <row r="7" ht="22.5" customHeight="1">
      <c r="A7" s="1" t="s">
        <v>9</v>
      </c>
      <c r="B7" s="1" t="s">
        <v>10</v>
      </c>
      <c r="C7" s="134">
        <f>'R7.3'!AC7</f>
        <v>100000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0.0</v>
      </c>
      <c r="I7" s="117">
        <v>42900.0</v>
      </c>
      <c r="J7" s="127"/>
      <c r="K7" s="117"/>
      <c r="L7" s="117"/>
      <c r="M7" s="117">
        <v>10000.0</v>
      </c>
      <c r="N7" s="117"/>
      <c r="O7" s="117"/>
      <c r="P7" s="117"/>
      <c r="Q7" s="117"/>
      <c r="R7" s="117"/>
      <c r="S7" s="117">
        <v>5100.0</v>
      </c>
      <c r="T7" s="117"/>
      <c r="U7" s="117"/>
      <c r="V7" s="119">
        <f>'R7.3'!AE7</f>
        <v>40000</v>
      </c>
      <c r="W7" s="122">
        <f>SUM(D7:U7)-V7</f>
        <v>70000</v>
      </c>
      <c r="X7" s="116"/>
      <c r="Y7" s="128"/>
      <c r="Z7" s="120">
        <f t="shared" si="2"/>
        <v>70000</v>
      </c>
      <c r="AA7" s="124">
        <v>110000.0</v>
      </c>
      <c r="AB7" s="63" t="s">
        <v>128</v>
      </c>
      <c r="AC7" s="125">
        <f t="shared" si="3"/>
        <v>90000</v>
      </c>
      <c r="AD7" s="63">
        <v>120000.0</v>
      </c>
      <c r="AE7" s="124">
        <f>AD7-Z7</f>
        <v>50000</v>
      </c>
      <c r="AF7" s="141">
        <v>45888.0</v>
      </c>
    </row>
    <row r="8" ht="22.5" customHeight="1">
      <c r="A8" s="1" t="s">
        <v>11</v>
      </c>
      <c r="B8" s="1"/>
      <c r="C8" s="134">
        <f>'R7.3'!AC8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  <c r="AF8" s="141"/>
    </row>
    <row r="9" ht="22.5" customHeight="1">
      <c r="A9" s="1" t="s">
        <v>12</v>
      </c>
      <c r="B9" s="1"/>
      <c r="C9" s="134">
        <f>'R7.3'!AC9</f>
        <v>0</v>
      </c>
      <c r="D9" s="116"/>
      <c r="E9" s="116"/>
      <c r="F9" s="116"/>
      <c r="G9" s="116"/>
      <c r="H9" s="117"/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2">
        <f t="shared" si="4"/>
        <v>0</v>
      </c>
      <c r="X9" s="123"/>
      <c r="Y9" s="123"/>
      <c r="Z9" s="120">
        <f t="shared" si="2"/>
        <v>0</v>
      </c>
      <c r="AA9" s="124" t="s">
        <v>129</v>
      </c>
      <c r="AB9" s="63" t="s">
        <v>128</v>
      </c>
      <c r="AC9" s="125">
        <f t="shared" si="3"/>
        <v>0</v>
      </c>
      <c r="AF9" s="141"/>
    </row>
    <row r="10" ht="22.5" customHeight="1">
      <c r="A10" s="1" t="s">
        <v>14</v>
      </c>
      <c r="B10" s="1"/>
      <c r="C10" s="134">
        <f>'R7.3'!AC10</f>
        <v>0</v>
      </c>
      <c r="D10" s="116"/>
      <c r="E10" s="116"/>
      <c r="F10" s="116"/>
      <c r="G10" s="116"/>
      <c r="H10" s="117"/>
      <c r="I10" s="117"/>
      <c r="J10" s="119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22">
        <f t="shared" si="4"/>
        <v>0</v>
      </c>
      <c r="X10" s="129"/>
      <c r="Y10" s="129"/>
      <c r="Z10" s="120">
        <f t="shared" si="2"/>
        <v>0</v>
      </c>
      <c r="AA10" s="124" t="s">
        <v>129</v>
      </c>
      <c r="AB10" s="63" t="s">
        <v>128</v>
      </c>
      <c r="AC10" s="125">
        <f t="shared" si="3"/>
        <v>0</v>
      </c>
      <c r="AF10" s="141"/>
    </row>
    <row r="11" ht="22.5" customHeight="1">
      <c r="A11" s="1" t="s">
        <v>16</v>
      </c>
      <c r="B11" s="1"/>
      <c r="C11" s="134">
        <f>'R7.3'!AC11</f>
        <v>0</v>
      </c>
      <c r="D11" s="116"/>
      <c r="E11" s="116"/>
      <c r="F11" s="116"/>
      <c r="G11" s="116"/>
      <c r="H11" s="117"/>
      <c r="I11" s="117"/>
      <c r="J11" s="119"/>
      <c r="K11" s="117"/>
      <c r="L11" s="117"/>
      <c r="M11" s="130"/>
      <c r="N11" s="117"/>
      <c r="O11" s="117"/>
      <c r="P11" s="117"/>
      <c r="Q11" s="117"/>
      <c r="R11" s="117"/>
      <c r="S11" s="120"/>
      <c r="T11" s="117"/>
      <c r="U11" s="117"/>
      <c r="V11" s="117"/>
      <c r="W11" s="122">
        <f t="shared" si="4"/>
        <v>0</v>
      </c>
      <c r="X11" s="123"/>
      <c r="Y11" s="123"/>
      <c r="Z11" s="120">
        <f t="shared" si="2"/>
        <v>0</v>
      </c>
      <c r="AA11" s="131"/>
      <c r="AB11" s="63" t="s">
        <v>128</v>
      </c>
      <c r="AC11" s="125">
        <f t="shared" si="3"/>
        <v>0</v>
      </c>
      <c r="AF11" s="141"/>
    </row>
    <row r="12" ht="22.5" customHeight="1">
      <c r="A12" s="1" t="s">
        <v>18</v>
      </c>
      <c r="B12" s="1"/>
      <c r="C12" s="134">
        <f>'R7.3'!AC12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  <c r="AF12" s="141"/>
    </row>
    <row r="13" ht="22.5" customHeight="1">
      <c r="A13" s="1"/>
      <c r="B13" s="3"/>
      <c r="C13" s="140"/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  <c r="AF13" s="141"/>
    </row>
    <row r="14" ht="22.5" customHeight="1">
      <c r="A14" s="1"/>
      <c r="B14" s="3"/>
      <c r="C14" s="140"/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43"/>
      <c r="AG14" s="133"/>
      <c r="AH14" s="133"/>
      <c r="AI14" s="133"/>
      <c r="AJ14" s="133"/>
    </row>
    <row r="15" ht="22.5" customHeight="1">
      <c r="A15" s="1"/>
      <c r="B15" s="3"/>
      <c r="C15" s="140"/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43"/>
      <c r="AG15" s="133"/>
      <c r="AH15" s="133"/>
      <c r="AI15" s="133"/>
      <c r="AJ15" s="133"/>
    </row>
    <row r="16" ht="22.5" customHeight="1">
      <c r="A16" s="1"/>
      <c r="B16" s="3"/>
      <c r="C16" s="140"/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43"/>
      <c r="AG16" s="133"/>
      <c r="AH16" s="133"/>
      <c r="AI16" s="133"/>
      <c r="AJ16" s="133"/>
    </row>
    <row r="17" ht="22.5" customHeight="1">
      <c r="A17" s="3"/>
      <c r="B17" s="3"/>
      <c r="C17" s="140"/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43"/>
      <c r="AG17" s="133"/>
      <c r="AH17" s="133"/>
      <c r="AI17" s="133"/>
      <c r="AJ17" s="133"/>
    </row>
    <row r="18" ht="22.5" customHeight="1">
      <c r="A18" s="3"/>
      <c r="B18" s="3"/>
      <c r="C18" s="140"/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43"/>
      <c r="AG18" s="133"/>
      <c r="AH18" s="133"/>
      <c r="AI18" s="133"/>
      <c r="AJ18" s="133"/>
    </row>
    <row r="19" ht="22.5" customHeight="1">
      <c r="A19" s="3"/>
      <c r="B19" s="3"/>
      <c r="C19" s="140"/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43"/>
      <c r="AG19" s="133"/>
      <c r="AH19" s="133"/>
      <c r="AI19" s="133"/>
      <c r="AJ19" s="133"/>
    </row>
    <row r="20" ht="22.5" customHeight="1">
      <c r="A20" s="3"/>
      <c r="B20" s="3"/>
      <c r="C20" s="140"/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43"/>
      <c r="AG20" s="133"/>
      <c r="AH20" s="133"/>
      <c r="AI20" s="133"/>
      <c r="AJ20" s="133"/>
    </row>
    <row r="21" ht="22.5" customHeight="1">
      <c r="A21" s="3"/>
      <c r="B21" s="3"/>
      <c r="C21" s="140"/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43"/>
      <c r="AG21" s="133"/>
      <c r="AH21" s="133"/>
      <c r="AI21" s="133"/>
      <c r="AJ21" s="133"/>
    </row>
    <row r="22" ht="22.5" hidden="1" customHeight="1">
      <c r="A22" s="3"/>
      <c r="B22" s="3"/>
      <c r="C22" s="140"/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43"/>
      <c r="AG22" s="133"/>
      <c r="AH22" s="133"/>
      <c r="AI22" s="133"/>
      <c r="AJ22" s="133"/>
    </row>
    <row r="23" ht="22.5" hidden="1" customHeight="1">
      <c r="A23" s="3"/>
      <c r="B23" s="3"/>
      <c r="C23" s="140"/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43"/>
      <c r="AG23" s="133"/>
      <c r="AH23" s="133"/>
      <c r="AI23" s="133"/>
      <c r="AJ23" s="133"/>
    </row>
    <row r="24" ht="22.5" hidden="1" customHeight="1">
      <c r="A24" s="3"/>
      <c r="B24" s="3"/>
      <c r="C24" s="140"/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43"/>
      <c r="AG24" s="133"/>
      <c r="AH24" s="133"/>
      <c r="AI24" s="133"/>
      <c r="AJ24" s="133"/>
    </row>
    <row r="25" ht="22.5" hidden="1" customHeight="1">
      <c r="A25" s="3"/>
      <c r="B25" s="3"/>
      <c r="C25" s="140"/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43"/>
      <c r="AG25" s="133"/>
      <c r="AH25" s="133"/>
      <c r="AI25" s="133"/>
      <c r="AJ25" s="133"/>
    </row>
    <row r="26" ht="22.5" hidden="1" customHeight="1">
      <c r="A26" s="3"/>
      <c r="B26" s="3"/>
      <c r="C26" s="140"/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43"/>
      <c r="AG26" s="133"/>
      <c r="AH26" s="133"/>
      <c r="AI26" s="133"/>
      <c r="AJ26" s="133"/>
    </row>
    <row r="27" ht="22.5" hidden="1" customHeight="1">
      <c r="A27" s="3"/>
      <c r="B27" s="3"/>
      <c r="C27" s="140"/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43"/>
      <c r="AG27" s="133"/>
      <c r="AH27" s="133"/>
      <c r="AI27" s="133"/>
      <c r="AJ27" s="133"/>
    </row>
    <row r="28" ht="22.5" hidden="1" customHeight="1">
      <c r="A28" s="3"/>
      <c r="B28" s="3"/>
      <c r="C28" s="140"/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43"/>
      <c r="AG28" s="133"/>
      <c r="AH28" s="133"/>
      <c r="AI28" s="133"/>
      <c r="AJ28" s="133"/>
    </row>
    <row r="29" ht="22.5" hidden="1" customHeight="1">
      <c r="A29" s="3"/>
      <c r="B29" s="3"/>
      <c r="C29" s="140"/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43"/>
      <c r="AG29" s="133"/>
      <c r="AH29" s="133"/>
      <c r="AI29" s="133"/>
      <c r="AJ29" s="133"/>
    </row>
    <row r="30" ht="22.5" hidden="1" customHeight="1">
      <c r="A30" s="3"/>
      <c r="B30" s="3"/>
      <c r="C30" s="140"/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43"/>
      <c r="AG30" s="133"/>
      <c r="AH30" s="133"/>
      <c r="AI30" s="133"/>
      <c r="AJ30" s="133"/>
    </row>
    <row r="31" ht="22.5" hidden="1" customHeight="1">
      <c r="A31" s="3"/>
      <c r="B31" s="3"/>
      <c r="C31" s="140"/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43"/>
      <c r="AG31" s="133"/>
      <c r="AH31" s="133"/>
      <c r="AI31" s="133"/>
      <c r="AJ31" s="133"/>
    </row>
    <row r="32" ht="22.5" hidden="1" customHeight="1">
      <c r="A32" s="3"/>
      <c r="B32" s="3"/>
      <c r="C32" s="140"/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43"/>
      <c r="AG32" s="133"/>
      <c r="AH32" s="133"/>
      <c r="AI32" s="133"/>
      <c r="AJ32" s="133"/>
    </row>
    <row r="33" ht="22.5" hidden="1" customHeight="1">
      <c r="A33" s="3"/>
      <c r="B33" s="3"/>
      <c r="C33" s="140"/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43"/>
      <c r="AG33" s="133"/>
      <c r="AH33" s="133"/>
      <c r="AI33" s="133"/>
      <c r="AJ33" s="133"/>
    </row>
    <row r="34" ht="22.5" hidden="1" customHeight="1">
      <c r="A34" s="3"/>
      <c r="B34" s="3"/>
      <c r="C34" s="140"/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43"/>
      <c r="AG34" s="133"/>
      <c r="AH34" s="133"/>
      <c r="AI34" s="133"/>
      <c r="AJ34" s="133"/>
    </row>
    <row r="35" ht="22.5" hidden="1" customHeight="1">
      <c r="A35" s="3"/>
      <c r="B35" s="3"/>
      <c r="C35" s="140"/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43"/>
      <c r="AG35" s="133"/>
      <c r="AH35" s="133"/>
      <c r="AI35" s="133"/>
      <c r="AJ35" s="133"/>
    </row>
    <row r="36" ht="22.5" hidden="1" customHeight="1">
      <c r="A36" s="3"/>
      <c r="B36" s="3"/>
      <c r="C36" s="140"/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43"/>
      <c r="AG36" s="133"/>
      <c r="AH36" s="133"/>
      <c r="AI36" s="133"/>
      <c r="AJ36" s="133"/>
    </row>
    <row r="37" ht="22.5" hidden="1" customHeight="1">
      <c r="A37" s="3"/>
      <c r="B37" s="3"/>
      <c r="C37" s="140"/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43"/>
      <c r="AG37" s="133"/>
      <c r="AH37" s="133"/>
      <c r="AI37" s="133"/>
      <c r="AJ37" s="133"/>
    </row>
    <row r="38" ht="22.5" hidden="1" customHeight="1">
      <c r="A38" s="3"/>
      <c r="B38" s="3"/>
      <c r="C38" s="140"/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43"/>
      <c r="AG38" s="133"/>
      <c r="AH38" s="133"/>
      <c r="AI38" s="133"/>
      <c r="AJ38" s="133"/>
    </row>
    <row r="39" ht="22.5" hidden="1" customHeight="1">
      <c r="A39" s="3"/>
      <c r="B39" s="3"/>
      <c r="C39" s="140"/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43"/>
      <c r="AG39" s="133"/>
      <c r="AH39" s="133"/>
      <c r="AI39" s="133"/>
      <c r="AJ39" s="133"/>
    </row>
    <row r="40" ht="22.5" hidden="1" customHeight="1">
      <c r="A40" s="3"/>
      <c r="B40" s="3"/>
      <c r="C40" s="140"/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43"/>
      <c r="AG40" s="133"/>
      <c r="AH40" s="133"/>
      <c r="AI40" s="133"/>
      <c r="AJ40" s="133"/>
    </row>
    <row r="41" ht="22.5" hidden="1" customHeight="1">
      <c r="A41" s="3"/>
      <c r="B41" s="3"/>
      <c r="C41" s="140"/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43"/>
      <c r="AG41" s="133"/>
      <c r="AH41" s="133"/>
      <c r="AI41" s="133"/>
      <c r="AJ41" s="133"/>
    </row>
    <row r="42" ht="22.5" hidden="1" customHeight="1">
      <c r="A42" s="3"/>
      <c r="B42" s="3"/>
      <c r="C42" s="140"/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43"/>
      <c r="AG42" s="133"/>
      <c r="AH42" s="133"/>
      <c r="AI42" s="133"/>
      <c r="AJ42" s="133"/>
    </row>
    <row r="43" ht="22.5" hidden="1" customHeight="1">
      <c r="A43" s="3"/>
      <c r="B43" s="3"/>
      <c r="C43" s="140"/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43"/>
      <c r="AG43" s="133"/>
      <c r="AH43" s="133"/>
      <c r="AI43" s="133"/>
      <c r="AJ43" s="133"/>
    </row>
    <row r="44" ht="22.5" hidden="1" customHeight="1">
      <c r="A44" s="3"/>
      <c r="B44" s="3"/>
      <c r="C44" s="140"/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43"/>
      <c r="AG44" s="133"/>
      <c r="AH44" s="133"/>
      <c r="AI44" s="133"/>
      <c r="AJ44" s="133"/>
    </row>
    <row r="45" ht="22.5" hidden="1" customHeight="1">
      <c r="A45" s="3"/>
      <c r="B45" s="3"/>
      <c r="C45" s="140"/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43"/>
      <c r="AG45" s="133"/>
      <c r="AH45" s="133"/>
      <c r="AI45" s="133"/>
      <c r="AJ45" s="133"/>
    </row>
    <row r="46" ht="22.5" hidden="1" customHeight="1">
      <c r="A46" s="3"/>
      <c r="B46" s="3"/>
      <c r="C46" s="140"/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43"/>
      <c r="AG46" s="133"/>
      <c r="AH46" s="133"/>
      <c r="AI46" s="133"/>
      <c r="AJ46" s="133"/>
    </row>
    <row r="47" ht="22.5" hidden="1" customHeight="1">
      <c r="A47" s="3"/>
      <c r="B47" s="3"/>
      <c r="C47" s="140"/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43"/>
      <c r="AG47" s="133"/>
      <c r="AH47" s="133"/>
      <c r="AI47" s="133"/>
      <c r="AJ47" s="133"/>
    </row>
    <row r="48" ht="22.5" hidden="1" customHeight="1">
      <c r="A48" s="3"/>
      <c r="B48" s="3"/>
      <c r="C48" s="140"/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43"/>
      <c r="AG48" s="133"/>
      <c r="AH48" s="133"/>
      <c r="AI48" s="133"/>
      <c r="AJ48" s="133"/>
    </row>
    <row r="49" ht="22.5" hidden="1" customHeight="1">
      <c r="A49" s="3"/>
      <c r="B49" s="3"/>
      <c r="C49" s="140"/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43"/>
      <c r="AG49" s="133"/>
      <c r="AH49" s="133"/>
      <c r="AI49" s="133"/>
      <c r="AJ49" s="133"/>
    </row>
    <row r="50" ht="22.5" hidden="1" customHeight="1">
      <c r="A50" s="3"/>
      <c r="B50" s="3"/>
      <c r="C50" s="140"/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43"/>
      <c r="AG50" s="133"/>
      <c r="AH50" s="133"/>
      <c r="AI50" s="133"/>
      <c r="AJ50" s="133"/>
    </row>
    <row r="51" ht="22.5" hidden="1" customHeight="1">
      <c r="A51" s="3"/>
      <c r="B51" s="3"/>
      <c r="C51" s="140"/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43"/>
      <c r="AG51" s="133"/>
      <c r="AH51" s="133"/>
      <c r="AI51" s="133"/>
      <c r="AJ51" s="133"/>
    </row>
    <row r="52" ht="22.5" hidden="1" customHeight="1">
      <c r="A52" s="3"/>
      <c r="B52" s="3"/>
      <c r="C52" s="140"/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43"/>
      <c r="AG52" s="133"/>
      <c r="AH52" s="133"/>
      <c r="AI52" s="133"/>
      <c r="AJ52" s="133"/>
    </row>
    <row r="53" ht="22.5" hidden="1" customHeight="1">
      <c r="A53" s="3"/>
      <c r="B53" s="3"/>
      <c r="C53" s="140"/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43"/>
      <c r="AG53" s="133"/>
      <c r="AH53" s="133"/>
      <c r="AI53" s="133"/>
      <c r="AJ53" s="133"/>
    </row>
    <row r="54" ht="22.5" hidden="1" customHeight="1">
      <c r="A54" s="3"/>
      <c r="B54" s="3"/>
      <c r="C54" s="140"/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43"/>
      <c r="AG54" s="133"/>
      <c r="AH54" s="133"/>
      <c r="AI54" s="133"/>
      <c r="AJ54" s="133"/>
    </row>
    <row r="55" ht="22.5" hidden="1" customHeight="1">
      <c r="A55" s="3"/>
      <c r="B55" s="3"/>
      <c r="C55" s="140"/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43"/>
      <c r="AG55" s="133"/>
      <c r="AH55" s="133"/>
      <c r="AI55" s="133"/>
      <c r="AJ55" s="133"/>
    </row>
    <row r="56" ht="22.5" hidden="1" customHeight="1">
      <c r="A56" s="3"/>
      <c r="B56" s="3"/>
      <c r="C56" s="140"/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43"/>
      <c r="AG56" s="133"/>
      <c r="AH56" s="133"/>
      <c r="AI56" s="133"/>
      <c r="AJ56" s="133"/>
    </row>
    <row r="57" ht="22.5" hidden="1" customHeight="1">
      <c r="A57" s="3"/>
      <c r="B57" s="3"/>
      <c r="C57" s="140"/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43"/>
      <c r="AG57" s="133"/>
      <c r="AH57" s="133"/>
      <c r="AI57" s="133"/>
      <c r="AJ57" s="133"/>
    </row>
    <row r="58" ht="22.5" hidden="1" customHeight="1">
      <c r="A58" s="3"/>
      <c r="B58" s="3"/>
      <c r="C58" s="140"/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43"/>
      <c r="AG58" s="133"/>
      <c r="AH58" s="133"/>
      <c r="AI58" s="133"/>
      <c r="AJ58" s="133"/>
    </row>
    <row r="59" ht="22.5" hidden="1" customHeight="1">
      <c r="A59" s="3"/>
      <c r="B59" s="3"/>
      <c r="C59" s="140"/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43"/>
      <c r="AG59" s="133"/>
      <c r="AH59" s="133"/>
      <c r="AI59" s="133"/>
      <c r="AJ59" s="133"/>
    </row>
    <row r="60" ht="22.5" hidden="1" customHeight="1">
      <c r="A60" s="3"/>
      <c r="B60" s="3"/>
      <c r="C60" s="140"/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43"/>
      <c r="AG60" s="133"/>
      <c r="AH60" s="133"/>
      <c r="AI60" s="133"/>
      <c r="AJ60" s="133"/>
    </row>
    <row r="61" ht="22.5" hidden="1" customHeight="1">
      <c r="A61" s="3"/>
      <c r="B61" s="3"/>
      <c r="C61" s="140"/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43"/>
      <c r="AG61" s="133"/>
      <c r="AH61" s="133"/>
      <c r="AI61" s="133"/>
      <c r="AJ61" s="133"/>
    </row>
    <row r="62" ht="22.5" hidden="1" customHeight="1">
      <c r="A62" s="3"/>
      <c r="B62" s="3"/>
      <c r="C62" s="140"/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43"/>
      <c r="AG62" s="133"/>
      <c r="AH62" s="133"/>
      <c r="AI62" s="133"/>
      <c r="AJ62" s="133"/>
    </row>
    <row r="63" ht="22.5" hidden="1" customHeight="1">
      <c r="A63" s="3"/>
      <c r="B63" s="3"/>
      <c r="C63" s="140"/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43"/>
      <c r="AG63" s="133"/>
      <c r="AH63" s="133"/>
      <c r="AI63" s="133"/>
      <c r="AJ63" s="133"/>
    </row>
    <row r="64" ht="22.5" hidden="1" customHeight="1">
      <c r="A64" s="3"/>
      <c r="B64" s="3"/>
      <c r="C64" s="140"/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43"/>
      <c r="AG64" s="133"/>
      <c r="AH64" s="133"/>
      <c r="AI64" s="133"/>
      <c r="AJ64" s="133"/>
    </row>
    <row r="65" ht="22.5" hidden="1" customHeight="1">
      <c r="A65" s="3"/>
      <c r="B65" s="3"/>
      <c r="C65" s="140"/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43"/>
      <c r="AG65" s="133"/>
      <c r="AH65" s="133"/>
      <c r="AI65" s="133"/>
      <c r="AJ65" s="133"/>
    </row>
    <row r="66" ht="22.5" hidden="1" customHeight="1">
      <c r="A66" s="3"/>
      <c r="B66" s="3"/>
      <c r="C66" s="140"/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43"/>
      <c r="AG66" s="133"/>
      <c r="AH66" s="133"/>
      <c r="AI66" s="133"/>
      <c r="AJ66" s="133"/>
    </row>
    <row r="67" ht="22.5" hidden="1" customHeight="1">
      <c r="A67" s="3"/>
      <c r="B67" s="3"/>
      <c r="C67" s="140"/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43"/>
      <c r="AG67" s="133"/>
      <c r="AH67" s="133"/>
      <c r="AI67" s="133"/>
      <c r="AJ67" s="133"/>
    </row>
    <row r="68" ht="22.5" hidden="1" customHeight="1">
      <c r="A68" s="3"/>
      <c r="B68" s="3"/>
      <c r="C68" s="140"/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43"/>
      <c r="AG68" s="133"/>
      <c r="AH68" s="133"/>
      <c r="AI68" s="133"/>
      <c r="AJ68" s="133"/>
    </row>
    <row r="69" ht="22.5" hidden="1" customHeight="1">
      <c r="A69" s="3"/>
      <c r="B69" s="3"/>
      <c r="C69" s="140"/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43"/>
      <c r="AG69" s="133"/>
      <c r="AH69" s="133"/>
      <c r="AI69" s="133"/>
      <c r="AJ69" s="133"/>
    </row>
    <row r="70" ht="22.5" hidden="1" customHeight="1">
      <c r="A70" s="3"/>
      <c r="B70" s="3"/>
      <c r="C70" s="140"/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43"/>
      <c r="AG70" s="133"/>
      <c r="AH70" s="133"/>
      <c r="AI70" s="133"/>
      <c r="AJ70" s="133"/>
    </row>
    <row r="71" ht="22.5" hidden="1" customHeight="1">
      <c r="A71" s="3"/>
      <c r="B71" s="3"/>
      <c r="C71" s="140"/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43"/>
      <c r="AG71" s="133"/>
      <c r="AH71" s="133"/>
      <c r="AI71" s="133"/>
      <c r="AJ71" s="133"/>
    </row>
    <row r="72" ht="22.5" hidden="1" customHeight="1">
      <c r="A72" s="3"/>
      <c r="B72" s="3"/>
      <c r="C72" s="140"/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43"/>
      <c r="AG72" s="133"/>
      <c r="AH72" s="133"/>
      <c r="AI72" s="133"/>
      <c r="AJ72" s="133"/>
    </row>
    <row r="73" ht="22.5" hidden="1" customHeight="1">
      <c r="A73" s="3"/>
      <c r="B73" s="3"/>
      <c r="C73" s="140"/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43"/>
      <c r="AG73" s="133"/>
      <c r="AH73" s="133"/>
      <c r="AI73" s="133"/>
      <c r="AJ73" s="133"/>
    </row>
    <row r="74" ht="22.5" hidden="1" customHeight="1">
      <c r="A74" s="3"/>
      <c r="B74" s="3"/>
      <c r="C74" s="140"/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43"/>
      <c r="AG74" s="133"/>
      <c r="AH74" s="133"/>
      <c r="AI74" s="133"/>
      <c r="AJ74" s="133"/>
    </row>
    <row r="75" ht="22.5" hidden="1" customHeight="1">
      <c r="A75" s="3"/>
      <c r="B75" s="3"/>
      <c r="C75" s="140"/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43"/>
      <c r="AG75" s="133"/>
      <c r="AH75" s="133"/>
      <c r="AI75" s="133"/>
      <c r="AJ75" s="133"/>
    </row>
    <row r="76" ht="22.5" hidden="1" customHeight="1">
      <c r="A76" s="3"/>
      <c r="B76" s="3"/>
      <c r="C76" s="140"/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43"/>
      <c r="AG76" s="133"/>
      <c r="AH76" s="133"/>
      <c r="AI76" s="133"/>
      <c r="AJ76" s="133"/>
    </row>
    <row r="77" ht="22.5" hidden="1" customHeight="1">
      <c r="A77" s="3"/>
      <c r="B77" s="3"/>
      <c r="C77" s="140"/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43"/>
      <c r="AG77" s="133"/>
      <c r="AH77" s="133"/>
      <c r="AI77" s="133"/>
      <c r="AJ77" s="133"/>
    </row>
    <row r="78" ht="22.5" hidden="1" customHeight="1">
      <c r="A78" s="3"/>
      <c r="B78" s="3"/>
      <c r="C78" s="140"/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43"/>
      <c r="AG78" s="133"/>
      <c r="AH78" s="133"/>
      <c r="AI78" s="133"/>
      <c r="AJ78" s="133"/>
    </row>
    <row r="79" ht="22.5" hidden="1" customHeight="1">
      <c r="A79" s="3"/>
      <c r="B79" s="3"/>
      <c r="C79" s="140"/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43"/>
      <c r="AG79" s="133"/>
      <c r="AH79" s="133"/>
      <c r="AI79" s="133"/>
      <c r="AJ79" s="133"/>
    </row>
    <row r="80" ht="22.5" hidden="1" customHeight="1">
      <c r="A80" s="3"/>
      <c r="B80" s="3"/>
      <c r="C80" s="140"/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43"/>
      <c r="AG80" s="133"/>
      <c r="AH80" s="133"/>
      <c r="AI80" s="133"/>
      <c r="AJ80" s="133"/>
    </row>
    <row r="81" ht="22.5" hidden="1" customHeight="1">
      <c r="A81" s="3"/>
      <c r="B81" s="3"/>
      <c r="C81" s="140"/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43"/>
      <c r="AG81" s="133"/>
      <c r="AH81" s="133"/>
      <c r="AI81" s="133"/>
      <c r="AJ81" s="133"/>
    </row>
    <row r="82" ht="22.5" hidden="1" customHeight="1">
      <c r="A82" s="3"/>
      <c r="B82" s="3"/>
      <c r="C82" s="140"/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43"/>
      <c r="AG82" s="133"/>
      <c r="AH82" s="133"/>
      <c r="AI82" s="133"/>
      <c r="AJ82" s="133"/>
    </row>
    <row r="83" ht="22.5" hidden="1" customHeight="1">
      <c r="A83" s="3"/>
      <c r="B83" s="3"/>
      <c r="C83" s="140"/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43"/>
      <c r="AG83" s="133"/>
      <c r="AH83" s="133"/>
      <c r="AI83" s="133"/>
      <c r="AJ83" s="133"/>
    </row>
    <row r="84" ht="22.5" hidden="1" customHeight="1">
      <c r="A84" s="3"/>
      <c r="B84" s="3"/>
      <c r="C84" s="140"/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43"/>
      <c r="AG84" s="133"/>
      <c r="AH84" s="133"/>
      <c r="AI84" s="133"/>
      <c r="AJ84" s="133"/>
    </row>
    <row r="85" ht="22.5" hidden="1" customHeight="1">
      <c r="A85" s="3"/>
      <c r="B85" s="3"/>
      <c r="C85" s="140"/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43"/>
      <c r="AG85" s="133"/>
      <c r="AH85" s="133"/>
      <c r="AI85" s="133"/>
      <c r="AJ85" s="133"/>
    </row>
    <row r="86" ht="22.5" hidden="1" customHeight="1">
      <c r="A86" s="3"/>
      <c r="B86" s="3"/>
      <c r="C86" s="140"/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43"/>
      <c r="AG86" s="133"/>
      <c r="AH86" s="133"/>
      <c r="AI86" s="133"/>
      <c r="AJ86" s="133"/>
    </row>
    <row r="87" ht="22.5" hidden="1" customHeight="1">
      <c r="A87" s="3"/>
      <c r="B87" s="3"/>
      <c r="C87" s="140"/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43"/>
      <c r="AG87" s="133"/>
      <c r="AH87" s="133"/>
      <c r="AI87" s="133"/>
      <c r="AJ87" s="133"/>
    </row>
    <row r="88" ht="22.5" hidden="1" customHeight="1">
      <c r="A88" s="3"/>
      <c r="B88" s="3"/>
      <c r="C88" s="140"/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43"/>
      <c r="AG88" s="133"/>
      <c r="AH88" s="133"/>
      <c r="AI88" s="133"/>
      <c r="AJ88" s="133"/>
    </row>
    <row r="89" ht="22.5" hidden="1" customHeight="1">
      <c r="A89" s="3"/>
      <c r="B89" s="3"/>
      <c r="C89" s="140"/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43"/>
      <c r="AG89" s="133"/>
      <c r="AH89" s="133"/>
      <c r="AI89" s="133"/>
      <c r="AJ89" s="133"/>
    </row>
    <row r="90" ht="22.5" hidden="1" customHeight="1">
      <c r="A90" s="3"/>
      <c r="B90" s="3"/>
      <c r="C90" s="140"/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43"/>
      <c r="AG90" s="133"/>
      <c r="AH90" s="133"/>
      <c r="AI90" s="133"/>
      <c r="AJ90" s="133"/>
    </row>
    <row r="91" ht="22.5" hidden="1" customHeight="1">
      <c r="A91" s="3"/>
      <c r="B91" s="3"/>
      <c r="C91" s="140"/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43"/>
      <c r="AG91" s="133"/>
      <c r="AH91" s="133"/>
      <c r="AI91" s="133"/>
      <c r="AJ91" s="133"/>
    </row>
    <row r="92" ht="22.5" hidden="1" customHeight="1">
      <c r="A92" s="3"/>
      <c r="B92" s="3"/>
      <c r="C92" s="140"/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43"/>
      <c r="AG92" s="133"/>
      <c r="AH92" s="133"/>
      <c r="AI92" s="133"/>
      <c r="AJ92" s="133"/>
    </row>
    <row r="93" ht="22.5" hidden="1" customHeight="1">
      <c r="A93" s="3"/>
      <c r="B93" s="3"/>
      <c r="C93" s="140"/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43"/>
      <c r="AG93" s="133"/>
      <c r="AH93" s="133"/>
      <c r="AI93" s="133"/>
      <c r="AJ93" s="133"/>
    </row>
    <row r="94" ht="22.5" hidden="1" customHeight="1">
      <c r="A94" s="3"/>
      <c r="B94" s="3"/>
      <c r="C94" s="140"/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43"/>
      <c r="AG94" s="133"/>
      <c r="AH94" s="133"/>
      <c r="AI94" s="133"/>
      <c r="AJ94" s="133"/>
    </row>
    <row r="95" ht="22.5" hidden="1" customHeight="1">
      <c r="A95" s="3"/>
      <c r="B95" s="3"/>
      <c r="C95" s="140"/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43"/>
      <c r="AG95" s="133"/>
      <c r="AH95" s="133"/>
      <c r="AI95" s="133"/>
      <c r="AJ95" s="133"/>
    </row>
    <row r="96" ht="22.5" hidden="1" customHeight="1">
      <c r="A96" s="3"/>
      <c r="B96" s="3"/>
      <c r="C96" s="140"/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43"/>
      <c r="AG96" s="133"/>
      <c r="AH96" s="133"/>
      <c r="AI96" s="133"/>
      <c r="AJ96" s="133"/>
    </row>
    <row r="97" ht="22.5" hidden="1" customHeight="1">
      <c r="A97" s="3"/>
      <c r="B97" s="3"/>
      <c r="C97" s="140"/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43"/>
      <c r="AG97" s="133"/>
      <c r="AH97" s="133"/>
      <c r="AI97" s="133"/>
      <c r="AJ97" s="133"/>
    </row>
    <row r="98" ht="22.5" hidden="1" customHeight="1">
      <c r="A98" s="3"/>
      <c r="B98" s="3"/>
      <c r="C98" s="140"/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43"/>
      <c r="AG98" s="133"/>
      <c r="AH98" s="133"/>
      <c r="AI98" s="133"/>
      <c r="AJ98" s="133"/>
    </row>
    <row r="99" ht="22.5" hidden="1" customHeight="1">
      <c r="A99" s="3"/>
      <c r="B99" s="3"/>
      <c r="C99" s="140"/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43"/>
      <c r="AG99" s="133"/>
      <c r="AH99" s="133"/>
      <c r="AI99" s="133"/>
      <c r="AJ99" s="133"/>
    </row>
    <row r="100" ht="22.5" hidden="1" customHeight="1">
      <c r="A100" s="3"/>
      <c r="B100" s="3"/>
      <c r="C100" s="140"/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43"/>
      <c r="AG100" s="133"/>
      <c r="AH100" s="133"/>
      <c r="AI100" s="133"/>
      <c r="AJ100" s="133"/>
    </row>
    <row r="101" ht="22.5" hidden="1" customHeight="1">
      <c r="A101" s="3"/>
      <c r="B101" s="3"/>
      <c r="C101" s="140"/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43"/>
      <c r="AG101" s="133"/>
      <c r="AH101" s="133"/>
      <c r="AI101" s="133"/>
      <c r="AJ101" s="133"/>
    </row>
    <row r="102" ht="22.5" hidden="1" customHeight="1">
      <c r="A102" s="3"/>
      <c r="B102" s="3"/>
      <c r="C102" s="140"/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43"/>
      <c r="AG102" s="133"/>
      <c r="AH102" s="133"/>
      <c r="AI102" s="133"/>
      <c r="AJ102" s="133"/>
    </row>
    <row r="103" ht="22.5" hidden="1" customHeight="1">
      <c r="A103" s="3"/>
      <c r="B103" s="3"/>
      <c r="C103" s="140"/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43"/>
      <c r="AG103" s="133"/>
      <c r="AH103" s="133"/>
      <c r="AI103" s="133"/>
      <c r="AJ103" s="133"/>
    </row>
    <row r="104" ht="22.5" hidden="1" customHeight="1">
      <c r="A104" s="3"/>
      <c r="B104" s="3"/>
      <c r="C104" s="140"/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43"/>
      <c r="AG104" s="133"/>
      <c r="AH104" s="133"/>
      <c r="AI104" s="133"/>
      <c r="AJ104" s="133"/>
    </row>
    <row r="105" ht="22.5" hidden="1" customHeight="1">
      <c r="A105" s="3"/>
      <c r="B105" s="3"/>
      <c r="C105" s="140"/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43"/>
      <c r="AG105" s="133"/>
      <c r="AH105" s="133"/>
      <c r="AI105" s="133"/>
      <c r="AJ105" s="133"/>
    </row>
    <row r="106" ht="22.5" hidden="1" customHeight="1">
      <c r="A106" s="3"/>
      <c r="B106" s="3"/>
      <c r="C106" s="140"/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43"/>
      <c r="AG106" s="133"/>
      <c r="AH106" s="133"/>
      <c r="AI106" s="133"/>
      <c r="AJ106" s="133"/>
    </row>
    <row r="107" ht="22.5" hidden="1" customHeight="1">
      <c r="A107" s="3"/>
      <c r="B107" s="3"/>
      <c r="C107" s="140"/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43"/>
      <c r="AG107" s="133"/>
      <c r="AH107" s="133"/>
      <c r="AI107" s="133"/>
      <c r="AJ107" s="133"/>
    </row>
    <row r="108" ht="22.5" hidden="1" customHeight="1">
      <c r="A108" s="3"/>
      <c r="B108" s="3"/>
      <c r="C108" s="140"/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43"/>
      <c r="AG108" s="133"/>
      <c r="AH108" s="133"/>
      <c r="AI108" s="133"/>
      <c r="AJ108" s="133"/>
    </row>
    <row r="109" ht="22.5" customHeight="1">
      <c r="A109" s="3"/>
      <c r="B109" s="3"/>
      <c r="C109" s="140"/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4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5">SUM(D3:D109)</f>
        <v>40000</v>
      </c>
      <c r="E110" s="120">
        <f t="shared" si="5"/>
        <v>5000</v>
      </c>
      <c r="F110" s="120">
        <f t="shared" si="5"/>
        <v>5000</v>
      </c>
      <c r="G110" s="120">
        <f t="shared" si="5"/>
        <v>2000</v>
      </c>
      <c r="H110" s="120">
        <f t="shared" si="5"/>
        <v>0</v>
      </c>
      <c r="I110" s="120">
        <f t="shared" si="5"/>
        <v>42900</v>
      </c>
      <c r="J110" s="135">
        <f t="shared" si="5"/>
        <v>0</v>
      </c>
      <c r="K110" s="120">
        <f t="shared" si="5"/>
        <v>0</v>
      </c>
      <c r="L110" s="120">
        <f t="shared" si="5"/>
        <v>0</v>
      </c>
      <c r="M110" s="120">
        <f t="shared" si="5"/>
        <v>10000</v>
      </c>
      <c r="N110" s="120">
        <f t="shared" si="5"/>
        <v>0</v>
      </c>
      <c r="O110" s="120">
        <f t="shared" si="5"/>
        <v>0</v>
      </c>
      <c r="P110" s="120">
        <f t="shared" si="5"/>
        <v>0</v>
      </c>
      <c r="Q110" s="120">
        <f t="shared" si="5"/>
        <v>0</v>
      </c>
      <c r="R110" s="120">
        <f t="shared" si="5"/>
        <v>0</v>
      </c>
      <c r="S110" s="120">
        <f t="shared" si="5"/>
        <v>5100</v>
      </c>
      <c r="T110" s="120">
        <f t="shared" si="5"/>
        <v>0</v>
      </c>
      <c r="U110" s="120">
        <f t="shared" si="5"/>
        <v>0</v>
      </c>
      <c r="V110" s="120">
        <f t="shared" si="5"/>
        <v>40000</v>
      </c>
      <c r="W110" s="122">
        <f t="shared" si="4"/>
        <v>150000</v>
      </c>
      <c r="X110" s="120">
        <f t="shared" ref="X110:Y110" si="6">SUM(X3:X109)</f>
        <v>0</v>
      </c>
      <c r="Y110" s="120">
        <f t="shared" si="6"/>
        <v>0</v>
      </c>
      <c r="Z110" s="120">
        <f t="shared" si="2"/>
        <v>150000</v>
      </c>
      <c r="AA110" s="124"/>
      <c r="AC110" s="136"/>
      <c r="AF110" s="141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  <c r="AF111" s="141"/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AF112" s="141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AF113" s="141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AF114" s="141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AF115" s="141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AF116" s="141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AF117" s="141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AF118" s="141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AF119" s="141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AF120" s="141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AF121" s="141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AF122" s="141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AF123" s="141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AF124" s="141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AF125" s="141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AF126" s="141"/>
    </row>
    <row r="127" ht="15.75" customHeight="1">
      <c r="A127" s="114"/>
      <c r="B127" s="114"/>
      <c r="AF127" s="141"/>
    </row>
    <row r="128" ht="15.75" customHeight="1">
      <c r="A128" s="114"/>
      <c r="B128" s="114"/>
      <c r="AF128" s="141"/>
    </row>
    <row r="129" ht="15.75" customHeight="1">
      <c r="A129" s="114"/>
      <c r="B129" s="114"/>
      <c r="AF129" s="141"/>
    </row>
    <row r="130" ht="15.75" customHeight="1">
      <c r="A130" s="114"/>
      <c r="B130" s="114"/>
      <c r="AF130" s="141"/>
    </row>
    <row r="131" ht="15.75" customHeight="1">
      <c r="A131" s="114"/>
      <c r="B131" s="114"/>
      <c r="AF131" s="141"/>
    </row>
    <row r="132" ht="15.75" customHeight="1">
      <c r="A132" s="114"/>
      <c r="B132" s="114"/>
      <c r="AF132" s="141"/>
    </row>
    <row r="133" ht="15.75" customHeight="1">
      <c r="A133" s="114"/>
      <c r="B133" s="114"/>
      <c r="AF133" s="141"/>
    </row>
    <row r="134" ht="15.75" customHeight="1">
      <c r="A134" s="114"/>
      <c r="B134" s="114"/>
      <c r="AF134" s="141"/>
    </row>
    <row r="135" ht="15.75" customHeight="1">
      <c r="A135" s="114"/>
      <c r="B135" s="114"/>
      <c r="AF135" s="141"/>
    </row>
    <row r="136" ht="15.75" customHeight="1">
      <c r="A136" s="114"/>
      <c r="B136" s="114"/>
      <c r="AF136" s="141"/>
    </row>
    <row r="137" ht="15.75" customHeight="1">
      <c r="A137" s="114"/>
      <c r="B137" s="114"/>
      <c r="AF137" s="141"/>
    </row>
    <row r="138" ht="15.75" customHeight="1">
      <c r="A138" s="114"/>
      <c r="B138" s="114"/>
      <c r="AF138" s="141"/>
    </row>
    <row r="139" ht="15.75" customHeight="1">
      <c r="A139" s="114"/>
      <c r="B139" s="114"/>
      <c r="AF139" s="141"/>
    </row>
    <row r="140" ht="15.75" customHeight="1">
      <c r="A140" s="114"/>
      <c r="B140" s="114"/>
      <c r="AF140" s="141"/>
    </row>
    <row r="141" ht="15.75" customHeight="1">
      <c r="A141" s="114"/>
      <c r="B141" s="114"/>
      <c r="AF141" s="141"/>
    </row>
    <row r="142" ht="15.75" customHeight="1">
      <c r="A142" s="114"/>
      <c r="B142" s="114"/>
      <c r="AF142" s="141"/>
    </row>
    <row r="143" ht="15.75" customHeight="1">
      <c r="A143" s="114"/>
      <c r="B143" s="114"/>
      <c r="AF143" s="141"/>
    </row>
    <row r="144" ht="15.75" customHeight="1">
      <c r="A144" s="114"/>
      <c r="B144" s="114"/>
      <c r="AF144" s="141"/>
    </row>
    <row r="145" ht="15.75" customHeight="1">
      <c r="A145" s="114"/>
      <c r="B145" s="114"/>
      <c r="AF145" s="141"/>
    </row>
    <row r="146" ht="15.75" customHeight="1">
      <c r="A146" s="114"/>
      <c r="B146" s="114"/>
      <c r="AF146" s="141"/>
    </row>
    <row r="147" ht="15.75" customHeight="1">
      <c r="A147" s="114"/>
      <c r="B147" s="114"/>
      <c r="AF147" s="141"/>
    </row>
    <row r="148" ht="15.75" customHeight="1">
      <c r="A148" s="114"/>
      <c r="B148" s="114"/>
      <c r="AF148" s="141"/>
    </row>
    <row r="149" ht="15.75" customHeight="1">
      <c r="A149" s="114"/>
      <c r="B149" s="114"/>
      <c r="AF149" s="141"/>
    </row>
    <row r="150" ht="15.75" customHeight="1">
      <c r="A150" s="114"/>
      <c r="B150" s="114"/>
      <c r="AF150" s="141"/>
    </row>
    <row r="151" ht="15.75" customHeight="1">
      <c r="A151" s="114"/>
      <c r="B151" s="114"/>
      <c r="AF151" s="141"/>
    </row>
    <row r="152" ht="15.75" customHeight="1">
      <c r="A152" s="114"/>
      <c r="B152" s="114"/>
      <c r="AF152" s="141"/>
    </row>
    <row r="153" ht="15.75" customHeight="1">
      <c r="A153" s="114"/>
      <c r="B153" s="114"/>
      <c r="AF153" s="141"/>
    </row>
    <row r="154" ht="15.75" customHeight="1">
      <c r="A154" s="114"/>
      <c r="B154" s="114"/>
      <c r="AF154" s="141"/>
    </row>
    <row r="155" ht="15.75" customHeight="1">
      <c r="A155" s="114"/>
      <c r="B155" s="114"/>
      <c r="AF155" s="141"/>
    </row>
    <row r="156" ht="15.75" customHeight="1">
      <c r="A156" s="114"/>
      <c r="B156" s="114"/>
      <c r="AF156" s="141"/>
    </row>
    <row r="157" ht="15.75" customHeight="1">
      <c r="A157" s="114"/>
      <c r="B157" s="114"/>
      <c r="AF157" s="141"/>
    </row>
    <row r="158" ht="15.75" customHeight="1">
      <c r="A158" s="114"/>
      <c r="B158" s="114"/>
      <c r="AF158" s="141"/>
    </row>
    <row r="159" ht="15.75" customHeight="1">
      <c r="A159" s="114"/>
      <c r="B159" s="114"/>
      <c r="AF159" s="141"/>
    </row>
    <row r="160" ht="15.75" customHeight="1">
      <c r="A160" s="114"/>
      <c r="B160" s="114"/>
      <c r="AF160" s="141"/>
    </row>
    <row r="161" ht="15.75" customHeight="1">
      <c r="A161" s="114"/>
      <c r="B161" s="114"/>
      <c r="AF161" s="141"/>
    </row>
    <row r="162" ht="15.75" customHeight="1">
      <c r="A162" s="114"/>
      <c r="B162" s="114"/>
      <c r="AF162" s="141"/>
    </row>
    <row r="163" ht="15.75" customHeight="1">
      <c r="A163" s="114"/>
      <c r="B163" s="114"/>
      <c r="AF163" s="141"/>
    </row>
    <row r="164" ht="15.75" customHeight="1">
      <c r="A164" s="114"/>
      <c r="B164" s="114"/>
      <c r="AF164" s="141"/>
    </row>
    <row r="165" ht="15.75" customHeight="1">
      <c r="A165" s="114"/>
      <c r="B165" s="114"/>
      <c r="AF165" s="141"/>
    </row>
    <row r="166" ht="15.75" customHeight="1">
      <c r="A166" s="114"/>
      <c r="B166" s="114"/>
      <c r="AF166" s="141"/>
    </row>
    <row r="167" ht="15.75" customHeight="1">
      <c r="A167" s="114"/>
      <c r="B167" s="114"/>
      <c r="AF167" s="141"/>
    </row>
    <row r="168" ht="15.75" customHeight="1">
      <c r="A168" s="114"/>
      <c r="B168" s="114"/>
      <c r="AF168" s="141"/>
    </row>
    <row r="169" ht="15.75" customHeight="1">
      <c r="A169" s="114"/>
      <c r="B169" s="114"/>
      <c r="AF169" s="141"/>
    </row>
    <row r="170" ht="15.75" customHeight="1">
      <c r="A170" s="114"/>
      <c r="B170" s="114"/>
      <c r="AF170" s="141"/>
    </row>
    <row r="171" ht="15.75" customHeight="1">
      <c r="A171" s="114"/>
      <c r="B171" s="114"/>
      <c r="AF171" s="141"/>
    </row>
    <row r="172" ht="15.75" customHeight="1">
      <c r="A172" s="114"/>
      <c r="B172" s="114"/>
      <c r="AF172" s="141"/>
    </row>
    <row r="173" ht="15.75" customHeight="1">
      <c r="A173" s="114"/>
      <c r="B173" s="114"/>
      <c r="AF173" s="141"/>
    </row>
    <row r="174" ht="15.75" customHeight="1">
      <c r="A174" s="114"/>
      <c r="B174" s="114"/>
      <c r="AF174" s="141"/>
    </row>
    <row r="175" ht="15.75" customHeight="1">
      <c r="A175" s="114"/>
      <c r="B175" s="114"/>
      <c r="AF175" s="141"/>
    </row>
    <row r="176" ht="15.75" customHeight="1">
      <c r="A176" s="114"/>
      <c r="B176" s="114"/>
      <c r="AF176" s="141"/>
    </row>
    <row r="177" ht="15.75" customHeight="1">
      <c r="A177" s="114"/>
      <c r="B177" s="114"/>
      <c r="AF177" s="141"/>
    </row>
    <row r="178" ht="15.75" customHeight="1">
      <c r="A178" s="114"/>
      <c r="B178" s="114"/>
      <c r="AF178" s="141"/>
    </row>
    <row r="179" ht="15.75" customHeight="1">
      <c r="A179" s="114"/>
      <c r="B179" s="114"/>
      <c r="AF179" s="141"/>
    </row>
    <row r="180" ht="15.75" customHeight="1">
      <c r="A180" s="114"/>
      <c r="B180" s="114"/>
      <c r="AF180" s="141"/>
    </row>
    <row r="181" ht="15.75" customHeight="1">
      <c r="A181" s="114"/>
      <c r="B181" s="114"/>
      <c r="AF181" s="141"/>
    </row>
    <row r="182" ht="15.75" customHeight="1">
      <c r="A182" s="114"/>
      <c r="B182" s="114"/>
      <c r="AF182" s="141"/>
    </row>
    <row r="183" ht="15.75" customHeight="1">
      <c r="A183" s="114"/>
      <c r="B183" s="114"/>
      <c r="AF183" s="141"/>
    </row>
    <row r="184" ht="15.75" customHeight="1">
      <c r="A184" s="114"/>
      <c r="B184" s="114"/>
      <c r="AF184" s="141"/>
    </row>
    <row r="185" ht="15.75" customHeight="1">
      <c r="A185" s="114"/>
      <c r="B185" s="114"/>
      <c r="AF185" s="141"/>
    </row>
    <row r="186" ht="15.75" customHeight="1">
      <c r="A186" s="114"/>
      <c r="B186" s="114"/>
      <c r="AF186" s="141"/>
    </row>
    <row r="187" ht="15.75" customHeight="1">
      <c r="A187" s="114"/>
      <c r="B187" s="114"/>
      <c r="AF187" s="141"/>
    </row>
    <row r="188" ht="15.75" customHeight="1">
      <c r="A188" s="114"/>
      <c r="B188" s="114"/>
      <c r="AF188" s="141"/>
    </row>
    <row r="189" ht="15.75" customHeight="1">
      <c r="A189" s="114"/>
      <c r="B189" s="114"/>
      <c r="AF189" s="141"/>
    </row>
    <row r="190" ht="15.75" customHeight="1">
      <c r="A190" s="114"/>
      <c r="B190" s="114"/>
      <c r="AF190" s="141"/>
    </row>
    <row r="191" ht="15.75" customHeight="1">
      <c r="A191" s="114"/>
      <c r="B191" s="114"/>
      <c r="AF191" s="141"/>
    </row>
    <row r="192" ht="15.75" customHeight="1">
      <c r="A192" s="114"/>
      <c r="B192" s="114"/>
      <c r="AF192" s="141"/>
    </row>
    <row r="193" ht="15.75" customHeight="1">
      <c r="A193" s="114"/>
      <c r="B193" s="114"/>
      <c r="AF193" s="141"/>
    </row>
    <row r="194" ht="15.75" customHeight="1">
      <c r="A194" s="114"/>
      <c r="B194" s="114"/>
      <c r="AF194" s="141"/>
    </row>
    <row r="195" ht="15.75" customHeight="1">
      <c r="A195" s="114"/>
      <c r="B195" s="114"/>
      <c r="AF195" s="141"/>
    </row>
    <row r="196" ht="15.75" customHeight="1">
      <c r="A196" s="114"/>
      <c r="B196" s="114"/>
      <c r="AF196" s="141"/>
    </row>
    <row r="197" ht="15.75" customHeight="1">
      <c r="A197" s="114"/>
      <c r="B197" s="114"/>
      <c r="AF197" s="141"/>
    </row>
    <row r="198" ht="15.75" customHeight="1">
      <c r="A198" s="114"/>
      <c r="B198" s="114"/>
      <c r="AF198" s="141"/>
    </row>
    <row r="199" ht="15.75" customHeight="1">
      <c r="A199" s="114"/>
      <c r="B199" s="114"/>
      <c r="AF199" s="141"/>
    </row>
    <row r="200" ht="15.75" customHeight="1">
      <c r="A200" s="114"/>
      <c r="B200" s="114"/>
      <c r="AF200" s="141"/>
    </row>
    <row r="201" ht="15.75" customHeight="1">
      <c r="A201" s="114"/>
      <c r="B201" s="114"/>
      <c r="AF201" s="141"/>
    </row>
    <row r="202" ht="15.75" customHeight="1">
      <c r="A202" s="114"/>
      <c r="B202" s="114"/>
      <c r="AF202" s="141"/>
    </row>
    <row r="203" ht="15.75" customHeight="1">
      <c r="A203" s="114"/>
      <c r="B203" s="114"/>
      <c r="AF203" s="141"/>
    </row>
    <row r="204" ht="15.75" customHeight="1">
      <c r="A204" s="114"/>
      <c r="B204" s="114"/>
      <c r="AF204" s="141"/>
    </row>
    <row r="205" ht="15.75" customHeight="1">
      <c r="A205" s="114"/>
      <c r="B205" s="114"/>
      <c r="AF205" s="141"/>
    </row>
    <row r="206" ht="15.75" customHeight="1">
      <c r="A206" s="114"/>
      <c r="B206" s="114"/>
      <c r="AF206" s="141"/>
    </row>
    <row r="207" ht="15.75" customHeight="1">
      <c r="A207" s="114"/>
      <c r="B207" s="114"/>
      <c r="AF207" s="141"/>
    </row>
    <row r="208" ht="15.75" customHeight="1">
      <c r="A208" s="114"/>
      <c r="B208" s="114"/>
      <c r="AF208" s="141"/>
    </row>
    <row r="209" ht="15.75" customHeight="1">
      <c r="A209" s="114"/>
      <c r="B209" s="114"/>
      <c r="AF209" s="141"/>
    </row>
    <row r="210" ht="15.75" customHeight="1">
      <c r="A210" s="114"/>
      <c r="B210" s="114"/>
      <c r="AF210" s="141"/>
    </row>
    <row r="211" ht="15.75" customHeight="1">
      <c r="A211" s="114"/>
      <c r="B211" s="114"/>
      <c r="AF211" s="141"/>
    </row>
    <row r="212" ht="15.75" customHeight="1">
      <c r="A212" s="114"/>
      <c r="B212" s="114"/>
      <c r="AF212" s="141"/>
    </row>
    <row r="213" ht="15.75" customHeight="1">
      <c r="A213" s="114"/>
      <c r="B213" s="114"/>
      <c r="AF213" s="141"/>
    </row>
    <row r="214" ht="15.75" customHeight="1">
      <c r="A214" s="114"/>
      <c r="B214" s="114"/>
      <c r="AF214" s="141"/>
    </row>
    <row r="215" ht="15.75" customHeight="1">
      <c r="A215" s="114"/>
      <c r="B215" s="114"/>
      <c r="AF215" s="141"/>
    </row>
    <row r="216" ht="15.75" customHeight="1">
      <c r="A216" s="114"/>
      <c r="B216" s="114"/>
      <c r="AF216" s="141"/>
    </row>
    <row r="217" ht="15.75" customHeight="1">
      <c r="A217" s="114"/>
      <c r="B217" s="114"/>
      <c r="AF217" s="141"/>
    </row>
    <row r="218" ht="15.75" customHeight="1">
      <c r="A218" s="114"/>
      <c r="B218" s="114"/>
      <c r="AF218" s="141"/>
    </row>
    <row r="219" ht="15.75" customHeight="1">
      <c r="A219" s="114"/>
      <c r="B219" s="114"/>
      <c r="AF219" s="141"/>
    </row>
    <row r="220" ht="15.75" customHeight="1">
      <c r="A220" s="114"/>
      <c r="B220" s="114"/>
      <c r="AF220" s="141"/>
    </row>
    <row r="221" ht="15.75" customHeight="1">
      <c r="A221" s="114"/>
      <c r="B221" s="114"/>
      <c r="AF221" s="141"/>
    </row>
    <row r="222" ht="15.75" customHeight="1">
      <c r="A222" s="114"/>
      <c r="B222" s="114"/>
      <c r="AF222" s="141"/>
    </row>
    <row r="223" ht="15.75" customHeight="1">
      <c r="A223" s="114"/>
      <c r="B223" s="114"/>
      <c r="AF223" s="141"/>
    </row>
    <row r="224" ht="15.75" customHeight="1">
      <c r="A224" s="114"/>
      <c r="B224" s="114"/>
      <c r="AF224" s="141"/>
    </row>
    <row r="225" ht="15.75" customHeight="1">
      <c r="A225" s="114"/>
      <c r="B225" s="114"/>
      <c r="AF225" s="141"/>
    </row>
    <row r="226" ht="15.75" customHeight="1">
      <c r="A226" s="114"/>
      <c r="B226" s="114"/>
      <c r="AF226" s="141"/>
    </row>
    <row r="227" ht="15.75" customHeight="1">
      <c r="A227" s="114"/>
      <c r="B227" s="114"/>
      <c r="AF227" s="141"/>
    </row>
    <row r="228" ht="15.75" customHeight="1">
      <c r="A228" s="114"/>
      <c r="B228" s="114"/>
      <c r="AF228" s="141"/>
    </row>
    <row r="229" ht="15.75" customHeight="1">
      <c r="A229" s="114"/>
      <c r="B229" s="114"/>
      <c r="AF229" s="141"/>
    </row>
    <row r="230" ht="15.75" customHeight="1">
      <c r="A230" s="114"/>
      <c r="B230" s="114"/>
      <c r="AF230" s="141"/>
    </row>
    <row r="231" ht="15.75" customHeight="1">
      <c r="A231" s="114"/>
      <c r="B231" s="114"/>
      <c r="AF231" s="141"/>
    </row>
    <row r="232" ht="15.75" customHeight="1">
      <c r="A232" s="114"/>
      <c r="B232" s="114"/>
      <c r="AF232" s="141"/>
    </row>
    <row r="233" ht="15.75" customHeight="1">
      <c r="A233" s="114"/>
      <c r="B233" s="114"/>
      <c r="AF233" s="141"/>
    </row>
    <row r="234" ht="15.75" customHeight="1">
      <c r="A234" s="114"/>
      <c r="B234" s="114"/>
      <c r="AF234" s="141"/>
    </row>
    <row r="235" ht="15.75" customHeight="1">
      <c r="A235" s="114"/>
      <c r="B235" s="114"/>
      <c r="AF235" s="141"/>
    </row>
    <row r="236" ht="15.75" customHeight="1">
      <c r="A236" s="114"/>
      <c r="B236" s="114"/>
      <c r="AF236" s="141"/>
    </row>
    <row r="237" ht="15.75" customHeight="1">
      <c r="A237" s="114"/>
      <c r="B237" s="114"/>
      <c r="AF237" s="141"/>
    </row>
    <row r="238" ht="15.75" customHeight="1">
      <c r="A238" s="114"/>
      <c r="B238" s="114"/>
      <c r="AF238" s="141"/>
    </row>
    <row r="239" ht="15.75" customHeight="1">
      <c r="A239" s="114"/>
      <c r="B239" s="114"/>
      <c r="AF239" s="141"/>
    </row>
    <row r="240" ht="15.75" customHeight="1">
      <c r="A240" s="114"/>
      <c r="B240" s="114"/>
      <c r="AF240" s="141"/>
    </row>
    <row r="241" ht="15.75" customHeight="1">
      <c r="A241" s="114"/>
      <c r="B241" s="114"/>
      <c r="AF241" s="141"/>
    </row>
    <row r="242" ht="15.75" customHeight="1">
      <c r="A242" s="114"/>
      <c r="B242" s="114"/>
      <c r="AF242" s="141"/>
    </row>
    <row r="243" ht="15.75" customHeight="1">
      <c r="A243" s="114"/>
      <c r="B243" s="114"/>
      <c r="AF243" s="141"/>
    </row>
    <row r="244" ht="15.75" customHeight="1">
      <c r="A244" s="114"/>
      <c r="B244" s="114"/>
      <c r="AF244" s="141"/>
    </row>
    <row r="245" ht="15.75" customHeight="1">
      <c r="A245" s="114"/>
      <c r="B245" s="114"/>
      <c r="AF245" s="141"/>
    </row>
    <row r="246" ht="15.75" customHeight="1">
      <c r="A246" s="114"/>
      <c r="B246" s="114"/>
      <c r="AF246" s="141"/>
    </row>
    <row r="247" ht="15.75" customHeight="1">
      <c r="A247" s="114"/>
      <c r="B247" s="114"/>
      <c r="AF247" s="141"/>
    </row>
    <row r="248" ht="15.75" customHeight="1">
      <c r="A248" s="114"/>
      <c r="B248" s="114"/>
      <c r="AF248" s="141"/>
    </row>
    <row r="249" ht="15.75" customHeight="1">
      <c r="A249" s="114"/>
      <c r="B249" s="114"/>
      <c r="AF249" s="141"/>
    </row>
    <row r="250" ht="15.75" customHeight="1">
      <c r="A250" s="114"/>
      <c r="B250" s="114"/>
      <c r="AF250" s="141"/>
    </row>
    <row r="251" ht="15.75" customHeight="1">
      <c r="A251" s="114"/>
      <c r="B251" s="114"/>
      <c r="AF251" s="141"/>
    </row>
    <row r="252" ht="15.75" customHeight="1">
      <c r="A252" s="114"/>
      <c r="B252" s="114"/>
      <c r="AF252" s="141"/>
    </row>
    <row r="253" ht="15.75" customHeight="1">
      <c r="A253" s="114"/>
      <c r="B253" s="114"/>
      <c r="AF253" s="141"/>
    </row>
    <row r="254" ht="15.75" customHeight="1">
      <c r="A254" s="114"/>
      <c r="B254" s="114"/>
      <c r="AF254" s="141"/>
    </row>
    <row r="255" ht="15.75" customHeight="1">
      <c r="A255" s="114"/>
      <c r="B255" s="114"/>
      <c r="AF255" s="141"/>
    </row>
    <row r="256" ht="15.75" customHeight="1">
      <c r="A256" s="114"/>
      <c r="B256" s="114"/>
      <c r="AF256" s="141"/>
    </row>
    <row r="257" ht="15.75" customHeight="1">
      <c r="A257" s="114"/>
      <c r="B257" s="114"/>
      <c r="AF257" s="141"/>
    </row>
    <row r="258" ht="15.75" customHeight="1">
      <c r="A258" s="114"/>
      <c r="B258" s="114"/>
      <c r="AF258" s="141"/>
    </row>
    <row r="259" ht="15.75" customHeight="1">
      <c r="A259" s="114"/>
      <c r="B259" s="114"/>
      <c r="AF259" s="141"/>
    </row>
    <row r="260" ht="15.75" customHeight="1">
      <c r="A260" s="114"/>
      <c r="B260" s="114"/>
      <c r="AF260" s="141"/>
    </row>
    <row r="261" ht="15.75" customHeight="1">
      <c r="A261" s="114"/>
      <c r="B261" s="114"/>
      <c r="AF261" s="141"/>
    </row>
    <row r="262" ht="15.75" customHeight="1">
      <c r="A262" s="114"/>
      <c r="B262" s="114"/>
      <c r="AF262" s="141"/>
    </row>
    <row r="263" ht="15.75" customHeight="1">
      <c r="A263" s="114"/>
      <c r="B263" s="114"/>
      <c r="AF263" s="141"/>
    </row>
    <row r="264" ht="15.75" customHeight="1">
      <c r="A264" s="114"/>
      <c r="B264" s="114"/>
      <c r="AF264" s="141"/>
    </row>
    <row r="265" ht="15.75" customHeight="1">
      <c r="A265" s="114"/>
      <c r="B265" s="114"/>
      <c r="AF265" s="141"/>
    </row>
    <row r="266" ht="15.75" customHeight="1">
      <c r="A266" s="114"/>
      <c r="B266" s="114"/>
      <c r="AF266" s="141"/>
    </row>
    <row r="267" ht="15.75" customHeight="1">
      <c r="A267" s="114"/>
      <c r="B267" s="114"/>
      <c r="AF267" s="141"/>
    </row>
    <row r="268" ht="15.75" customHeight="1">
      <c r="A268" s="114"/>
      <c r="B268" s="114"/>
      <c r="AF268" s="141"/>
    </row>
    <row r="269" ht="15.75" customHeight="1">
      <c r="A269" s="114"/>
      <c r="B269" s="114"/>
      <c r="AF269" s="141"/>
    </row>
    <row r="270" ht="15.75" customHeight="1">
      <c r="A270" s="114"/>
      <c r="B270" s="114"/>
      <c r="AF270" s="141"/>
    </row>
    <row r="271" ht="15.75" customHeight="1">
      <c r="A271" s="114"/>
      <c r="B271" s="114"/>
      <c r="AF271" s="141"/>
    </row>
    <row r="272" ht="15.75" customHeight="1">
      <c r="A272" s="114"/>
      <c r="B272" s="114"/>
      <c r="AF272" s="141"/>
    </row>
    <row r="273" ht="15.75" customHeight="1">
      <c r="A273" s="114"/>
      <c r="B273" s="114"/>
      <c r="AF273" s="141"/>
    </row>
    <row r="274" ht="15.75" customHeight="1">
      <c r="A274" s="114"/>
      <c r="B274" s="114"/>
      <c r="AF274" s="141"/>
    </row>
    <row r="275" ht="15.75" customHeight="1">
      <c r="A275" s="114"/>
      <c r="B275" s="114"/>
      <c r="AF275" s="141"/>
    </row>
    <row r="276" ht="15.75" customHeight="1">
      <c r="A276" s="114"/>
      <c r="B276" s="114"/>
      <c r="AF276" s="141"/>
    </row>
    <row r="277" ht="15.75" customHeight="1">
      <c r="A277" s="114"/>
      <c r="B277" s="114"/>
      <c r="AF277" s="141"/>
    </row>
    <row r="278" ht="15.75" customHeight="1">
      <c r="A278" s="114"/>
      <c r="B278" s="114"/>
      <c r="AF278" s="141"/>
    </row>
    <row r="279" ht="15.75" customHeight="1">
      <c r="A279" s="114"/>
      <c r="B279" s="114"/>
      <c r="AF279" s="141"/>
    </row>
    <row r="280" ht="15.75" customHeight="1">
      <c r="A280" s="114"/>
      <c r="B280" s="114"/>
      <c r="AF280" s="141"/>
    </row>
    <row r="281" ht="15.75" customHeight="1">
      <c r="A281" s="114"/>
      <c r="B281" s="114"/>
      <c r="AF281" s="141"/>
    </row>
    <row r="282" ht="15.75" customHeight="1">
      <c r="A282" s="114"/>
      <c r="B282" s="114"/>
      <c r="AF282" s="141"/>
    </row>
    <row r="283" ht="15.75" customHeight="1">
      <c r="A283" s="114"/>
      <c r="B283" s="114"/>
      <c r="AF283" s="141"/>
    </row>
    <row r="284" ht="15.75" customHeight="1">
      <c r="A284" s="114"/>
      <c r="B284" s="114"/>
      <c r="AF284" s="141"/>
    </row>
    <row r="285" ht="15.75" customHeight="1">
      <c r="A285" s="114"/>
      <c r="B285" s="114"/>
      <c r="AF285" s="141"/>
    </row>
    <row r="286" ht="15.75" customHeight="1">
      <c r="A286" s="114"/>
      <c r="B286" s="114"/>
      <c r="AF286" s="141"/>
    </row>
    <row r="287" ht="15.75" customHeight="1">
      <c r="A287" s="114"/>
      <c r="B287" s="114"/>
      <c r="AF287" s="141"/>
    </row>
    <row r="288" ht="15.75" customHeight="1">
      <c r="A288" s="114"/>
      <c r="B288" s="114"/>
      <c r="AF288" s="141"/>
    </row>
    <row r="289" ht="15.75" customHeight="1">
      <c r="A289" s="114"/>
      <c r="B289" s="114"/>
      <c r="AF289" s="141"/>
    </row>
    <row r="290" ht="15.75" customHeight="1">
      <c r="A290" s="114"/>
      <c r="B290" s="114"/>
      <c r="AF290" s="141"/>
    </row>
    <row r="291" ht="15.75" customHeight="1">
      <c r="A291" s="114"/>
      <c r="B291" s="114"/>
      <c r="AF291" s="141"/>
    </row>
    <row r="292" ht="15.75" customHeight="1">
      <c r="A292" s="114"/>
      <c r="B292" s="114"/>
      <c r="AF292" s="141"/>
    </row>
    <row r="293" ht="15.75" customHeight="1">
      <c r="A293" s="114"/>
      <c r="B293" s="114"/>
      <c r="AF293" s="141"/>
    </row>
    <row r="294" ht="15.75" customHeight="1">
      <c r="A294" s="114"/>
      <c r="B294" s="114"/>
      <c r="AF294" s="141"/>
    </row>
    <row r="295" ht="15.75" customHeight="1">
      <c r="A295" s="114"/>
      <c r="B295" s="114"/>
      <c r="AF295" s="141"/>
    </row>
    <row r="296" ht="15.75" customHeight="1">
      <c r="A296" s="114"/>
      <c r="B296" s="114"/>
      <c r="AF296" s="141"/>
    </row>
    <row r="297" ht="15.75" customHeight="1">
      <c r="A297" s="114"/>
      <c r="B297" s="114"/>
      <c r="AF297" s="141"/>
    </row>
    <row r="298" ht="15.75" customHeight="1">
      <c r="A298" s="114"/>
      <c r="B298" s="114"/>
      <c r="AF298" s="141"/>
    </row>
    <row r="299" ht="15.75" customHeight="1">
      <c r="A299" s="114"/>
      <c r="B299" s="114"/>
      <c r="AF299" s="141"/>
    </row>
    <row r="300" ht="15.75" customHeight="1">
      <c r="A300" s="114"/>
      <c r="B300" s="114"/>
      <c r="AF300" s="141"/>
    </row>
    <row r="301" ht="15.75" customHeight="1">
      <c r="A301" s="114"/>
      <c r="B301" s="114"/>
      <c r="AF301" s="141"/>
    </row>
    <row r="302" ht="15.75" customHeight="1">
      <c r="A302" s="114"/>
      <c r="B302" s="114"/>
      <c r="AF302" s="141"/>
    </row>
    <row r="303" ht="15.75" customHeight="1">
      <c r="A303" s="114"/>
      <c r="B303" s="114"/>
      <c r="AF303" s="141"/>
    </row>
    <row r="304" ht="15.75" customHeight="1">
      <c r="A304" s="114"/>
      <c r="B304" s="114"/>
      <c r="AF304" s="141"/>
    </row>
    <row r="305" ht="15.75" customHeight="1">
      <c r="A305" s="114"/>
      <c r="B305" s="114"/>
      <c r="AF305" s="141"/>
    </row>
    <row r="306" ht="15.75" customHeight="1">
      <c r="A306" s="114"/>
      <c r="B306" s="114"/>
      <c r="AF306" s="141"/>
    </row>
    <row r="307" ht="15.75" customHeight="1">
      <c r="A307" s="114"/>
      <c r="B307" s="114"/>
      <c r="AF307" s="141"/>
    </row>
    <row r="308" ht="15.75" customHeight="1">
      <c r="A308" s="114"/>
      <c r="B308" s="114"/>
      <c r="AF308" s="141"/>
    </row>
    <row r="309" ht="15.75" customHeight="1">
      <c r="A309" s="114"/>
      <c r="B309" s="114"/>
      <c r="AF309" s="141"/>
    </row>
    <row r="310" ht="15.75" customHeight="1">
      <c r="A310" s="114"/>
      <c r="B310" s="114"/>
      <c r="AF310" s="141"/>
    </row>
    <row r="311" ht="15.75" customHeight="1">
      <c r="A311" s="114"/>
      <c r="B311" s="114"/>
      <c r="AF311" s="141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45747.0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  <c r="AF1" s="141"/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42"/>
      <c r="AG2" s="114"/>
      <c r="AH2" s="114"/>
      <c r="AI2" s="114"/>
      <c r="AJ2" s="114"/>
    </row>
    <row r="3" ht="22.5" customHeight="1">
      <c r="A3" s="1" t="s">
        <v>2</v>
      </c>
      <c r="B3" s="1"/>
      <c r="C3" s="134">
        <f>'R7.2'!AC3</f>
        <v>0</v>
      </c>
      <c r="D3" s="116"/>
      <c r="E3" s="116"/>
      <c r="F3" s="116"/>
      <c r="G3" s="116"/>
      <c r="H3" s="117"/>
      <c r="I3" s="118"/>
      <c r="J3" s="119"/>
      <c r="K3" s="117"/>
      <c r="L3" s="117"/>
      <c r="M3" s="120"/>
      <c r="N3" s="117"/>
      <c r="O3" s="117"/>
      <c r="P3" s="117"/>
      <c r="Q3" s="117"/>
      <c r="R3" s="119"/>
      <c r="S3" s="119"/>
      <c r="T3" s="119"/>
      <c r="U3" s="119"/>
      <c r="V3" s="119"/>
      <c r="W3" s="122">
        <f t="shared" ref="W3:W6" si="1">SUM(D3:V3)</f>
        <v>0</v>
      </c>
      <c r="X3" s="123"/>
      <c r="Y3" s="123"/>
      <c r="Z3" s="120">
        <f t="shared" ref="Z3:Z110" si="2">SUM(W3:Y3)</f>
        <v>0</v>
      </c>
      <c r="AA3" s="124"/>
      <c r="AB3" s="63" t="s">
        <v>128</v>
      </c>
      <c r="AC3" s="125">
        <f t="shared" ref="AC3:AC109" si="3">C3-M3</f>
        <v>0</v>
      </c>
      <c r="AF3" s="141"/>
    </row>
    <row r="4" ht="22.5" customHeight="1">
      <c r="A4" s="1" t="s">
        <v>4</v>
      </c>
      <c r="B4" s="1"/>
      <c r="C4" s="134">
        <f>'R7.2'!AC4</f>
        <v>0</v>
      </c>
      <c r="D4" s="116"/>
      <c r="E4" s="116"/>
      <c r="F4" s="116"/>
      <c r="G4" s="116"/>
      <c r="H4" s="117"/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2">
        <f t="shared" si="1"/>
        <v>0</v>
      </c>
      <c r="X4" s="123"/>
      <c r="Y4" s="123"/>
      <c r="Z4" s="120">
        <f t="shared" si="2"/>
        <v>0</v>
      </c>
      <c r="AA4" s="124" t="s">
        <v>129</v>
      </c>
      <c r="AB4" s="107" t="s">
        <v>128</v>
      </c>
      <c r="AC4" s="125">
        <f t="shared" si="3"/>
        <v>0</v>
      </c>
      <c r="AF4" s="141"/>
    </row>
    <row r="5" ht="22.5" customHeight="1">
      <c r="A5" s="1" t="s">
        <v>6</v>
      </c>
      <c r="B5" s="1"/>
      <c r="C5" s="134">
        <f>'R7.2'!AC5</f>
        <v>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0</v>
      </c>
      <c r="AF5" s="141"/>
    </row>
    <row r="6" ht="22.5" customHeight="1">
      <c r="A6" s="1" t="s">
        <v>7</v>
      </c>
      <c r="B6" s="1"/>
      <c r="C6" s="134">
        <f>'R7.2'!AC6</f>
        <v>0</v>
      </c>
      <c r="D6" s="116"/>
      <c r="E6" s="116"/>
      <c r="F6" s="116"/>
      <c r="G6" s="116"/>
      <c r="H6" s="117"/>
      <c r="I6" s="117"/>
      <c r="J6" s="119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2">
        <f t="shared" si="1"/>
        <v>0</v>
      </c>
      <c r="X6" s="123"/>
      <c r="Y6" s="123"/>
      <c r="Z6" s="120">
        <f t="shared" si="2"/>
        <v>0</v>
      </c>
      <c r="AA6" s="124" t="s">
        <v>129</v>
      </c>
      <c r="AB6" s="63" t="s">
        <v>128</v>
      </c>
      <c r="AC6" s="125">
        <f t="shared" si="3"/>
        <v>0</v>
      </c>
      <c r="AF6" s="141"/>
    </row>
    <row r="7" ht="22.5" customHeight="1">
      <c r="A7" s="1" t="s">
        <v>9</v>
      </c>
      <c r="B7" s="1" t="s">
        <v>10</v>
      </c>
      <c r="C7" s="134">
        <f>'R7.2'!AC7</f>
        <v>110000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0.0</v>
      </c>
      <c r="I7" s="117">
        <v>34870.0</v>
      </c>
      <c r="J7" s="127"/>
      <c r="K7" s="117"/>
      <c r="L7" s="117"/>
      <c r="M7" s="117">
        <v>10000.0</v>
      </c>
      <c r="N7" s="117"/>
      <c r="O7" s="117"/>
      <c r="P7" s="117"/>
      <c r="Q7" s="117"/>
      <c r="R7" s="117"/>
      <c r="S7" s="117">
        <v>13130.0</v>
      </c>
      <c r="T7" s="117"/>
      <c r="U7" s="117"/>
      <c r="V7" s="119">
        <f>'R7.2'!AE7</f>
        <v>30000</v>
      </c>
      <c r="W7" s="122">
        <f>SUM(D7:U7)-V7</f>
        <v>80000</v>
      </c>
      <c r="X7" s="116"/>
      <c r="Y7" s="128"/>
      <c r="Z7" s="120">
        <f t="shared" si="2"/>
        <v>80000</v>
      </c>
      <c r="AA7" s="124">
        <v>110000.0</v>
      </c>
      <c r="AB7" s="63" t="s">
        <v>128</v>
      </c>
      <c r="AC7" s="125">
        <f t="shared" si="3"/>
        <v>100000</v>
      </c>
      <c r="AD7" s="63">
        <v>120000.0</v>
      </c>
      <c r="AE7" s="124">
        <f>AD7-Z7</f>
        <v>40000</v>
      </c>
      <c r="AF7" s="141">
        <v>45828.0</v>
      </c>
    </row>
    <row r="8" ht="22.5" customHeight="1">
      <c r="A8" s="1" t="s">
        <v>11</v>
      </c>
      <c r="B8" s="1"/>
      <c r="C8" s="134">
        <f>'R7.2'!AC8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  <c r="AF8" s="141"/>
    </row>
    <row r="9" ht="22.5" customHeight="1">
      <c r="A9" s="1" t="s">
        <v>12</v>
      </c>
      <c r="B9" s="1"/>
      <c r="C9" s="134">
        <f>'R7.2'!AC9</f>
        <v>0</v>
      </c>
      <c r="D9" s="116"/>
      <c r="E9" s="116"/>
      <c r="F9" s="116"/>
      <c r="G9" s="116"/>
      <c r="H9" s="117"/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2">
        <f t="shared" si="4"/>
        <v>0</v>
      </c>
      <c r="X9" s="123"/>
      <c r="Y9" s="123"/>
      <c r="Z9" s="120">
        <f t="shared" si="2"/>
        <v>0</v>
      </c>
      <c r="AA9" s="124" t="s">
        <v>129</v>
      </c>
      <c r="AB9" s="63" t="s">
        <v>128</v>
      </c>
      <c r="AC9" s="125">
        <f t="shared" si="3"/>
        <v>0</v>
      </c>
      <c r="AF9" s="141"/>
    </row>
    <row r="10" ht="22.5" customHeight="1">
      <c r="A10" s="1" t="s">
        <v>14</v>
      </c>
      <c r="B10" s="1"/>
      <c r="C10" s="134">
        <f>'R7.2'!AC10</f>
        <v>0</v>
      </c>
      <c r="D10" s="116"/>
      <c r="E10" s="116"/>
      <c r="F10" s="116"/>
      <c r="G10" s="116"/>
      <c r="H10" s="117"/>
      <c r="I10" s="117"/>
      <c r="J10" s="119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22">
        <f t="shared" si="4"/>
        <v>0</v>
      </c>
      <c r="X10" s="129"/>
      <c r="Y10" s="129"/>
      <c r="Z10" s="120">
        <f t="shared" si="2"/>
        <v>0</v>
      </c>
      <c r="AA10" s="124" t="s">
        <v>129</v>
      </c>
      <c r="AB10" s="63" t="s">
        <v>128</v>
      </c>
      <c r="AC10" s="125">
        <f t="shared" si="3"/>
        <v>0</v>
      </c>
      <c r="AF10" s="141"/>
    </row>
    <row r="11" ht="22.5" customHeight="1">
      <c r="A11" s="1" t="s">
        <v>16</v>
      </c>
      <c r="B11" s="1"/>
      <c r="C11" s="134">
        <f>'R7.2'!AC11</f>
        <v>0</v>
      </c>
      <c r="D11" s="116"/>
      <c r="E11" s="116"/>
      <c r="F11" s="116"/>
      <c r="G11" s="116"/>
      <c r="H11" s="117"/>
      <c r="I11" s="117"/>
      <c r="J11" s="119"/>
      <c r="K11" s="117"/>
      <c r="L11" s="117"/>
      <c r="M11" s="130"/>
      <c r="N11" s="117"/>
      <c r="O11" s="117"/>
      <c r="P11" s="117"/>
      <c r="Q11" s="117"/>
      <c r="R11" s="117"/>
      <c r="S11" s="120"/>
      <c r="T11" s="117"/>
      <c r="U11" s="117"/>
      <c r="V11" s="117"/>
      <c r="W11" s="122">
        <f t="shared" si="4"/>
        <v>0</v>
      </c>
      <c r="X11" s="123"/>
      <c r="Y11" s="123"/>
      <c r="Z11" s="120">
        <f t="shared" si="2"/>
        <v>0</v>
      </c>
      <c r="AA11" s="131"/>
      <c r="AB11" s="63" t="s">
        <v>128</v>
      </c>
      <c r="AC11" s="125">
        <f t="shared" si="3"/>
        <v>0</v>
      </c>
      <c r="AF11" s="141"/>
    </row>
    <row r="12" ht="22.5" customHeight="1">
      <c r="A12" s="1" t="s">
        <v>18</v>
      </c>
      <c r="B12" s="1"/>
      <c r="C12" s="134">
        <f>'R7.2'!AC12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  <c r="AF12" s="141"/>
    </row>
    <row r="13" ht="22.5" customHeight="1">
      <c r="A13" s="1"/>
      <c r="B13" s="3"/>
      <c r="C13" s="140"/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  <c r="AF13" s="141"/>
    </row>
    <row r="14" ht="22.5" customHeight="1">
      <c r="A14" s="1"/>
      <c r="B14" s="3"/>
      <c r="C14" s="140"/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43"/>
      <c r="AG14" s="133"/>
      <c r="AH14" s="133"/>
      <c r="AI14" s="133"/>
      <c r="AJ14" s="133"/>
    </row>
    <row r="15" ht="22.5" customHeight="1">
      <c r="A15" s="1"/>
      <c r="B15" s="3"/>
      <c r="C15" s="140"/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43"/>
      <c r="AG15" s="133"/>
      <c r="AH15" s="133"/>
      <c r="AI15" s="133"/>
      <c r="AJ15" s="133"/>
    </row>
    <row r="16" ht="22.5" customHeight="1">
      <c r="A16" s="1"/>
      <c r="B16" s="3"/>
      <c r="C16" s="140"/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43"/>
      <c r="AG16" s="133"/>
      <c r="AH16" s="133"/>
      <c r="AI16" s="133"/>
      <c r="AJ16" s="133"/>
    </row>
    <row r="17" ht="22.5" customHeight="1">
      <c r="A17" s="3"/>
      <c r="B17" s="3"/>
      <c r="C17" s="140"/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43"/>
      <c r="AG17" s="133"/>
      <c r="AH17" s="133"/>
      <c r="AI17" s="133"/>
      <c r="AJ17" s="133"/>
    </row>
    <row r="18" ht="22.5" customHeight="1">
      <c r="A18" s="3"/>
      <c r="B18" s="3"/>
      <c r="C18" s="140"/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43"/>
      <c r="AG18" s="133"/>
      <c r="AH18" s="133"/>
      <c r="AI18" s="133"/>
      <c r="AJ18" s="133"/>
    </row>
    <row r="19" ht="22.5" customHeight="1">
      <c r="A19" s="3"/>
      <c r="B19" s="3"/>
      <c r="C19" s="140"/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43"/>
      <c r="AG19" s="133"/>
      <c r="AH19" s="133"/>
      <c r="AI19" s="133"/>
      <c r="AJ19" s="133"/>
    </row>
    <row r="20" ht="22.5" customHeight="1">
      <c r="A20" s="3"/>
      <c r="B20" s="3"/>
      <c r="C20" s="140"/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43"/>
      <c r="AG20" s="133"/>
      <c r="AH20" s="133"/>
      <c r="AI20" s="133"/>
      <c r="AJ20" s="133"/>
    </row>
    <row r="21" ht="22.5" customHeight="1">
      <c r="A21" s="3"/>
      <c r="B21" s="3"/>
      <c r="C21" s="140"/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43"/>
      <c r="AG21" s="133"/>
      <c r="AH21" s="133"/>
      <c r="AI21" s="133"/>
      <c r="AJ21" s="133"/>
    </row>
    <row r="22" ht="22.5" hidden="1" customHeight="1">
      <c r="A22" s="3"/>
      <c r="B22" s="3"/>
      <c r="C22" s="140"/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43"/>
      <c r="AG22" s="133"/>
      <c r="AH22" s="133"/>
      <c r="AI22" s="133"/>
      <c r="AJ22" s="133"/>
    </row>
    <row r="23" ht="22.5" hidden="1" customHeight="1">
      <c r="A23" s="3"/>
      <c r="B23" s="3"/>
      <c r="C23" s="140"/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43"/>
      <c r="AG23" s="133"/>
      <c r="AH23" s="133"/>
      <c r="AI23" s="133"/>
      <c r="AJ23" s="133"/>
    </row>
    <row r="24" ht="22.5" hidden="1" customHeight="1">
      <c r="A24" s="3"/>
      <c r="B24" s="3"/>
      <c r="C24" s="140"/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43"/>
      <c r="AG24" s="133"/>
      <c r="AH24" s="133"/>
      <c r="AI24" s="133"/>
      <c r="AJ24" s="133"/>
    </row>
    <row r="25" ht="22.5" hidden="1" customHeight="1">
      <c r="A25" s="3"/>
      <c r="B25" s="3"/>
      <c r="C25" s="140"/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43"/>
      <c r="AG25" s="133"/>
      <c r="AH25" s="133"/>
      <c r="AI25" s="133"/>
      <c r="AJ25" s="133"/>
    </row>
    <row r="26" ht="22.5" hidden="1" customHeight="1">
      <c r="A26" s="3"/>
      <c r="B26" s="3"/>
      <c r="C26" s="140"/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43"/>
      <c r="AG26" s="133"/>
      <c r="AH26" s="133"/>
      <c r="AI26" s="133"/>
      <c r="AJ26" s="133"/>
    </row>
    <row r="27" ht="22.5" hidden="1" customHeight="1">
      <c r="A27" s="3"/>
      <c r="B27" s="3"/>
      <c r="C27" s="140"/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43"/>
      <c r="AG27" s="133"/>
      <c r="AH27" s="133"/>
      <c r="AI27" s="133"/>
      <c r="AJ27" s="133"/>
    </row>
    <row r="28" ht="22.5" hidden="1" customHeight="1">
      <c r="A28" s="3"/>
      <c r="B28" s="3"/>
      <c r="C28" s="140"/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43"/>
      <c r="AG28" s="133"/>
      <c r="AH28" s="133"/>
      <c r="AI28" s="133"/>
      <c r="AJ28" s="133"/>
    </row>
    <row r="29" ht="22.5" hidden="1" customHeight="1">
      <c r="A29" s="3"/>
      <c r="B29" s="3"/>
      <c r="C29" s="140"/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43"/>
      <c r="AG29" s="133"/>
      <c r="AH29" s="133"/>
      <c r="AI29" s="133"/>
      <c r="AJ29" s="133"/>
    </row>
    <row r="30" ht="22.5" hidden="1" customHeight="1">
      <c r="A30" s="3"/>
      <c r="B30" s="3"/>
      <c r="C30" s="140"/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43"/>
      <c r="AG30" s="133"/>
      <c r="AH30" s="133"/>
      <c r="AI30" s="133"/>
      <c r="AJ30" s="133"/>
    </row>
    <row r="31" ht="22.5" hidden="1" customHeight="1">
      <c r="A31" s="3"/>
      <c r="B31" s="3"/>
      <c r="C31" s="140"/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43"/>
      <c r="AG31" s="133"/>
      <c r="AH31" s="133"/>
      <c r="AI31" s="133"/>
      <c r="AJ31" s="133"/>
    </row>
    <row r="32" ht="22.5" hidden="1" customHeight="1">
      <c r="A32" s="3"/>
      <c r="B32" s="3"/>
      <c r="C32" s="140"/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43"/>
      <c r="AG32" s="133"/>
      <c r="AH32" s="133"/>
      <c r="AI32" s="133"/>
      <c r="AJ32" s="133"/>
    </row>
    <row r="33" ht="22.5" hidden="1" customHeight="1">
      <c r="A33" s="3"/>
      <c r="B33" s="3"/>
      <c r="C33" s="140"/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43"/>
      <c r="AG33" s="133"/>
      <c r="AH33" s="133"/>
      <c r="AI33" s="133"/>
      <c r="AJ33" s="133"/>
    </row>
    <row r="34" ht="22.5" hidden="1" customHeight="1">
      <c r="A34" s="3"/>
      <c r="B34" s="3"/>
      <c r="C34" s="140"/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43"/>
      <c r="AG34" s="133"/>
      <c r="AH34" s="133"/>
      <c r="AI34" s="133"/>
      <c r="AJ34" s="133"/>
    </row>
    <row r="35" ht="22.5" hidden="1" customHeight="1">
      <c r="A35" s="3"/>
      <c r="B35" s="3"/>
      <c r="C35" s="140"/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43"/>
      <c r="AG35" s="133"/>
      <c r="AH35" s="133"/>
      <c r="AI35" s="133"/>
      <c r="AJ35" s="133"/>
    </row>
    <row r="36" ht="22.5" hidden="1" customHeight="1">
      <c r="A36" s="3"/>
      <c r="B36" s="3"/>
      <c r="C36" s="140"/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43"/>
      <c r="AG36" s="133"/>
      <c r="AH36" s="133"/>
      <c r="AI36" s="133"/>
      <c r="AJ36" s="133"/>
    </row>
    <row r="37" ht="22.5" hidden="1" customHeight="1">
      <c r="A37" s="3"/>
      <c r="B37" s="3"/>
      <c r="C37" s="140"/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43"/>
      <c r="AG37" s="133"/>
      <c r="AH37" s="133"/>
      <c r="AI37" s="133"/>
      <c r="AJ37" s="133"/>
    </row>
    <row r="38" ht="22.5" hidden="1" customHeight="1">
      <c r="A38" s="3"/>
      <c r="B38" s="3"/>
      <c r="C38" s="140"/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43"/>
      <c r="AG38" s="133"/>
      <c r="AH38" s="133"/>
      <c r="AI38" s="133"/>
      <c r="AJ38" s="133"/>
    </row>
    <row r="39" ht="22.5" hidden="1" customHeight="1">
      <c r="A39" s="3"/>
      <c r="B39" s="3"/>
      <c r="C39" s="140"/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43"/>
      <c r="AG39" s="133"/>
      <c r="AH39" s="133"/>
      <c r="AI39" s="133"/>
      <c r="AJ39" s="133"/>
    </row>
    <row r="40" ht="22.5" hidden="1" customHeight="1">
      <c r="A40" s="3"/>
      <c r="B40" s="3"/>
      <c r="C40" s="140"/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43"/>
      <c r="AG40" s="133"/>
      <c r="AH40" s="133"/>
      <c r="AI40" s="133"/>
      <c r="AJ40" s="133"/>
    </row>
    <row r="41" ht="22.5" hidden="1" customHeight="1">
      <c r="A41" s="3"/>
      <c r="B41" s="3"/>
      <c r="C41" s="140"/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43"/>
      <c r="AG41" s="133"/>
      <c r="AH41" s="133"/>
      <c r="AI41" s="133"/>
      <c r="AJ41" s="133"/>
    </row>
    <row r="42" ht="22.5" hidden="1" customHeight="1">
      <c r="A42" s="3"/>
      <c r="B42" s="3"/>
      <c r="C42" s="140"/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43"/>
      <c r="AG42" s="133"/>
      <c r="AH42" s="133"/>
      <c r="AI42" s="133"/>
      <c r="AJ42" s="133"/>
    </row>
    <row r="43" ht="22.5" hidden="1" customHeight="1">
      <c r="A43" s="3"/>
      <c r="B43" s="3"/>
      <c r="C43" s="140"/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43"/>
      <c r="AG43" s="133"/>
      <c r="AH43" s="133"/>
      <c r="AI43" s="133"/>
      <c r="AJ43" s="133"/>
    </row>
    <row r="44" ht="22.5" hidden="1" customHeight="1">
      <c r="A44" s="3"/>
      <c r="B44" s="3"/>
      <c r="C44" s="140"/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43"/>
      <c r="AG44" s="133"/>
      <c r="AH44" s="133"/>
      <c r="AI44" s="133"/>
      <c r="AJ44" s="133"/>
    </row>
    <row r="45" ht="22.5" hidden="1" customHeight="1">
      <c r="A45" s="3"/>
      <c r="B45" s="3"/>
      <c r="C45" s="140"/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43"/>
      <c r="AG45" s="133"/>
      <c r="AH45" s="133"/>
      <c r="AI45" s="133"/>
      <c r="AJ45" s="133"/>
    </row>
    <row r="46" ht="22.5" hidden="1" customHeight="1">
      <c r="A46" s="3"/>
      <c r="B46" s="3"/>
      <c r="C46" s="140"/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43"/>
      <c r="AG46" s="133"/>
      <c r="AH46" s="133"/>
      <c r="AI46" s="133"/>
      <c r="AJ46" s="133"/>
    </row>
    <row r="47" ht="22.5" hidden="1" customHeight="1">
      <c r="A47" s="3"/>
      <c r="B47" s="3"/>
      <c r="C47" s="140"/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43"/>
      <c r="AG47" s="133"/>
      <c r="AH47" s="133"/>
      <c r="AI47" s="133"/>
      <c r="AJ47" s="133"/>
    </row>
    <row r="48" ht="22.5" hidden="1" customHeight="1">
      <c r="A48" s="3"/>
      <c r="B48" s="3"/>
      <c r="C48" s="140"/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43"/>
      <c r="AG48" s="133"/>
      <c r="AH48" s="133"/>
      <c r="AI48" s="133"/>
      <c r="AJ48" s="133"/>
    </row>
    <row r="49" ht="22.5" hidden="1" customHeight="1">
      <c r="A49" s="3"/>
      <c r="B49" s="3"/>
      <c r="C49" s="140"/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43"/>
      <c r="AG49" s="133"/>
      <c r="AH49" s="133"/>
      <c r="AI49" s="133"/>
      <c r="AJ49" s="133"/>
    </row>
    <row r="50" ht="22.5" hidden="1" customHeight="1">
      <c r="A50" s="3"/>
      <c r="B50" s="3"/>
      <c r="C50" s="140"/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43"/>
      <c r="AG50" s="133"/>
      <c r="AH50" s="133"/>
      <c r="AI50" s="133"/>
      <c r="AJ50" s="133"/>
    </row>
    <row r="51" ht="22.5" hidden="1" customHeight="1">
      <c r="A51" s="3"/>
      <c r="B51" s="3"/>
      <c r="C51" s="140"/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43"/>
      <c r="AG51" s="133"/>
      <c r="AH51" s="133"/>
      <c r="AI51" s="133"/>
      <c r="AJ51" s="133"/>
    </row>
    <row r="52" ht="22.5" hidden="1" customHeight="1">
      <c r="A52" s="3"/>
      <c r="B52" s="3"/>
      <c r="C52" s="140"/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43"/>
      <c r="AG52" s="133"/>
      <c r="AH52" s="133"/>
      <c r="AI52" s="133"/>
      <c r="AJ52" s="133"/>
    </row>
    <row r="53" ht="22.5" hidden="1" customHeight="1">
      <c r="A53" s="3"/>
      <c r="B53" s="3"/>
      <c r="C53" s="140"/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43"/>
      <c r="AG53" s="133"/>
      <c r="AH53" s="133"/>
      <c r="AI53" s="133"/>
      <c r="AJ53" s="133"/>
    </row>
    <row r="54" ht="22.5" hidden="1" customHeight="1">
      <c r="A54" s="3"/>
      <c r="B54" s="3"/>
      <c r="C54" s="140"/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43"/>
      <c r="AG54" s="133"/>
      <c r="AH54" s="133"/>
      <c r="AI54" s="133"/>
      <c r="AJ54" s="133"/>
    </row>
    <row r="55" ht="22.5" hidden="1" customHeight="1">
      <c r="A55" s="3"/>
      <c r="B55" s="3"/>
      <c r="C55" s="140"/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43"/>
      <c r="AG55" s="133"/>
      <c r="AH55" s="133"/>
      <c r="AI55" s="133"/>
      <c r="AJ55" s="133"/>
    </row>
    <row r="56" ht="22.5" hidden="1" customHeight="1">
      <c r="A56" s="3"/>
      <c r="B56" s="3"/>
      <c r="C56" s="140"/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43"/>
      <c r="AG56" s="133"/>
      <c r="AH56" s="133"/>
      <c r="AI56" s="133"/>
      <c r="AJ56" s="133"/>
    </row>
    <row r="57" ht="22.5" hidden="1" customHeight="1">
      <c r="A57" s="3"/>
      <c r="B57" s="3"/>
      <c r="C57" s="140"/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43"/>
      <c r="AG57" s="133"/>
      <c r="AH57" s="133"/>
      <c r="AI57" s="133"/>
      <c r="AJ57" s="133"/>
    </row>
    <row r="58" ht="22.5" hidden="1" customHeight="1">
      <c r="A58" s="3"/>
      <c r="B58" s="3"/>
      <c r="C58" s="140"/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43"/>
      <c r="AG58" s="133"/>
      <c r="AH58" s="133"/>
      <c r="AI58" s="133"/>
      <c r="AJ58" s="133"/>
    </row>
    <row r="59" ht="22.5" hidden="1" customHeight="1">
      <c r="A59" s="3"/>
      <c r="B59" s="3"/>
      <c r="C59" s="140"/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43"/>
      <c r="AG59" s="133"/>
      <c r="AH59" s="133"/>
      <c r="AI59" s="133"/>
      <c r="AJ59" s="133"/>
    </row>
    <row r="60" ht="22.5" hidden="1" customHeight="1">
      <c r="A60" s="3"/>
      <c r="B60" s="3"/>
      <c r="C60" s="140"/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43"/>
      <c r="AG60" s="133"/>
      <c r="AH60" s="133"/>
      <c r="AI60" s="133"/>
      <c r="AJ60" s="133"/>
    </row>
    <row r="61" ht="22.5" hidden="1" customHeight="1">
      <c r="A61" s="3"/>
      <c r="B61" s="3"/>
      <c r="C61" s="140"/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43"/>
      <c r="AG61" s="133"/>
      <c r="AH61" s="133"/>
      <c r="AI61" s="133"/>
      <c r="AJ61" s="133"/>
    </row>
    <row r="62" ht="22.5" hidden="1" customHeight="1">
      <c r="A62" s="3"/>
      <c r="B62" s="3"/>
      <c r="C62" s="140"/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43"/>
      <c r="AG62" s="133"/>
      <c r="AH62" s="133"/>
      <c r="AI62" s="133"/>
      <c r="AJ62" s="133"/>
    </row>
    <row r="63" ht="22.5" hidden="1" customHeight="1">
      <c r="A63" s="3"/>
      <c r="B63" s="3"/>
      <c r="C63" s="140"/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43"/>
      <c r="AG63" s="133"/>
      <c r="AH63" s="133"/>
      <c r="AI63" s="133"/>
      <c r="AJ63" s="133"/>
    </row>
    <row r="64" ht="22.5" hidden="1" customHeight="1">
      <c r="A64" s="3"/>
      <c r="B64" s="3"/>
      <c r="C64" s="140"/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43"/>
      <c r="AG64" s="133"/>
      <c r="AH64" s="133"/>
      <c r="AI64" s="133"/>
      <c r="AJ64" s="133"/>
    </row>
    <row r="65" ht="22.5" hidden="1" customHeight="1">
      <c r="A65" s="3"/>
      <c r="B65" s="3"/>
      <c r="C65" s="140"/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43"/>
      <c r="AG65" s="133"/>
      <c r="AH65" s="133"/>
      <c r="AI65" s="133"/>
      <c r="AJ65" s="133"/>
    </row>
    <row r="66" ht="22.5" hidden="1" customHeight="1">
      <c r="A66" s="3"/>
      <c r="B66" s="3"/>
      <c r="C66" s="140"/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43"/>
      <c r="AG66" s="133"/>
      <c r="AH66" s="133"/>
      <c r="AI66" s="133"/>
      <c r="AJ66" s="133"/>
    </row>
    <row r="67" ht="22.5" hidden="1" customHeight="1">
      <c r="A67" s="3"/>
      <c r="B67" s="3"/>
      <c r="C67" s="140"/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43"/>
      <c r="AG67" s="133"/>
      <c r="AH67" s="133"/>
      <c r="AI67" s="133"/>
      <c r="AJ67" s="133"/>
    </row>
    <row r="68" ht="22.5" hidden="1" customHeight="1">
      <c r="A68" s="3"/>
      <c r="B68" s="3"/>
      <c r="C68" s="140"/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43"/>
      <c r="AG68" s="133"/>
      <c r="AH68" s="133"/>
      <c r="AI68" s="133"/>
      <c r="AJ68" s="133"/>
    </row>
    <row r="69" ht="22.5" hidden="1" customHeight="1">
      <c r="A69" s="3"/>
      <c r="B69" s="3"/>
      <c r="C69" s="140"/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43"/>
      <c r="AG69" s="133"/>
      <c r="AH69" s="133"/>
      <c r="AI69" s="133"/>
      <c r="AJ69" s="133"/>
    </row>
    <row r="70" ht="22.5" hidden="1" customHeight="1">
      <c r="A70" s="3"/>
      <c r="B70" s="3"/>
      <c r="C70" s="140"/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43"/>
      <c r="AG70" s="133"/>
      <c r="AH70" s="133"/>
      <c r="AI70" s="133"/>
      <c r="AJ70" s="133"/>
    </row>
    <row r="71" ht="22.5" hidden="1" customHeight="1">
      <c r="A71" s="3"/>
      <c r="B71" s="3"/>
      <c r="C71" s="140"/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43"/>
      <c r="AG71" s="133"/>
      <c r="AH71" s="133"/>
      <c r="AI71" s="133"/>
      <c r="AJ71" s="133"/>
    </row>
    <row r="72" ht="22.5" hidden="1" customHeight="1">
      <c r="A72" s="3"/>
      <c r="B72" s="3"/>
      <c r="C72" s="140"/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43"/>
      <c r="AG72" s="133"/>
      <c r="AH72" s="133"/>
      <c r="AI72" s="133"/>
      <c r="AJ72" s="133"/>
    </row>
    <row r="73" ht="22.5" hidden="1" customHeight="1">
      <c r="A73" s="3"/>
      <c r="B73" s="3"/>
      <c r="C73" s="140"/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43"/>
      <c r="AG73" s="133"/>
      <c r="AH73" s="133"/>
      <c r="AI73" s="133"/>
      <c r="AJ73" s="133"/>
    </row>
    <row r="74" ht="22.5" hidden="1" customHeight="1">
      <c r="A74" s="3"/>
      <c r="B74" s="3"/>
      <c r="C74" s="140"/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43"/>
      <c r="AG74" s="133"/>
      <c r="AH74" s="133"/>
      <c r="AI74" s="133"/>
      <c r="AJ74" s="133"/>
    </row>
    <row r="75" ht="22.5" hidden="1" customHeight="1">
      <c r="A75" s="3"/>
      <c r="B75" s="3"/>
      <c r="C75" s="140"/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43"/>
      <c r="AG75" s="133"/>
      <c r="AH75" s="133"/>
      <c r="AI75" s="133"/>
      <c r="AJ75" s="133"/>
    </row>
    <row r="76" ht="22.5" hidden="1" customHeight="1">
      <c r="A76" s="3"/>
      <c r="B76" s="3"/>
      <c r="C76" s="140"/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43"/>
      <c r="AG76" s="133"/>
      <c r="AH76" s="133"/>
      <c r="AI76" s="133"/>
      <c r="AJ76" s="133"/>
    </row>
    <row r="77" ht="22.5" hidden="1" customHeight="1">
      <c r="A77" s="3"/>
      <c r="B77" s="3"/>
      <c r="C77" s="140"/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43"/>
      <c r="AG77" s="133"/>
      <c r="AH77" s="133"/>
      <c r="AI77" s="133"/>
      <c r="AJ77" s="133"/>
    </row>
    <row r="78" ht="22.5" hidden="1" customHeight="1">
      <c r="A78" s="3"/>
      <c r="B78" s="3"/>
      <c r="C78" s="140"/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43"/>
      <c r="AG78" s="133"/>
      <c r="AH78" s="133"/>
      <c r="AI78" s="133"/>
      <c r="AJ78" s="133"/>
    </row>
    <row r="79" ht="22.5" hidden="1" customHeight="1">
      <c r="A79" s="3"/>
      <c r="B79" s="3"/>
      <c r="C79" s="140"/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43"/>
      <c r="AG79" s="133"/>
      <c r="AH79" s="133"/>
      <c r="AI79" s="133"/>
      <c r="AJ79" s="133"/>
    </row>
    <row r="80" ht="22.5" hidden="1" customHeight="1">
      <c r="A80" s="3"/>
      <c r="B80" s="3"/>
      <c r="C80" s="140"/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43"/>
      <c r="AG80" s="133"/>
      <c r="AH80" s="133"/>
      <c r="AI80" s="133"/>
      <c r="AJ80" s="133"/>
    </row>
    <row r="81" ht="22.5" hidden="1" customHeight="1">
      <c r="A81" s="3"/>
      <c r="B81" s="3"/>
      <c r="C81" s="140"/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43"/>
      <c r="AG81" s="133"/>
      <c r="AH81" s="133"/>
      <c r="AI81" s="133"/>
      <c r="AJ81" s="133"/>
    </row>
    <row r="82" ht="22.5" hidden="1" customHeight="1">
      <c r="A82" s="3"/>
      <c r="B82" s="3"/>
      <c r="C82" s="140"/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43"/>
      <c r="AG82" s="133"/>
      <c r="AH82" s="133"/>
      <c r="AI82" s="133"/>
      <c r="AJ82" s="133"/>
    </row>
    <row r="83" ht="22.5" hidden="1" customHeight="1">
      <c r="A83" s="3"/>
      <c r="B83" s="3"/>
      <c r="C83" s="140"/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43"/>
      <c r="AG83" s="133"/>
      <c r="AH83" s="133"/>
      <c r="AI83" s="133"/>
      <c r="AJ83" s="133"/>
    </row>
    <row r="84" ht="22.5" hidden="1" customHeight="1">
      <c r="A84" s="3"/>
      <c r="B84" s="3"/>
      <c r="C84" s="140"/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43"/>
      <c r="AG84" s="133"/>
      <c r="AH84" s="133"/>
      <c r="AI84" s="133"/>
      <c r="AJ84" s="133"/>
    </row>
    <row r="85" ht="22.5" hidden="1" customHeight="1">
      <c r="A85" s="3"/>
      <c r="B85" s="3"/>
      <c r="C85" s="140"/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43"/>
      <c r="AG85" s="133"/>
      <c r="AH85" s="133"/>
      <c r="AI85" s="133"/>
      <c r="AJ85" s="133"/>
    </row>
    <row r="86" ht="22.5" hidden="1" customHeight="1">
      <c r="A86" s="3"/>
      <c r="B86" s="3"/>
      <c r="C86" s="140"/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43"/>
      <c r="AG86" s="133"/>
      <c r="AH86" s="133"/>
      <c r="AI86" s="133"/>
      <c r="AJ86" s="133"/>
    </row>
    <row r="87" ht="22.5" hidden="1" customHeight="1">
      <c r="A87" s="3"/>
      <c r="B87" s="3"/>
      <c r="C87" s="140"/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43"/>
      <c r="AG87" s="133"/>
      <c r="AH87" s="133"/>
      <c r="AI87" s="133"/>
      <c r="AJ87" s="133"/>
    </row>
    <row r="88" ht="22.5" hidden="1" customHeight="1">
      <c r="A88" s="3"/>
      <c r="B88" s="3"/>
      <c r="C88" s="140"/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43"/>
      <c r="AG88" s="133"/>
      <c r="AH88" s="133"/>
      <c r="AI88" s="133"/>
      <c r="AJ88" s="133"/>
    </row>
    <row r="89" ht="22.5" hidden="1" customHeight="1">
      <c r="A89" s="3"/>
      <c r="B89" s="3"/>
      <c r="C89" s="140"/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43"/>
      <c r="AG89" s="133"/>
      <c r="AH89" s="133"/>
      <c r="AI89" s="133"/>
      <c r="AJ89" s="133"/>
    </row>
    <row r="90" ht="22.5" hidden="1" customHeight="1">
      <c r="A90" s="3"/>
      <c r="B90" s="3"/>
      <c r="C90" s="140"/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43"/>
      <c r="AG90" s="133"/>
      <c r="AH90" s="133"/>
      <c r="AI90" s="133"/>
      <c r="AJ90" s="133"/>
    </row>
    <row r="91" ht="22.5" hidden="1" customHeight="1">
      <c r="A91" s="3"/>
      <c r="B91" s="3"/>
      <c r="C91" s="140"/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43"/>
      <c r="AG91" s="133"/>
      <c r="AH91" s="133"/>
      <c r="AI91" s="133"/>
      <c r="AJ91" s="133"/>
    </row>
    <row r="92" ht="22.5" hidden="1" customHeight="1">
      <c r="A92" s="3"/>
      <c r="B92" s="3"/>
      <c r="C92" s="140"/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43"/>
      <c r="AG92" s="133"/>
      <c r="AH92" s="133"/>
      <c r="AI92" s="133"/>
      <c r="AJ92" s="133"/>
    </row>
    <row r="93" ht="22.5" hidden="1" customHeight="1">
      <c r="A93" s="3"/>
      <c r="B93" s="3"/>
      <c r="C93" s="140"/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43"/>
      <c r="AG93" s="133"/>
      <c r="AH93" s="133"/>
      <c r="AI93" s="133"/>
      <c r="AJ93" s="133"/>
    </row>
    <row r="94" ht="22.5" hidden="1" customHeight="1">
      <c r="A94" s="3"/>
      <c r="B94" s="3"/>
      <c r="C94" s="140"/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43"/>
      <c r="AG94" s="133"/>
      <c r="AH94" s="133"/>
      <c r="AI94" s="133"/>
      <c r="AJ94" s="133"/>
    </row>
    <row r="95" ht="22.5" hidden="1" customHeight="1">
      <c r="A95" s="3"/>
      <c r="B95" s="3"/>
      <c r="C95" s="140"/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43"/>
      <c r="AG95" s="133"/>
      <c r="AH95" s="133"/>
      <c r="AI95" s="133"/>
      <c r="AJ95" s="133"/>
    </row>
    <row r="96" ht="22.5" hidden="1" customHeight="1">
      <c r="A96" s="3"/>
      <c r="B96" s="3"/>
      <c r="C96" s="140"/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43"/>
      <c r="AG96" s="133"/>
      <c r="AH96" s="133"/>
      <c r="AI96" s="133"/>
      <c r="AJ96" s="133"/>
    </row>
    <row r="97" ht="22.5" hidden="1" customHeight="1">
      <c r="A97" s="3"/>
      <c r="B97" s="3"/>
      <c r="C97" s="140"/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43"/>
      <c r="AG97" s="133"/>
      <c r="AH97" s="133"/>
      <c r="AI97" s="133"/>
      <c r="AJ97" s="133"/>
    </row>
    <row r="98" ht="22.5" hidden="1" customHeight="1">
      <c r="A98" s="3"/>
      <c r="B98" s="3"/>
      <c r="C98" s="140"/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43"/>
      <c r="AG98" s="133"/>
      <c r="AH98" s="133"/>
      <c r="AI98" s="133"/>
      <c r="AJ98" s="133"/>
    </row>
    <row r="99" ht="22.5" hidden="1" customHeight="1">
      <c r="A99" s="3"/>
      <c r="B99" s="3"/>
      <c r="C99" s="140"/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43"/>
      <c r="AG99" s="133"/>
      <c r="AH99" s="133"/>
      <c r="AI99" s="133"/>
      <c r="AJ99" s="133"/>
    </row>
    <row r="100" ht="22.5" hidden="1" customHeight="1">
      <c r="A100" s="3"/>
      <c r="B100" s="3"/>
      <c r="C100" s="140"/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43"/>
      <c r="AG100" s="133"/>
      <c r="AH100" s="133"/>
      <c r="AI100" s="133"/>
      <c r="AJ100" s="133"/>
    </row>
    <row r="101" ht="22.5" hidden="1" customHeight="1">
      <c r="A101" s="3"/>
      <c r="B101" s="3"/>
      <c r="C101" s="140"/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43"/>
      <c r="AG101" s="133"/>
      <c r="AH101" s="133"/>
      <c r="AI101" s="133"/>
      <c r="AJ101" s="133"/>
    </row>
    <row r="102" ht="22.5" hidden="1" customHeight="1">
      <c r="A102" s="3"/>
      <c r="B102" s="3"/>
      <c r="C102" s="140"/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43"/>
      <c r="AG102" s="133"/>
      <c r="AH102" s="133"/>
      <c r="AI102" s="133"/>
      <c r="AJ102" s="133"/>
    </row>
    <row r="103" ht="22.5" hidden="1" customHeight="1">
      <c r="A103" s="3"/>
      <c r="B103" s="3"/>
      <c r="C103" s="140"/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43"/>
      <c r="AG103" s="133"/>
      <c r="AH103" s="133"/>
      <c r="AI103" s="133"/>
      <c r="AJ103" s="133"/>
    </row>
    <row r="104" ht="22.5" hidden="1" customHeight="1">
      <c r="A104" s="3"/>
      <c r="B104" s="3"/>
      <c r="C104" s="140"/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43"/>
      <c r="AG104" s="133"/>
      <c r="AH104" s="133"/>
      <c r="AI104" s="133"/>
      <c r="AJ104" s="133"/>
    </row>
    <row r="105" ht="22.5" hidden="1" customHeight="1">
      <c r="A105" s="3"/>
      <c r="B105" s="3"/>
      <c r="C105" s="140"/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43"/>
      <c r="AG105" s="133"/>
      <c r="AH105" s="133"/>
      <c r="AI105" s="133"/>
      <c r="AJ105" s="133"/>
    </row>
    <row r="106" ht="22.5" hidden="1" customHeight="1">
      <c r="A106" s="3"/>
      <c r="B106" s="3"/>
      <c r="C106" s="140"/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43"/>
      <c r="AG106" s="133"/>
      <c r="AH106" s="133"/>
      <c r="AI106" s="133"/>
      <c r="AJ106" s="133"/>
    </row>
    <row r="107" ht="22.5" hidden="1" customHeight="1">
      <c r="A107" s="3"/>
      <c r="B107" s="3"/>
      <c r="C107" s="140"/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43"/>
      <c r="AG107" s="133"/>
      <c r="AH107" s="133"/>
      <c r="AI107" s="133"/>
      <c r="AJ107" s="133"/>
    </row>
    <row r="108" ht="22.5" hidden="1" customHeight="1">
      <c r="A108" s="3"/>
      <c r="B108" s="3"/>
      <c r="C108" s="140"/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43"/>
      <c r="AG108" s="133"/>
      <c r="AH108" s="133"/>
      <c r="AI108" s="133"/>
      <c r="AJ108" s="133"/>
    </row>
    <row r="109" ht="22.5" customHeight="1">
      <c r="A109" s="3"/>
      <c r="B109" s="3"/>
      <c r="C109" s="140"/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4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5">SUM(D3:D109)</f>
        <v>40000</v>
      </c>
      <c r="E110" s="120">
        <f t="shared" si="5"/>
        <v>5000</v>
      </c>
      <c r="F110" s="120">
        <f t="shared" si="5"/>
        <v>5000</v>
      </c>
      <c r="G110" s="120">
        <f t="shared" si="5"/>
        <v>2000</v>
      </c>
      <c r="H110" s="120">
        <f t="shared" si="5"/>
        <v>0</v>
      </c>
      <c r="I110" s="120">
        <f t="shared" si="5"/>
        <v>34870</v>
      </c>
      <c r="J110" s="135">
        <f t="shared" si="5"/>
        <v>0</v>
      </c>
      <c r="K110" s="120">
        <f t="shared" si="5"/>
        <v>0</v>
      </c>
      <c r="L110" s="120">
        <f t="shared" si="5"/>
        <v>0</v>
      </c>
      <c r="M110" s="120">
        <f t="shared" si="5"/>
        <v>10000</v>
      </c>
      <c r="N110" s="120">
        <f t="shared" si="5"/>
        <v>0</v>
      </c>
      <c r="O110" s="120">
        <f t="shared" si="5"/>
        <v>0</v>
      </c>
      <c r="P110" s="120">
        <f t="shared" si="5"/>
        <v>0</v>
      </c>
      <c r="Q110" s="120">
        <f t="shared" si="5"/>
        <v>0</v>
      </c>
      <c r="R110" s="120">
        <f t="shared" si="5"/>
        <v>0</v>
      </c>
      <c r="S110" s="120">
        <f t="shared" si="5"/>
        <v>13130</v>
      </c>
      <c r="T110" s="120">
        <f t="shared" si="5"/>
        <v>0</v>
      </c>
      <c r="U110" s="120">
        <f t="shared" si="5"/>
        <v>0</v>
      </c>
      <c r="V110" s="120">
        <f t="shared" si="5"/>
        <v>30000</v>
      </c>
      <c r="W110" s="122">
        <f t="shared" si="4"/>
        <v>140000</v>
      </c>
      <c r="X110" s="120">
        <f t="shared" ref="X110:Y110" si="6">SUM(X3:X109)</f>
        <v>0</v>
      </c>
      <c r="Y110" s="120">
        <f t="shared" si="6"/>
        <v>0</v>
      </c>
      <c r="Z110" s="120">
        <f t="shared" si="2"/>
        <v>140000</v>
      </c>
      <c r="AA110" s="124"/>
      <c r="AC110" s="136"/>
      <c r="AF110" s="141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  <c r="AF111" s="141"/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AF112" s="141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AF113" s="141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AF114" s="141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AF115" s="141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AF116" s="141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AF117" s="141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AF118" s="141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AF119" s="141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AF120" s="141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AF121" s="141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AF122" s="141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AF123" s="141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AF124" s="141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AF125" s="141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AF126" s="141"/>
    </row>
    <row r="127" ht="15.75" customHeight="1">
      <c r="A127" s="114"/>
      <c r="B127" s="114"/>
      <c r="AF127" s="141"/>
    </row>
    <row r="128" ht="15.75" customHeight="1">
      <c r="A128" s="114"/>
      <c r="B128" s="114"/>
      <c r="AF128" s="141"/>
    </row>
    <row r="129" ht="15.75" customHeight="1">
      <c r="A129" s="114"/>
      <c r="B129" s="114"/>
      <c r="AF129" s="141"/>
    </row>
    <row r="130" ht="15.75" customHeight="1">
      <c r="A130" s="114"/>
      <c r="B130" s="114"/>
      <c r="AF130" s="141"/>
    </row>
    <row r="131" ht="15.75" customHeight="1">
      <c r="A131" s="114"/>
      <c r="B131" s="114"/>
      <c r="AF131" s="141"/>
    </row>
    <row r="132" ht="15.75" customHeight="1">
      <c r="A132" s="114"/>
      <c r="B132" s="114"/>
      <c r="AF132" s="141"/>
    </row>
    <row r="133" ht="15.75" customHeight="1">
      <c r="A133" s="114"/>
      <c r="B133" s="114"/>
      <c r="AF133" s="141"/>
    </row>
    <row r="134" ht="15.75" customHeight="1">
      <c r="A134" s="114"/>
      <c r="B134" s="114"/>
      <c r="AF134" s="141"/>
    </row>
    <row r="135" ht="15.75" customHeight="1">
      <c r="A135" s="114"/>
      <c r="B135" s="114"/>
      <c r="AF135" s="141"/>
    </row>
    <row r="136" ht="15.75" customHeight="1">
      <c r="A136" s="114"/>
      <c r="B136" s="114"/>
      <c r="AF136" s="141"/>
    </row>
    <row r="137" ht="15.75" customHeight="1">
      <c r="A137" s="114"/>
      <c r="B137" s="114"/>
      <c r="AF137" s="141"/>
    </row>
    <row r="138" ht="15.75" customHeight="1">
      <c r="A138" s="114"/>
      <c r="B138" s="114"/>
      <c r="AF138" s="141"/>
    </row>
    <row r="139" ht="15.75" customHeight="1">
      <c r="A139" s="114"/>
      <c r="B139" s="114"/>
      <c r="AF139" s="141"/>
    </row>
    <row r="140" ht="15.75" customHeight="1">
      <c r="A140" s="114"/>
      <c r="B140" s="114"/>
      <c r="AF140" s="141"/>
    </row>
    <row r="141" ht="15.75" customHeight="1">
      <c r="A141" s="114"/>
      <c r="B141" s="114"/>
      <c r="AF141" s="141"/>
    </row>
    <row r="142" ht="15.75" customHeight="1">
      <c r="A142" s="114"/>
      <c r="B142" s="114"/>
      <c r="AF142" s="141"/>
    </row>
    <row r="143" ht="15.75" customHeight="1">
      <c r="A143" s="114"/>
      <c r="B143" s="114"/>
      <c r="AF143" s="141"/>
    </row>
    <row r="144" ht="15.75" customHeight="1">
      <c r="A144" s="114"/>
      <c r="B144" s="114"/>
      <c r="AF144" s="141"/>
    </row>
    <row r="145" ht="15.75" customHeight="1">
      <c r="A145" s="114"/>
      <c r="B145" s="114"/>
      <c r="AF145" s="141"/>
    </row>
    <row r="146" ht="15.75" customHeight="1">
      <c r="A146" s="114"/>
      <c r="B146" s="114"/>
      <c r="AF146" s="141"/>
    </row>
    <row r="147" ht="15.75" customHeight="1">
      <c r="A147" s="114"/>
      <c r="B147" s="114"/>
      <c r="AF147" s="141"/>
    </row>
    <row r="148" ht="15.75" customHeight="1">
      <c r="A148" s="114"/>
      <c r="B148" s="114"/>
      <c r="AF148" s="141"/>
    </row>
    <row r="149" ht="15.75" customHeight="1">
      <c r="A149" s="114"/>
      <c r="B149" s="114"/>
      <c r="AF149" s="141"/>
    </row>
    <row r="150" ht="15.75" customHeight="1">
      <c r="A150" s="114"/>
      <c r="B150" s="114"/>
      <c r="AF150" s="141"/>
    </row>
    <row r="151" ht="15.75" customHeight="1">
      <c r="A151" s="114"/>
      <c r="B151" s="114"/>
      <c r="AF151" s="141"/>
    </row>
    <row r="152" ht="15.75" customHeight="1">
      <c r="A152" s="114"/>
      <c r="B152" s="114"/>
      <c r="AF152" s="141"/>
    </row>
    <row r="153" ht="15.75" customHeight="1">
      <c r="A153" s="114"/>
      <c r="B153" s="114"/>
      <c r="AF153" s="141"/>
    </row>
    <row r="154" ht="15.75" customHeight="1">
      <c r="A154" s="114"/>
      <c r="B154" s="114"/>
      <c r="AF154" s="141"/>
    </row>
    <row r="155" ht="15.75" customHeight="1">
      <c r="A155" s="114"/>
      <c r="B155" s="114"/>
      <c r="AF155" s="141"/>
    </row>
    <row r="156" ht="15.75" customHeight="1">
      <c r="A156" s="114"/>
      <c r="B156" s="114"/>
      <c r="AF156" s="141"/>
    </row>
    <row r="157" ht="15.75" customHeight="1">
      <c r="A157" s="114"/>
      <c r="B157" s="114"/>
      <c r="AF157" s="141"/>
    </row>
    <row r="158" ht="15.75" customHeight="1">
      <c r="A158" s="114"/>
      <c r="B158" s="114"/>
      <c r="AF158" s="141"/>
    </row>
    <row r="159" ht="15.75" customHeight="1">
      <c r="A159" s="114"/>
      <c r="B159" s="114"/>
      <c r="AF159" s="141"/>
    </row>
    <row r="160" ht="15.75" customHeight="1">
      <c r="A160" s="114"/>
      <c r="B160" s="114"/>
      <c r="AF160" s="141"/>
    </row>
    <row r="161" ht="15.75" customHeight="1">
      <c r="A161" s="114"/>
      <c r="B161" s="114"/>
      <c r="AF161" s="141"/>
    </row>
    <row r="162" ht="15.75" customHeight="1">
      <c r="A162" s="114"/>
      <c r="B162" s="114"/>
      <c r="AF162" s="141"/>
    </row>
    <row r="163" ht="15.75" customHeight="1">
      <c r="A163" s="114"/>
      <c r="B163" s="114"/>
      <c r="AF163" s="141"/>
    </row>
    <row r="164" ht="15.75" customHeight="1">
      <c r="A164" s="114"/>
      <c r="B164" s="114"/>
      <c r="AF164" s="141"/>
    </row>
    <row r="165" ht="15.75" customHeight="1">
      <c r="A165" s="114"/>
      <c r="B165" s="114"/>
      <c r="AF165" s="141"/>
    </row>
    <row r="166" ht="15.75" customHeight="1">
      <c r="A166" s="114"/>
      <c r="B166" s="114"/>
      <c r="AF166" s="141"/>
    </row>
    <row r="167" ht="15.75" customHeight="1">
      <c r="A167" s="114"/>
      <c r="B167" s="114"/>
      <c r="AF167" s="141"/>
    </row>
    <row r="168" ht="15.75" customHeight="1">
      <c r="A168" s="114"/>
      <c r="B168" s="114"/>
      <c r="AF168" s="141"/>
    </row>
    <row r="169" ht="15.75" customHeight="1">
      <c r="A169" s="114"/>
      <c r="B169" s="114"/>
      <c r="AF169" s="141"/>
    </row>
    <row r="170" ht="15.75" customHeight="1">
      <c r="A170" s="114"/>
      <c r="B170" s="114"/>
      <c r="AF170" s="141"/>
    </row>
    <row r="171" ht="15.75" customHeight="1">
      <c r="A171" s="114"/>
      <c r="B171" s="114"/>
      <c r="AF171" s="141"/>
    </row>
    <row r="172" ht="15.75" customHeight="1">
      <c r="A172" s="114"/>
      <c r="B172" s="114"/>
      <c r="AF172" s="141"/>
    </row>
    <row r="173" ht="15.75" customHeight="1">
      <c r="A173" s="114"/>
      <c r="B173" s="114"/>
      <c r="AF173" s="141"/>
    </row>
    <row r="174" ht="15.75" customHeight="1">
      <c r="A174" s="114"/>
      <c r="B174" s="114"/>
      <c r="AF174" s="141"/>
    </row>
    <row r="175" ht="15.75" customHeight="1">
      <c r="A175" s="114"/>
      <c r="B175" s="114"/>
      <c r="AF175" s="141"/>
    </row>
    <row r="176" ht="15.75" customHeight="1">
      <c r="A176" s="114"/>
      <c r="B176" s="114"/>
      <c r="AF176" s="141"/>
    </row>
    <row r="177" ht="15.75" customHeight="1">
      <c r="A177" s="114"/>
      <c r="B177" s="114"/>
      <c r="AF177" s="141"/>
    </row>
    <row r="178" ht="15.75" customHeight="1">
      <c r="A178" s="114"/>
      <c r="B178" s="114"/>
      <c r="AF178" s="141"/>
    </row>
    <row r="179" ht="15.75" customHeight="1">
      <c r="A179" s="114"/>
      <c r="B179" s="114"/>
      <c r="AF179" s="141"/>
    </row>
    <row r="180" ht="15.75" customHeight="1">
      <c r="A180" s="114"/>
      <c r="B180" s="114"/>
      <c r="AF180" s="141"/>
    </row>
    <row r="181" ht="15.75" customHeight="1">
      <c r="A181" s="114"/>
      <c r="B181" s="114"/>
      <c r="AF181" s="141"/>
    </row>
    <row r="182" ht="15.75" customHeight="1">
      <c r="A182" s="114"/>
      <c r="B182" s="114"/>
      <c r="AF182" s="141"/>
    </row>
    <row r="183" ht="15.75" customHeight="1">
      <c r="A183" s="114"/>
      <c r="B183" s="114"/>
      <c r="AF183" s="141"/>
    </row>
    <row r="184" ht="15.75" customHeight="1">
      <c r="A184" s="114"/>
      <c r="B184" s="114"/>
      <c r="AF184" s="141"/>
    </row>
    <row r="185" ht="15.75" customHeight="1">
      <c r="A185" s="114"/>
      <c r="B185" s="114"/>
      <c r="AF185" s="141"/>
    </row>
    <row r="186" ht="15.75" customHeight="1">
      <c r="A186" s="114"/>
      <c r="B186" s="114"/>
      <c r="AF186" s="141"/>
    </row>
    <row r="187" ht="15.75" customHeight="1">
      <c r="A187" s="114"/>
      <c r="B187" s="114"/>
      <c r="AF187" s="141"/>
    </row>
    <row r="188" ht="15.75" customHeight="1">
      <c r="A188" s="114"/>
      <c r="B188" s="114"/>
      <c r="AF188" s="141"/>
    </row>
    <row r="189" ht="15.75" customHeight="1">
      <c r="A189" s="114"/>
      <c r="B189" s="114"/>
      <c r="AF189" s="141"/>
    </row>
    <row r="190" ht="15.75" customHeight="1">
      <c r="A190" s="114"/>
      <c r="B190" s="114"/>
      <c r="AF190" s="141"/>
    </row>
    <row r="191" ht="15.75" customHeight="1">
      <c r="A191" s="114"/>
      <c r="B191" s="114"/>
      <c r="AF191" s="141"/>
    </row>
    <row r="192" ht="15.75" customHeight="1">
      <c r="A192" s="114"/>
      <c r="B192" s="114"/>
      <c r="AF192" s="141"/>
    </row>
    <row r="193" ht="15.75" customHeight="1">
      <c r="A193" s="114"/>
      <c r="B193" s="114"/>
      <c r="AF193" s="141"/>
    </row>
    <row r="194" ht="15.75" customHeight="1">
      <c r="A194" s="114"/>
      <c r="B194" s="114"/>
      <c r="AF194" s="141"/>
    </row>
    <row r="195" ht="15.75" customHeight="1">
      <c r="A195" s="114"/>
      <c r="B195" s="114"/>
      <c r="AF195" s="141"/>
    </row>
    <row r="196" ht="15.75" customHeight="1">
      <c r="A196" s="114"/>
      <c r="B196" s="114"/>
      <c r="AF196" s="141"/>
    </row>
    <row r="197" ht="15.75" customHeight="1">
      <c r="A197" s="114"/>
      <c r="B197" s="114"/>
      <c r="AF197" s="141"/>
    </row>
    <row r="198" ht="15.75" customHeight="1">
      <c r="A198" s="114"/>
      <c r="B198" s="114"/>
      <c r="AF198" s="141"/>
    </row>
    <row r="199" ht="15.75" customHeight="1">
      <c r="A199" s="114"/>
      <c r="B199" s="114"/>
      <c r="AF199" s="141"/>
    </row>
    <row r="200" ht="15.75" customHeight="1">
      <c r="A200" s="114"/>
      <c r="B200" s="114"/>
      <c r="AF200" s="141"/>
    </row>
    <row r="201" ht="15.75" customHeight="1">
      <c r="A201" s="114"/>
      <c r="B201" s="114"/>
      <c r="AF201" s="141"/>
    </row>
    <row r="202" ht="15.75" customHeight="1">
      <c r="A202" s="114"/>
      <c r="B202" s="114"/>
      <c r="AF202" s="141"/>
    </row>
    <row r="203" ht="15.75" customHeight="1">
      <c r="A203" s="114"/>
      <c r="B203" s="114"/>
      <c r="AF203" s="141"/>
    </row>
    <row r="204" ht="15.75" customHeight="1">
      <c r="A204" s="114"/>
      <c r="B204" s="114"/>
      <c r="AF204" s="141"/>
    </row>
    <row r="205" ht="15.75" customHeight="1">
      <c r="A205" s="114"/>
      <c r="B205" s="114"/>
      <c r="AF205" s="141"/>
    </row>
    <row r="206" ht="15.75" customHeight="1">
      <c r="A206" s="114"/>
      <c r="B206" s="114"/>
      <c r="AF206" s="141"/>
    </row>
    <row r="207" ht="15.75" customHeight="1">
      <c r="A207" s="114"/>
      <c r="B207" s="114"/>
      <c r="AF207" s="141"/>
    </row>
    <row r="208" ht="15.75" customHeight="1">
      <c r="A208" s="114"/>
      <c r="B208" s="114"/>
      <c r="AF208" s="141"/>
    </row>
    <row r="209" ht="15.75" customHeight="1">
      <c r="A209" s="114"/>
      <c r="B209" s="114"/>
      <c r="AF209" s="141"/>
    </row>
    <row r="210" ht="15.75" customHeight="1">
      <c r="A210" s="114"/>
      <c r="B210" s="114"/>
      <c r="AF210" s="141"/>
    </row>
    <row r="211" ht="15.75" customHeight="1">
      <c r="A211" s="114"/>
      <c r="B211" s="114"/>
      <c r="AF211" s="141"/>
    </row>
    <row r="212" ht="15.75" customHeight="1">
      <c r="A212" s="114"/>
      <c r="B212" s="114"/>
      <c r="AF212" s="141"/>
    </row>
    <row r="213" ht="15.75" customHeight="1">
      <c r="A213" s="114"/>
      <c r="B213" s="114"/>
      <c r="AF213" s="141"/>
    </row>
    <row r="214" ht="15.75" customHeight="1">
      <c r="A214" s="114"/>
      <c r="B214" s="114"/>
      <c r="AF214" s="141"/>
    </row>
    <row r="215" ht="15.75" customHeight="1">
      <c r="A215" s="114"/>
      <c r="B215" s="114"/>
      <c r="AF215" s="141"/>
    </row>
    <row r="216" ht="15.75" customHeight="1">
      <c r="A216" s="114"/>
      <c r="B216" s="114"/>
      <c r="AF216" s="141"/>
    </row>
    <row r="217" ht="15.75" customHeight="1">
      <c r="A217" s="114"/>
      <c r="B217" s="114"/>
      <c r="AF217" s="141"/>
    </row>
    <row r="218" ht="15.75" customHeight="1">
      <c r="A218" s="114"/>
      <c r="B218" s="114"/>
      <c r="AF218" s="141"/>
    </row>
    <row r="219" ht="15.75" customHeight="1">
      <c r="A219" s="114"/>
      <c r="B219" s="114"/>
      <c r="AF219" s="141"/>
    </row>
    <row r="220" ht="15.75" customHeight="1">
      <c r="A220" s="114"/>
      <c r="B220" s="114"/>
      <c r="AF220" s="141"/>
    </row>
    <row r="221" ht="15.75" customHeight="1">
      <c r="A221" s="114"/>
      <c r="B221" s="114"/>
      <c r="AF221" s="141"/>
    </row>
    <row r="222" ht="15.75" customHeight="1">
      <c r="A222" s="114"/>
      <c r="B222" s="114"/>
      <c r="AF222" s="141"/>
    </row>
    <row r="223" ht="15.75" customHeight="1">
      <c r="A223" s="114"/>
      <c r="B223" s="114"/>
      <c r="AF223" s="141"/>
    </row>
    <row r="224" ht="15.75" customHeight="1">
      <c r="A224" s="114"/>
      <c r="B224" s="114"/>
      <c r="AF224" s="141"/>
    </row>
    <row r="225" ht="15.75" customHeight="1">
      <c r="A225" s="114"/>
      <c r="B225" s="114"/>
      <c r="AF225" s="141"/>
    </row>
    <row r="226" ht="15.75" customHeight="1">
      <c r="A226" s="114"/>
      <c r="B226" s="114"/>
      <c r="AF226" s="141"/>
    </row>
    <row r="227" ht="15.75" customHeight="1">
      <c r="A227" s="114"/>
      <c r="B227" s="114"/>
      <c r="AF227" s="141"/>
    </row>
    <row r="228" ht="15.75" customHeight="1">
      <c r="A228" s="114"/>
      <c r="B228" s="114"/>
      <c r="AF228" s="141"/>
    </row>
    <row r="229" ht="15.75" customHeight="1">
      <c r="A229" s="114"/>
      <c r="B229" s="114"/>
      <c r="AF229" s="141"/>
    </row>
    <row r="230" ht="15.75" customHeight="1">
      <c r="A230" s="114"/>
      <c r="B230" s="114"/>
      <c r="AF230" s="141"/>
    </row>
    <row r="231" ht="15.75" customHeight="1">
      <c r="A231" s="114"/>
      <c r="B231" s="114"/>
      <c r="AF231" s="141"/>
    </row>
    <row r="232" ht="15.75" customHeight="1">
      <c r="A232" s="114"/>
      <c r="B232" s="114"/>
      <c r="AF232" s="141"/>
    </row>
    <row r="233" ht="15.75" customHeight="1">
      <c r="A233" s="114"/>
      <c r="B233" s="114"/>
      <c r="AF233" s="141"/>
    </row>
    <row r="234" ht="15.75" customHeight="1">
      <c r="A234" s="114"/>
      <c r="B234" s="114"/>
      <c r="AF234" s="141"/>
    </row>
    <row r="235" ht="15.75" customHeight="1">
      <c r="A235" s="114"/>
      <c r="B235" s="114"/>
      <c r="AF235" s="141"/>
    </row>
    <row r="236" ht="15.75" customHeight="1">
      <c r="A236" s="114"/>
      <c r="B236" s="114"/>
      <c r="AF236" s="141"/>
    </row>
    <row r="237" ht="15.75" customHeight="1">
      <c r="A237" s="114"/>
      <c r="B237" s="114"/>
      <c r="AF237" s="141"/>
    </row>
    <row r="238" ht="15.75" customHeight="1">
      <c r="A238" s="114"/>
      <c r="B238" s="114"/>
      <c r="AF238" s="141"/>
    </row>
    <row r="239" ht="15.75" customHeight="1">
      <c r="A239" s="114"/>
      <c r="B239" s="114"/>
      <c r="AF239" s="141"/>
    </row>
    <row r="240" ht="15.75" customHeight="1">
      <c r="A240" s="114"/>
      <c r="B240" s="114"/>
      <c r="AF240" s="141"/>
    </row>
    <row r="241" ht="15.75" customHeight="1">
      <c r="A241" s="114"/>
      <c r="B241" s="114"/>
      <c r="AF241" s="141"/>
    </row>
    <row r="242" ht="15.75" customHeight="1">
      <c r="A242" s="114"/>
      <c r="B242" s="114"/>
      <c r="AF242" s="141"/>
    </row>
    <row r="243" ht="15.75" customHeight="1">
      <c r="A243" s="114"/>
      <c r="B243" s="114"/>
      <c r="AF243" s="141"/>
    </row>
    <row r="244" ht="15.75" customHeight="1">
      <c r="A244" s="114"/>
      <c r="B244" s="114"/>
      <c r="AF244" s="141"/>
    </row>
    <row r="245" ht="15.75" customHeight="1">
      <c r="A245" s="114"/>
      <c r="B245" s="114"/>
      <c r="AF245" s="141"/>
    </row>
    <row r="246" ht="15.75" customHeight="1">
      <c r="A246" s="114"/>
      <c r="B246" s="114"/>
      <c r="AF246" s="141"/>
    </row>
    <row r="247" ht="15.75" customHeight="1">
      <c r="A247" s="114"/>
      <c r="B247" s="114"/>
      <c r="AF247" s="141"/>
    </row>
    <row r="248" ht="15.75" customHeight="1">
      <c r="A248" s="114"/>
      <c r="B248" s="114"/>
      <c r="AF248" s="141"/>
    </row>
    <row r="249" ht="15.75" customHeight="1">
      <c r="A249" s="114"/>
      <c r="B249" s="114"/>
      <c r="AF249" s="141"/>
    </row>
    <row r="250" ht="15.75" customHeight="1">
      <c r="A250" s="114"/>
      <c r="B250" s="114"/>
      <c r="AF250" s="141"/>
    </row>
    <row r="251" ht="15.75" customHeight="1">
      <c r="A251" s="114"/>
      <c r="B251" s="114"/>
      <c r="AF251" s="141"/>
    </row>
    <row r="252" ht="15.75" customHeight="1">
      <c r="A252" s="114"/>
      <c r="B252" s="114"/>
      <c r="AF252" s="141"/>
    </row>
    <row r="253" ht="15.75" customHeight="1">
      <c r="A253" s="114"/>
      <c r="B253" s="114"/>
      <c r="AF253" s="141"/>
    </row>
    <row r="254" ht="15.75" customHeight="1">
      <c r="A254" s="114"/>
      <c r="B254" s="114"/>
      <c r="AF254" s="141"/>
    </row>
    <row r="255" ht="15.75" customHeight="1">
      <c r="A255" s="114"/>
      <c r="B255" s="114"/>
      <c r="AF255" s="141"/>
    </row>
    <row r="256" ht="15.75" customHeight="1">
      <c r="A256" s="114"/>
      <c r="B256" s="114"/>
      <c r="AF256" s="141"/>
    </row>
    <row r="257" ht="15.75" customHeight="1">
      <c r="A257" s="114"/>
      <c r="B257" s="114"/>
      <c r="AF257" s="141"/>
    </row>
    <row r="258" ht="15.75" customHeight="1">
      <c r="A258" s="114"/>
      <c r="B258" s="114"/>
      <c r="AF258" s="141"/>
    </row>
    <row r="259" ht="15.75" customHeight="1">
      <c r="A259" s="114"/>
      <c r="B259" s="114"/>
      <c r="AF259" s="141"/>
    </row>
    <row r="260" ht="15.75" customHeight="1">
      <c r="A260" s="114"/>
      <c r="B260" s="114"/>
      <c r="AF260" s="141"/>
    </row>
    <row r="261" ht="15.75" customHeight="1">
      <c r="A261" s="114"/>
      <c r="B261" s="114"/>
      <c r="AF261" s="141"/>
    </row>
    <row r="262" ht="15.75" customHeight="1">
      <c r="A262" s="114"/>
      <c r="B262" s="114"/>
      <c r="AF262" s="141"/>
    </row>
    <row r="263" ht="15.75" customHeight="1">
      <c r="A263" s="114"/>
      <c r="B263" s="114"/>
      <c r="AF263" s="141"/>
    </row>
    <row r="264" ht="15.75" customHeight="1">
      <c r="A264" s="114"/>
      <c r="B264" s="114"/>
      <c r="AF264" s="141"/>
    </row>
    <row r="265" ht="15.75" customHeight="1">
      <c r="A265" s="114"/>
      <c r="B265" s="114"/>
      <c r="AF265" s="141"/>
    </row>
    <row r="266" ht="15.75" customHeight="1">
      <c r="A266" s="114"/>
      <c r="B266" s="114"/>
      <c r="AF266" s="141"/>
    </row>
    <row r="267" ht="15.75" customHeight="1">
      <c r="A267" s="114"/>
      <c r="B267" s="114"/>
      <c r="AF267" s="141"/>
    </row>
    <row r="268" ht="15.75" customHeight="1">
      <c r="A268" s="114"/>
      <c r="B268" s="114"/>
      <c r="AF268" s="141"/>
    </row>
    <row r="269" ht="15.75" customHeight="1">
      <c r="A269" s="114"/>
      <c r="B269" s="114"/>
      <c r="AF269" s="141"/>
    </row>
    <row r="270" ht="15.75" customHeight="1">
      <c r="A270" s="114"/>
      <c r="B270" s="114"/>
      <c r="AF270" s="141"/>
    </row>
    <row r="271" ht="15.75" customHeight="1">
      <c r="A271" s="114"/>
      <c r="B271" s="114"/>
      <c r="AF271" s="141"/>
    </row>
    <row r="272" ht="15.75" customHeight="1">
      <c r="A272" s="114"/>
      <c r="B272" s="114"/>
      <c r="AF272" s="141"/>
    </row>
    <row r="273" ht="15.75" customHeight="1">
      <c r="A273" s="114"/>
      <c r="B273" s="114"/>
      <c r="AF273" s="141"/>
    </row>
    <row r="274" ht="15.75" customHeight="1">
      <c r="A274" s="114"/>
      <c r="B274" s="114"/>
      <c r="AF274" s="141"/>
    </row>
    <row r="275" ht="15.75" customHeight="1">
      <c r="A275" s="114"/>
      <c r="B275" s="114"/>
      <c r="AF275" s="141"/>
    </row>
    <row r="276" ht="15.75" customHeight="1">
      <c r="A276" s="114"/>
      <c r="B276" s="114"/>
      <c r="AF276" s="141"/>
    </row>
    <row r="277" ht="15.75" customHeight="1">
      <c r="A277" s="114"/>
      <c r="B277" s="114"/>
      <c r="AF277" s="141"/>
    </row>
    <row r="278" ht="15.75" customHeight="1">
      <c r="A278" s="114"/>
      <c r="B278" s="114"/>
      <c r="AF278" s="141"/>
    </row>
    <row r="279" ht="15.75" customHeight="1">
      <c r="A279" s="114"/>
      <c r="B279" s="114"/>
      <c r="AF279" s="141"/>
    </row>
    <row r="280" ht="15.75" customHeight="1">
      <c r="A280" s="114"/>
      <c r="B280" s="114"/>
      <c r="AF280" s="141"/>
    </row>
    <row r="281" ht="15.75" customHeight="1">
      <c r="A281" s="114"/>
      <c r="B281" s="114"/>
      <c r="AF281" s="141"/>
    </row>
    <row r="282" ht="15.75" customHeight="1">
      <c r="A282" s="114"/>
      <c r="B282" s="114"/>
      <c r="AF282" s="141"/>
    </row>
    <row r="283" ht="15.75" customHeight="1">
      <c r="A283" s="114"/>
      <c r="B283" s="114"/>
      <c r="AF283" s="141"/>
    </row>
    <row r="284" ht="15.75" customHeight="1">
      <c r="A284" s="114"/>
      <c r="B284" s="114"/>
      <c r="AF284" s="141"/>
    </row>
    <row r="285" ht="15.75" customHeight="1">
      <c r="A285" s="114"/>
      <c r="B285" s="114"/>
      <c r="AF285" s="141"/>
    </row>
    <row r="286" ht="15.75" customHeight="1">
      <c r="A286" s="114"/>
      <c r="B286" s="114"/>
      <c r="AF286" s="141"/>
    </row>
    <row r="287" ht="15.75" customHeight="1">
      <c r="A287" s="114"/>
      <c r="B287" s="114"/>
      <c r="AF287" s="141"/>
    </row>
    <row r="288" ht="15.75" customHeight="1">
      <c r="A288" s="114"/>
      <c r="B288" s="114"/>
      <c r="AF288" s="141"/>
    </row>
    <row r="289" ht="15.75" customHeight="1">
      <c r="A289" s="114"/>
      <c r="B289" s="114"/>
      <c r="AF289" s="141"/>
    </row>
    <row r="290" ht="15.75" customHeight="1">
      <c r="A290" s="114"/>
      <c r="B290" s="114"/>
      <c r="AF290" s="141"/>
    </row>
    <row r="291" ht="15.75" customHeight="1">
      <c r="A291" s="114"/>
      <c r="B291" s="114"/>
      <c r="AF291" s="141"/>
    </row>
    <row r="292" ht="15.75" customHeight="1">
      <c r="A292" s="114"/>
      <c r="B292" s="114"/>
      <c r="AF292" s="141"/>
    </row>
    <row r="293" ht="15.75" customHeight="1">
      <c r="A293" s="114"/>
      <c r="B293" s="114"/>
      <c r="AF293" s="141"/>
    </row>
    <row r="294" ht="15.75" customHeight="1">
      <c r="A294" s="114"/>
      <c r="B294" s="114"/>
      <c r="AF294" s="141"/>
    </row>
    <row r="295" ht="15.75" customHeight="1">
      <c r="A295" s="114"/>
      <c r="B295" s="114"/>
      <c r="AF295" s="141"/>
    </row>
    <row r="296" ht="15.75" customHeight="1">
      <c r="A296" s="114"/>
      <c r="B296" s="114"/>
      <c r="AF296" s="141"/>
    </row>
    <row r="297" ht="15.75" customHeight="1">
      <c r="A297" s="114"/>
      <c r="B297" s="114"/>
      <c r="AF297" s="141"/>
    </row>
    <row r="298" ht="15.75" customHeight="1">
      <c r="A298" s="114"/>
      <c r="B298" s="114"/>
      <c r="AF298" s="141"/>
    </row>
    <row r="299" ht="15.75" customHeight="1">
      <c r="A299" s="114"/>
      <c r="B299" s="114"/>
      <c r="AF299" s="141"/>
    </row>
    <row r="300" ht="15.75" customHeight="1">
      <c r="A300" s="114"/>
      <c r="B300" s="114"/>
      <c r="AF300" s="141"/>
    </row>
    <row r="301" ht="15.75" customHeight="1">
      <c r="A301" s="114"/>
      <c r="B301" s="114"/>
      <c r="AF301" s="141"/>
    </row>
    <row r="302" ht="15.75" customHeight="1">
      <c r="A302" s="114"/>
      <c r="B302" s="114"/>
      <c r="AF302" s="141"/>
    </row>
    <row r="303" ht="15.75" customHeight="1">
      <c r="A303" s="114"/>
      <c r="B303" s="114"/>
      <c r="AF303" s="141"/>
    </row>
    <row r="304" ht="15.75" customHeight="1">
      <c r="A304" s="114"/>
      <c r="B304" s="114"/>
      <c r="AF304" s="141"/>
    </row>
    <row r="305" ht="15.75" customHeight="1">
      <c r="A305" s="114"/>
      <c r="B305" s="114"/>
      <c r="AF305" s="141"/>
    </row>
    <row r="306" ht="15.75" customHeight="1">
      <c r="A306" s="114"/>
      <c r="B306" s="114"/>
      <c r="AF306" s="141"/>
    </row>
    <row r="307" ht="15.75" customHeight="1">
      <c r="A307" s="114"/>
      <c r="B307" s="114"/>
      <c r="AF307" s="141"/>
    </row>
    <row r="308" ht="15.75" customHeight="1">
      <c r="A308" s="114"/>
      <c r="B308" s="114"/>
      <c r="AF308" s="141"/>
    </row>
    <row r="309" ht="15.75" customHeight="1">
      <c r="A309" s="114"/>
      <c r="B309" s="114"/>
      <c r="AF309" s="141"/>
    </row>
    <row r="310" ht="15.75" customHeight="1">
      <c r="A310" s="114"/>
      <c r="B310" s="114"/>
      <c r="AF310" s="141"/>
    </row>
    <row r="311" ht="15.75" customHeight="1">
      <c r="A311" s="114"/>
      <c r="B311" s="114"/>
      <c r="AF311" s="141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45716.0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  <c r="AF1" s="141"/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42"/>
      <c r="AG2" s="114"/>
      <c r="AH2" s="114"/>
      <c r="AI2" s="114"/>
      <c r="AJ2" s="114"/>
    </row>
    <row r="3" ht="22.5" customHeight="1">
      <c r="A3" s="1" t="s">
        <v>2</v>
      </c>
      <c r="B3" s="1"/>
      <c r="C3" s="134">
        <f>'R7.1'!AC3</f>
        <v>0</v>
      </c>
      <c r="D3" s="116"/>
      <c r="E3" s="116"/>
      <c r="F3" s="116"/>
      <c r="G3" s="116"/>
      <c r="H3" s="117"/>
      <c r="I3" s="118"/>
      <c r="J3" s="119"/>
      <c r="K3" s="117"/>
      <c r="L3" s="117"/>
      <c r="M3" s="120"/>
      <c r="N3" s="117"/>
      <c r="O3" s="117"/>
      <c r="P3" s="117"/>
      <c r="Q3" s="117"/>
      <c r="R3" s="119"/>
      <c r="S3" s="119"/>
      <c r="T3" s="119"/>
      <c r="U3" s="119"/>
      <c r="V3" s="119"/>
      <c r="W3" s="122">
        <f t="shared" ref="W3:W6" si="1">SUM(D3:V3)</f>
        <v>0</v>
      </c>
      <c r="X3" s="123"/>
      <c r="Y3" s="123"/>
      <c r="Z3" s="120">
        <f t="shared" ref="Z3:Z110" si="2">SUM(W3:Y3)</f>
        <v>0</v>
      </c>
      <c r="AA3" s="124"/>
      <c r="AB3" s="63" t="s">
        <v>128</v>
      </c>
      <c r="AC3" s="125">
        <f t="shared" ref="AC3:AC109" si="3">C3-M3</f>
        <v>0</v>
      </c>
      <c r="AF3" s="141"/>
    </row>
    <row r="4" ht="22.5" customHeight="1">
      <c r="A4" s="1" t="s">
        <v>4</v>
      </c>
      <c r="B4" s="1"/>
      <c r="C4" s="134">
        <f>'R7.1'!AC4</f>
        <v>0</v>
      </c>
      <c r="D4" s="116"/>
      <c r="E4" s="116"/>
      <c r="F4" s="116"/>
      <c r="G4" s="116"/>
      <c r="H4" s="117"/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2">
        <f t="shared" si="1"/>
        <v>0</v>
      </c>
      <c r="X4" s="123"/>
      <c r="Y4" s="123"/>
      <c r="Z4" s="120">
        <f t="shared" si="2"/>
        <v>0</v>
      </c>
      <c r="AA4" s="124" t="s">
        <v>129</v>
      </c>
      <c r="AB4" s="107" t="s">
        <v>128</v>
      </c>
      <c r="AC4" s="125">
        <f t="shared" si="3"/>
        <v>0</v>
      </c>
      <c r="AF4" s="141"/>
    </row>
    <row r="5" ht="22.5" customHeight="1">
      <c r="A5" s="1" t="s">
        <v>6</v>
      </c>
      <c r="B5" s="1"/>
      <c r="C5" s="134">
        <f>'R7.1'!AC5</f>
        <v>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0</v>
      </c>
      <c r="AF5" s="141"/>
    </row>
    <row r="6" ht="22.5" customHeight="1">
      <c r="A6" s="1" t="s">
        <v>7</v>
      </c>
      <c r="B6" s="1"/>
      <c r="C6" s="134">
        <f>'R7.1'!AC6</f>
        <v>0</v>
      </c>
      <c r="D6" s="116"/>
      <c r="E6" s="116"/>
      <c r="F6" s="116"/>
      <c r="G6" s="116"/>
      <c r="H6" s="117"/>
      <c r="I6" s="117"/>
      <c r="J6" s="119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2">
        <f t="shared" si="1"/>
        <v>0</v>
      </c>
      <c r="X6" s="123"/>
      <c r="Y6" s="123"/>
      <c r="Z6" s="120">
        <f t="shared" si="2"/>
        <v>0</v>
      </c>
      <c r="AA6" s="124" t="s">
        <v>129</v>
      </c>
      <c r="AB6" s="63" t="s">
        <v>128</v>
      </c>
      <c r="AC6" s="125">
        <f t="shared" si="3"/>
        <v>0</v>
      </c>
      <c r="AF6" s="141"/>
    </row>
    <row r="7" ht="22.5" customHeight="1">
      <c r="A7" s="1" t="s">
        <v>9</v>
      </c>
      <c r="B7" s="1" t="s">
        <v>10</v>
      </c>
      <c r="C7" s="134">
        <f>'R7.1'!AC7</f>
        <v>120000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0.0</v>
      </c>
      <c r="I7" s="117">
        <v>0.0</v>
      </c>
      <c r="J7" s="127"/>
      <c r="K7" s="117"/>
      <c r="L7" s="117"/>
      <c r="M7" s="117">
        <v>10000.0</v>
      </c>
      <c r="N7" s="117"/>
      <c r="O7" s="117"/>
      <c r="P7" s="117"/>
      <c r="Q7" s="117"/>
      <c r="R7" s="117"/>
      <c r="S7" s="117">
        <v>48000.0</v>
      </c>
      <c r="T7" s="117"/>
      <c r="U7" s="117"/>
      <c r="V7" s="117">
        <f>'R7.1'!AE7</f>
        <v>20000</v>
      </c>
      <c r="W7" s="122">
        <f>SUM(D7:U7)-V7</f>
        <v>90000</v>
      </c>
      <c r="X7" s="116"/>
      <c r="Y7" s="128"/>
      <c r="Z7" s="120">
        <f t="shared" si="2"/>
        <v>90000</v>
      </c>
      <c r="AA7" s="124">
        <v>110000.0</v>
      </c>
      <c r="AB7" s="63" t="s">
        <v>128</v>
      </c>
      <c r="AC7" s="125">
        <f t="shared" si="3"/>
        <v>110000</v>
      </c>
      <c r="AD7" s="63">
        <v>120000.0</v>
      </c>
      <c r="AE7" s="124">
        <f>AD7-Z7</f>
        <v>30000</v>
      </c>
      <c r="AF7" s="141">
        <v>45823.0</v>
      </c>
    </row>
    <row r="8" ht="22.5" customHeight="1">
      <c r="A8" s="1" t="s">
        <v>11</v>
      </c>
      <c r="B8" s="1"/>
      <c r="C8" s="134">
        <f>'R7.1'!AC8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2">
        <f t="shared" ref="W8:W110" si="4">SUM(D8:V8)</f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  <c r="AF8" s="141"/>
    </row>
    <row r="9" ht="22.5" customHeight="1">
      <c r="A9" s="1" t="s">
        <v>12</v>
      </c>
      <c r="B9" s="1"/>
      <c r="C9" s="134">
        <f>'R7.1'!AC9</f>
        <v>0</v>
      </c>
      <c r="D9" s="116"/>
      <c r="E9" s="116"/>
      <c r="F9" s="116"/>
      <c r="G9" s="116"/>
      <c r="H9" s="117"/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2">
        <f t="shared" si="4"/>
        <v>0</v>
      </c>
      <c r="X9" s="123"/>
      <c r="Y9" s="123"/>
      <c r="Z9" s="120">
        <f t="shared" si="2"/>
        <v>0</v>
      </c>
      <c r="AA9" s="124" t="s">
        <v>129</v>
      </c>
      <c r="AB9" s="63" t="s">
        <v>128</v>
      </c>
      <c r="AC9" s="125">
        <f t="shared" si="3"/>
        <v>0</v>
      </c>
      <c r="AF9" s="141"/>
    </row>
    <row r="10" ht="22.5" customHeight="1">
      <c r="A10" s="1" t="s">
        <v>14</v>
      </c>
      <c r="B10" s="1"/>
      <c r="C10" s="134">
        <f>'R7.1'!AC10</f>
        <v>0</v>
      </c>
      <c r="D10" s="116"/>
      <c r="E10" s="116"/>
      <c r="F10" s="116"/>
      <c r="G10" s="116"/>
      <c r="H10" s="117"/>
      <c r="I10" s="117"/>
      <c r="J10" s="119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22">
        <f t="shared" si="4"/>
        <v>0</v>
      </c>
      <c r="X10" s="129"/>
      <c r="Y10" s="129"/>
      <c r="Z10" s="120">
        <f t="shared" si="2"/>
        <v>0</v>
      </c>
      <c r="AA10" s="124" t="s">
        <v>129</v>
      </c>
      <c r="AB10" s="63" t="s">
        <v>128</v>
      </c>
      <c r="AC10" s="125">
        <f t="shared" si="3"/>
        <v>0</v>
      </c>
      <c r="AF10" s="141"/>
    </row>
    <row r="11" ht="22.5" customHeight="1">
      <c r="A11" s="1" t="s">
        <v>16</v>
      </c>
      <c r="B11" s="1"/>
      <c r="C11" s="134">
        <f>'R7.1'!AC11</f>
        <v>0</v>
      </c>
      <c r="D11" s="116"/>
      <c r="E11" s="116"/>
      <c r="F11" s="116"/>
      <c r="G11" s="116"/>
      <c r="H11" s="117"/>
      <c r="I11" s="117"/>
      <c r="J11" s="119"/>
      <c r="K11" s="117"/>
      <c r="L11" s="117"/>
      <c r="M11" s="130"/>
      <c r="N11" s="117"/>
      <c r="O11" s="117"/>
      <c r="P11" s="117"/>
      <c r="Q11" s="117"/>
      <c r="R11" s="117"/>
      <c r="S11" s="120"/>
      <c r="T11" s="117"/>
      <c r="U11" s="117"/>
      <c r="V11" s="117"/>
      <c r="W11" s="122">
        <f t="shared" si="4"/>
        <v>0</v>
      </c>
      <c r="X11" s="123"/>
      <c r="Y11" s="123"/>
      <c r="Z11" s="120">
        <f t="shared" si="2"/>
        <v>0</v>
      </c>
      <c r="AA11" s="131"/>
      <c r="AB11" s="63" t="s">
        <v>128</v>
      </c>
      <c r="AC11" s="125">
        <f t="shared" si="3"/>
        <v>0</v>
      </c>
      <c r="AF11" s="141"/>
    </row>
    <row r="12" ht="22.5" customHeight="1">
      <c r="A12" s="1" t="s">
        <v>18</v>
      </c>
      <c r="B12" s="1"/>
      <c r="C12" s="134">
        <f>'R7.1'!AC12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2">
        <f t="shared" si="4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  <c r="AF12" s="141"/>
    </row>
    <row r="13" ht="22.5" customHeight="1">
      <c r="A13" s="1"/>
      <c r="B13" s="3"/>
      <c r="C13" s="134">
        <f>'R7.1'!AC13</f>
        <v>0</v>
      </c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4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  <c r="AF13" s="141"/>
    </row>
    <row r="14" ht="22.5" customHeight="1">
      <c r="A14" s="1"/>
      <c r="B14" s="3"/>
      <c r="C14" s="134">
        <f>'R7.1'!AC14</f>
        <v>0</v>
      </c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4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43"/>
      <c r="AG14" s="133"/>
      <c r="AH14" s="133"/>
      <c r="AI14" s="133"/>
      <c r="AJ14" s="133"/>
    </row>
    <row r="15" ht="22.5" customHeight="1">
      <c r="A15" s="1"/>
      <c r="B15" s="3"/>
      <c r="C15" s="134">
        <f>'R7.1'!AC15</f>
        <v>0</v>
      </c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4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43"/>
      <c r="AG15" s="133"/>
      <c r="AH15" s="133"/>
      <c r="AI15" s="133"/>
      <c r="AJ15" s="133"/>
    </row>
    <row r="16" ht="22.5" customHeight="1">
      <c r="A16" s="1"/>
      <c r="B16" s="3"/>
      <c r="C16" s="134">
        <f>'R7.1'!AC16</f>
        <v>0</v>
      </c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4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43"/>
      <c r="AG16" s="133"/>
      <c r="AH16" s="133"/>
      <c r="AI16" s="133"/>
      <c r="AJ16" s="133"/>
    </row>
    <row r="17" ht="22.5" customHeight="1">
      <c r="A17" s="3"/>
      <c r="B17" s="3"/>
      <c r="C17" s="134">
        <f>'R7.1'!AC17</f>
        <v>0</v>
      </c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4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43"/>
      <c r="AG17" s="133"/>
      <c r="AH17" s="133"/>
      <c r="AI17" s="133"/>
      <c r="AJ17" s="133"/>
    </row>
    <row r="18" ht="22.5" customHeight="1">
      <c r="A18" s="3"/>
      <c r="B18" s="3"/>
      <c r="C18" s="134">
        <f>'R7.1'!AC18</f>
        <v>0</v>
      </c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4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43"/>
      <c r="AG18" s="133"/>
      <c r="AH18" s="133"/>
      <c r="AI18" s="133"/>
      <c r="AJ18" s="133"/>
    </row>
    <row r="19" ht="22.5" customHeight="1">
      <c r="A19" s="3"/>
      <c r="B19" s="3"/>
      <c r="C19" s="134">
        <f>'R7.1'!AC19</f>
        <v>0</v>
      </c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4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43"/>
      <c r="AG19" s="133"/>
      <c r="AH19" s="133"/>
      <c r="AI19" s="133"/>
      <c r="AJ19" s="133"/>
    </row>
    <row r="20" ht="22.5" customHeight="1">
      <c r="A20" s="3"/>
      <c r="B20" s="3"/>
      <c r="C20" s="134">
        <f>'R7.1'!AC20</f>
        <v>0</v>
      </c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4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43"/>
      <c r="AG20" s="133"/>
      <c r="AH20" s="133"/>
      <c r="AI20" s="133"/>
      <c r="AJ20" s="133"/>
    </row>
    <row r="21" ht="22.5" customHeight="1">
      <c r="A21" s="3"/>
      <c r="B21" s="3"/>
      <c r="C21" s="134">
        <f>'R7.1'!AC21</f>
        <v>0</v>
      </c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4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43"/>
      <c r="AG21" s="133"/>
      <c r="AH21" s="133"/>
      <c r="AI21" s="133"/>
      <c r="AJ21" s="133"/>
    </row>
    <row r="22" ht="22.5" hidden="1" customHeight="1">
      <c r="A22" s="3"/>
      <c r="B22" s="3"/>
      <c r="C22" s="134">
        <f>'R7.1'!AC22</f>
        <v>0</v>
      </c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4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43"/>
      <c r="AG22" s="133"/>
      <c r="AH22" s="133"/>
      <c r="AI22" s="133"/>
      <c r="AJ22" s="133"/>
    </row>
    <row r="23" ht="22.5" hidden="1" customHeight="1">
      <c r="A23" s="3"/>
      <c r="B23" s="3"/>
      <c r="C23" s="134">
        <f>'R7.1'!AC23</f>
        <v>0</v>
      </c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4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43"/>
      <c r="AG23" s="133"/>
      <c r="AH23" s="133"/>
      <c r="AI23" s="133"/>
      <c r="AJ23" s="133"/>
    </row>
    <row r="24" ht="22.5" hidden="1" customHeight="1">
      <c r="A24" s="3"/>
      <c r="B24" s="3"/>
      <c r="C24" s="134">
        <f>'R7.1'!AC24</f>
        <v>0</v>
      </c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4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43"/>
      <c r="AG24" s="133"/>
      <c r="AH24" s="133"/>
      <c r="AI24" s="133"/>
      <c r="AJ24" s="133"/>
    </row>
    <row r="25" ht="22.5" hidden="1" customHeight="1">
      <c r="A25" s="3"/>
      <c r="B25" s="3"/>
      <c r="C25" s="134">
        <f>'R7.1'!AC25</f>
        <v>0</v>
      </c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4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43"/>
      <c r="AG25" s="133"/>
      <c r="AH25" s="133"/>
      <c r="AI25" s="133"/>
      <c r="AJ25" s="133"/>
    </row>
    <row r="26" ht="22.5" hidden="1" customHeight="1">
      <c r="A26" s="3"/>
      <c r="B26" s="3"/>
      <c r="C26" s="134">
        <f>'R7.1'!AC26</f>
        <v>0</v>
      </c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4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43"/>
      <c r="AG26" s="133"/>
      <c r="AH26" s="133"/>
      <c r="AI26" s="133"/>
      <c r="AJ26" s="133"/>
    </row>
    <row r="27" ht="22.5" hidden="1" customHeight="1">
      <c r="A27" s="3"/>
      <c r="B27" s="3"/>
      <c r="C27" s="134">
        <f>'R7.1'!AC27</f>
        <v>0</v>
      </c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4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43"/>
      <c r="AG27" s="133"/>
      <c r="AH27" s="133"/>
      <c r="AI27" s="133"/>
      <c r="AJ27" s="133"/>
    </row>
    <row r="28" ht="22.5" hidden="1" customHeight="1">
      <c r="A28" s="3"/>
      <c r="B28" s="3"/>
      <c r="C28" s="134">
        <f>'R7.1'!AC28</f>
        <v>0</v>
      </c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4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43"/>
      <c r="AG28" s="133"/>
      <c r="AH28" s="133"/>
      <c r="AI28" s="133"/>
      <c r="AJ28" s="133"/>
    </row>
    <row r="29" ht="22.5" hidden="1" customHeight="1">
      <c r="A29" s="3"/>
      <c r="B29" s="3"/>
      <c r="C29" s="134">
        <f>'R7.1'!AC29</f>
        <v>0</v>
      </c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4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43"/>
      <c r="AG29" s="133"/>
      <c r="AH29" s="133"/>
      <c r="AI29" s="133"/>
      <c r="AJ29" s="133"/>
    </row>
    <row r="30" ht="22.5" hidden="1" customHeight="1">
      <c r="A30" s="3"/>
      <c r="B30" s="3"/>
      <c r="C30" s="134">
        <f>'R7.1'!AC30</f>
        <v>0</v>
      </c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4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43"/>
      <c r="AG30" s="133"/>
      <c r="AH30" s="133"/>
      <c r="AI30" s="133"/>
      <c r="AJ30" s="133"/>
    </row>
    <row r="31" ht="22.5" hidden="1" customHeight="1">
      <c r="A31" s="3"/>
      <c r="B31" s="3"/>
      <c r="C31" s="134">
        <f>'R7.1'!AC31</f>
        <v>0</v>
      </c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4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43"/>
      <c r="AG31" s="133"/>
      <c r="AH31" s="133"/>
      <c r="AI31" s="133"/>
      <c r="AJ31" s="133"/>
    </row>
    <row r="32" ht="22.5" hidden="1" customHeight="1">
      <c r="A32" s="3"/>
      <c r="B32" s="3"/>
      <c r="C32" s="134">
        <f>'R7.1'!AC32</f>
        <v>0</v>
      </c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4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43"/>
      <c r="AG32" s="133"/>
      <c r="AH32" s="133"/>
      <c r="AI32" s="133"/>
      <c r="AJ32" s="133"/>
    </row>
    <row r="33" ht="22.5" hidden="1" customHeight="1">
      <c r="A33" s="3"/>
      <c r="B33" s="3"/>
      <c r="C33" s="134">
        <f>'R7.1'!AC33</f>
        <v>0</v>
      </c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4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43"/>
      <c r="AG33" s="133"/>
      <c r="AH33" s="133"/>
      <c r="AI33" s="133"/>
      <c r="AJ33" s="133"/>
    </row>
    <row r="34" ht="22.5" hidden="1" customHeight="1">
      <c r="A34" s="3"/>
      <c r="B34" s="3"/>
      <c r="C34" s="134">
        <f>'R7.1'!AC34</f>
        <v>0</v>
      </c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4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43"/>
      <c r="AG34" s="133"/>
      <c r="AH34" s="133"/>
      <c r="AI34" s="133"/>
      <c r="AJ34" s="133"/>
    </row>
    <row r="35" ht="22.5" hidden="1" customHeight="1">
      <c r="A35" s="3"/>
      <c r="B35" s="3"/>
      <c r="C35" s="134">
        <f>'R7.1'!AC35</f>
        <v>0</v>
      </c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4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43"/>
      <c r="AG35" s="133"/>
      <c r="AH35" s="133"/>
      <c r="AI35" s="133"/>
      <c r="AJ35" s="133"/>
    </row>
    <row r="36" ht="22.5" hidden="1" customHeight="1">
      <c r="A36" s="3"/>
      <c r="B36" s="3"/>
      <c r="C36" s="134">
        <f>'R7.1'!AC36</f>
        <v>0</v>
      </c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4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43"/>
      <c r="AG36" s="133"/>
      <c r="AH36" s="133"/>
      <c r="AI36" s="133"/>
      <c r="AJ36" s="133"/>
    </row>
    <row r="37" ht="22.5" hidden="1" customHeight="1">
      <c r="A37" s="3"/>
      <c r="B37" s="3"/>
      <c r="C37" s="134">
        <f>'R7.1'!AC37</f>
        <v>0</v>
      </c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4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43"/>
      <c r="AG37" s="133"/>
      <c r="AH37" s="133"/>
      <c r="AI37" s="133"/>
      <c r="AJ37" s="133"/>
    </row>
    <row r="38" ht="22.5" hidden="1" customHeight="1">
      <c r="A38" s="3"/>
      <c r="B38" s="3"/>
      <c r="C38" s="134">
        <f>'R7.1'!AC38</f>
        <v>0</v>
      </c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4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43"/>
      <c r="AG38" s="133"/>
      <c r="AH38" s="133"/>
      <c r="AI38" s="133"/>
      <c r="AJ38" s="133"/>
    </row>
    <row r="39" ht="22.5" hidden="1" customHeight="1">
      <c r="A39" s="3"/>
      <c r="B39" s="3"/>
      <c r="C39" s="134">
        <f>'R7.1'!AC39</f>
        <v>0</v>
      </c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4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43"/>
      <c r="AG39" s="133"/>
      <c r="AH39" s="133"/>
      <c r="AI39" s="133"/>
      <c r="AJ39" s="133"/>
    </row>
    <row r="40" ht="22.5" hidden="1" customHeight="1">
      <c r="A40" s="3"/>
      <c r="B40" s="3"/>
      <c r="C40" s="134">
        <f>'R7.1'!AC40</f>
        <v>0</v>
      </c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4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43"/>
      <c r="AG40" s="133"/>
      <c r="AH40" s="133"/>
      <c r="AI40" s="133"/>
      <c r="AJ40" s="133"/>
    </row>
    <row r="41" ht="22.5" hidden="1" customHeight="1">
      <c r="A41" s="3"/>
      <c r="B41" s="3"/>
      <c r="C41" s="134">
        <f>'R7.1'!AC41</f>
        <v>0</v>
      </c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4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43"/>
      <c r="AG41" s="133"/>
      <c r="AH41" s="133"/>
      <c r="AI41" s="133"/>
      <c r="AJ41" s="133"/>
    </row>
    <row r="42" ht="22.5" hidden="1" customHeight="1">
      <c r="A42" s="3"/>
      <c r="B42" s="3"/>
      <c r="C42" s="134">
        <f>'R7.1'!AC42</f>
        <v>0</v>
      </c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4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43"/>
      <c r="AG42" s="133"/>
      <c r="AH42" s="133"/>
      <c r="AI42" s="133"/>
      <c r="AJ42" s="133"/>
    </row>
    <row r="43" ht="22.5" hidden="1" customHeight="1">
      <c r="A43" s="3"/>
      <c r="B43" s="3"/>
      <c r="C43" s="134">
        <f>'R7.1'!AC43</f>
        <v>0</v>
      </c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4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43"/>
      <c r="AG43" s="133"/>
      <c r="AH43" s="133"/>
      <c r="AI43" s="133"/>
      <c r="AJ43" s="133"/>
    </row>
    <row r="44" ht="22.5" hidden="1" customHeight="1">
      <c r="A44" s="3"/>
      <c r="B44" s="3"/>
      <c r="C44" s="134">
        <f>'R7.1'!AC44</f>
        <v>0</v>
      </c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4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43"/>
      <c r="AG44" s="133"/>
      <c r="AH44" s="133"/>
      <c r="AI44" s="133"/>
      <c r="AJ44" s="133"/>
    </row>
    <row r="45" ht="22.5" hidden="1" customHeight="1">
      <c r="A45" s="3"/>
      <c r="B45" s="3"/>
      <c r="C45" s="134">
        <f>'R7.1'!AC45</f>
        <v>0</v>
      </c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4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43"/>
      <c r="AG45" s="133"/>
      <c r="AH45" s="133"/>
      <c r="AI45" s="133"/>
      <c r="AJ45" s="133"/>
    </row>
    <row r="46" ht="22.5" hidden="1" customHeight="1">
      <c r="A46" s="3"/>
      <c r="B46" s="3"/>
      <c r="C46" s="134">
        <f>'R7.1'!AC46</f>
        <v>0</v>
      </c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4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43"/>
      <c r="AG46" s="133"/>
      <c r="AH46" s="133"/>
      <c r="AI46" s="133"/>
      <c r="AJ46" s="133"/>
    </row>
    <row r="47" ht="22.5" hidden="1" customHeight="1">
      <c r="A47" s="3"/>
      <c r="B47" s="3"/>
      <c r="C47" s="134">
        <f>'R7.1'!AC47</f>
        <v>0</v>
      </c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4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43"/>
      <c r="AG47" s="133"/>
      <c r="AH47" s="133"/>
      <c r="AI47" s="133"/>
      <c r="AJ47" s="133"/>
    </row>
    <row r="48" ht="22.5" hidden="1" customHeight="1">
      <c r="A48" s="3"/>
      <c r="B48" s="3"/>
      <c r="C48" s="134">
        <f>'R7.1'!AC48</f>
        <v>0</v>
      </c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4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43"/>
      <c r="AG48" s="133"/>
      <c r="AH48" s="133"/>
      <c r="AI48" s="133"/>
      <c r="AJ48" s="133"/>
    </row>
    <row r="49" ht="22.5" hidden="1" customHeight="1">
      <c r="A49" s="3"/>
      <c r="B49" s="3"/>
      <c r="C49" s="134">
        <f>'R7.1'!AC49</f>
        <v>0</v>
      </c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4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43"/>
      <c r="AG49" s="133"/>
      <c r="AH49" s="133"/>
      <c r="AI49" s="133"/>
      <c r="AJ49" s="133"/>
    </row>
    <row r="50" ht="22.5" hidden="1" customHeight="1">
      <c r="A50" s="3"/>
      <c r="B50" s="3"/>
      <c r="C50" s="134">
        <f>'R7.1'!AC50</f>
        <v>0</v>
      </c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4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43"/>
      <c r="AG50" s="133"/>
      <c r="AH50" s="133"/>
      <c r="AI50" s="133"/>
      <c r="AJ50" s="133"/>
    </row>
    <row r="51" ht="22.5" hidden="1" customHeight="1">
      <c r="A51" s="3"/>
      <c r="B51" s="3"/>
      <c r="C51" s="134">
        <f>'R7.1'!AC51</f>
        <v>0</v>
      </c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4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43"/>
      <c r="AG51" s="133"/>
      <c r="AH51" s="133"/>
      <c r="AI51" s="133"/>
      <c r="AJ51" s="133"/>
    </row>
    <row r="52" ht="22.5" hidden="1" customHeight="1">
      <c r="A52" s="3"/>
      <c r="B52" s="3"/>
      <c r="C52" s="134">
        <f>'R7.1'!AC52</f>
        <v>0</v>
      </c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4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43"/>
      <c r="AG52" s="133"/>
      <c r="AH52" s="133"/>
      <c r="AI52" s="133"/>
      <c r="AJ52" s="133"/>
    </row>
    <row r="53" ht="22.5" hidden="1" customHeight="1">
      <c r="A53" s="3"/>
      <c r="B53" s="3"/>
      <c r="C53" s="134">
        <f>'R7.1'!AC53</f>
        <v>0</v>
      </c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4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43"/>
      <c r="AG53" s="133"/>
      <c r="AH53" s="133"/>
      <c r="AI53" s="133"/>
      <c r="AJ53" s="133"/>
    </row>
    <row r="54" ht="22.5" hidden="1" customHeight="1">
      <c r="A54" s="3"/>
      <c r="B54" s="3"/>
      <c r="C54" s="134">
        <f>'R7.1'!AC54</f>
        <v>0</v>
      </c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4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43"/>
      <c r="AG54" s="133"/>
      <c r="AH54" s="133"/>
      <c r="AI54" s="133"/>
      <c r="AJ54" s="133"/>
    </row>
    <row r="55" ht="22.5" hidden="1" customHeight="1">
      <c r="A55" s="3"/>
      <c r="B55" s="3"/>
      <c r="C55" s="134">
        <f>'R7.1'!AC55</f>
        <v>0</v>
      </c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4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43"/>
      <c r="AG55" s="133"/>
      <c r="AH55" s="133"/>
      <c r="AI55" s="133"/>
      <c r="AJ55" s="133"/>
    </row>
    <row r="56" ht="22.5" hidden="1" customHeight="1">
      <c r="A56" s="3"/>
      <c r="B56" s="3"/>
      <c r="C56" s="134">
        <f>'R7.1'!AC56</f>
        <v>0</v>
      </c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4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43"/>
      <c r="AG56" s="133"/>
      <c r="AH56" s="133"/>
      <c r="AI56" s="133"/>
      <c r="AJ56" s="133"/>
    </row>
    <row r="57" ht="22.5" hidden="1" customHeight="1">
      <c r="A57" s="3"/>
      <c r="B57" s="3"/>
      <c r="C57" s="134">
        <f>'R7.1'!AC57</f>
        <v>0</v>
      </c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4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43"/>
      <c r="AG57" s="133"/>
      <c r="AH57" s="133"/>
      <c r="AI57" s="133"/>
      <c r="AJ57" s="133"/>
    </row>
    <row r="58" ht="22.5" hidden="1" customHeight="1">
      <c r="A58" s="3"/>
      <c r="B58" s="3"/>
      <c r="C58" s="134">
        <f>'R7.1'!AC58</f>
        <v>0</v>
      </c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4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43"/>
      <c r="AG58" s="133"/>
      <c r="AH58" s="133"/>
      <c r="AI58" s="133"/>
      <c r="AJ58" s="133"/>
    </row>
    <row r="59" ht="22.5" hidden="1" customHeight="1">
      <c r="A59" s="3"/>
      <c r="B59" s="3"/>
      <c r="C59" s="134">
        <f>'R7.1'!AC59</f>
        <v>0</v>
      </c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4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43"/>
      <c r="AG59" s="133"/>
      <c r="AH59" s="133"/>
      <c r="AI59" s="133"/>
      <c r="AJ59" s="133"/>
    </row>
    <row r="60" ht="22.5" hidden="1" customHeight="1">
      <c r="A60" s="3"/>
      <c r="B60" s="3"/>
      <c r="C60" s="134">
        <f>'R7.1'!AC60</f>
        <v>0</v>
      </c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4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43"/>
      <c r="AG60" s="133"/>
      <c r="AH60" s="133"/>
      <c r="AI60" s="133"/>
      <c r="AJ60" s="133"/>
    </row>
    <row r="61" ht="22.5" hidden="1" customHeight="1">
      <c r="A61" s="3"/>
      <c r="B61" s="3"/>
      <c r="C61" s="134">
        <f>'R7.1'!AC61</f>
        <v>0</v>
      </c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4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43"/>
      <c r="AG61" s="133"/>
      <c r="AH61" s="133"/>
      <c r="AI61" s="133"/>
      <c r="AJ61" s="133"/>
    </row>
    <row r="62" ht="22.5" hidden="1" customHeight="1">
      <c r="A62" s="3"/>
      <c r="B62" s="3"/>
      <c r="C62" s="134">
        <f>'R7.1'!AC62</f>
        <v>0</v>
      </c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4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43"/>
      <c r="AG62" s="133"/>
      <c r="AH62" s="133"/>
      <c r="AI62" s="133"/>
      <c r="AJ62" s="133"/>
    </row>
    <row r="63" ht="22.5" hidden="1" customHeight="1">
      <c r="A63" s="3"/>
      <c r="B63" s="3"/>
      <c r="C63" s="134">
        <f>'R7.1'!AC63</f>
        <v>0</v>
      </c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4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43"/>
      <c r="AG63" s="133"/>
      <c r="AH63" s="133"/>
      <c r="AI63" s="133"/>
      <c r="AJ63" s="133"/>
    </row>
    <row r="64" ht="22.5" hidden="1" customHeight="1">
      <c r="A64" s="3"/>
      <c r="B64" s="3"/>
      <c r="C64" s="134">
        <f>'R7.1'!AC64</f>
        <v>0</v>
      </c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4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43"/>
      <c r="AG64" s="133"/>
      <c r="AH64" s="133"/>
      <c r="AI64" s="133"/>
      <c r="AJ64" s="133"/>
    </row>
    <row r="65" ht="22.5" hidden="1" customHeight="1">
      <c r="A65" s="3"/>
      <c r="B65" s="3"/>
      <c r="C65" s="134">
        <f>'R7.1'!AC65</f>
        <v>0</v>
      </c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4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43"/>
      <c r="AG65" s="133"/>
      <c r="AH65" s="133"/>
      <c r="AI65" s="133"/>
      <c r="AJ65" s="133"/>
    </row>
    <row r="66" ht="22.5" hidden="1" customHeight="1">
      <c r="A66" s="3"/>
      <c r="B66" s="3"/>
      <c r="C66" s="134">
        <f>'R7.1'!AC66</f>
        <v>0</v>
      </c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4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43"/>
      <c r="AG66" s="133"/>
      <c r="AH66" s="133"/>
      <c r="AI66" s="133"/>
      <c r="AJ66" s="133"/>
    </row>
    <row r="67" ht="22.5" hidden="1" customHeight="1">
      <c r="A67" s="3"/>
      <c r="B67" s="3"/>
      <c r="C67" s="134">
        <f>'R7.1'!AC67</f>
        <v>0</v>
      </c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4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43"/>
      <c r="AG67" s="133"/>
      <c r="AH67" s="133"/>
      <c r="AI67" s="133"/>
      <c r="AJ67" s="133"/>
    </row>
    <row r="68" ht="22.5" hidden="1" customHeight="1">
      <c r="A68" s="3"/>
      <c r="B68" s="3"/>
      <c r="C68" s="134">
        <f>'R7.1'!AC68</f>
        <v>0</v>
      </c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4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43"/>
      <c r="AG68" s="133"/>
      <c r="AH68" s="133"/>
      <c r="AI68" s="133"/>
      <c r="AJ68" s="133"/>
    </row>
    <row r="69" ht="22.5" hidden="1" customHeight="1">
      <c r="A69" s="3"/>
      <c r="B69" s="3"/>
      <c r="C69" s="134">
        <f>'R7.1'!AC69</f>
        <v>0</v>
      </c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4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43"/>
      <c r="AG69" s="133"/>
      <c r="AH69" s="133"/>
      <c r="AI69" s="133"/>
      <c r="AJ69" s="133"/>
    </row>
    <row r="70" ht="22.5" hidden="1" customHeight="1">
      <c r="A70" s="3"/>
      <c r="B70" s="3"/>
      <c r="C70" s="134">
        <f>'R7.1'!AC70</f>
        <v>0</v>
      </c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4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43"/>
      <c r="AG70" s="133"/>
      <c r="AH70" s="133"/>
      <c r="AI70" s="133"/>
      <c r="AJ70" s="133"/>
    </row>
    <row r="71" ht="22.5" hidden="1" customHeight="1">
      <c r="A71" s="3"/>
      <c r="B71" s="3"/>
      <c r="C71" s="134">
        <f>'R7.1'!AC71</f>
        <v>0</v>
      </c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4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43"/>
      <c r="AG71" s="133"/>
      <c r="AH71" s="133"/>
      <c r="AI71" s="133"/>
      <c r="AJ71" s="133"/>
    </row>
    <row r="72" ht="22.5" hidden="1" customHeight="1">
      <c r="A72" s="3"/>
      <c r="B72" s="3"/>
      <c r="C72" s="134">
        <f>'R7.1'!AC72</f>
        <v>0</v>
      </c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4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43"/>
      <c r="AG72" s="133"/>
      <c r="AH72" s="133"/>
      <c r="AI72" s="133"/>
      <c r="AJ72" s="133"/>
    </row>
    <row r="73" ht="22.5" hidden="1" customHeight="1">
      <c r="A73" s="3"/>
      <c r="B73" s="3"/>
      <c r="C73" s="134">
        <f>'R7.1'!AC73</f>
        <v>0</v>
      </c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4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43"/>
      <c r="AG73" s="133"/>
      <c r="AH73" s="133"/>
      <c r="AI73" s="133"/>
      <c r="AJ73" s="133"/>
    </row>
    <row r="74" ht="22.5" hidden="1" customHeight="1">
      <c r="A74" s="3"/>
      <c r="B74" s="3"/>
      <c r="C74" s="134">
        <f>'R7.1'!AC74</f>
        <v>0</v>
      </c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4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43"/>
      <c r="AG74" s="133"/>
      <c r="AH74" s="133"/>
      <c r="AI74" s="133"/>
      <c r="AJ74" s="133"/>
    </row>
    <row r="75" ht="22.5" hidden="1" customHeight="1">
      <c r="A75" s="3"/>
      <c r="B75" s="3"/>
      <c r="C75" s="134">
        <f>'R7.1'!AC75</f>
        <v>0</v>
      </c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4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43"/>
      <c r="AG75" s="133"/>
      <c r="AH75" s="133"/>
      <c r="AI75" s="133"/>
      <c r="AJ75" s="133"/>
    </row>
    <row r="76" ht="22.5" hidden="1" customHeight="1">
      <c r="A76" s="3"/>
      <c r="B76" s="3"/>
      <c r="C76" s="134">
        <f>'R7.1'!AC76</f>
        <v>0</v>
      </c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4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43"/>
      <c r="AG76" s="133"/>
      <c r="AH76" s="133"/>
      <c r="AI76" s="133"/>
      <c r="AJ76" s="133"/>
    </row>
    <row r="77" ht="22.5" hidden="1" customHeight="1">
      <c r="A77" s="3"/>
      <c r="B77" s="3"/>
      <c r="C77" s="134">
        <f>'R7.1'!AC77</f>
        <v>0</v>
      </c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4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43"/>
      <c r="AG77" s="133"/>
      <c r="AH77" s="133"/>
      <c r="AI77" s="133"/>
      <c r="AJ77" s="133"/>
    </row>
    <row r="78" ht="22.5" hidden="1" customHeight="1">
      <c r="A78" s="3"/>
      <c r="B78" s="3"/>
      <c r="C78" s="134">
        <f>'R7.1'!AC78</f>
        <v>0</v>
      </c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4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43"/>
      <c r="AG78" s="133"/>
      <c r="AH78" s="133"/>
      <c r="AI78" s="133"/>
      <c r="AJ78" s="133"/>
    </row>
    <row r="79" ht="22.5" hidden="1" customHeight="1">
      <c r="A79" s="3"/>
      <c r="B79" s="3"/>
      <c r="C79" s="134">
        <f>'R7.1'!AC79</f>
        <v>0</v>
      </c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4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43"/>
      <c r="AG79" s="133"/>
      <c r="AH79" s="133"/>
      <c r="AI79" s="133"/>
      <c r="AJ79" s="133"/>
    </row>
    <row r="80" ht="22.5" hidden="1" customHeight="1">
      <c r="A80" s="3"/>
      <c r="B80" s="3"/>
      <c r="C80" s="134">
        <f>'R7.1'!AC80</f>
        <v>0</v>
      </c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4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43"/>
      <c r="AG80" s="133"/>
      <c r="AH80" s="133"/>
      <c r="AI80" s="133"/>
      <c r="AJ80" s="133"/>
    </row>
    <row r="81" ht="22.5" hidden="1" customHeight="1">
      <c r="A81" s="3"/>
      <c r="B81" s="3"/>
      <c r="C81" s="134">
        <f>'R7.1'!AC81</f>
        <v>0</v>
      </c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4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43"/>
      <c r="AG81" s="133"/>
      <c r="AH81" s="133"/>
      <c r="AI81" s="133"/>
      <c r="AJ81" s="133"/>
    </row>
    <row r="82" ht="22.5" hidden="1" customHeight="1">
      <c r="A82" s="3"/>
      <c r="B82" s="3"/>
      <c r="C82" s="134">
        <f>'R7.1'!AC82</f>
        <v>0</v>
      </c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4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43"/>
      <c r="AG82" s="133"/>
      <c r="AH82" s="133"/>
      <c r="AI82" s="133"/>
      <c r="AJ82" s="133"/>
    </row>
    <row r="83" ht="22.5" hidden="1" customHeight="1">
      <c r="A83" s="3"/>
      <c r="B83" s="3"/>
      <c r="C83" s="134">
        <f>'R7.1'!AC83</f>
        <v>0</v>
      </c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4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43"/>
      <c r="AG83" s="133"/>
      <c r="AH83" s="133"/>
      <c r="AI83" s="133"/>
      <c r="AJ83" s="133"/>
    </row>
    <row r="84" ht="22.5" hidden="1" customHeight="1">
      <c r="A84" s="3"/>
      <c r="B84" s="3"/>
      <c r="C84" s="134">
        <f>'R7.1'!AC84</f>
        <v>0</v>
      </c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4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43"/>
      <c r="AG84" s="133"/>
      <c r="AH84" s="133"/>
      <c r="AI84" s="133"/>
      <c r="AJ84" s="133"/>
    </row>
    <row r="85" ht="22.5" hidden="1" customHeight="1">
      <c r="A85" s="3"/>
      <c r="B85" s="3"/>
      <c r="C85" s="134">
        <f>'R7.1'!AC85</f>
        <v>0</v>
      </c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4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43"/>
      <c r="AG85" s="133"/>
      <c r="AH85" s="133"/>
      <c r="AI85" s="133"/>
      <c r="AJ85" s="133"/>
    </row>
    <row r="86" ht="22.5" hidden="1" customHeight="1">
      <c r="A86" s="3"/>
      <c r="B86" s="3"/>
      <c r="C86" s="134">
        <f>'R7.1'!AC86</f>
        <v>0</v>
      </c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4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43"/>
      <c r="AG86" s="133"/>
      <c r="AH86" s="133"/>
      <c r="AI86" s="133"/>
      <c r="AJ86" s="133"/>
    </row>
    <row r="87" ht="22.5" hidden="1" customHeight="1">
      <c r="A87" s="3"/>
      <c r="B87" s="3"/>
      <c r="C87" s="134">
        <f>'R7.1'!AC87</f>
        <v>0</v>
      </c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4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43"/>
      <c r="AG87" s="133"/>
      <c r="AH87" s="133"/>
      <c r="AI87" s="133"/>
      <c r="AJ87" s="133"/>
    </row>
    <row r="88" ht="22.5" hidden="1" customHeight="1">
      <c r="A88" s="3"/>
      <c r="B88" s="3"/>
      <c r="C88" s="134">
        <f>'R7.1'!AC88</f>
        <v>0</v>
      </c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4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43"/>
      <c r="AG88" s="133"/>
      <c r="AH88" s="133"/>
      <c r="AI88" s="133"/>
      <c r="AJ88" s="133"/>
    </row>
    <row r="89" ht="22.5" hidden="1" customHeight="1">
      <c r="A89" s="3"/>
      <c r="B89" s="3"/>
      <c r="C89" s="134">
        <f>'R7.1'!AC89</f>
        <v>0</v>
      </c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4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43"/>
      <c r="AG89" s="133"/>
      <c r="AH89" s="133"/>
      <c r="AI89" s="133"/>
      <c r="AJ89" s="133"/>
    </row>
    <row r="90" ht="22.5" hidden="1" customHeight="1">
      <c r="A90" s="3"/>
      <c r="B90" s="3"/>
      <c r="C90" s="134">
        <f>'R7.1'!AC90</f>
        <v>0</v>
      </c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4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43"/>
      <c r="AG90" s="133"/>
      <c r="AH90" s="133"/>
      <c r="AI90" s="133"/>
      <c r="AJ90" s="133"/>
    </row>
    <row r="91" ht="22.5" hidden="1" customHeight="1">
      <c r="A91" s="3"/>
      <c r="B91" s="3"/>
      <c r="C91" s="134">
        <f>'R7.1'!AC91</f>
        <v>0</v>
      </c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4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43"/>
      <c r="AG91" s="133"/>
      <c r="AH91" s="133"/>
      <c r="AI91" s="133"/>
      <c r="AJ91" s="133"/>
    </row>
    <row r="92" ht="22.5" hidden="1" customHeight="1">
      <c r="A92" s="3"/>
      <c r="B92" s="3"/>
      <c r="C92" s="134">
        <f>'R7.1'!AC92</f>
        <v>0</v>
      </c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4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43"/>
      <c r="AG92" s="133"/>
      <c r="AH92" s="133"/>
      <c r="AI92" s="133"/>
      <c r="AJ92" s="133"/>
    </row>
    <row r="93" ht="22.5" hidden="1" customHeight="1">
      <c r="A93" s="3"/>
      <c r="B93" s="3"/>
      <c r="C93" s="134">
        <f>'R7.1'!AC93</f>
        <v>0</v>
      </c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4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43"/>
      <c r="AG93" s="133"/>
      <c r="AH93" s="133"/>
      <c r="AI93" s="133"/>
      <c r="AJ93" s="133"/>
    </row>
    <row r="94" ht="22.5" hidden="1" customHeight="1">
      <c r="A94" s="3"/>
      <c r="B94" s="3"/>
      <c r="C94" s="134">
        <f>'R7.1'!AC94</f>
        <v>0</v>
      </c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4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43"/>
      <c r="AG94" s="133"/>
      <c r="AH94" s="133"/>
      <c r="AI94" s="133"/>
      <c r="AJ94" s="133"/>
    </row>
    <row r="95" ht="22.5" hidden="1" customHeight="1">
      <c r="A95" s="3"/>
      <c r="B95" s="3"/>
      <c r="C95" s="134">
        <f>'R7.1'!AC95</f>
        <v>0</v>
      </c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4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43"/>
      <c r="AG95" s="133"/>
      <c r="AH95" s="133"/>
      <c r="AI95" s="133"/>
      <c r="AJ95" s="133"/>
    </row>
    <row r="96" ht="22.5" hidden="1" customHeight="1">
      <c r="A96" s="3"/>
      <c r="B96" s="3"/>
      <c r="C96" s="134">
        <f>'R7.1'!AC96</f>
        <v>0</v>
      </c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4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43"/>
      <c r="AG96" s="133"/>
      <c r="AH96" s="133"/>
      <c r="AI96" s="133"/>
      <c r="AJ96" s="133"/>
    </row>
    <row r="97" ht="22.5" hidden="1" customHeight="1">
      <c r="A97" s="3"/>
      <c r="B97" s="3"/>
      <c r="C97" s="134">
        <f>'R7.1'!AC97</f>
        <v>0</v>
      </c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4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43"/>
      <c r="AG97" s="133"/>
      <c r="AH97" s="133"/>
      <c r="AI97" s="133"/>
      <c r="AJ97" s="133"/>
    </row>
    <row r="98" ht="22.5" hidden="1" customHeight="1">
      <c r="A98" s="3"/>
      <c r="B98" s="3"/>
      <c r="C98" s="134">
        <f>'R7.1'!AC98</f>
        <v>0</v>
      </c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4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43"/>
      <c r="AG98" s="133"/>
      <c r="AH98" s="133"/>
      <c r="AI98" s="133"/>
      <c r="AJ98" s="133"/>
    </row>
    <row r="99" ht="22.5" hidden="1" customHeight="1">
      <c r="A99" s="3"/>
      <c r="B99" s="3"/>
      <c r="C99" s="134">
        <f>'R7.1'!AC99</f>
        <v>0</v>
      </c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4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43"/>
      <c r="AG99" s="133"/>
      <c r="AH99" s="133"/>
      <c r="AI99" s="133"/>
      <c r="AJ99" s="133"/>
    </row>
    <row r="100" ht="22.5" hidden="1" customHeight="1">
      <c r="A100" s="3"/>
      <c r="B100" s="3"/>
      <c r="C100" s="134">
        <f>'R7.1'!AC100</f>
        <v>0</v>
      </c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4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43"/>
      <c r="AG100" s="133"/>
      <c r="AH100" s="133"/>
      <c r="AI100" s="133"/>
      <c r="AJ100" s="133"/>
    </row>
    <row r="101" ht="22.5" hidden="1" customHeight="1">
      <c r="A101" s="3"/>
      <c r="B101" s="3"/>
      <c r="C101" s="134">
        <f>'R7.1'!AC101</f>
        <v>0</v>
      </c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4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43"/>
      <c r="AG101" s="133"/>
      <c r="AH101" s="133"/>
      <c r="AI101" s="133"/>
      <c r="AJ101" s="133"/>
    </row>
    <row r="102" ht="22.5" hidden="1" customHeight="1">
      <c r="A102" s="3"/>
      <c r="B102" s="3"/>
      <c r="C102" s="134">
        <f>'R7.1'!AC102</f>
        <v>0</v>
      </c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4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43"/>
      <c r="AG102" s="133"/>
      <c r="AH102" s="133"/>
      <c r="AI102" s="133"/>
      <c r="AJ102" s="133"/>
    </row>
    <row r="103" ht="22.5" hidden="1" customHeight="1">
      <c r="A103" s="3"/>
      <c r="B103" s="3"/>
      <c r="C103" s="134">
        <f>'R7.1'!AC103</f>
        <v>0</v>
      </c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4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43"/>
      <c r="AG103" s="133"/>
      <c r="AH103" s="133"/>
      <c r="AI103" s="133"/>
      <c r="AJ103" s="133"/>
    </row>
    <row r="104" ht="22.5" hidden="1" customHeight="1">
      <c r="A104" s="3"/>
      <c r="B104" s="3"/>
      <c r="C104" s="134">
        <f>'R7.1'!AC104</f>
        <v>0</v>
      </c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4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43"/>
      <c r="AG104" s="133"/>
      <c r="AH104" s="133"/>
      <c r="AI104" s="133"/>
      <c r="AJ104" s="133"/>
    </row>
    <row r="105" ht="22.5" hidden="1" customHeight="1">
      <c r="A105" s="3"/>
      <c r="B105" s="3"/>
      <c r="C105" s="134">
        <f>'R7.1'!AC105</f>
        <v>0</v>
      </c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4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43"/>
      <c r="AG105" s="133"/>
      <c r="AH105" s="133"/>
      <c r="AI105" s="133"/>
      <c r="AJ105" s="133"/>
    </row>
    <row r="106" ht="22.5" hidden="1" customHeight="1">
      <c r="A106" s="3"/>
      <c r="B106" s="3"/>
      <c r="C106" s="134">
        <f>'R7.1'!AC106</f>
        <v>0</v>
      </c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4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43"/>
      <c r="AG106" s="133"/>
      <c r="AH106" s="133"/>
      <c r="AI106" s="133"/>
      <c r="AJ106" s="133"/>
    </row>
    <row r="107" ht="22.5" hidden="1" customHeight="1">
      <c r="A107" s="3"/>
      <c r="B107" s="3"/>
      <c r="C107" s="134">
        <f>'R7.1'!AC107</f>
        <v>0</v>
      </c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4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43"/>
      <c r="AG107" s="133"/>
      <c r="AH107" s="133"/>
      <c r="AI107" s="133"/>
      <c r="AJ107" s="133"/>
    </row>
    <row r="108" ht="22.5" hidden="1" customHeight="1">
      <c r="A108" s="3"/>
      <c r="B108" s="3"/>
      <c r="C108" s="134">
        <f>'R7.1'!AC108</f>
        <v>0</v>
      </c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4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43"/>
      <c r="AG108" s="133"/>
      <c r="AH108" s="133"/>
      <c r="AI108" s="133"/>
      <c r="AJ108" s="133"/>
    </row>
    <row r="109" ht="22.5" customHeight="1">
      <c r="A109" s="3"/>
      <c r="B109" s="3"/>
      <c r="C109" s="134">
        <f>'R7.1'!AC109</f>
        <v>0</v>
      </c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4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4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5">SUM(D3:D109)</f>
        <v>40000</v>
      </c>
      <c r="E110" s="120">
        <f t="shared" si="5"/>
        <v>5000</v>
      </c>
      <c r="F110" s="120">
        <f t="shared" si="5"/>
        <v>5000</v>
      </c>
      <c r="G110" s="120">
        <f t="shared" si="5"/>
        <v>2000</v>
      </c>
      <c r="H110" s="120">
        <f t="shared" si="5"/>
        <v>0</v>
      </c>
      <c r="I110" s="120">
        <f t="shared" si="5"/>
        <v>0</v>
      </c>
      <c r="J110" s="135">
        <f t="shared" si="5"/>
        <v>0</v>
      </c>
      <c r="K110" s="120">
        <f t="shared" si="5"/>
        <v>0</v>
      </c>
      <c r="L110" s="120">
        <f t="shared" si="5"/>
        <v>0</v>
      </c>
      <c r="M110" s="120">
        <f t="shared" si="5"/>
        <v>10000</v>
      </c>
      <c r="N110" s="120">
        <f t="shared" si="5"/>
        <v>0</v>
      </c>
      <c r="O110" s="120">
        <f t="shared" si="5"/>
        <v>0</v>
      </c>
      <c r="P110" s="120">
        <f t="shared" si="5"/>
        <v>0</v>
      </c>
      <c r="Q110" s="120">
        <f t="shared" si="5"/>
        <v>0</v>
      </c>
      <c r="R110" s="120">
        <f t="shared" si="5"/>
        <v>0</v>
      </c>
      <c r="S110" s="120">
        <f t="shared" si="5"/>
        <v>48000</v>
      </c>
      <c r="T110" s="120">
        <f t="shared" si="5"/>
        <v>0</v>
      </c>
      <c r="U110" s="120">
        <f t="shared" si="5"/>
        <v>0</v>
      </c>
      <c r="V110" s="120">
        <f t="shared" si="5"/>
        <v>20000</v>
      </c>
      <c r="W110" s="122">
        <f t="shared" si="4"/>
        <v>130000</v>
      </c>
      <c r="X110" s="120">
        <f t="shared" ref="X110:Y110" si="6">SUM(X3:X109)</f>
        <v>0</v>
      </c>
      <c r="Y110" s="120">
        <f t="shared" si="6"/>
        <v>0</v>
      </c>
      <c r="Z110" s="120">
        <f t="shared" si="2"/>
        <v>130000</v>
      </c>
      <c r="AA110" s="124"/>
      <c r="AC110" s="136"/>
      <c r="AF110" s="141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  <c r="AF111" s="141"/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AF112" s="141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AF113" s="141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AF114" s="141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AF115" s="141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AF116" s="141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AF117" s="141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AF118" s="141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AF119" s="141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AF120" s="141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AF121" s="141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AF122" s="141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AF123" s="141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AF124" s="141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AF125" s="141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AF126" s="141"/>
    </row>
    <row r="127" ht="15.75" customHeight="1">
      <c r="A127" s="114"/>
      <c r="B127" s="114"/>
      <c r="AF127" s="141"/>
    </row>
    <row r="128" ht="15.75" customHeight="1">
      <c r="A128" s="114"/>
      <c r="B128" s="114"/>
      <c r="AF128" s="141"/>
    </row>
    <row r="129" ht="15.75" customHeight="1">
      <c r="A129" s="114"/>
      <c r="B129" s="114"/>
      <c r="AF129" s="141"/>
    </row>
    <row r="130" ht="15.75" customHeight="1">
      <c r="A130" s="114"/>
      <c r="B130" s="114"/>
      <c r="AF130" s="141"/>
    </row>
    <row r="131" ht="15.75" customHeight="1">
      <c r="A131" s="114"/>
      <c r="B131" s="114"/>
      <c r="AF131" s="141"/>
    </row>
    <row r="132" ht="15.75" customHeight="1">
      <c r="A132" s="114"/>
      <c r="B132" s="114"/>
      <c r="AF132" s="141"/>
    </row>
    <row r="133" ht="15.75" customHeight="1">
      <c r="A133" s="114"/>
      <c r="B133" s="114"/>
      <c r="AF133" s="141"/>
    </row>
    <row r="134" ht="15.75" customHeight="1">
      <c r="A134" s="114"/>
      <c r="B134" s="114"/>
      <c r="AF134" s="141"/>
    </row>
    <row r="135" ht="15.75" customHeight="1">
      <c r="A135" s="114"/>
      <c r="B135" s="114"/>
      <c r="AF135" s="141"/>
    </row>
    <row r="136" ht="15.75" customHeight="1">
      <c r="A136" s="114"/>
      <c r="B136" s="114"/>
      <c r="AF136" s="141"/>
    </row>
    <row r="137" ht="15.75" customHeight="1">
      <c r="A137" s="114"/>
      <c r="B137" s="114"/>
      <c r="AF137" s="141"/>
    </row>
    <row r="138" ht="15.75" customHeight="1">
      <c r="A138" s="114"/>
      <c r="B138" s="114"/>
      <c r="AF138" s="141"/>
    </row>
    <row r="139" ht="15.75" customHeight="1">
      <c r="A139" s="114"/>
      <c r="B139" s="114"/>
      <c r="AF139" s="141"/>
    </row>
    <row r="140" ht="15.75" customHeight="1">
      <c r="A140" s="114"/>
      <c r="B140" s="114"/>
      <c r="AF140" s="141"/>
    </row>
    <row r="141" ht="15.75" customHeight="1">
      <c r="A141" s="114"/>
      <c r="B141" s="114"/>
      <c r="AF141" s="141"/>
    </row>
    <row r="142" ht="15.75" customHeight="1">
      <c r="A142" s="114"/>
      <c r="B142" s="114"/>
      <c r="AF142" s="141"/>
    </row>
    <row r="143" ht="15.75" customHeight="1">
      <c r="A143" s="114"/>
      <c r="B143" s="114"/>
      <c r="AF143" s="141"/>
    </row>
    <row r="144" ht="15.75" customHeight="1">
      <c r="A144" s="114"/>
      <c r="B144" s="114"/>
      <c r="AF144" s="141"/>
    </row>
    <row r="145" ht="15.75" customHeight="1">
      <c r="A145" s="114"/>
      <c r="B145" s="114"/>
      <c r="AF145" s="141"/>
    </row>
    <row r="146" ht="15.75" customHeight="1">
      <c r="A146" s="114"/>
      <c r="B146" s="114"/>
      <c r="AF146" s="141"/>
    </row>
    <row r="147" ht="15.75" customHeight="1">
      <c r="A147" s="114"/>
      <c r="B147" s="114"/>
      <c r="AF147" s="141"/>
    </row>
    <row r="148" ht="15.75" customHeight="1">
      <c r="A148" s="114"/>
      <c r="B148" s="114"/>
      <c r="AF148" s="141"/>
    </row>
    <row r="149" ht="15.75" customHeight="1">
      <c r="A149" s="114"/>
      <c r="B149" s="114"/>
      <c r="AF149" s="141"/>
    </row>
    <row r="150" ht="15.75" customHeight="1">
      <c r="A150" s="114"/>
      <c r="B150" s="114"/>
      <c r="AF150" s="141"/>
    </row>
    <row r="151" ht="15.75" customHeight="1">
      <c r="A151" s="114"/>
      <c r="B151" s="114"/>
      <c r="AF151" s="141"/>
    </row>
    <row r="152" ht="15.75" customHeight="1">
      <c r="A152" s="114"/>
      <c r="B152" s="114"/>
      <c r="AF152" s="141"/>
    </row>
    <row r="153" ht="15.75" customHeight="1">
      <c r="A153" s="114"/>
      <c r="B153" s="114"/>
      <c r="AF153" s="141"/>
    </row>
    <row r="154" ht="15.75" customHeight="1">
      <c r="A154" s="114"/>
      <c r="B154" s="114"/>
      <c r="AF154" s="141"/>
    </row>
    <row r="155" ht="15.75" customHeight="1">
      <c r="A155" s="114"/>
      <c r="B155" s="114"/>
      <c r="AF155" s="141"/>
    </row>
    <row r="156" ht="15.75" customHeight="1">
      <c r="A156" s="114"/>
      <c r="B156" s="114"/>
      <c r="AF156" s="141"/>
    </row>
    <row r="157" ht="15.75" customHeight="1">
      <c r="A157" s="114"/>
      <c r="B157" s="114"/>
      <c r="AF157" s="141"/>
    </row>
    <row r="158" ht="15.75" customHeight="1">
      <c r="A158" s="114"/>
      <c r="B158" s="114"/>
      <c r="AF158" s="141"/>
    </row>
    <row r="159" ht="15.75" customHeight="1">
      <c r="A159" s="114"/>
      <c r="B159" s="114"/>
      <c r="AF159" s="141"/>
    </row>
    <row r="160" ht="15.75" customHeight="1">
      <c r="A160" s="114"/>
      <c r="B160" s="114"/>
      <c r="AF160" s="141"/>
    </row>
    <row r="161" ht="15.75" customHeight="1">
      <c r="A161" s="114"/>
      <c r="B161" s="114"/>
      <c r="AF161" s="141"/>
    </row>
    <row r="162" ht="15.75" customHeight="1">
      <c r="A162" s="114"/>
      <c r="B162" s="114"/>
      <c r="AF162" s="141"/>
    </row>
    <row r="163" ht="15.75" customHeight="1">
      <c r="A163" s="114"/>
      <c r="B163" s="114"/>
      <c r="AF163" s="141"/>
    </row>
    <row r="164" ht="15.75" customHeight="1">
      <c r="A164" s="114"/>
      <c r="B164" s="114"/>
      <c r="AF164" s="141"/>
    </row>
    <row r="165" ht="15.75" customHeight="1">
      <c r="A165" s="114"/>
      <c r="B165" s="114"/>
      <c r="AF165" s="141"/>
    </row>
    <row r="166" ht="15.75" customHeight="1">
      <c r="A166" s="114"/>
      <c r="B166" s="114"/>
      <c r="AF166" s="141"/>
    </row>
    <row r="167" ht="15.75" customHeight="1">
      <c r="A167" s="114"/>
      <c r="B167" s="114"/>
      <c r="AF167" s="141"/>
    </row>
    <row r="168" ht="15.75" customHeight="1">
      <c r="A168" s="114"/>
      <c r="B168" s="114"/>
      <c r="AF168" s="141"/>
    </row>
    <row r="169" ht="15.75" customHeight="1">
      <c r="A169" s="114"/>
      <c r="B169" s="114"/>
      <c r="AF169" s="141"/>
    </row>
    <row r="170" ht="15.75" customHeight="1">
      <c r="A170" s="114"/>
      <c r="B170" s="114"/>
      <c r="AF170" s="141"/>
    </row>
    <row r="171" ht="15.75" customHeight="1">
      <c r="A171" s="114"/>
      <c r="B171" s="114"/>
      <c r="AF171" s="141"/>
    </row>
    <row r="172" ht="15.75" customHeight="1">
      <c r="A172" s="114"/>
      <c r="B172" s="114"/>
      <c r="AF172" s="141"/>
    </row>
    <row r="173" ht="15.75" customHeight="1">
      <c r="A173" s="114"/>
      <c r="B173" s="114"/>
      <c r="AF173" s="141"/>
    </row>
    <row r="174" ht="15.75" customHeight="1">
      <c r="A174" s="114"/>
      <c r="B174" s="114"/>
      <c r="AF174" s="141"/>
    </row>
    <row r="175" ht="15.75" customHeight="1">
      <c r="A175" s="114"/>
      <c r="B175" s="114"/>
      <c r="AF175" s="141"/>
    </row>
    <row r="176" ht="15.75" customHeight="1">
      <c r="A176" s="114"/>
      <c r="B176" s="114"/>
      <c r="AF176" s="141"/>
    </row>
    <row r="177" ht="15.75" customHeight="1">
      <c r="A177" s="114"/>
      <c r="B177" s="114"/>
      <c r="AF177" s="141"/>
    </row>
    <row r="178" ht="15.75" customHeight="1">
      <c r="A178" s="114"/>
      <c r="B178" s="114"/>
      <c r="AF178" s="141"/>
    </row>
    <row r="179" ht="15.75" customHeight="1">
      <c r="A179" s="114"/>
      <c r="B179" s="114"/>
      <c r="AF179" s="141"/>
    </row>
    <row r="180" ht="15.75" customHeight="1">
      <c r="A180" s="114"/>
      <c r="B180" s="114"/>
      <c r="AF180" s="141"/>
    </row>
    <row r="181" ht="15.75" customHeight="1">
      <c r="A181" s="114"/>
      <c r="B181" s="114"/>
      <c r="AF181" s="141"/>
    </row>
    <row r="182" ht="15.75" customHeight="1">
      <c r="A182" s="114"/>
      <c r="B182" s="114"/>
      <c r="AF182" s="141"/>
    </row>
    <row r="183" ht="15.75" customHeight="1">
      <c r="A183" s="114"/>
      <c r="B183" s="114"/>
      <c r="AF183" s="141"/>
    </row>
    <row r="184" ht="15.75" customHeight="1">
      <c r="A184" s="114"/>
      <c r="B184" s="114"/>
      <c r="AF184" s="141"/>
    </row>
    <row r="185" ht="15.75" customHeight="1">
      <c r="A185" s="114"/>
      <c r="B185" s="114"/>
      <c r="AF185" s="141"/>
    </row>
    <row r="186" ht="15.75" customHeight="1">
      <c r="A186" s="114"/>
      <c r="B186" s="114"/>
      <c r="AF186" s="141"/>
    </row>
    <row r="187" ht="15.75" customHeight="1">
      <c r="A187" s="114"/>
      <c r="B187" s="114"/>
      <c r="AF187" s="141"/>
    </row>
    <row r="188" ht="15.75" customHeight="1">
      <c r="A188" s="114"/>
      <c r="B188" s="114"/>
      <c r="AF188" s="141"/>
    </row>
    <row r="189" ht="15.75" customHeight="1">
      <c r="A189" s="114"/>
      <c r="B189" s="114"/>
      <c r="AF189" s="141"/>
    </row>
    <row r="190" ht="15.75" customHeight="1">
      <c r="A190" s="114"/>
      <c r="B190" s="114"/>
      <c r="AF190" s="141"/>
    </row>
    <row r="191" ht="15.75" customHeight="1">
      <c r="A191" s="114"/>
      <c r="B191" s="114"/>
      <c r="AF191" s="141"/>
    </row>
    <row r="192" ht="15.75" customHeight="1">
      <c r="A192" s="114"/>
      <c r="B192" s="114"/>
      <c r="AF192" s="141"/>
    </row>
    <row r="193" ht="15.75" customHeight="1">
      <c r="A193" s="114"/>
      <c r="B193" s="114"/>
      <c r="AF193" s="141"/>
    </row>
    <row r="194" ht="15.75" customHeight="1">
      <c r="A194" s="114"/>
      <c r="B194" s="114"/>
      <c r="AF194" s="141"/>
    </row>
    <row r="195" ht="15.75" customHeight="1">
      <c r="A195" s="114"/>
      <c r="B195" s="114"/>
      <c r="AF195" s="141"/>
    </row>
    <row r="196" ht="15.75" customHeight="1">
      <c r="A196" s="114"/>
      <c r="B196" s="114"/>
      <c r="AF196" s="141"/>
    </row>
    <row r="197" ht="15.75" customHeight="1">
      <c r="A197" s="114"/>
      <c r="B197" s="114"/>
      <c r="AF197" s="141"/>
    </row>
    <row r="198" ht="15.75" customHeight="1">
      <c r="A198" s="114"/>
      <c r="B198" s="114"/>
      <c r="AF198" s="141"/>
    </row>
    <row r="199" ht="15.75" customHeight="1">
      <c r="A199" s="114"/>
      <c r="B199" s="114"/>
      <c r="AF199" s="141"/>
    </row>
    <row r="200" ht="15.75" customHeight="1">
      <c r="A200" s="114"/>
      <c r="B200" s="114"/>
      <c r="AF200" s="141"/>
    </row>
    <row r="201" ht="15.75" customHeight="1">
      <c r="A201" s="114"/>
      <c r="B201" s="114"/>
      <c r="AF201" s="141"/>
    </row>
    <row r="202" ht="15.75" customHeight="1">
      <c r="A202" s="114"/>
      <c r="B202" s="114"/>
      <c r="AF202" s="141"/>
    </row>
    <row r="203" ht="15.75" customHeight="1">
      <c r="A203" s="114"/>
      <c r="B203" s="114"/>
      <c r="AF203" s="141"/>
    </row>
    <row r="204" ht="15.75" customHeight="1">
      <c r="A204" s="114"/>
      <c r="B204" s="114"/>
      <c r="AF204" s="141"/>
    </row>
    <row r="205" ht="15.75" customHeight="1">
      <c r="A205" s="114"/>
      <c r="B205" s="114"/>
      <c r="AF205" s="141"/>
    </row>
    <row r="206" ht="15.75" customHeight="1">
      <c r="A206" s="114"/>
      <c r="B206" s="114"/>
      <c r="AF206" s="141"/>
    </row>
    <row r="207" ht="15.75" customHeight="1">
      <c r="A207" s="114"/>
      <c r="B207" s="114"/>
      <c r="AF207" s="141"/>
    </row>
    <row r="208" ht="15.75" customHeight="1">
      <c r="A208" s="114"/>
      <c r="B208" s="114"/>
      <c r="AF208" s="141"/>
    </row>
    <row r="209" ht="15.75" customHeight="1">
      <c r="A209" s="114"/>
      <c r="B209" s="114"/>
      <c r="AF209" s="141"/>
    </row>
    <row r="210" ht="15.75" customHeight="1">
      <c r="A210" s="114"/>
      <c r="B210" s="114"/>
      <c r="AF210" s="141"/>
    </row>
    <row r="211" ht="15.75" customHeight="1">
      <c r="A211" s="114"/>
      <c r="B211" s="114"/>
      <c r="AF211" s="141"/>
    </row>
    <row r="212" ht="15.75" customHeight="1">
      <c r="A212" s="114"/>
      <c r="B212" s="114"/>
      <c r="AF212" s="141"/>
    </row>
    <row r="213" ht="15.75" customHeight="1">
      <c r="A213" s="114"/>
      <c r="B213" s="114"/>
      <c r="AF213" s="141"/>
    </row>
    <row r="214" ht="15.75" customHeight="1">
      <c r="A214" s="114"/>
      <c r="B214" s="114"/>
      <c r="AF214" s="141"/>
    </row>
    <row r="215" ht="15.75" customHeight="1">
      <c r="A215" s="114"/>
      <c r="B215" s="114"/>
      <c r="AF215" s="141"/>
    </row>
    <row r="216" ht="15.75" customHeight="1">
      <c r="A216" s="114"/>
      <c r="B216" s="114"/>
      <c r="AF216" s="141"/>
    </row>
    <row r="217" ht="15.75" customHeight="1">
      <c r="A217" s="114"/>
      <c r="B217" s="114"/>
      <c r="AF217" s="141"/>
    </row>
    <row r="218" ht="15.75" customHeight="1">
      <c r="A218" s="114"/>
      <c r="B218" s="114"/>
      <c r="AF218" s="141"/>
    </row>
    <row r="219" ht="15.75" customHeight="1">
      <c r="A219" s="114"/>
      <c r="B219" s="114"/>
      <c r="AF219" s="141"/>
    </row>
    <row r="220" ht="15.75" customHeight="1">
      <c r="A220" s="114"/>
      <c r="B220" s="114"/>
      <c r="AF220" s="141"/>
    </row>
    <row r="221" ht="15.75" customHeight="1">
      <c r="A221" s="114"/>
      <c r="B221" s="114"/>
      <c r="AF221" s="141"/>
    </row>
    <row r="222" ht="15.75" customHeight="1">
      <c r="A222" s="114"/>
      <c r="B222" s="114"/>
      <c r="AF222" s="141"/>
    </row>
    <row r="223" ht="15.75" customHeight="1">
      <c r="A223" s="114"/>
      <c r="B223" s="114"/>
      <c r="AF223" s="141"/>
    </row>
    <row r="224" ht="15.75" customHeight="1">
      <c r="A224" s="114"/>
      <c r="B224" s="114"/>
      <c r="AF224" s="141"/>
    </row>
    <row r="225" ht="15.75" customHeight="1">
      <c r="A225" s="114"/>
      <c r="B225" s="114"/>
      <c r="AF225" s="141"/>
    </row>
    <row r="226" ht="15.75" customHeight="1">
      <c r="A226" s="114"/>
      <c r="B226" s="114"/>
      <c r="AF226" s="141"/>
    </row>
    <row r="227" ht="15.75" customHeight="1">
      <c r="A227" s="114"/>
      <c r="B227" s="114"/>
      <c r="AF227" s="141"/>
    </row>
    <row r="228" ht="15.75" customHeight="1">
      <c r="A228" s="114"/>
      <c r="B228" s="114"/>
      <c r="AF228" s="141"/>
    </row>
    <row r="229" ht="15.75" customHeight="1">
      <c r="A229" s="114"/>
      <c r="B229" s="114"/>
      <c r="AF229" s="141"/>
    </row>
    <row r="230" ht="15.75" customHeight="1">
      <c r="A230" s="114"/>
      <c r="B230" s="114"/>
      <c r="AF230" s="141"/>
    </row>
    <row r="231" ht="15.75" customHeight="1">
      <c r="A231" s="114"/>
      <c r="B231" s="114"/>
      <c r="AF231" s="141"/>
    </row>
    <row r="232" ht="15.75" customHeight="1">
      <c r="A232" s="114"/>
      <c r="B232" s="114"/>
      <c r="AF232" s="141"/>
    </row>
    <row r="233" ht="15.75" customHeight="1">
      <c r="A233" s="114"/>
      <c r="B233" s="114"/>
      <c r="AF233" s="141"/>
    </row>
    <row r="234" ht="15.75" customHeight="1">
      <c r="A234" s="114"/>
      <c r="B234" s="114"/>
      <c r="AF234" s="141"/>
    </row>
    <row r="235" ht="15.75" customHeight="1">
      <c r="A235" s="114"/>
      <c r="B235" s="114"/>
      <c r="AF235" s="141"/>
    </row>
    <row r="236" ht="15.75" customHeight="1">
      <c r="A236" s="114"/>
      <c r="B236" s="114"/>
      <c r="AF236" s="141"/>
    </row>
    <row r="237" ht="15.75" customHeight="1">
      <c r="A237" s="114"/>
      <c r="B237" s="114"/>
      <c r="AF237" s="141"/>
    </row>
    <row r="238" ht="15.75" customHeight="1">
      <c r="A238" s="114"/>
      <c r="B238" s="114"/>
      <c r="AF238" s="141"/>
    </row>
    <row r="239" ht="15.75" customHeight="1">
      <c r="A239" s="114"/>
      <c r="B239" s="114"/>
      <c r="AF239" s="141"/>
    </row>
    <row r="240" ht="15.75" customHeight="1">
      <c r="A240" s="114"/>
      <c r="B240" s="114"/>
      <c r="AF240" s="141"/>
    </row>
    <row r="241" ht="15.75" customHeight="1">
      <c r="A241" s="114"/>
      <c r="B241" s="114"/>
      <c r="AF241" s="141"/>
    </row>
    <row r="242" ht="15.75" customHeight="1">
      <c r="A242" s="114"/>
      <c r="B242" s="114"/>
      <c r="AF242" s="141"/>
    </row>
    <row r="243" ht="15.75" customHeight="1">
      <c r="A243" s="114"/>
      <c r="B243" s="114"/>
      <c r="AF243" s="141"/>
    </row>
    <row r="244" ht="15.75" customHeight="1">
      <c r="A244" s="114"/>
      <c r="B244" s="114"/>
      <c r="AF244" s="141"/>
    </row>
    <row r="245" ht="15.75" customHeight="1">
      <c r="A245" s="114"/>
      <c r="B245" s="114"/>
      <c r="AF245" s="141"/>
    </row>
    <row r="246" ht="15.75" customHeight="1">
      <c r="A246" s="114"/>
      <c r="B246" s="114"/>
      <c r="AF246" s="141"/>
    </row>
    <row r="247" ht="15.75" customHeight="1">
      <c r="A247" s="114"/>
      <c r="B247" s="114"/>
      <c r="AF247" s="141"/>
    </row>
    <row r="248" ht="15.75" customHeight="1">
      <c r="A248" s="114"/>
      <c r="B248" s="114"/>
      <c r="AF248" s="141"/>
    </row>
    <row r="249" ht="15.75" customHeight="1">
      <c r="A249" s="114"/>
      <c r="B249" s="114"/>
      <c r="AF249" s="141"/>
    </row>
    <row r="250" ht="15.75" customHeight="1">
      <c r="A250" s="114"/>
      <c r="B250" s="114"/>
      <c r="AF250" s="141"/>
    </row>
    <row r="251" ht="15.75" customHeight="1">
      <c r="A251" s="114"/>
      <c r="B251" s="114"/>
      <c r="AF251" s="141"/>
    </row>
    <row r="252" ht="15.75" customHeight="1">
      <c r="A252" s="114"/>
      <c r="B252" s="114"/>
      <c r="AF252" s="141"/>
    </row>
    <row r="253" ht="15.75" customHeight="1">
      <c r="A253" s="114"/>
      <c r="B253" s="114"/>
      <c r="AF253" s="141"/>
    </row>
    <row r="254" ht="15.75" customHeight="1">
      <c r="A254" s="114"/>
      <c r="B254" s="114"/>
      <c r="AF254" s="141"/>
    </row>
    <row r="255" ht="15.75" customHeight="1">
      <c r="A255" s="114"/>
      <c r="B255" s="114"/>
      <c r="AF255" s="141"/>
    </row>
    <row r="256" ht="15.75" customHeight="1">
      <c r="A256" s="114"/>
      <c r="B256" s="114"/>
      <c r="AF256" s="141"/>
    </row>
    <row r="257" ht="15.75" customHeight="1">
      <c r="A257" s="114"/>
      <c r="B257" s="114"/>
      <c r="AF257" s="141"/>
    </row>
    <row r="258" ht="15.75" customHeight="1">
      <c r="A258" s="114"/>
      <c r="B258" s="114"/>
      <c r="AF258" s="141"/>
    </row>
    <row r="259" ht="15.75" customHeight="1">
      <c r="A259" s="114"/>
      <c r="B259" s="114"/>
      <c r="AF259" s="141"/>
    </row>
    <row r="260" ht="15.75" customHeight="1">
      <c r="A260" s="114"/>
      <c r="B260" s="114"/>
      <c r="AF260" s="141"/>
    </row>
    <row r="261" ht="15.75" customHeight="1">
      <c r="A261" s="114"/>
      <c r="B261" s="114"/>
      <c r="AF261" s="141"/>
    </row>
    <row r="262" ht="15.75" customHeight="1">
      <c r="A262" s="114"/>
      <c r="B262" s="114"/>
      <c r="AF262" s="141"/>
    </row>
    <row r="263" ht="15.75" customHeight="1">
      <c r="A263" s="114"/>
      <c r="B263" s="114"/>
      <c r="AF263" s="141"/>
    </row>
    <row r="264" ht="15.75" customHeight="1">
      <c r="A264" s="114"/>
      <c r="B264" s="114"/>
      <c r="AF264" s="141"/>
    </row>
    <row r="265" ht="15.75" customHeight="1">
      <c r="A265" s="114"/>
      <c r="B265" s="114"/>
      <c r="AF265" s="141"/>
    </row>
    <row r="266" ht="15.75" customHeight="1">
      <c r="A266" s="114"/>
      <c r="B266" s="114"/>
      <c r="AF266" s="141"/>
    </row>
    <row r="267" ht="15.75" customHeight="1">
      <c r="A267" s="114"/>
      <c r="B267" s="114"/>
      <c r="AF267" s="141"/>
    </row>
    <row r="268" ht="15.75" customHeight="1">
      <c r="A268" s="114"/>
      <c r="B268" s="114"/>
      <c r="AF268" s="141"/>
    </row>
    <row r="269" ht="15.75" customHeight="1">
      <c r="A269" s="114"/>
      <c r="B269" s="114"/>
      <c r="AF269" s="141"/>
    </row>
    <row r="270" ht="15.75" customHeight="1">
      <c r="A270" s="114"/>
      <c r="B270" s="114"/>
      <c r="AF270" s="141"/>
    </row>
    <row r="271" ht="15.75" customHeight="1">
      <c r="A271" s="114"/>
      <c r="B271" s="114"/>
      <c r="AF271" s="141"/>
    </row>
    <row r="272" ht="15.75" customHeight="1">
      <c r="A272" s="114"/>
      <c r="B272" s="114"/>
      <c r="AF272" s="141"/>
    </row>
    <row r="273" ht="15.75" customHeight="1">
      <c r="A273" s="114"/>
      <c r="B273" s="114"/>
      <c r="AF273" s="141"/>
    </row>
    <row r="274" ht="15.75" customHeight="1">
      <c r="A274" s="114"/>
      <c r="B274" s="114"/>
      <c r="AF274" s="141"/>
    </row>
    <row r="275" ht="15.75" customHeight="1">
      <c r="A275" s="114"/>
      <c r="B275" s="114"/>
      <c r="AF275" s="141"/>
    </row>
    <row r="276" ht="15.75" customHeight="1">
      <c r="A276" s="114"/>
      <c r="B276" s="114"/>
      <c r="AF276" s="141"/>
    </row>
    <row r="277" ht="15.75" customHeight="1">
      <c r="A277" s="114"/>
      <c r="B277" s="114"/>
      <c r="AF277" s="141"/>
    </row>
    <row r="278" ht="15.75" customHeight="1">
      <c r="A278" s="114"/>
      <c r="B278" s="114"/>
      <c r="AF278" s="141"/>
    </row>
    <row r="279" ht="15.75" customHeight="1">
      <c r="A279" s="114"/>
      <c r="B279" s="114"/>
      <c r="AF279" s="141"/>
    </row>
    <row r="280" ht="15.75" customHeight="1">
      <c r="A280" s="114"/>
      <c r="B280" s="114"/>
      <c r="AF280" s="141"/>
    </row>
    <row r="281" ht="15.75" customHeight="1">
      <c r="A281" s="114"/>
      <c r="B281" s="114"/>
      <c r="AF281" s="141"/>
    </row>
    <row r="282" ht="15.75" customHeight="1">
      <c r="A282" s="114"/>
      <c r="B282" s="114"/>
      <c r="AF282" s="141"/>
    </row>
    <row r="283" ht="15.75" customHeight="1">
      <c r="A283" s="114"/>
      <c r="B283" s="114"/>
      <c r="AF283" s="141"/>
    </row>
    <row r="284" ht="15.75" customHeight="1">
      <c r="A284" s="114"/>
      <c r="B284" s="114"/>
      <c r="AF284" s="141"/>
    </row>
    <row r="285" ht="15.75" customHeight="1">
      <c r="A285" s="114"/>
      <c r="B285" s="114"/>
      <c r="AF285" s="141"/>
    </row>
    <row r="286" ht="15.75" customHeight="1">
      <c r="A286" s="114"/>
      <c r="B286" s="114"/>
      <c r="AF286" s="141"/>
    </row>
    <row r="287" ht="15.75" customHeight="1">
      <c r="A287" s="114"/>
      <c r="B287" s="114"/>
      <c r="AF287" s="141"/>
    </row>
    <row r="288" ht="15.75" customHeight="1">
      <c r="A288" s="114"/>
      <c r="B288" s="114"/>
      <c r="AF288" s="141"/>
    </row>
    <row r="289" ht="15.75" customHeight="1">
      <c r="A289" s="114"/>
      <c r="B289" s="114"/>
      <c r="AF289" s="141"/>
    </row>
    <row r="290" ht="15.75" customHeight="1">
      <c r="A290" s="114"/>
      <c r="B290" s="114"/>
      <c r="AF290" s="141"/>
    </row>
    <row r="291" ht="15.75" customHeight="1">
      <c r="A291" s="114"/>
      <c r="B291" s="114"/>
      <c r="AF291" s="141"/>
    </row>
    <row r="292" ht="15.75" customHeight="1">
      <c r="A292" s="114"/>
      <c r="B292" s="114"/>
      <c r="AF292" s="141"/>
    </row>
    <row r="293" ht="15.75" customHeight="1">
      <c r="A293" s="114"/>
      <c r="B293" s="114"/>
      <c r="AF293" s="141"/>
    </row>
    <row r="294" ht="15.75" customHeight="1">
      <c r="A294" s="114"/>
      <c r="B294" s="114"/>
      <c r="AF294" s="141"/>
    </row>
    <row r="295" ht="15.75" customHeight="1">
      <c r="A295" s="114"/>
      <c r="B295" s="114"/>
      <c r="AF295" s="141"/>
    </row>
    <row r="296" ht="15.75" customHeight="1">
      <c r="A296" s="114"/>
      <c r="B296" s="114"/>
      <c r="AF296" s="141"/>
    </row>
    <row r="297" ht="15.75" customHeight="1">
      <c r="A297" s="114"/>
      <c r="B297" s="114"/>
      <c r="AF297" s="141"/>
    </row>
    <row r="298" ht="15.75" customHeight="1">
      <c r="A298" s="114"/>
      <c r="B298" s="114"/>
      <c r="AF298" s="141"/>
    </row>
    <row r="299" ht="15.75" customHeight="1">
      <c r="A299" s="114"/>
      <c r="B299" s="114"/>
      <c r="AF299" s="141"/>
    </row>
    <row r="300" ht="15.75" customHeight="1">
      <c r="A300" s="114"/>
      <c r="B300" s="114"/>
      <c r="AF300" s="141"/>
    </row>
    <row r="301" ht="15.75" customHeight="1">
      <c r="A301" s="114"/>
      <c r="B301" s="114"/>
      <c r="AF301" s="141"/>
    </row>
    <row r="302" ht="15.75" customHeight="1">
      <c r="A302" s="114"/>
      <c r="B302" s="114"/>
      <c r="AF302" s="141"/>
    </row>
    <row r="303" ht="15.75" customHeight="1">
      <c r="A303" s="114"/>
      <c r="B303" s="114"/>
      <c r="AF303" s="141"/>
    </row>
    <row r="304" ht="15.75" customHeight="1">
      <c r="A304" s="114"/>
      <c r="B304" s="114"/>
      <c r="AF304" s="141"/>
    </row>
    <row r="305" ht="15.75" customHeight="1">
      <c r="A305" s="114"/>
      <c r="B305" s="114"/>
      <c r="AF305" s="141"/>
    </row>
    <row r="306" ht="15.75" customHeight="1">
      <c r="A306" s="114"/>
      <c r="B306" s="114"/>
      <c r="AF306" s="141"/>
    </row>
    <row r="307" ht="15.75" customHeight="1">
      <c r="A307" s="114"/>
      <c r="B307" s="114"/>
      <c r="AF307" s="141"/>
    </row>
    <row r="308" ht="15.75" customHeight="1">
      <c r="A308" s="114"/>
      <c r="B308" s="114"/>
      <c r="AF308" s="141"/>
    </row>
    <row r="309" ht="15.75" customHeight="1">
      <c r="A309" s="114"/>
      <c r="B309" s="114"/>
      <c r="AF309" s="141"/>
    </row>
    <row r="310" ht="15.75" customHeight="1">
      <c r="A310" s="114"/>
      <c r="B310" s="114"/>
      <c r="AF310" s="141"/>
    </row>
    <row r="311" ht="15.75" customHeight="1">
      <c r="A311" s="114"/>
      <c r="B311" s="114"/>
      <c r="AF311" s="141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45688.0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  <c r="AF1" s="141"/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42"/>
      <c r="AG2" s="114"/>
      <c r="AH2" s="114"/>
      <c r="AI2" s="114"/>
      <c r="AJ2" s="114"/>
    </row>
    <row r="3" ht="22.5" customHeight="1">
      <c r="A3" s="1" t="s">
        <v>2</v>
      </c>
      <c r="B3" s="1"/>
      <c r="C3" s="134">
        <f>'R6.12'!AC3</f>
        <v>0</v>
      </c>
      <c r="D3" s="116"/>
      <c r="E3" s="116"/>
      <c r="F3" s="116"/>
      <c r="G3" s="116"/>
      <c r="H3" s="117"/>
      <c r="I3" s="118"/>
      <c r="J3" s="119"/>
      <c r="K3" s="117"/>
      <c r="L3" s="117"/>
      <c r="M3" s="120"/>
      <c r="N3" s="117"/>
      <c r="O3" s="117"/>
      <c r="P3" s="117"/>
      <c r="Q3" s="117"/>
      <c r="R3" s="119"/>
      <c r="S3" s="119"/>
      <c r="T3" s="119"/>
      <c r="U3" s="119"/>
      <c r="V3" s="119" t="str">
        <f>'R6.12'!AE3</f>
        <v/>
      </c>
      <c r="W3" s="122">
        <f t="shared" ref="W3:W109" si="1">SUM(D3:U3)-V3</f>
        <v>0</v>
      </c>
      <c r="X3" s="123"/>
      <c r="Y3" s="123"/>
      <c r="Z3" s="120">
        <f t="shared" ref="Z3:Z110" si="2">SUM(W3:Y3)</f>
        <v>0</v>
      </c>
      <c r="AA3" s="124"/>
      <c r="AB3" s="63" t="s">
        <v>128</v>
      </c>
      <c r="AC3" s="125">
        <f t="shared" ref="AC3:AC109" si="3">C3-M3</f>
        <v>0</v>
      </c>
      <c r="AF3" s="141"/>
    </row>
    <row r="4" ht="22.5" customHeight="1">
      <c r="A4" s="1" t="s">
        <v>4</v>
      </c>
      <c r="B4" s="1"/>
      <c r="C4" s="134">
        <f>'R6.12'!AC4</f>
        <v>0</v>
      </c>
      <c r="D4" s="116"/>
      <c r="E4" s="116"/>
      <c r="F4" s="116"/>
      <c r="G4" s="116"/>
      <c r="H4" s="117"/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9" t="str">
        <f>'R6.12'!AE4</f>
        <v/>
      </c>
      <c r="W4" s="122">
        <f t="shared" si="1"/>
        <v>0</v>
      </c>
      <c r="X4" s="123"/>
      <c r="Y4" s="123"/>
      <c r="Z4" s="120">
        <f t="shared" si="2"/>
        <v>0</v>
      </c>
      <c r="AA4" s="124" t="s">
        <v>129</v>
      </c>
      <c r="AB4" s="107" t="s">
        <v>128</v>
      </c>
      <c r="AC4" s="125">
        <f t="shared" si="3"/>
        <v>0</v>
      </c>
      <c r="AF4" s="141"/>
    </row>
    <row r="5" ht="22.5" customHeight="1">
      <c r="A5" s="1" t="s">
        <v>6</v>
      </c>
      <c r="B5" s="1"/>
      <c r="C5" s="134">
        <f>'R6.12'!AC5</f>
        <v>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9" t="str">
        <f>'R6.12'!AE5</f>
        <v/>
      </c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0</v>
      </c>
      <c r="AF5" s="141"/>
    </row>
    <row r="6" ht="22.5" customHeight="1">
      <c r="A6" s="1" t="s">
        <v>7</v>
      </c>
      <c r="B6" s="1"/>
      <c r="C6" s="134">
        <f>'R6.12'!AC6</f>
        <v>0</v>
      </c>
      <c r="D6" s="116"/>
      <c r="E6" s="116"/>
      <c r="F6" s="116"/>
      <c r="G6" s="116"/>
      <c r="H6" s="117"/>
      <c r="I6" s="117"/>
      <c r="J6" s="119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9" t="str">
        <f>'R6.12'!AE6</f>
        <v/>
      </c>
      <c r="W6" s="122">
        <f t="shared" si="1"/>
        <v>0</v>
      </c>
      <c r="X6" s="123"/>
      <c r="Y6" s="123"/>
      <c r="Z6" s="120">
        <f t="shared" si="2"/>
        <v>0</v>
      </c>
      <c r="AA6" s="124" t="s">
        <v>129</v>
      </c>
      <c r="AB6" s="63" t="s">
        <v>128</v>
      </c>
      <c r="AC6" s="125">
        <f t="shared" si="3"/>
        <v>0</v>
      </c>
      <c r="AF6" s="141"/>
    </row>
    <row r="7" ht="22.5" customHeight="1">
      <c r="A7" s="1" t="s">
        <v>9</v>
      </c>
      <c r="B7" s="1" t="s">
        <v>10</v>
      </c>
      <c r="C7" s="134">
        <f>'R6.12'!AC7</f>
        <v>130000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0.0</v>
      </c>
      <c r="I7" s="117">
        <v>5720.0</v>
      </c>
      <c r="J7" s="127"/>
      <c r="K7" s="117"/>
      <c r="L7" s="117"/>
      <c r="M7" s="117">
        <v>10000.0</v>
      </c>
      <c r="N7" s="117"/>
      <c r="O7" s="117"/>
      <c r="P7" s="117"/>
      <c r="Q7" s="117"/>
      <c r="R7" s="117"/>
      <c r="S7" s="117">
        <v>42280.0</v>
      </c>
      <c r="T7" s="117"/>
      <c r="U7" s="117"/>
      <c r="V7" s="119">
        <f>'R6.12'!AE7</f>
        <v>10000</v>
      </c>
      <c r="W7" s="122">
        <f t="shared" si="1"/>
        <v>100000</v>
      </c>
      <c r="X7" s="116"/>
      <c r="Y7" s="128"/>
      <c r="Z7" s="120">
        <f t="shared" si="2"/>
        <v>100000</v>
      </c>
      <c r="AA7" s="124">
        <v>110000.0</v>
      </c>
      <c r="AB7" s="63" t="s">
        <v>128</v>
      </c>
      <c r="AC7" s="125">
        <f t="shared" si="3"/>
        <v>120000</v>
      </c>
      <c r="AD7" s="63">
        <v>120000.0</v>
      </c>
      <c r="AE7" s="124">
        <f>AD7-Z7</f>
        <v>20000</v>
      </c>
      <c r="AF7" s="141">
        <v>45725.0</v>
      </c>
    </row>
    <row r="8" ht="22.5" customHeight="1">
      <c r="A8" s="1" t="s">
        <v>11</v>
      </c>
      <c r="B8" s="1"/>
      <c r="C8" s="134">
        <f>'R6.12'!AC8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9" t="str">
        <f>'R6.12'!AE8</f>
        <v/>
      </c>
      <c r="W8" s="122">
        <f t="shared" si="1"/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  <c r="AF8" s="141"/>
    </row>
    <row r="9" ht="22.5" customHeight="1">
      <c r="A9" s="1" t="s">
        <v>12</v>
      </c>
      <c r="B9" s="1"/>
      <c r="C9" s="134">
        <f>'R6.12'!AC9</f>
        <v>0</v>
      </c>
      <c r="D9" s="116"/>
      <c r="E9" s="116"/>
      <c r="F9" s="116"/>
      <c r="G9" s="116"/>
      <c r="H9" s="117"/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9" t="str">
        <f>'R6.12'!AE9</f>
        <v/>
      </c>
      <c r="W9" s="122">
        <f t="shared" si="1"/>
        <v>0</v>
      </c>
      <c r="X9" s="123"/>
      <c r="Y9" s="123"/>
      <c r="Z9" s="120">
        <f t="shared" si="2"/>
        <v>0</v>
      </c>
      <c r="AA9" s="124" t="s">
        <v>129</v>
      </c>
      <c r="AB9" s="63" t="s">
        <v>128</v>
      </c>
      <c r="AC9" s="125">
        <f t="shared" si="3"/>
        <v>0</v>
      </c>
      <c r="AF9" s="141"/>
    </row>
    <row r="10" ht="22.5" customHeight="1">
      <c r="A10" s="1" t="s">
        <v>14</v>
      </c>
      <c r="B10" s="1"/>
      <c r="C10" s="134">
        <f>'R6.12'!AC10</f>
        <v>0</v>
      </c>
      <c r="D10" s="116"/>
      <c r="E10" s="116"/>
      <c r="F10" s="116"/>
      <c r="G10" s="116"/>
      <c r="H10" s="117"/>
      <c r="I10" s="117"/>
      <c r="J10" s="119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9" t="str">
        <f>'R6.12'!AE10</f>
        <v/>
      </c>
      <c r="W10" s="122">
        <f t="shared" si="1"/>
        <v>0</v>
      </c>
      <c r="X10" s="129"/>
      <c r="Y10" s="129"/>
      <c r="Z10" s="120">
        <f t="shared" si="2"/>
        <v>0</v>
      </c>
      <c r="AA10" s="124" t="s">
        <v>129</v>
      </c>
      <c r="AB10" s="63" t="s">
        <v>128</v>
      </c>
      <c r="AC10" s="125">
        <f t="shared" si="3"/>
        <v>0</v>
      </c>
      <c r="AF10" s="141"/>
    </row>
    <row r="11" ht="22.5" customHeight="1">
      <c r="A11" s="1" t="s">
        <v>16</v>
      </c>
      <c r="B11" s="1"/>
      <c r="C11" s="134">
        <f>'R6.12'!AC11</f>
        <v>0</v>
      </c>
      <c r="D11" s="116"/>
      <c r="E11" s="116"/>
      <c r="F11" s="116"/>
      <c r="G11" s="116"/>
      <c r="H11" s="117"/>
      <c r="I11" s="117"/>
      <c r="J11" s="119"/>
      <c r="K11" s="117"/>
      <c r="L11" s="117"/>
      <c r="M11" s="130"/>
      <c r="N11" s="117"/>
      <c r="O11" s="117"/>
      <c r="P11" s="117"/>
      <c r="Q11" s="117"/>
      <c r="R11" s="117"/>
      <c r="S11" s="120"/>
      <c r="T11" s="117"/>
      <c r="U11" s="117"/>
      <c r="V11" s="119" t="str">
        <f>'R6.12'!AE11</f>
        <v/>
      </c>
      <c r="W11" s="122">
        <f t="shared" si="1"/>
        <v>0</v>
      </c>
      <c r="X11" s="123"/>
      <c r="Y11" s="123"/>
      <c r="Z11" s="120">
        <f t="shared" si="2"/>
        <v>0</v>
      </c>
      <c r="AA11" s="131"/>
      <c r="AB11" s="63" t="s">
        <v>128</v>
      </c>
      <c r="AC11" s="125">
        <f t="shared" si="3"/>
        <v>0</v>
      </c>
      <c r="AF11" s="141"/>
    </row>
    <row r="12" ht="22.5" customHeight="1">
      <c r="A12" s="1" t="s">
        <v>18</v>
      </c>
      <c r="B12" s="1"/>
      <c r="C12" s="134">
        <f>'R6.12'!AC12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9" t="str">
        <f>'R6.12'!AE12</f>
        <v/>
      </c>
      <c r="W12" s="122">
        <f t="shared" si="1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  <c r="AF12" s="141"/>
    </row>
    <row r="13" ht="22.5" customHeight="1">
      <c r="A13" s="1"/>
      <c r="B13" s="3"/>
      <c r="C13" s="134">
        <f>'R6.12'!AC13</f>
        <v>0</v>
      </c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9" t="str">
        <f>'R6.12'!AE13</f>
        <v/>
      </c>
      <c r="W13" s="122">
        <f t="shared" si="1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  <c r="AF13" s="141"/>
    </row>
    <row r="14" ht="22.5" customHeight="1">
      <c r="A14" s="1"/>
      <c r="B14" s="3"/>
      <c r="C14" s="134">
        <f>'R6.12'!AC14</f>
        <v>0</v>
      </c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9" t="str">
        <f>'R6.12'!AE14</f>
        <v/>
      </c>
      <c r="W14" s="122">
        <f t="shared" si="1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43"/>
      <c r="AG14" s="133"/>
      <c r="AH14" s="133"/>
      <c r="AI14" s="133"/>
      <c r="AJ14" s="133"/>
    </row>
    <row r="15" ht="22.5" customHeight="1">
      <c r="A15" s="1"/>
      <c r="B15" s="3"/>
      <c r="C15" s="134">
        <f>'R6.12'!AC15</f>
        <v>0</v>
      </c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9" t="str">
        <f>'R6.12'!AE15</f>
        <v/>
      </c>
      <c r="W15" s="122">
        <f t="shared" si="1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43"/>
      <c r="AG15" s="133"/>
      <c r="AH15" s="133"/>
      <c r="AI15" s="133"/>
      <c r="AJ15" s="133"/>
    </row>
    <row r="16" ht="22.5" customHeight="1">
      <c r="A16" s="1"/>
      <c r="B16" s="3"/>
      <c r="C16" s="134">
        <f>'R6.12'!AC16</f>
        <v>0</v>
      </c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9" t="str">
        <f>'R6.12'!AE16</f>
        <v/>
      </c>
      <c r="W16" s="122">
        <f t="shared" si="1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43"/>
      <c r="AG16" s="133"/>
      <c r="AH16" s="133"/>
      <c r="AI16" s="133"/>
      <c r="AJ16" s="133"/>
    </row>
    <row r="17" ht="22.5" customHeight="1">
      <c r="A17" s="3"/>
      <c r="B17" s="3"/>
      <c r="C17" s="134">
        <f>'R6.12'!AC17</f>
        <v>0</v>
      </c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9" t="str">
        <f>'R6.12'!AE17</f>
        <v/>
      </c>
      <c r="W17" s="122">
        <f t="shared" si="1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43"/>
      <c r="AG17" s="133"/>
      <c r="AH17" s="133"/>
      <c r="AI17" s="133"/>
      <c r="AJ17" s="133"/>
    </row>
    <row r="18" ht="22.5" customHeight="1">
      <c r="A18" s="3"/>
      <c r="B18" s="3"/>
      <c r="C18" s="134">
        <f>'R6.12'!AC18</f>
        <v>0</v>
      </c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9" t="str">
        <f>'R6.12'!AE18</f>
        <v/>
      </c>
      <c r="W18" s="122">
        <f t="shared" si="1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43"/>
      <c r="AG18" s="133"/>
      <c r="AH18" s="133"/>
      <c r="AI18" s="133"/>
      <c r="AJ18" s="133"/>
    </row>
    <row r="19" ht="22.5" customHeight="1">
      <c r="A19" s="3"/>
      <c r="B19" s="3"/>
      <c r="C19" s="134">
        <f>'R6.12'!AC19</f>
        <v>0</v>
      </c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9" t="str">
        <f>'R6.12'!AE19</f>
        <v/>
      </c>
      <c r="W19" s="122">
        <f t="shared" si="1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43"/>
      <c r="AG19" s="133"/>
      <c r="AH19" s="133"/>
      <c r="AI19" s="133"/>
      <c r="AJ19" s="133"/>
    </row>
    <row r="20" ht="22.5" customHeight="1">
      <c r="A20" s="3"/>
      <c r="B20" s="3"/>
      <c r="C20" s="134">
        <f>'R6.12'!AC20</f>
        <v>0</v>
      </c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9" t="str">
        <f>'R6.12'!AE20</f>
        <v/>
      </c>
      <c r="W20" s="122">
        <f t="shared" si="1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43"/>
      <c r="AG20" s="133"/>
      <c r="AH20" s="133"/>
      <c r="AI20" s="133"/>
      <c r="AJ20" s="133"/>
    </row>
    <row r="21" ht="22.5" customHeight="1">
      <c r="A21" s="3"/>
      <c r="B21" s="3"/>
      <c r="C21" s="134">
        <f>'R6.12'!AC21</f>
        <v>0</v>
      </c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9" t="str">
        <f>'R6.12'!AE21</f>
        <v/>
      </c>
      <c r="W21" s="122">
        <f t="shared" si="1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43"/>
      <c r="AG21" s="133"/>
      <c r="AH21" s="133"/>
      <c r="AI21" s="133"/>
      <c r="AJ21" s="133"/>
    </row>
    <row r="22" ht="22.5" hidden="1" customHeight="1">
      <c r="A22" s="3"/>
      <c r="B22" s="3"/>
      <c r="C22" s="134">
        <f>'R6.12'!AC22</f>
        <v>0</v>
      </c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9" t="str">
        <f>'R6.12'!AE22</f>
        <v/>
      </c>
      <c r="W22" s="122">
        <f t="shared" si="1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43"/>
      <c r="AG22" s="133"/>
      <c r="AH22" s="133"/>
      <c r="AI22" s="133"/>
      <c r="AJ22" s="133"/>
    </row>
    <row r="23" ht="22.5" hidden="1" customHeight="1">
      <c r="A23" s="3"/>
      <c r="B23" s="3"/>
      <c r="C23" s="134">
        <f>'R6.12'!AC23</f>
        <v>0</v>
      </c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9" t="str">
        <f>'R6.12'!AE23</f>
        <v/>
      </c>
      <c r="W23" s="122">
        <f t="shared" si="1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43"/>
      <c r="AG23" s="133"/>
      <c r="AH23" s="133"/>
      <c r="AI23" s="133"/>
      <c r="AJ23" s="133"/>
    </row>
    <row r="24" ht="22.5" hidden="1" customHeight="1">
      <c r="A24" s="3"/>
      <c r="B24" s="3"/>
      <c r="C24" s="134">
        <f>'R6.12'!AC24</f>
        <v>0</v>
      </c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9" t="str">
        <f>'R6.12'!AE24</f>
        <v/>
      </c>
      <c r="W24" s="122">
        <f t="shared" si="1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43"/>
      <c r="AG24" s="133"/>
      <c r="AH24" s="133"/>
      <c r="AI24" s="133"/>
      <c r="AJ24" s="133"/>
    </row>
    <row r="25" ht="22.5" hidden="1" customHeight="1">
      <c r="A25" s="3"/>
      <c r="B25" s="3"/>
      <c r="C25" s="134">
        <f>'R6.12'!AC25</f>
        <v>0</v>
      </c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9" t="str">
        <f>'R6.12'!AE25</f>
        <v/>
      </c>
      <c r="W25" s="122">
        <f t="shared" si="1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43"/>
      <c r="AG25" s="133"/>
      <c r="AH25" s="133"/>
      <c r="AI25" s="133"/>
      <c r="AJ25" s="133"/>
    </row>
    <row r="26" ht="22.5" hidden="1" customHeight="1">
      <c r="A26" s="3"/>
      <c r="B26" s="3"/>
      <c r="C26" s="134">
        <f>'R6.12'!AC26</f>
        <v>0</v>
      </c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9" t="str">
        <f>'R6.12'!AE26</f>
        <v/>
      </c>
      <c r="W26" s="122">
        <f t="shared" si="1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43"/>
      <c r="AG26" s="133"/>
      <c r="AH26" s="133"/>
      <c r="AI26" s="133"/>
      <c r="AJ26" s="133"/>
    </row>
    <row r="27" ht="22.5" hidden="1" customHeight="1">
      <c r="A27" s="3"/>
      <c r="B27" s="3"/>
      <c r="C27" s="134">
        <f>'R6.12'!AC27</f>
        <v>0</v>
      </c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9" t="str">
        <f>'R6.12'!AE27</f>
        <v/>
      </c>
      <c r="W27" s="122">
        <f t="shared" si="1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43"/>
      <c r="AG27" s="133"/>
      <c r="AH27" s="133"/>
      <c r="AI27" s="133"/>
      <c r="AJ27" s="133"/>
    </row>
    <row r="28" ht="22.5" hidden="1" customHeight="1">
      <c r="A28" s="3"/>
      <c r="B28" s="3"/>
      <c r="C28" s="134">
        <f>'R6.12'!AC28</f>
        <v>0</v>
      </c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9" t="str">
        <f>'R6.12'!AE28</f>
        <v/>
      </c>
      <c r="W28" s="122">
        <f t="shared" si="1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43"/>
      <c r="AG28" s="133"/>
      <c r="AH28" s="133"/>
      <c r="AI28" s="133"/>
      <c r="AJ28" s="133"/>
    </row>
    <row r="29" ht="22.5" hidden="1" customHeight="1">
      <c r="A29" s="3"/>
      <c r="B29" s="3"/>
      <c r="C29" s="134">
        <f>'R6.12'!AC29</f>
        <v>0</v>
      </c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9" t="str">
        <f>'R6.12'!AE29</f>
        <v/>
      </c>
      <c r="W29" s="122">
        <f t="shared" si="1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43"/>
      <c r="AG29" s="133"/>
      <c r="AH29" s="133"/>
      <c r="AI29" s="133"/>
      <c r="AJ29" s="133"/>
    </row>
    <row r="30" ht="22.5" hidden="1" customHeight="1">
      <c r="A30" s="3"/>
      <c r="B30" s="3"/>
      <c r="C30" s="134">
        <f>'R6.12'!AC30</f>
        <v>0</v>
      </c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9" t="str">
        <f>'R6.12'!AE30</f>
        <v/>
      </c>
      <c r="W30" s="122">
        <f t="shared" si="1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43"/>
      <c r="AG30" s="133"/>
      <c r="AH30" s="133"/>
      <c r="AI30" s="133"/>
      <c r="AJ30" s="133"/>
    </row>
    <row r="31" ht="22.5" hidden="1" customHeight="1">
      <c r="A31" s="3"/>
      <c r="B31" s="3"/>
      <c r="C31" s="134">
        <f>'R6.12'!AC31</f>
        <v>0</v>
      </c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9" t="str">
        <f>'R6.12'!AE31</f>
        <v/>
      </c>
      <c r="W31" s="122">
        <f t="shared" si="1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43"/>
      <c r="AG31" s="133"/>
      <c r="AH31" s="133"/>
      <c r="AI31" s="133"/>
      <c r="AJ31" s="133"/>
    </row>
    <row r="32" ht="22.5" hidden="1" customHeight="1">
      <c r="A32" s="3"/>
      <c r="B32" s="3"/>
      <c r="C32" s="134">
        <f>'R6.12'!AC32</f>
        <v>0</v>
      </c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9" t="str">
        <f>'R6.12'!AE32</f>
        <v/>
      </c>
      <c r="W32" s="122">
        <f t="shared" si="1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43"/>
      <c r="AG32" s="133"/>
      <c r="AH32" s="133"/>
      <c r="AI32" s="133"/>
      <c r="AJ32" s="133"/>
    </row>
    <row r="33" ht="22.5" hidden="1" customHeight="1">
      <c r="A33" s="3"/>
      <c r="B33" s="3"/>
      <c r="C33" s="134">
        <f>'R6.12'!AC33</f>
        <v>0</v>
      </c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9" t="str">
        <f>'R6.12'!AE33</f>
        <v/>
      </c>
      <c r="W33" s="122">
        <f t="shared" si="1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43"/>
      <c r="AG33" s="133"/>
      <c r="AH33" s="133"/>
      <c r="AI33" s="133"/>
      <c r="AJ33" s="133"/>
    </row>
    <row r="34" ht="22.5" hidden="1" customHeight="1">
      <c r="A34" s="3"/>
      <c r="B34" s="3"/>
      <c r="C34" s="134">
        <f>'R6.12'!AC34</f>
        <v>0</v>
      </c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9" t="str">
        <f>'R6.12'!AE34</f>
        <v/>
      </c>
      <c r="W34" s="122">
        <f t="shared" si="1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43"/>
      <c r="AG34" s="133"/>
      <c r="AH34" s="133"/>
      <c r="AI34" s="133"/>
      <c r="AJ34" s="133"/>
    </row>
    <row r="35" ht="22.5" hidden="1" customHeight="1">
      <c r="A35" s="3"/>
      <c r="B35" s="3"/>
      <c r="C35" s="134">
        <f>'R6.12'!AC35</f>
        <v>0</v>
      </c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9" t="str">
        <f>'R6.12'!AE35</f>
        <v/>
      </c>
      <c r="W35" s="122">
        <f t="shared" si="1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43"/>
      <c r="AG35" s="133"/>
      <c r="AH35" s="133"/>
      <c r="AI35" s="133"/>
      <c r="AJ35" s="133"/>
    </row>
    <row r="36" ht="22.5" hidden="1" customHeight="1">
      <c r="A36" s="3"/>
      <c r="B36" s="3"/>
      <c r="C36" s="134">
        <f>'R6.12'!AC36</f>
        <v>0</v>
      </c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9" t="str">
        <f>'R6.12'!AE36</f>
        <v/>
      </c>
      <c r="W36" s="122">
        <f t="shared" si="1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43"/>
      <c r="AG36" s="133"/>
      <c r="AH36" s="133"/>
      <c r="AI36" s="133"/>
      <c r="AJ36" s="133"/>
    </row>
    <row r="37" ht="22.5" hidden="1" customHeight="1">
      <c r="A37" s="3"/>
      <c r="B37" s="3"/>
      <c r="C37" s="134">
        <f>'R6.12'!AC37</f>
        <v>0</v>
      </c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9" t="str">
        <f>'R6.12'!AE37</f>
        <v/>
      </c>
      <c r="W37" s="122">
        <f t="shared" si="1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43"/>
      <c r="AG37" s="133"/>
      <c r="AH37" s="133"/>
      <c r="AI37" s="133"/>
      <c r="AJ37" s="133"/>
    </row>
    <row r="38" ht="22.5" hidden="1" customHeight="1">
      <c r="A38" s="3"/>
      <c r="B38" s="3"/>
      <c r="C38" s="134">
        <f>'R6.12'!AC38</f>
        <v>0</v>
      </c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9" t="str">
        <f>'R6.12'!AE38</f>
        <v/>
      </c>
      <c r="W38" s="122">
        <f t="shared" si="1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43"/>
      <c r="AG38" s="133"/>
      <c r="AH38" s="133"/>
      <c r="AI38" s="133"/>
      <c r="AJ38" s="133"/>
    </row>
    <row r="39" ht="22.5" hidden="1" customHeight="1">
      <c r="A39" s="3"/>
      <c r="B39" s="3"/>
      <c r="C39" s="134">
        <f>'R6.12'!AC39</f>
        <v>0</v>
      </c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9" t="str">
        <f>'R6.12'!AE39</f>
        <v/>
      </c>
      <c r="W39" s="122">
        <f t="shared" si="1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43"/>
      <c r="AG39" s="133"/>
      <c r="AH39" s="133"/>
      <c r="AI39" s="133"/>
      <c r="AJ39" s="133"/>
    </row>
    <row r="40" ht="22.5" hidden="1" customHeight="1">
      <c r="A40" s="3"/>
      <c r="B40" s="3"/>
      <c r="C40" s="134">
        <f>'R6.12'!AC40</f>
        <v>0</v>
      </c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9" t="str">
        <f>'R6.12'!AE40</f>
        <v/>
      </c>
      <c r="W40" s="122">
        <f t="shared" si="1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43"/>
      <c r="AG40" s="133"/>
      <c r="AH40" s="133"/>
      <c r="AI40" s="133"/>
      <c r="AJ40" s="133"/>
    </row>
    <row r="41" ht="22.5" hidden="1" customHeight="1">
      <c r="A41" s="3"/>
      <c r="B41" s="3"/>
      <c r="C41" s="134">
        <f>'R6.12'!AC41</f>
        <v>0</v>
      </c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9" t="str">
        <f>'R6.12'!AE41</f>
        <v/>
      </c>
      <c r="W41" s="122">
        <f t="shared" si="1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43"/>
      <c r="AG41" s="133"/>
      <c r="AH41" s="133"/>
      <c r="AI41" s="133"/>
      <c r="AJ41" s="133"/>
    </row>
    <row r="42" ht="22.5" hidden="1" customHeight="1">
      <c r="A42" s="3"/>
      <c r="B42" s="3"/>
      <c r="C42" s="134">
        <f>'R6.12'!AC42</f>
        <v>0</v>
      </c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9" t="str">
        <f>'R6.12'!AE42</f>
        <v/>
      </c>
      <c r="W42" s="122">
        <f t="shared" si="1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43"/>
      <c r="AG42" s="133"/>
      <c r="AH42" s="133"/>
      <c r="AI42" s="133"/>
      <c r="AJ42" s="133"/>
    </row>
    <row r="43" ht="22.5" hidden="1" customHeight="1">
      <c r="A43" s="3"/>
      <c r="B43" s="3"/>
      <c r="C43" s="134">
        <f>'R6.12'!AC43</f>
        <v>0</v>
      </c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9" t="str">
        <f>'R6.12'!AE43</f>
        <v/>
      </c>
      <c r="W43" s="122">
        <f t="shared" si="1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43"/>
      <c r="AG43" s="133"/>
      <c r="AH43" s="133"/>
      <c r="AI43" s="133"/>
      <c r="AJ43" s="133"/>
    </row>
    <row r="44" ht="22.5" hidden="1" customHeight="1">
      <c r="A44" s="3"/>
      <c r="B44" s="3"/>
      <c r="C44" s="134">
        <f>'R6.12'!AC44</f>
        <v>0</v>
      </c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9" t="str">
        <f>'R6.12'!AE44</f>
        <v/>
      </c>
      <c r="W44" s="122">
        <f t="shared" si="1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43"/>
      <c r="AG44" s="133"/>
      <c r="AH44" s="133"/>
      <c r="AI44" s="133"/>
      <c r="AJ44" s="133"/>
    </row>
    <row r="45" ht="22.5" hidden="1" customHeight="1">
      <c r="A45" s="3"/>
      <c r="B45" s="3"/>
      <c r="C45" s="134">
        <f>'R6.12'!AC45</f>
        <v>0</v>
      </c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9" t="str">
        <f>'R6.12'!AE45</f>
        <v/>
      </c>
      <c r="W45" s="122">
        <f t="shared" si="1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43"/>
      <c r="AG45" s="133"/>
      <c r="AH45" s="133"/>
      <c r="AI45" s="133"/>
      <c r="AJ45" s="133"/>
    </row>
    <row r="46" ht="22.5" hidden="1" customHeight="1">
      <c r="A46" s="3"/>
      <c r="B46" s="3"/>
      <c r="C46" s="134">
        <f>'R6.12'!AC46</f>
        <v>0</v>
      </c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9" t="str">
        <f>'R6.12'!AE46</f>
        <v/>
      </c>
      <c r="W46" s="122">
        <f t="shared" si="1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43"/>
      <c r="AG46" s="133"/>
      <c r="AH46" s="133"/>
      <c r="AI46" s="133"/>
      <c r="AJ46" s="133"/>
    </row>
    <row r="47" ht="22.5" hidden="1" customHeight="1">
      <c r="A47" s="3"/>
      <c r="B47" s="3"/>
      <c r="C47" s="134">
        <f>'R6.12'!AC47</f>
        <v>0</v>
      </c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9" t="str">
        <f>'R6.12'!AE47</f>
        <v/>
      </c>
      <c r="W47" s="122">
        <f t="shared" si="1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43"/>
      <c r="AG47" s="133"/>
      <c r="AH47" s="133"/>
      <c r="AI47" s="133"/>
      <c r="AJ47" s="133"/>
    </row>
    <row r="48" ht="22.5" hidden="1" customHeight="1">
      <c r="A48" s="3"/>
      <c r="B48" s="3"/>
      <c r="C48" s="134">
        <f>'R6.12'!AC48</f>
        <v>0</v>
      </c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9" t="str">
        <f>'R6.12'!AE48</f>
        <v/>
      </c>
      <c r="W48" s="122">
        <f t="shared" si="1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43"/>
      <c r="AG48" s="133"/>
      <c r="AH48" s="133"/>
      <c r="AI48" s="133"/>
      <c r="AJ48" s="133"/>
    </row>
    <row r="49" ht="22.5" hidden="1" customHeight="1">
      <c r="A49" s="3"/>
      <c r="B49" s="3"/>
      <c r="C49" s="134">
        <f>'R6.12'!AC49</f>
        <v>0</v>
      </c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9" t="str">
        <f>'R6.12'!AE49</f>
        <v/>
      </c>
      <c r="W49" s="122">
        <f t="shared" si="1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43"/>
      <c r="AG49" s="133"/>
      <c r="AH49" s="133"/>
      <c r="AI49" s="133"/>
      <c r="AJ49" s="133"/>
    </row>
    <row r="50" ht="22.5" hidden="1" customHeight="1">
      <c r="A50" s="3"/>
      <c r="B50" s="3"/>
      <c r="C50" s="134">
        <f>'R6.12'!AC50</f>
        <v>0</v>
      </c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9" t="str">
        <f>'R6.12'!AE50</f>
        <v/>
      </c>
      <c r="W50" s="122">
        <f t="shared" si="1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43"/>
      <c r="AG50" s="133"/>
      <c r="AH50" s="133"/>
      <c r="AI50" s="133"/>
      <c r="AJ50" s="133"/>
    </row>
    <row r="51" ht="22.5" hidden="1" customHeight="1">
      <c r="A51" s="3"/>
      <c r="B51" s="3"/>
      <c r="C51" s="134">
        <f>'R6.12'!AC51</f>
        <v>0</v>
      </c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9" t="str">
        <f>'R6.12'!AE51</f>
        <v/>
      </c>
      <c r="W51" s="122">
        <f t="shared" si="1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43"/>
      <c r="AG51" s="133"/>
      <c r="AH51" s="133"/>
      <c r="AI51" s="133"/>
      <c r="AJ51" s="133"/>
    </row>
    <row r="52" ht="22.5" hidden="1" customHeight="1">
      <c r="A52" s="3"/>
      <c r="B52" s="3"/>
      <c r="C52" s="134">
        <f>'R6.12'!AC52</f>
        <v>0</v>
      </c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9" t="str">
        <f>'R6.12'!AE52</f>
        <v/>
      </c>
      <c r="W52" s="122">
        <f t="shared" si="1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43"/>
      <c r="AG52" s="133"/>
      <c r="AH52" s="133"/>
      <c r="AI52" s="133"/>
      <c r="AJ52" s="133"/>
    </row>
    <row r="53" ht="22.5" hidden="1" customHeight="1">
      <c r="A53" s="3"/>
      <c r="B53" s="3"/>
      <c r="C53" s="134">
        <f>'R6.12'!AC53</f>
        <v>0</v>
      </c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9" t="str">
        <f>'R6.12'!AE53</f>
        <v/>
      </c>
      <c r="W53" s="122">
        <f t="shared" si="1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43"/>
      <c r="AG53" s="133"/>
      <c r="AH53" s="133"/>
      <c r="AI53" s="133"/>
      <c r="AJ53" s="133"/>
    </row>
    <row r="54" ht="22.5" hidden="1" customHeight="1">
      <c r="A54" s="3"/>
      <c r="B54" s="3"/>
      <c r="C54" s="134">
        <f>'R6.12'!AC54</f>
        <v>0</v>
      </c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9" t="str">
        <f>'R6.12'!AE54</f>
        <v/>
      </c>
      <c r="W54" s="122">
        <f t="shared" si="1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43"/>
      <c r="AG54" s="133"/>
      <c r="AH54" s="133"/>
      <c r="AI54" s="133"/>
      <c r="AJ54" s="133"/>
    </row>
    <row r="55" ht="22.5" hidden="1" customHeight="1">
      <c r="A55" s="3"/>
      <c r="B55" s="3"/>
      <c r="C55" s="134">
        <f>'R6.12'!AC55</f>
        <v>0</v>
      </c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9" t="str">
        <f>'R6.12'!AE55</f>
        <v/>
      </c>
      <c r="W55" s="122">
        <f t="shared" si="1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43"/>
      <c r="AG55" s="133"/>
      <c r="AH55" s="133"/>
      <c r="AI55" s="133"/>
      <c r="AJ55" s="133"/>
    </row>
    <row r="56" ht="22.5" hidden="1" customHeight="1">
      <c r="A56" s="3"/>
      <c r="B56" s="3"/>
      <c r="C56" s="134">
        <f>'R6.12'!AC56</f>
        <v>0</v>
      </c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9" t="str">
        <f>'R6.12'!AE56</f>
        <v/>
      </c>
      <c r="W56" s="122">
        <f t="shared" si="1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43"/>
      <c r="AG56" s="133"/>
      <c r="AH56" s="133"/>
      <c r="AI56" s="133"/>
      <c r="AJ56" s="133"/>
    </row>
    <row r="57" ht="22.5" hidden="1" customHeight="1">
      <c r="A57" s="3"/>
      <c r="B57" s="3"/>
      <c r="C57" s="134">
        <f>'R6.12'!AC57</f>
        <v>0</v>
      </c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9" t="str">
        <f>'R6.12'!AE57</f>
        <v/>
      </c>
      <c r="W57" s="122">
        <f t="shared" si="1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43"/>
      <c r="AG57" s="133"/>
      <c r="AH57" s="133"/>
      <c r="AI57" s="133"/>
      <c r="AJ57" s="133"/>
    </row>
    <row r="58" ht="22.5" hidden="1" customHeight="1">
      <c r="A58" s="3"/>
      <c r="B58" s="3"/>
      <c r="C58" s="134">
        <f>'R6.12'!AC58</f>
        <v>0</v>
      </c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9" t="str">
        <f>'R6.12'!AE58</f>
        <v/>
      </c>
      <c r="W58" s="122">
        <f t="shared" si="1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43"/>
      <c r="AG58" s="133"/>
      <c r="AH58" s="133"/>
      <c r="AI58" s="133"/>
      <c r="AJ58" s="133"/>
    </row>
    <row r="59" ht="22.5" hidden="1" customHeight="1">
      <c r="A59" s="3"/>
      <c r="B59" s="3"/>
      <c r="C59" s="134">
        <f>'R6.12'!AC59</f>
        <v>0</v>
      </c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9" t="str">
        <f>'R6.12'!AE59</f>
        <v/>
      </c>
      <c r="W59" s="122">
        <f t="shared" si="1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43"/>
      <c r="AG59" s="133"/>
      <c r="AH59" s="133"/>
      <c r="AI59" s="133"/>
      <c r="AJ59" s="133"/>
    </row>
    <row r="60" ht="22.5" hidden="1" customHeight="1">
      <c r="A60" s="3"/>
      <c r="B60" s="3"/>
      <c r="C60" s="134">
        <f>'R6.12'!AC60</f>
        <v>0</v>
      </c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9" t="str">
        <f>'R6.12'!AE60</f>
        <v/>
      </c>
      <c r="W60" s="122">
        <f t="shared" si="1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43"/>
      <c r="AG60" s="133"/>
      <c r="AH60" s="133"/>
      <c r="AI60" s="133"/>
      <c r="AJ60" s="133"/>
    </row>
    <row r="61" ht="22.5" hidden="1" customHeight="1">
      <c r="A61" s="3"/>
      <c r="B61" s="3"/>
      <c r="C61" s="134">
        <f>'R6.12'!AC61</f>
        <v>0</v>
      </c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9" t="str">
        <f>'R6.12'!AE61</f>
        <v/>
      </c>
      <c r="W61" s="122">
        <f t="shared" si="1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43"/>
      <c r="AG61" s="133"/>
      <c r="AH61" s="133"/>
      <c r="AI61" s="133"/>
      <c r="AJ61" s="133"/>
    </row>
    <row r="62" ht="22.5" hidden="1" customHeight="1">
      <c r="A62" s="3"/>
      <c r="B62" s="3"/>
      <c r="C62" s="134">
        <f>'R6.12'!AC62</f>
        <v>0</v>
      </c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9" t="str">
        <f>'R6.12'!AE62</f>
        <v/>
      </c>
      <c r="W62" s="122">
        <f t="shared" si="1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43"/>
      <c r="AG62" s="133"/>
      <c r="AH62" s="133"/>
      <c r="AI62" s="133"/>
      <c r="AJ62" s="133"/>
    </row>
    <row r="63" ht="22.5" hidden="1" customHeight="1">
      <c r="A63" s="3"/>
      <c r="B63" s="3"/>
      <c r="C63" s="134">
        <f>'R6.12'!AC63</f>
        <v>0</v>
      </c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9" t="str">
        <f>'R6.12'!AE63</f>
        <v/>
      </c>
      <c r="W63" s="122">
        <f t="shared" si="1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43"/>
      <c r="AG63" s="133"/>
      <c r="AH63" s="133"/>
      <c r="AI63" s="133"/>
      <c r="AJ63" s="133"/>
    </row>
    <row r="64" ht="22.5" hidden="1" customHeight="1">
      <c r="A64" s="3"/>
      <c r="B64" s="3"/>
      <c r="C64" s="134">
        <f>'R6.12'!AC64</f>
        <v>0</v>
      </c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9" t="str">
        <f>'R6.12'!AE64</f>
        <v/>
      </c>
      <c r="W64" s="122">
        <f t="shared" si="1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43"/>
      <c r="AG64" s="133"/>
      <c r="AH64" s="133"/>
      <c r="AI64" s="133"/>
      <c r="AJ64" s="133"/>
    </row>
    <row r="65" ht="22.5" hidden="1" customHeight="1">
      <c r="A65" s="3"/>
      <c r="B65" s="3"/>
      <c r="C65" s="134">
        <f>'R6.12'!AC65</f>
        <v>0</v>
      </c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9" t="str">
        <f>'R6.12'!AE65</f>
        <v/>
      </c>
      <c r="W65" s="122">
        <f t="shared" si="1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43"/>
      <c r="AG65" s="133"/>
      <c r="AH65" s="133"/>
      <c r="AI65" s="133"/>
      <c r="AJ65" s="133"/>
    </row>
    <row r="66" ht="22.5" hidden="1" customHeight="1">
      <c r="A66" s="3"/>
      <c r="B66" s="3"/>
      <c r="C66" s="134">
        <f>'R6.12'!AC66</f>
        <v>0</v>
      </c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9" t="str">
        <f>'R6.12'!AE66</f>
        <v/>
      </c>
      <c r="W66" s="122">
        <f t="shared" si="1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43"/>
      <c r="AG66" s="133"/>
      <c r="AH66" s="133"/>
      <c r="AI66" s="133"/>
      <c r="AJ66" s="133"/>
    </row>
    <row r="67" ht="22.5" hidden="1" customHeight="1">
      <c r="A67" s="3"/>
      <c r="B67" s="3"/>
      <c r="C67" s="134">
        <f>'R6.12'!AC67</f>
        <v>0</v>
      </c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9" t="str">
        <f>'R6.12'!AE67</f>
        <v/>
      </c>
      <c r="W67" s="122">
        <f t="shared" si="1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43"/>
      <c r="AG67" s="133"/>
      <c r="AH67" s="133"/>
      <c r="AI67" s="133"/>
      <c r="AJ67" s="133"/>
    </row>
    <row r="68" ht="22.5" hidden="1" customHeight="1">
      <c r="A68" s="3"/>
      <c r="B68" s="3"/>
      <c r="C68" s="134">
        <f>'R6.12'!AC68</f>
        <v>0</v>
      </c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9" t="str">
        <f>'R6.12'!AE68</f>
        <v/>
      </c>
      <c r="W68" s="122">
        <f t="shared" si="1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43"/>
      <c r="AG68" s="133"/>
      <c r="AH68" s="133"/>
      <c r="AI68" s="133"/>
      <c r="AJ68" s="133"/>
    </row>
    <row r="69" ht="22.5" hidden="1" customHeight="1">
      <c r="A69" s="3"/>
      <c r="B69" s="3"/>
      <c r="C69" s="134">
        <f>'R6.12'!AC69</f>
        <v>0</v>
      </c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9" t="str">
        <f>'R6.12'!AE69</f>
        <v/>
      </c>
      <c r="W69" s="122">
        <f t="shared" si="1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43"/>
      <c r="AG69" s="133"/>
      <c r="AH69" s="133"/>
      <c r="AI69" s="133"/>
      <c r="AJ69" s="133"/>
    </row>
    <row r="70" ht="22.5" hidden="1" customHeight="1">
      <c r="A70" s="3"/>
      <c r="B70" s="3"/>
      <c r="C70" s="134">
        <f>'R6.12'!AC70</f>
        <v>0</v>
      </c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9" t="str">
        <f>'R6.12'!AE70</f>
        <v/>
      </c>
      <c r="W70" s="122">
        <f t="shared" si="1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43"/>
      <c r="AG70" s="133"/>
      <c r="AH70" s="133"/>
      <c r="AI70" s="133"/>
      <c r="AJ70" s="133"/>
    </row>
    <row r="71" ht="22.5" hidden="1" customHeight="1">
      <c r="A71" s="3"/>
      <c r="B71" s="3"/>
      <c r="C71" s="134">
        <f>'R6.12'!AC71</f>
        <v>0</v>
      </c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9" t="str">
        <f>'R6.12'!AE71</f>
        <v/>
      </c>
      <c r="W71" s="122">
        <f t="shared" si="1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43"/>
      <c r="AG71" s="133"/>
      <c r="AH71" s="133"/>
      <c r="AI71" s="133"/>
      <c r="AJ71" s="133"/>
    </row>
    <row r="72" ht="22.5" hidden="1" customHeight="1">
      <c r="A72" s="3"/>
      <c r="B72" s="3"/>
      <c r="C72" s="134">
        <f>'R6.12'!AC72</f>
        <v>0</v>
      </c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9" t="str">
        <f>'R6.12'!AE72</f>
        <v/>
      </c>
      <c r="W72" s="122">
        <f t="shared" si="1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43"/>
      <c r="AG72" s="133"/>
      <c r="AH72" s="133"/>
      <c r="AI72" s="133"/>
      <c r="AJ72" s="133"/>
    </row>
    <row r="73" ht="22.5" hidden="1" customHeight="1">
      <c r="A73" s="3"/>
      <c r="B73" s="3"/>
      <c r="C73" s="134">
        <f>'R6.12'!AC73</f>
        <v>0</v>
      </c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9" t="str">
        <f>'R6.12'!AE73</f>
        <v/>
      </c>
      <c r="W73" s="122">
        <f t="shared" si="1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43"/>
      <c r="AG73" s="133"/>
      <c r="AH73" s="133"/>
      <c r="AI73" s="133"/>
      <c r="AJ73" s="133"/>
    </row>
    <row r="74" ht="22.5" hidden="1" customHeight="1">
      <c r="A74" s="3"/>
      <c r="B74" s="3"/>
      <c r="C74" s="134">
        <f>'R6.12'!AC74</f>
        <v>0</v>
      </c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9" t="str">
        <f>'R6.12'!AE74</f>
        <v/>
      </c>
      <c r="W74" s="122">
        <f t="shared" si="1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43"/>
      <c r="AG74" s="133"/>
      <c r="AH74" s="133"/>
      <c r="AI74" s="133"/>
      <c r="AJ74" s="133"/>
    </row>
    <row r="75" ht="22.5" hidden="1" customHeight="1">
      <c r="A75" s="3"/>
      <c r="B75" s="3"/>
      <c r="C75" s="134">
        <f>'R6.12'!AC75</f>
        <v>0</v>
      </c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9" t="str">
        <f>'R6.12'!AE75</f>
        <v/>
      </c>
      <c r="W75" s="122">
        <f t="shared" si="1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43"/>
      <c r="AG75" s="133"/>
      <c r="AH75" s="133"/>
      <c r="AI75" s="133"/>
      <c r="AJ75" s="133"/>
    </row>
    <row r="76" ht="22.5" hidden="1" customHeight="1">
      <c r="A76" s="3"/>
      <c r="B76" s="3"/>
      <c r="C76" s="134">
        <f>'R6.12'!AC76</f>
        <v>0</v>
      </c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9" t="str">
        <f>'R6.12'!AE76</f>
        <v/>
      </c>
      <c r="W76" s="122">
        <f t="shared" si="1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43"/>
      <c r="AG76" s="133"/>
      <c r="AH76" s="133"/>
      <c r="AI76" s="133"/>
      <c r="AJ76" s="133"/>
    </row>
    <row r="77" ht="22.5" hidden="1" customHeight="1">
      <c r="A77" s="3"/>
      <c r="B77" s="3"/>
      <c r="C77" s="134">
        <f>'R6.12'!AC77</f>
        <v>0</v>
      </c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9" t="str">
        <f>'R6.12'!AE77</f>
        <v/>
      </c>
      <c r="W77" s="122">
        <f t="shared" si="1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43"/>
      <c r="AG77" s="133"/>
      <c r="AH77" s="133"/>
      <c r="AI77" s="133"/>
      <c r="AJ77" s="133"/>
    </row>
    <row r="78" ht="22.5" hidden="1" customHeight="1">
      <c r="A78" s="3"/>
      <c r="B78" s="3"/>
      <c r="C78" s="134">
        <f>'R6.12'!AC78</f>
        <v>0</v>
      </c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9" t="str">
        <f>'R6.12'!AE78</f>
        <v/>
      </c>
      <c r="W78" s="122">
        <f t="shared" si="1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43"/>
      <c r="AG78" s="133"/>
      <c r="AH78" s="133"/>
      <c r="AI78" s="133"/>
      <c r="AJ78" s="133"/>
    </row>
    <row r="79" ht="22.5" hidden="1" customHeight="1">
      <c r="A79" s="3"/>
      <c r="B79" s="3"/>
      <c r="C79" s="134">
        <f>'R6.12'!AC79</f>
        <v>0</v>
      </c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9" t="str">
        <f>'R6.12'!AE79</f>
        <v/>
      </c>
      <c r="W79" s="122">
        <f t="shared" si="1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43"/>
      <c r="AG79" s="133"/>
      <c r="AH79" s="133"/>
      <c r="AI79" s="133"/>
      <c r="AJ79" s="133"/>
    </row>
    <row r="80" ht="22.5" hidden="1" customHeight="1">
      <c r="A80" s="3"/>
      <c r="B80" s="3"/>
      <c r="C80" s="134">
        <f>'R6.12'!AC80</f>
        <v>0</v>
      </c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9" t="str">
        <f>'R6.12'!AE80</f>
        <v/>
      </c>
      <c r="W80" s="122">
        <f t="shared" si="1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43"/>
      <c r="AG80" s="133"/>
      <c r="AH80" s="133"/>
      <c r="AI80" s="133"/>
      <c r="AJ80" s="133"/>
    </row>
    <row r="81" ht="22.5" hidden="1" customHeight="1">
      <c r="A81" s="3"/>
      <c r="B81" s="3"/>
      <c r="C81" s="134">
        <f>'R6.12'!AC81</f>
        <v>0</v>
      </c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9" t="str">
        <f>'R6.12'!AE81</f>
        <v/>
      </c>
      <c r="W81" s="122">
        <f t="shared" si="1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43"/>
      <c r="AG81" s="133"/>
      <c r="AH81" s="133"/>
      <c r="AI81" s="133"/>
      <c r="AJ81" s="133"/>
    </row>
    <row r="82" ht="22.5" hidden="1" customHeight="1">
      <c r="A82" s="3"/>
      <c r="B82" s="3"/>
      <c r="C82" s="134">
        <f>'R6.12'!AC82</f>
        <v>0</v>
      </c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9" t="str">
        <f>'R6.12'!AE82</f>
        <v/>
      </c>
      <c r="W82" s="122">
        <f t="shared" si="1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43"/>
      <c r="AG82" s="133"/>
      <c r="AH82" s="133"/>
      <c r="AI82" s="133"/>
      <c r="AJ82" s="133"/>
    </row>
    <row r="83" ht="22.5" hidden="1" customHeight="1">
      <c r="A83" s="3"/>
      <c r="B83" s="3"/>
      <c r="C83" s="134">
        <f>'R6.12'!AC83</f>
        <v>0</v>
      </c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9" t="str">
        <f>'R6.12'!AE83</f>
        <v/>
      </c>
      <c r="W83" s="122">
        <f t="shared" si="1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43"/>
      <c r="AG83" s="133"/>
      <c r="AH83" s="133"/>
      <c r="AI83" s="133"/>
      <c r="AJ83" s="133"/>
    </row>
    <row r="84" ht="22.5" hidden="1" customHeight="1">
      <c r="A84" s="3"/>
      <c r="B84" s="3"/>
      <c r="C84" s="134">
        <f>'R6.12'!AC84</f>
        <v>0</v>
      </c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9" t="str">
        <f>'R6.12'!AE84</f>
        <v/>
      </c>
      <c r="W84" s="122">
        <f t="shared" si="1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43"/>
      <c r="AG84" s="133"/>
      <c r="AH84" s="133"/>
      <c r="AI84" s="133"/>
      <c r="AJ84" s="133"/>
    </row>
    <row r="85" ht="22.5" hidden="1" customHeight="1">
      <c r="A85" s="3"/>
      <c r="B85" s="3"/>
      <c r="C85" s="134">
        <f>'R6.12'!AC85</f>
        <v>0</v>
      </c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9" t="str">
        <f>'R6.12'!AE85</f>
        <v/>
      </c>
      <c r="W85" s="122">
        <f t="shared" si="1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43"/>
      <c r="AG85" s="133"/>
      <c r="AH85" s="133"/>
      <c r="AI85" s="133"/>
      <c r="AJ85" s="133"/>
    </row>
    <row r="86" ht="22.5" hidden="1" customHeight="1">
      <c r="A86" s="3"/>
      <c r="B86" s="3"/>
      <c r="C86" s="134">
        <f>'R6.12'!AC86</f>
        <v>0</v>
      </c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9" t="str">
        <f>'R6.12'!AE86</f>
        <v/>
      </c>
      <c r="W86" s="122">
        <f t="shared" si="1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43"/>
      <c r="AG86" s="133"/>
      <c r="AH86" s="133"/>
      <c r="AI86" s="133"/>
      <c r="AJ86" s="133"/>
    </row>
    <row r="87" ht="22.5" hidden="1" customHeight="1">
      <c r="A87" s="3"/>
      <c r="B87" s="3"/>
      <c r="C87" s="134">
        <f>'R6.12'!AC87</f>
        <v>0</v>
      </c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9" t="str">
        <f>'R6.12'!AE87</f>
        <v/>
      </c>
      <c r="W87" s="122">
        <f t="shared" si="1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43"/>
      <c r="AG87" s="133"/>
      <c r="AH87" s="133"/>
      <c r="AI87" s="133"/>
      <c r="AJ87" s="133"/>
    </row>
    <row r="88" ht="22.5" hidden="1" customHeight="1">
      <c r="A88" s="3"/>
      <c r="B88" s="3"/>
      <c r="C88" s="134">
        <f>'R6.12'!AC88</f>
        <v>0</v>
      </c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9" t="str">
        <f>'R6.12'!AE88</f>
        <v/>
      </c>
      <c r="W88" s="122">
        <f t="shared" si="1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43"/>
      <c r="AG88" s="133"/>
      <c r="AH88" s="133"/>
      <c r="AI88" s="133"/>
      <c r="AJ88" s="133"/>
    </row>
    <row r="89" ht="22.5" hidden="1" customHeight="1">
      <c r="A89" s="3"/>
      <c r="B89" s="3"/>
      <c r="C89" s="134">
        <f>'R6.12'!AC89</f>
        <v>0</v>
      </c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9" t="str">
        <f>'R6.12'!AE89</f>
        <v/>
      </c>
      <c r="W89" s="122">
        <f t="shared" si="1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43"/>
      <c r="AG89" s="133"/>
      <c r="AH89" s="133"/>
      <c r="AI89" s="133"/>
      <c r="AJ89" s="133"/>
    </row>
    <row r="90" ht="22.5" hidden="1" customHeight="1">
      <c r="A90" s="3"/>
      <c r="B90" s="3"/>
      <c r="C90" s="134">
        <f>'R6.12'!AC90</f>
        <v>0</v>
      </c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9" t="str">
        <f>'R6.12'!AE90</f>
        <v/>
      </c>
      <c r="W90" s="122">
        <f t="shared" si="1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43"/>
      <c r="AG90" s="133"/>
      <c r="AH90" s="133"/>
      <c r="AI90" s="133"/>
      <c r="AJ90" s="133"/>
    </row>
    <row r="91" ht="22.5" hidden="1" customHeight="1">
      <c r="A91" s="3"/>
      <c r="B91" s="3"/>
      <c r="C91" s="134">
        <f>'R6.12'!AC91</f>
        <v>0</v>
      </c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9" t="str">
        <f>'R6.12'!AE91</f>
        <v/>
      </c>
      <c r="W91" s="122">
        <f t="shared" si="1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43"/>
      <c r="AG91" s="133"/>
      <c r="AH91" s="133"/>
      <c r="AI91" s="133"/>
      <c r="AJ91" s="133"/>
    </row>
    <row r="92" ht="22.5" hidden="1" customHeight="1">
      <c r="A92" s="3"/>
      <c r="B92" s="3"/>
      <c r="C92" s="134">
        <f>'R6.12'!AC92</f>
        <v>0</v>
      </c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9" t="str">
        <f>'R6.12'!AE92</f>
        <v/>
      </c>
      <c r="W92" s="122">
        <f t="shared" si="1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43"/>
      <c r="AG92" s="133"/>
      <c r="AH92" s="133"/>
      <c r="AI92" s="133"/>
      <c r="AJ92" s="133"/>
    </row>
    <row r="93" ht="22.5" hidden="1" customHeight="1">
      <c r="A93" s="3"/>
      <c r="B93" s="3"/>
      <c r="C93" s="134">
        <f>'R6.12'!AC93</f>
        <v>0</v>
      </c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9" t="str">
        <f>'R6.12'!AE93</f>
        <v/>
      </c>
      <c r="W93" s="122">
        <f t="shared" si="1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43"/>
      <c r="AG93" s="133"/>
      <c r="AH93" s="133"/>
      <c r="AI93" s="133"/>
      <c r="AJ93" s="133"/>
    </row>
    <row r="94" ht="22.5" hidden="1" customHeight="1">
      <c r="A94" s="3"/>
      <c r="B94" s="3"/>
      <c r="C94" s="134">
        <f>'R6.12'!AC94</f>
        <v>0</v>
      </c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9" t="str">
        <f>'R6.12'!AE94</f>
        <v/>
      </c>
      <c r="W94" s="122">
        <f t="shared" si="1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43"/>
      <c r="AG94" s="133"/>
      <c r="AH94" s="133"/>
      <c r="AI94" s="133"/>
      <c r="AJ94" s="133"/>
    </row>
    <row r="95" ht="22.5" hidden="1" customHeight="1">
      <c r="A95" s="3"/>
      <c r="B95" s="3"/>
      <c r="C95" s="134">
        <f>'R6.12'!AC95</f>
        <v>0</v>
      </c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9" t="str">
        <f>'R6.12'!AE95</f>
        <v/>
      </c>
      <c r="W95" s="122">
        <f t="shared" si="1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43"/>
      <c r="AG95" s="133"/>
      <c r="AH95" s="133"/>
      <c r="AI95" s="133"/>
      <c r="AJ95" s="133"/>
    </row>
    <row r="96" ht="22.5" hidden="1" customHeight="1">
      <c r="A96" s="3"/>
      <c r="B96" s="3"/>
      <c r="C96" s="134">
        <f>'R6.12'!AC96</f>
        <v>0</v>
      </c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9" t="str">
        <f>'R6.12'!AE96</f>
        <v/>
      </c>
      <c r="W96" s="122">
        <f t="shared" si="1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43"/>
      <c r="AG96" s="133"/>
      <c r="AH96" s="133"/>
      <c r="AI96" s="133"/>
      <c r="AJ96" s="133"/>
    </row>
    <row r="97" ht="22.5" hidden="1" customHeight="1">
      <c r="A97" s="3"/>
      <c r="B97" s="3"/>
      <c r="C97" s="134">
        <f>'R6.12'!AC97</f>
        <v>0</v>
      </c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9" t="str">
        <f>'R6.12'!AE97</f>
        <v/>
      </c>
      <c r="W97" s="122">
        <f t="shared" si="1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43"/>
      <c r="AG97" s="133"/>
      <c r="AH97" s="133"/>
      <c r="AI97" s="133"/>
      <c r="AJ97" s="133"/>
    </row>
    <row r="98" ht="22.5" hidden="1" customHeight="1">
      <c r="A98" s="3"/>
      <c r="B98" s="3"/>
      <c r="C98" s="134">
        <f>'R6.12'!AC98</f>
        <v>0</v>
      </c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9" t="str">
        <f>'R6.12'!AE98</f>
        <v/>
      </c>
      <c r="W98" s="122">
        <f t="shared" si="1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43"/>
      <c r="AG98" s="133"/>
      <c r="AH98" s="133"/>
      <c r="AI98" s="133"/>
      <c r="AJ98" s="133"/>
    </row>
    <row r="99" ht="22.5" hidden="1" customHeight="1">
      <c r="A99" s="3"/>
      <c r="B99" s="3"/>
      <c r="C99" s="134">
        <f>'R6.12'!AC99</f>
        <v>0</v>
      </c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9" t="str">
        <f>'R6.12'!AE99</f>
        <v/>
      </c>
      <c r="W99" s="122">
        <f t="shared" si="1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43"/>
      <c r="AG99" s="133"/>
      <c r="AH99" s="133"/>
      <c r="AI99" s="133"/>
      <c r="AJ99" s="133"/>
    </row>
    <row r="100" ht="22.5" hidden="1" customHeight="1">
      <c r="A100" s="3"/>
      <c r="B100" s="3"/>
      <c r="C100" s="134">
        <f>'R6.12'!AC100</f>
        <v>0</v>
      </c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9" t="str">
        <f>'R6.12'!AE100</f>
        <v/>
      </c>
      <c r="W100" s="122">
        <f t="shared" si="1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43"/>
      <c r="AG100" s="133"/>
      <c r="AH100" s="133"/>
      <c r="AI100" s="133"/>
      <c r="AJ100" s="133"/>
    </row>
    <row r="101" ht="22.5" hidden="1" customHeight="1">
      <c r="A101" s="3"/>
      <c r="B101" s="3"/>
      <c r="C101" s="134">
        <f>'R6.12'!AC101</f>
        <v>0</v>
      </c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9" t="str">
        <f>'R6.12'!AE101</f>
        <v/>
      </c>
      <c r="W101" s="122">
        <f t="shared" si="1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43"/>
      <c r="AG101" s="133"/>
      <c r="AH101" s="133"/>
      <c r="AI101" s="133"/>
      <c r="AJ101" s="133"/>
    </row>
    <row r="102" ht="22.5" hidden="1" customHeight="1">
      <c r="A102" s="3"/>
      <c r="B102" s="3"/>
      <c r="C102" s="134">
        <f>'R6.12'!AC102</f>
        <v>0</v>
      </c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9" t="str">
        <f>'R6.12'!AE102</f>
        <v/>
      </c>
      <c r="W102" s="122">
        <f t="shared" si="1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43"/>
      <c r="AG102" s="133"/>
      <c r="AH102" s="133"/>
      <c r="AI102" s="133"/>
      <c r="AJ102" s="133"/>
    </row>
    <row r="103" ht="22.5" hidden="1" customHeight="1">
      <c r="A103" s="3"/>
      <c r="B103" s="3"/>
      <c r="C103" s="134">
        <f>'R6.12'!AC103</f>
        <v>0</v>
      </c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9" t="str">
        <f>'R6.12'!AE103</f>
        <v/>
      </c>
      <c r="W103" s="122">
        <f t="shared" si="1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43"/>
      <c r="AG103" s="133"/>
      <c r="AH103" s="133"/>
      <c r="AI103" s="133"/>
      <c r="AJ103" s="133"/>
    </row>
    <row r="104" ht="22.5" hidden="1" customHeight="1">
      <c r="A104" s="3"/>
      <c r="B104" s="3"/>
      <c r="C104" s="134">
        <f>'R6.12'!AC104</f>
        <v>0</v>
      </c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9" t="str">
        <f>'R6.12'!AE104</f>
        <v/>
      </c>
      <c r="W104" s="122">
        <f t="shared" si="1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43"/>
      <c r="AG104" s="133"/>
      <c r="AH104" s="133"/>
      <c r="AI104" s="133"/>
      <c r="AJ104" s="133"/>
    </row>
    <row r="105" ht="22.5" hidden="1" customHeight="1">
      <c r="A105" s="3"/>
      <c r="B105" s="3"/>
      <c r="C105" s="134">
        <f>'R6.12'!AC105</f>
        <v>0</v>
      </c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9" t="str">
        <f>'R6.12'!AE105</f>
        <v/>
      </c>
      <c r="W105" s="122">
        <f t="shared" si="1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43"/>
      <c r="AG105" s="133"/>
      <c r="AH105" s="133"/>
      <c r="AI105" s="133"/>
      <c r="AJ105" s="133"/>
    </row>
    <row r="106" ht="22.5" hidden="1" customHeight="1">
      <c r="A106" s="3"/>
      <c r="B106" s="3"/>
      <c r="C106" s="134">
        <f>'R6.12'!AC106</f>
        <v>0</v>
      </c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9" t="str">
        <f>'R6.12'!AE106</f>
        <v/>
      </c>
      <c r="W106" s="122">
        <f t="shared" si="1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43"/>
      <c r="AG106" s="133"/>
      <c r="AH106" s="133"/>
      <c r="AI106" s="133"/>
      <c r="AJ106" s="133"/>
    </row>
    <row r="107" ht="22.5" hidden="1" customHeight="1">
      <c r="A107" s="3"/>
      <c r="B107" s="3"/>
      <c r="C107" s="134">
        <f>'R6.12'!AC107</f>
        <v>0</v>
      </c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9" t="str">
        <f>'R6.12'!AE107</f>
        <v/>
      </c>
      <c r="W107" s="122">
        <f t="shared" si="1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43"/>
      <c r="AG107" s="133"/>
      <c r="AH107" s="133"/>
      <c r="AI107" s="133"/>
      <c r="AJ107" s="133"/>
    </row>
    <row r="108" ht="22.5" hidden="1" customHeight="1">
      <c r="A108" s="3"/>
      <c r="B108" s="3"/>
      <c r="C108" s="134">
        <f>'R6.12'!AC108</f>
        <v>0</v>
      </c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9" t="str">
        <f>'R6.12'!AE108</f>
        <v/>
      </c>
      <c r="W108" s="122">
        <f t="shared" si="1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43"/>
      <c r="AG108" s="133"/>
      <c r="AH108" s="133"/>
      <c r="AI108" s="133"/>
      <c r="AJ108" s="133"/>
    </row>
    <row r="109" ht="22.5" customHeight="1">
      <c r="A109" s="3"/>
      <c r="B109" s="3"/>
      <c r="C109" s="134">
        <f>'R6.12'!AC109</f>
        <v>0</v>
      </c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9" t="str">
        <f>'R6.12'!AE109</f>
        <v/>
      </c>
      <c r="W109" s="122">
        <f t="shared" si="1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4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4">SUM(D3:D109)</f>
        <v>40000</v>
      </c>
      <c r="E110" s="120">
        <f t="shared" si="4"/>
        <v>5000</v>
      </c>
      <c r="F110" s="120">
        <f t="shared" si="4"/>
        <v>5000</v>
      </c>
      <c r="G110" s="120">
        <f t="shared" si="4"/>
        <v>2000</v>
      </c>
      <c r="H110" s="120">
        <f t="shared" si="4"/>
        <v>0</v>
      </c>
      <c r="I110" s="120">
        <f t="shared" si="4"/>
        <v>5720</v>
      </c>
      <c r="J110" s="135">
        <f t="shared" si="4"/>
        <v>0</v>
      </c>
      <c r="K110" s="120">
        <f t="shared" si="4"/>
        <v>0</v>
      </c>
      <c r="L110" s="120">
        <f t="shared" si="4"/>
        <v>0</v>
      </c>
      <c r="M110" s="120">
        <f t="shared" si="4"/>
        <v>10000</v>
      </c>
      <c r="N110" s="120">
        <f t="shared" si="4"/>
        <v>0</v>
      </c>
      <c r="O110" s="120">
        <f t="shared" si="4"/>
        <v>0</v>
      </c>
      <c r="P110" s="120">
        <f t="shared" si="4"/>
        <v>0</v>
      </c>
      <c r="Q110" s="120">
        <f t="shared" si="4"/>
        <v>0</v>
      </c>
      <c r="R110" s="120">
        <f t="shared" si="4"/>
        <v>0</v>
      </c>
      <c r="S110" s="120">
        <f t="shared" si="4"/>
        <v>42280</v>
      </c>
      <c r="T110" s="120">
        <f t="shared" si="4"/>
        <v>0</v>
      </c>
      <c r="U110" s="120">
        <f t="shared" si="4"/>
        <v>0</v>
      </c>
      <c r="V110" s="120">
        <f t="shared" si="4"/>
        <v>10000</v>
      </c>
      <c r="W110" s="122">
        <f>SUM(D110:V110)</f>
        <v>120000</v>
      </c>
      <c r="X110" s="120">
        <f t="shared" ref="X110:Y110" si="5">SUM(X3:X109)</f>
        <v>0</v>
      </c>
      <c r="Y110" s="120">
        <f t="shared" si="5"/>
        <v>0</v>
      </c>
      <c r="Z110" s="120">
        <f t="shared" si="2"/>
        <v>120000</v>
      </c>
      <c r="AA110" s="124"/>
      <c r="AC110" s="136"/>
      <c r="AF110" s="141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  <c r="AF111" s="141"/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AF112" s="141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AF113" s="141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AF114" s="141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AF115" s="141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AF116" s="141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AF117" s="141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AF118" s="141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AF119" s="141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AF120" s="141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AF121" s="141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AF122" s="141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AF123" s="141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AF124" s="141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AF125" s="141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AF126" s="141"/>
    </row>
    <row r="127" ht="15.75" customHeight="1">
      <c r="A127" s="114"/>
      <c r="B127" s="114"/>
      <c r="AF127" s="141"/>
    </row>
    <row r="128" ht="15.75" customHeight="1">
      <c r="A128" s="114"/>
      <c r="B128" s="114"/>
      <c r="AF128" s="141"/>
    </row>
    <row r="129" ht="15.75" customHeight="1">
      <c r="A129" s="114"/>
      <c r="B129" s="114"/>
      <c r="AF129" s="141"/>
    </row>
    <row r="130" ht="15.75" customHeight="1">
      <c r="A130" s="114"/>
      <c r="B130" s="114"/>
      <c r="AF130" s="141"/>
    </row>
    <row r="131" ht="15.75" customHeight="1">
      <c r="A131" s="114"/>
      <c r="B131" s="114"/>
      <c r="AF131" s="141"/>
    </row>
    <row r="132" ht="15.75" customHeight="1">
      <c r="A132" s="114"/>
      <c r="B132" s="114"/>
      <c r="AF132" s="141"/>
    </row>
    <row r="133" ht="15.75" customHeight="1">
      <c r="A133" s="114"/>
      <c r="B133" s="114"/>
      <c r="AF133" s="141"/>
    </row>
    <row r="134" ht="15.75" customHeight="1">
      <c r="A134" s="114"/>
      <c r="B134" s="114"/>
      <c r="AF134" s="141"/>
    </row>
    <row r="135" ht="15.75" customHeight="1">
      <c r="A135" s="114"/>
      <c r="B135" s="114"/>
      <c r="AF135" s="141"/>
    </row>
    <row r="136" ht="15.75" customHeight="1">
      <c r="A136" s="114"/>
      <c r="B136" s="114"/>
      <c r="AF136" s="141"/>
    </row>
    <row r="137" ht="15.75" customHeight="1">
      <c r="A137" s="114"/>
      <c r="B137" s="114"/>
      <c r="AF137" s="141"/>
    </row>
    <row r="138" ht="15.75" customHeight="1">
      <c r="A138" s="114"/>
      <c r="B138" s="114"/>
      <c r="AF138" s="141"/>
    </row>
    <row r="139" ht="15.75" customHeight="1">
      <c r="A139" s="114"/>
      <c r="B139" s="114"/>
      <c r="AF139" s="141"/>
    </row>
    <row r="140" ht="15.75" customHeight="1">
      <c r="A140" s="114"/>
      <c r="B140" s="114"/>
      <c r="AF140" s="141"/>
    </row>
    <row r="141" ht="15.75" customHeight="1">
      <c r="A141" s="114"/>
      <c r="B141" s="114"/>
      <c r="AF141" s="141"/>
    </row>
    <row r="142" ht="15.75" customHeight="1">
      <c r="A142" s="114"/>
      <c r="B142" s="114"/>
      <c r="AF142" s="141"/>
    </row>
    <row r="143" ht="15.75" customHeight="1">
      <c r="A143" s="114"/>
      <c r="B143" s="114"/>
      <c r="AF143" s="141"/>
    </row>
    <row r="144" ht="15.75" customHeight="1">
      <c r="A144" s="114"/>
      <c r="B144" s="114"/>
      <c r="AF144" s="141"/>
    </row>
    <row r="145" ht="15.75" customHeight="1">
      <c r="A145" s="114"/>
      <c r="B145" s="114"/>
      <c r="AF145" s="141"/>
    </row>
    <row r="146" ht="15.75" customHeight="1">
      <c r="A146" s="114"/>
      <c r="B146" s="114"/>
      <c r="AF146" s="141"/>
    </row>
    <row r="147" ht="15.75" customHeight="1">
      <c r="A147" s="114"/>
      <c r="B147" s="114"/>
      <c r="AF147" s="141"/>
    </row>
    <row r="148" ht="15.75" customHeight="1">
      <c r="A148" s="114"/>
      <c r="B148" s="114"/>
      <c r="AF148" s="141"/>
    </row>
    <row r="149" ht="15.75" customHeight="1">
      <c r="A149" s="114"/>
      <c r="B149" s="114"/>
      <c r="AF149" s="141"/>
    </row>
    <row r="150" ht="15.75" customHeight="1">
      <c r="A150" s="114"/>
      <c r="B150" s="114"/>
      <c r="AF150" s="141"/>
    </row>
    <row r="151" ht="15.75" customHeight="1">
      <c r="A151" s="114"/>
      <c r="B151" s="114"/>
      <c r="AF151" s="141"/>
    </row>
    <row r="152" ht="15.75" customHeight="1">
      <c r="A152" s="114"/>
      <c r="B152" s="114"/>
      <c r="AF152" s="141"/>
    </row>
    <row r="153" ht="15.75" customHeight="1">
      <c r="A153" s="114"/>
      <c r="B153" s="114"/>
      <c r="AF153" s="141"/>
    </row>
    <row r="154" ht="15.75" customHeight="1">
      <c r="A154" s="114"/>
      <c r="B154" s="114"/>
      <c r="AF154" s="141"/>
    </row>
    <row r="155" ht="15.75" customHeight="1">
      <c r="A155" s="114"/>
      <c r="B155" s="114"/>
      <c r="AF155" s="141"/>
    </row>
    <row r="156" ht="15.75" customHeight="1">
      <c r="A156" s="114"/>
      <c r="B156" s="114"/>
      <c r="AF156" s="141"/>
    </row>
    <row r="157" ht="15.75" customHeight="1">
      <c r="A157" s="114"/>
      <c r="B157" s="114"/>
      <c r="AF157" s="141"/>
    </row>
    <row r="158" ht="15.75" customHeight="1">
      <c r="A158" s="114"/>
      <c r="B158" s="114"/>
      <c r="AF158" s="141"/>
    </row>
    <row r="159" ht="15.75" customHeight="1">
      <c r="A159" s="114"/>
      <c r="B159" s="114"/>
      <c r="AF159" s="141"/>
    </row>
    <row r="160" ht="15.75" customHeight="1">
      <c r="A160" s="114"/>
      <c r="B160" s="114"/>
      <c r="AF160" s="141"/>
    </row>
    <row r="161" ht="15.75" customHeight="1">
      <c r="A161" s="114"/>
      <c r="B161" s="114"/>
      <c r="AF161" s="141"/>
    </row>
    <row r="162" ht="15.75" customHeight="1">
      <c r="A162" s="114"/>
      <c r="B162" s="114"/>
      <c r="AF162" s="141"/>
    </row>
    <row r="163" ht="15.75" customHeight="1">
      <c r="A163" s="114"/>
      <c r="B163" s="114"/>
      <c r="AF163" s="141"/>
    </row>
    <row r="164" ht="15.75" customHeight="1">
      <c r="A164" s="114"/>
      <c r="B164" s="114"/>
      <c r="AF164" s="141"/>
    </row>
    <row r="165" ht="15.75" customHeight="1">
      <c r="A165" s="114"/>
      <c r="B165" s="114"/>
      <c r="AF165" s="141"/>
    </row>
    <row r="166" ht="15.75" customHeight="1">
      <c r="A166" s="114"/>
      <c r="B166" s="114"/>
      <c r="AF166" s="141"/>
    </row>
    <row r="167" ht="15.75" customHeight="1">
      <c r="A167" s="114"/>
      <c r="B167" s="114"/>
      <c r="AF167" s="141"/>
    </row>
    <row r="168" ht="15.75" customHeight="1">
      <c r="A168" s="114"/>
      <c r="B168" s="114"/>
      <c r="AF168" s="141"/>
    </row>
    <row r="169" ht="15.75" customHeight="1">
      <c r="A169" s="114"/>
      <c r="B169" s="114"/>
      <c r="AF169" s="141"/>
    </row>
    <row r="170" ht="15.75" customHeight="1">
      <c r="A170" s="114"/>
      <c r="B170" s="114"/>
      <c r="AF170" s="141"/>
    </row>
    <row r="171" ht="15.75" customHeight="1">
      <c r="A171" s="114"/>
      <c r="B171" s="114"/>
      <c r="AF171" s="141"/>
    </row>
    <row r="172" ht="15.75" customHeight="1">
      <c r="A172" s="114"/>
      <c r="B172" s="114"/>
      <c r="AF172" s="141"/>
    </row>
    <row r="173" ht="15.75" customHeight="1">
      <c r="A173" s="114"/>
      <c r="B173" s="114"/>
      <c r="AF173" s="141"/>
    </row>
    <row r="174" ht="15.75" customHeight="1">
      <c r="A174" s="114"/>
      <c r="B174" s="114"/>
      <c r="AF174" s="141"/>
    </row>
    <row r="175" ht="15.75" customHeight="1">
      <c r="A175" s="114"/>
      <c r="B175" s="114"/>
      <c r="AF175" s="141"/>
    </row>
    <row r="176" ht="15.75" customHeight="1">
      <c r="A176" s="114"/>
      <c r="B176" s="114"/>
      <c r="AF176" s="141"/>
    </row>
    <row r="177" ht="15.75" customHeight="1">
      <c r="A177" s="114"/>
      <c r="B177" s="114"/>
      <c r="AF177" s="141"/>
    </row>
    <row r="178" ht="15.75" customHeight="1">
      <c r="A178" s="114"/>
      <c r="B178" s="114"/>
      <c r="AF178" s="141"/>
    </row>
    <row r="179" ht="15.75" customHeight="1">
      <c r="A179" s="114"/>
      <c r="B179" s="114"/>
      <c r="AF179" s="141"/>
    </row>
    <row r="180" ht="15.75" customHeight="1">
      <c r="A180" s="114"/>
      <c r="B180" s="114"/>
      <c r="AF180" s="141"/>
    </row>
    <row r="181" ht="15.75" customHeight="1">
      <c r="A181" s="114"/>
      <c r="B181" s="114"/>
      <c r="AF181" s="141"/>
    </row>
    <row r="182" ht="15.75" customHeight="1">
      <c r="A182" s="114"/>
      <c r="B182" s="114"/>
      <c r="AF182" s="141"/>
    </row>
    <row r="183" ht="15.75" customHeight="1">
      <c r="A183" s="114"/>
      <c r="B183" s="114"/>
      <c r="AF183" s="141"/>
    </row>
    <row r="184" ht="15.75" customHeight="1">
      <c r="A184" s="114"/>
      <c r="B184" s="114"/>
      <c r="AF184" s="141"/>
    </row>
    <row r="185" ht="15.75" customHeight="1">
      <c r="A185" s="114"/>
      <c r="B185" s="114"/>
      <c r="AF185" s="141"/>
    </row>
    <row r="186" ht="15.75" customHeight="1">
      <c r="A186" s="114"/>
      <c r="B186" s="114"/>
      <c r="AF186" s="141"/>
    </row>
    <row r="187" ht="15.75" customHeight="1">
      <c r="A187" s="114"/>
      <c r="B187" s="114"/>
      <c r="AF187" s="141"/>
    </row>
    <row r="188" ht="15.75" customHeight="1">
      <c r="A188" s="114"/>
      <c r="B188" s="114"/>
      <c r="AF188" s="141"/>
    </row>
    <row r="189" ht="15.75" customHeight="1">
      <c r="A189" s="114"/>
      <c r="B189" s="114"/>
      <c r="AF189" s="141"/>
    </row>
    <row r="190" ht="15.75" customHeight="1">
      <c r="A190" s="114"/>
      <c r="B190" s="114"/>
      <c r="AF190" s="141"/>
    </row>
    <row r="191" ht="15.75" customHeight="1">
      <c r="A191" s="114"/>
      <c r="B191" s="114"/>
      <c r="AF191" s="141"/>
    </row>
    <row r="192" ht="15.75" customHeight="1">
      <c r="A192" s="114"/>
      <c r="B192" s="114"/>
      <c r="AF192" s="141"/>
    </row>
    <row r="193" ht="15.75" customHeight="1">
      <c r="A193" s="114"/>
      <c r="B193" s="114"/>
      <c r="AF193" s="141"/>
    </row>
    <row r="194" ht="15.75" customHeight="1">
      <c r="A194" s="114"/>
      <c r="B194" s="114"/>
      <c r="AF194" s="141"/>
    </row>
    <row r="195" ht="15.75" customHeight="1">
      <c r="A195" s="114"/>
      <c r="B195" s="114"/>
      <c r="AF195" s="141"/>
    </row>
    <row r="196" ht="15.75" customHeight="1">
      <c r="A196" s="114"/>
      <c r="B196" s="114"/>
      <c r="AF196" s="141"/>
    </row>
    <row r="197" ht="15.75" customHeight="1">
      <c r="A197" s="114"/>
      <c r="B197" s="114"/>
      <c r="AF197" s="141"/>
    </row>
    <row r="198" ht="15.75" customHeight="1">
      <c r="A198" s="114"/>
      <c r="B198" s="114"/>
      <c r="AF198" s="141"/>
    </row>
    <row r="199" ht="15.75" customHeight="1">
      <c r="A199" s="114"/>
      <c r="B199" s="114"/>
      <c r="AF199" s="141"/>
    </row>
    <row r="200" ht="15.75" customHeight="1">
      <c r="A200" s="114"/>
      <c r="B200" s="114"/>
      <c r="AF200" s="141"/>
    </row>
    <row r="201" ht="15.75" customHeight="1">
      <c r="A201" s="114"/>
      <c r="B201" s="114"/>
      <c r="AF201" s="141"/>
    </row>
    <row r="202" ht="15.75" customHeight="1">
      <c r="A202" s="114"/>
      <c r="B202" s="114"/>
      <c r="AF202" s="141"/>
    </row>
    <row r="203" ht="15.75" customHeight="1">
      <c r="A203" s="114"/>
      <c r="B203" s="114"/>
      <c r="AF203" s="141"/>
    </row>
    <row r="204" ht="15.75" customHeight="1">
      <c r="A204" s="114"/>
      <c r="B204" s="114"/>
      <c r="AF204" s="141"/>
    </row>
    <row r="205" ht="15.75" customHeight="1">
      <c r="A205" s="114"/>
      <c r="B205" s="114"/>
      <c r="AF205" s="141"/>
    </row>
    <row r="206" ht="15.75" customHeight="1">
      <c r="A206" s="114"/>
      <c r="B206" s="114"/>
      <c r="AF206" s="141"/>
    </row>
    <row r="207" ht="15.75" customHeight="1">
      <c r="A207" s="114"/>
      <c r="B207" s="114"/>
      <c r="AF207" s="141"/>
    </row>
    <row r="208" ht="15.75" customHeight="1">
      <c r="A208" s="114"/>
      <c r="B208" s="114"/>
      <c r="AF208" s="141"/>
    </row>
    <row r="209" ht="15.75" customHeight="1">
      <c r="A209" s="114"/>
      <c r="B209" s="114"/>
      <c r="AF209" s="141"/>
    </row>
    <row r="210" ht="15.75" customHeight="1">
      <c r="A210" s="114"/>
      <c r="B210" s="114"/>
      <c r="AF210" s="141"/>
    </row>
    <row r="211" ht="15.75" customHeight="1">
      <c r="A211" s="114"/>
      <c r="B211" s="114"/>
      <c r="AF211" s="141"/>
    </row>
    <row r="212" ht="15.75" customHeight="1">
      <c r="A212" s="114"/>
      <c r="B212" s="114"/>
      <c r="AF212" s="141"/>
    </row>
    <row r="213" ht="15.75" customHeight="1">
      <c r="A213" s="114"/>
      <c r="B213" s="114"/>
      <c r="AF213" s="141"/>
    </row>
    <row r="214" ht="15.75" customHeight="1">
      <c r="A214" s="114"/>
      <c r="B214" s="114"/>
      <c r="AF214" s="141"/>
    </row>
    <row r="215" ht="15.75" customHeight="1">
      <c r="A215" s="114"/>
      <c r="B215" s="114"/>
      <c r="AF215" s="141"/>
    </row>
    <row r="216" ht="15.75" customHeight="1">
      <c r="A216" s="114"/>
      <c r="B216" s="114"/>
      <c r="AF216" s="141"/>
    </row>
    <row r="217" ht="15.75" customHeight="1">
      <c r="A217" s="114"/>
      <c r="B217" s="114"/>
      <c r="AF217" s="141"/>
    </row>
    <row r="218" ht="15.75" customHeight="1">
      <c r="A218" s="114"/>
      <c r="B218" s="114"/>
      <c r="AF218" s="141"/>
    </row>
    <row r="219" ht="15.75" customHeight="1">
      <c r="A219" s="114"/>
      <c r="B219" s="114"/>
      <c r="AF219" s="141"/>
    </row>
    <row r="220" ht="15.75" customHeight="1">
      <c r="A220" s="114"/>
      <c r="B220" s="114"/>
      <c r="AF220" s="141"/>
    </row>
    <row r="221" ht="15.75" customHeight="1">
      <c r="A221" s="114"/>
      <c r="B221" s="114"/>
      <c r="AF221" s="141"/>
    </row>
    <row r="222" ht="15.75" customHeight="1">
      <c r="A222" s="114"/>
      <c r="B222" s="114"/>
      <c r="AF222" s="141"/>
    </row>
    <row r="223" ht="15.75" customHeight="1">
      <c r="A223" s="114"/>
      <c r="B223" s="114"/>
      <c r="AF223" s="141"/>
    </row>
    <row r="224" ht="15.75" customHeight="1">
      <c r="A224" s="114"/>
      <c r="B224" s="114"/>
      <c r="AF224" s="141"/>
    </row>
    <row r="225" ht="15.75" customHeight="1">
      <c r="A225" s="114"/>
      <c r="B225" s="114"/>
      <c r="AF225" s="141"/>
    </row>
    <row r="226" ht="15.75" customHeight="1">
      <c r="A226" s="114"/>
      <c r="B226" s="114"/>
      <c r="AF226" s="141"/>
    </row>
    <row r="227" ht="15.75" customHeight="1">
      <c r="A227" s="114"/>
      <c r="B227" s="114"/>
      <c r="AF227" s="141"/>
    </row>
    <row r="228" ht="15.75" customHeight="1">
      <c r="A228" s="114"/>
      <c r="B228" s="114"/>
      <c r="AF228" s="141"/>
    </row>
    <row r="229" ht="15.75" customHeight="1">
      <c r="A229" s="114"/>
      <c r="B229" s="114"/>
      <c r="AF229" s="141"/>
    </row>
    <row r="230" ht="15.75" customHeight="1">
      <c r="A230" s="114"/>
      <c r="B230" s="114"/>
      <c r="AF230" s="141"/>
    </row>
    <row r="231" ht="15.75" customHeight="1">
      <c r="A231" s="114"/>
      <c r="B231" s="114"/>
      <c r="AF231" s="141"/>
    </row>
    <row r="232" ht="15.75" customHeight="1">
      <c r="A232" s="114"/>
      <c r="B232" s="114"/>
      <c r="AF232" s="141"/>
    </row>
    <row r="233" ht="15.75" customHeight="1">
      <c r="A233" s="114"/>
      <c r="B233" s="114"/>
      <c r="AF233" s="141"/>
    </row>
    <row r="234" ht="15.75" customHeight="1">
      <c r="A234" s="114"/>
      <c r="B234" s="114"/>
      <c r="AF234" s="141"/>
    </row>
    <row r="235" ht="15.75" customHeight="1">
      <c r="A235" s="114"/>
      <c r="B235" s="114"/>
      <c r="AF235" s="141"/>
    </row>
    <row r="236" ht="15.75" customHeight="1">
      <c r="A236" s="114"/>
      <c r="B236" s="114"/>
      <c r="AF236" s="141"/>
    </row>
    <row r="237" ht="15.75" customHeight="1">
      <c r="A237" s="114"/>
      <c r="B237" s="114"/>
      <c r="AF237" s="141"/>
    </row>
    <row r="238" ht="15.75" customHeight="1">
      <c r="A238" s="114"/>
      <c r="B238" s="114"/>
      <c r="AF238" s="141"/>
    </row>
    <row r="239" ht="15.75" customHeight="1">
      <c r="A239" s="114"/>
      <c r="B239" s="114"/>
      <c r="AF239" s="141"/>
    </row>
    <row r="240" ht="15.75" customHeight="1">
      <c r="A240" s="114"/>
      <c r="B240" s="114"/>
      <c r="AF240" s="141"/>
    </row>
    <row r="241" ht="15.75" customHeight="1">
      <c r="A241" s="114"/>
      <c r="B241" s="114"/>
      <c r="AF241" s="141"/>
    </row>
    <row r="242" ht="15.75" customHeight="1">
      <c r="A242" s="114"/>
      <c r="B242" s="114"/>
      <c r="AF242" s="141"/>
    </row>
    <row r="243" ht="15.75" customHeight="1">
      <c r="A243" s="114"/>
      <c r="B243" s="114"/>
      <c r="AF243" s="141"/>
    </row>
    <row r="244" ht="15.75" customHeight="1">
      <c r="A244" s="114"/>
      <c r="B244" s="114"/>
      <c r="AF244" s="141"/>
    </row>
    <row r="245" ht="15.75" customHeight="1">
      <c r="A245" s="114"/>
      <c r="B245" s="114"/>
      <c r="AF245" s="141"/>
    </row>
    <row r="246" ht="15.75" customHeight="1">
      <c r="A246" s="114"/>
      <c r="B246" s="114"/>
      <c r="AF246" s="141"/>
    </row>
    <row r="247" ht="15.75" customHeight="1">
      <c r="A247" s="114"/>
      <c r="B247" s="114"/>
      <c r="AF247" s="141"/>
    </row>
    <row r="248" ht="15.75" customHeight="1">
      <c r="A248" s="114"/>
      <c r="B248" s="114"/>
      <c r="AF248" s="141"/>
    </row>
    <row r="249" ht="15.75" customHeight="1">
      <c r="A249" s="114"/>
      <c r="B249" s="114"/>
      <c r="AF249" s="141"/>
    </row>
    <row r="250" ht="15.75" customHeight="1">
      <c r="A250" s="114"/>
      <c r="B250" s="114"/>
      <c r="AF250" s="141"/>
    </row>
    <row r="251" ht="15.75" customHeight="1">
      <c r="A251" s="114"/>
      <c r="B251" s="114"/>
      <c r="AF251" s="141"/>
    </row>
    <row r="252" ht="15.75" customHeight="1">
      <c r="A252" s="114"/>
      <c r="B252" s="114"/>
      <c r="AF252" s="141"/>
    </row>
    <row r="253" ht="15.75" customHeight="1">
      <c r="A253" s="114"/>
      <c r="B253" s="114"/>
      <c r="AF253" s="141"/>
    </row>
    <row r="254" ht="15.75" customHeight="1">
      <c r="A254" s="114"/>
      <c r="B254" s="114"/>
      <c r="AF254" s="141"/>
    </row>
    <row r="255" ht="15.75" customHeight="1">
      <c r="A255" s="114"/>
      <c r="B255" s="114"/>
      <c r="AF255" s="141"/>
    </row>
    <row r="256" ht="15.75" customHeight="1">
      <c r="A256" s="114"/>
      <c r="B256" s="114"/>
      <c r="AF256" s="141"/>
    </row>
    <row r="257" ht="15.75" customHeight="1">
      <c r="A257" s="114"/>
      <c r="B257" s="114"/>
      <c r="AF257" s="141"/>
    </row>
    <row r="258" ht="15.75" customHeight="1">
      <c r="A258" s="114"/>
      <c r="B258" s="114"/>
      <c r="AF258" s="141"/>
    </row>
    <row r="259" ht="15.75" customHeight="1">
      <c r="A259" s="114"/>
      <c r="B259" s="114"/>
      <c r="AF259" s="141"/>
    </row>
    <row r="260" ht="15.75" customHeight="1">
      <c r="A260" s="114"/>
      <c r="B260" s="114"/>
      <c r="AF260" s="141"/>
    </row>
    <row r="261" ht="15.75" customHeight="1">
      <c r="A261" s="114"/>
      <c r="B261" s="114"/>
      <c r="AF261" s="141"/>
    </row>
    <row r="262" ht="15.75" customHeight="1">
      <c r="A262" s="114"/>
      <c r="B262" s="114"/>
      <c r="AF262" s="141"/>
    </row>
    <row r="263" ht="15.75" customHeight="1">
      <c r="A263" s="114"/>
      <c r="B263" s="114"/>
      <c r="AF263" s="141"/>
    </row>
    <row r="264" ht="15.75" customHeight="1">
      <c r="A264" s="114"/>
      <c r="B264" s="114"/>
      <c r="AF264" s="141"/>
    </row>
    <row r="265" ht="15.75" customHeight="1">
      <c r="A265" s="114"/>
      <c r="B265" s="114"/>
      <c r="AF265" s="141"/>
    </row>
    <row r="266" ht="15.75" customHeight="1">
      <c r="A266" s="114"/>
      <c r="B266" s="114"/>
      <c r="AF266" s="141"/>
    </row>
    <row r="267" ht="15.75" customHeight="1">
      <c r="A267" s="114"/>
      <c r="B267" s="114"/>
      <c r="AF267" s="141"/>
    </row>
    <row r="268" ht="15.75" customHeight="1">
      <c r="A268" s="114"/>
      <c r="B268" s="114"/>
      <c r="AF268" s="141"/>
    </row>
    <row r="269" ht="15.75" customHeight="1">
      <c r="A269" s="114"/>
      <c r="B269" s="114"/>
      <c r="AF269" s="141"/>
    </row>
    <row r="270" ht="15.75" customHeight="1">
      <c r="A270" s="114"/>
      <c r="B270" s="114"/>
      <c r="AF270" s="141"/>
    </row>
    <row r="271" ht="15.75" customHeight="1">
      <c r="A271" s="114"/>
      <c r="B271" s="114"/>
      <c r="AF271" s="141"/>
    </row>
    <row r="272" ht="15.75" customHeight="1">
      <c r="A272" s="114"/>
      <c r="B272" s="114"/>
      <c r="AF272" s="141"/>
    </row>
    <row r="273" ht="15.75" customHeight="1">
      <c r="A273" s="114"/>
      <c r="B273" s="114"/>
      <c r="AF273" s="141"/>
    </row>
    <row r="274" ht="15.75" customHeight="1">
      <c r="A274" s="114"/>
      <c r="B274" s="114"/>
      <c r="AF274" s="141"/>
    </row>
    <row r="275" ht="15.75" customHeight="1">
      <c r="A275" s="114"/>
      <c r="B275" s="114"/>
      <c r="AF275" s="141"/>
    </row>
    <row r="276" ht="15.75" customHeight="1">
      <c r="A276" s="114"/>
      <c r="B276" s="114"/>
      <c r="AF276" s="141"/>
    </row>
    <row r="277" ht="15.75" customHeight="1">
      <c r="A277" s="114"/>
      <c r="B277" s="114"/>
      <c r="AF277" s="141"/>
    </row>
    <row r="278" ht="15.75" customHeight="1">
      <c r="A278" s="114"/>
      <c r="B278" s="114"/>
      <c r="AF278" s="141"/>
    </row>
    <row r="279" ht="15.75" customHeight="1">
      <c r="A279" s="114"/>
      <c r="B279" s="114"/>
      <c r="AF279" s="141"/>
    </row>
    <row r="280" ht="15.75" customHeight="1">
      <c r="A280" s="114"/>
      <c r="B280" s="114"/>
      <c r="AF280" s="141"/>
    </row>
    <row r="281" ht="15.75" customHeight="1">
      <c r="A281" s="114"/>
      <c r="B281" s="114"/>
      <c r="AF281" s="141"/>
    </row>
    <row r="282" ht="15.75" customHeight="1">
      <c r="A282" s="114"/>
      <c r="B282" s="114"/>
      <c r="AF282" s="141"/>
    </row>
    <row r="283" ht="15.75" customHeight="1">
      <c r="A283" s="114"/>
      <c r="B283" s="114"/>
      <c r="AF283" s="141"/>
    </row>
    <row r="284" ht="15.75" customHeight="1">
      <c r="A284" s="114"/>
      <c r="B284" s="114"/>
      <c r="AF284" s="141"/>
    </row>
    <row r="285" ht="15.75" customHeight="1">
      <c r="A285" s="114"/>
      <c r="B285" s="114"/>
      <c r="AF285" s="141"/>
    </row>
    <row r="286" ht="15.75" customHeight="1">
      <c r="A286" s="114"/>
      <c r="B286" s="114"/>
      <c r="AF286" s="141"/>
    </row>
    <row r="287" ht="15.75" customHeight="1">
      <c r="A287" s="114"/>
      <c r="B287" s="114"/>
      <c r="AF287" s="141"/>
    </row>
    <row r="288" ht="15.75" customHeight="1">
      <c r="A288" s="114"/>
      <c r="B288" s="114"/>
      <c r="AF288" s="141"/>
    </row>
    <row r="289" ht="15.75" customHeight="1">
      <c r="A289" s="114"/>
      <c r="B289" s="114"/>
      <c r="AF289" s="141"/>
    </row>
    <row r="290" ht="15.75" customHeight="1">
      <c r="A290" s="114"/>
      <c r="B290" s="114"/>
      <c r="AF290" s="141"/>
    </row>
    <row r="291" ht="15.75" customHeight="1">
      <c r="A291" s="114"/>
      <c r="B291" s="114"/>
      <c r="AF291" s="141"/>
    </row>
    <row r="292" ht="15.75" customHeight="1">
      <c r="A292" s="114"/>
      <c r="B292" s="114"/>
      <c r="AF292" s="141"/>
    </row>
    <row r="293" ht="15.75" customHeight="1">
      <c r="A293" s="114"/>
      <c r="B293" s="114"/>
      <c r="AF293" s="141"/>
    </row>
    <row r="294" ht="15.75" customHeight="1">
      <c r="A294" s="114"/>
      <c r="B294" s="114"/>
      <c r="AF294" s="141"/>
    </row>
    <row r="295" ht="15.75" customHeight="1">
      <c r="A295" s="114"/>
      <c r="B295" s="114"/>
      <c r="AF295" s="141"/>
    </row>
    <row r="296" ht="15.75" customHeight="1">
      <c r="A296" s="114"/>
      <c r="B296" s="114"/>
      <c r="AF296" s="141"/>
    </row>
    <row r="297" ht="15.75" customHeight="1">
      <c r="A297" s="114"/>
      <c r="B297" s="114"/>
      <c r="AF297" s="141"/>
    </row>
    <row r="298" ht="15.75" customHeight="1">
      <c r="A298" s="114"/>
      <c r="B298" s="114"/>
      <c r="AF298" s="141"/>
    </row>
    <row r="299" ht="15.75" customHeight="1">
      <c r="A299" s="114"/>
      <c r="B299" s="114"/>
      <c r="AF299" s="141"/>
    </row>
    <row r="300" ht="15.75" customHeight="1">
      <c r="A300" s="114"/>
      <c r="B300" s="114"/>
      <c r="AF300" s="141"/>
    </row>
    <row r="301" ht="15.75" customHeight="1">
      <c r="A301" s="114"/>
      <c r="B301" s="114"/>
      <c r="AF301" s="141"/>
    </row>
    <row r="302" ht="15.75" customHeight="1">
      <c r="A302" s="114"/>
      <c r="B302" s="114"/>
      <c r="AF302" s="141"/>
    </row>
    <row r="303" ht="15.75" customHeight="1">
      <c r="A303" s="114"/>
      <c r="B303" s="114"/>
      <c r="AF303" s="141"/>
    </row>
    <row r="304" ht="15.75" customHeight="1">
      <c r="A304" s="114"/>
      <c r="B304" s="114"/>
      <c r="AF304" s="141"/>
    </row>
    <row r="305" ht="15.75" customHeight="1">
      <c r="A305" s="114"/>
      <c r="B305" s="114"/>
      <c r="AF305" s="141"/>
    </row>
    <row r="306" ht="15.75" customHeight="1">
      <c r="A306" s="114"/>
      <c r="B306" s="114"/>
      <c r="AF306" s="141"/>
    </row>
    <row r="307" ht="15.75" customHeight="1">
      <c r="A307" s="114"/>
      <c r="B307" s="114"/>
      <c r="AF307" s="141"/>
    </row>
    <row r="308" ht="15.75" customHeight="1">
      <c r="A308" s="114"/>
      <c r="B308" s="114"/>
      <c r="AF308" s="141"/>
    </row>
    <row r="309" ht="15.75" customHeight="1">
      <c r="A309" s="114"/>
      <c r="B309" s="114"/>
      <c r="AF309" s="141"/>
    </row>
    <row r="310" ht="15.75" customHeight="1">
      <c r="A310" s="114"/>
      <c r="B310" s="114"/>
      <c r="AF310" s="141"/>
    </row>
    <row r="311" ht="15.75" customHeight="1">
      <c r="A311" s="114"/>
      <c r="B311" s="114"/>
      <c r="AF311" s="141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45657.0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14"/>
      <c r="AG2" s="114"/>
      <c r="AH2" s="114"/>
      <c r="AI2" s="114"/>
      <c r="AJ2" s="114"/>
    </row>
    <row r="3" ht="22.5" customHeight="1">
      <c r="A3" s="1" t="s">
        <v>2</v>
      </c>
      <c r="B3" s="1"/>
      <c r="C3" s="134">
        <f>'R6.11'!AC3</f>
        <v>0</v>
      </c>
      <c r="D3" s="116"/>
      <c r="E3" s="116"/>
      <c r="F3" s="116"/>
      <c r="G3" s="116"/>
      <c r="H3" s="117"/>
      <c r="I3" s="118"/>
      <c r="J3" s="119"/>
      <c r="K3" s="117"/>
      <c r="L3" s="117"/>
      <c r="M3" s="120"/>
      <c r="N3" s="117"/>
      <c r="O3" s="117"/>
      <c r="P3" s="117"/>
      <c r="Q3" s="117"/>
      <c r="R3" s="119"/>
      <c r="S3" s="119"/>
      <c r="T3" s="119"/>
      <c r="U3" s="119"/>
      <c r="V3" s="119"/>
      <c r="W3" s="122">
        <f t="shared" ref="W3:W110" si="1">SUM(D3:V3)</f>
        <v>0</v>
      </c>
      <c r="X3" s="123"/>
      <c r="Y3" s="123"/>
      <c r="Z3" s="120">
        <f t="shared" ref="Z3:Z110" si="2">SUM(W3:Y3)</f>
        <v>0</v>
      </c>
      <c r="AA3" s="124"/>
      <c r="AB3" s="63" t="s">
        <v>128</v>
      </c>
      <c r="AC3" s="125">
        <f t="shared" ref="AC3:AC109" si="3">C3-M3</f>
        <v>0</v>
      </c>
      <c r="AF3" s="141"/>
    </row>
    <row r="4" ht="22.5" customHeight="1">
      <c r="A4" s="1" t="s">
        <v>4</v>
      </c>
      <c r="B4" s="1"/>
      <c r="C4" s="134">
        <f>'R6.11'!AC4</f>
        <v>0</v>
      </c>
      <c r="D4" s="116"/>
      <c r="E4" s="116"/>
      <c r="F4" s="116"/>
      <c r="G4" s="116"/>
      <c r="H4" s="117"/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2">
        <f t="shared" si="1"/>
        <v>0</v>
      </c>
      <c r="X4" s="123"/>
      <c r="Y4" s="123"/>
      <c r="Z4" s="120">
        <f t="shared" si="2"/>
        <v>0</v>
      </c>
      <c r="AA4" s="124" t="s">
        <v>129</v>
      </c>
      <c r="AB4" s="107" t="s">
        <v>128</v>
      </c>
      <c r="AC4" s="125">
        <f t="shared" si="3"/>
        <v>0</v>
      </c>
      <c r="AF4" s="141"/>
    </row>
    <row r="5" ht="22.5" customHeight="1">
      <c r="A5" s="1" t="s">
        <v>6</v>
      </c>
      <c r="B5" s="1"/>
      <c r="C5" s="134">
        <f>'R6.11'!AC5</f>
        <v>0</v>
      </c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0</v>
      </c>
      <c r="AF5" s="141"/>
    </row>
    <row r="6" ht="22.5" customHeight="1">
      <c r="A6" s="1" t="s">
        <v>7</v>
      </c>
      <c r="B6" s="1"/>
      <c r="C6" s="134">
        <f>'R6.11'!AC6</f>
        <v>0</v>
      </c>
      <c r="D6" s="116"/>
      <c r="E6" s="116"/>
      <c r="F6" s="116"/>
      <c r="G6" s="116"/>
      <c r="H6" s="117"/>
      <c r="I6" s="117"/>
      <c r="J6" s="119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2">
        <f t="shared" si="1"/>
        <v>0</v>
      </c>
      <c r="X6" s="123"/>
      <c r="Y6" s="123"/>
      <c r="Z6" s="120">
        <f t="shared" si="2"/>
        <v>0</v>
      </c>
      <c r="AA6" s="124" t="s">
        <v>129</v>
      </c>
      <c r="AB6" s="63" t="s">
        <v>128</v>
      </c>
      <c r="AC6" s="125">
        <f t="shared" si="3"/>
        <v>0</v>
      </c>
      <c r="AF6" s="141"/>
    </row>
    <row r="7" ht="22.5" customHeight="1">
      <c r="A7" s="1" t="s">
        <v>9</v>
      </c>
      <c r="B7" s="1" t="s">
        <v>10</v>
      </c>
      <c r="C7" s="134">
        <f>'R6.11'!AC7</f>
        <v>140000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0.0</v>
      </c>
      <c r="I7" s="117">
        <v>44000.0</v>
      </c>
      <c r="J7" s="127"/>
      <c r="K7" s="117"/>
      <c r="L7" s="117"/>
      <c r="M7" s="117">
        <v>10000.0</v>
      </c>
      <c r="N7" s="117"/>
      <c r="O7" s="117"/>
      <c r="P7" s="117"/>
      <c r="Q7" s="117"/>
      <c r="R7" s="117"/>
      <c r="S7" s="117">
        <v>4000.0</v>
      </c>
      <c r="T7" s="117"/>
      <c r="U7" s="117"/>
      <c r="V7" s="117"/>
      <c r="W7" s="122">
        <f t="shared" si="1"/>
        <v>110000</v>
      </c>
      <c r="X7" s="116"/>
      <c r="Y7" s="128"/>
      <c r="Z7" s="120">
        <f t="shared" si="2"/>
        <v>110000</v>
      </c>
      <c r="AA7" s="124">
        <v>110000.0</v>
      </c>
      <c r="AB7" s="63" t="s">
        <v>128</v>
      </c>
      <c r="AC7" s="125">
        <f t="shared" si="3"/>
        <v>130000</v>
      </c>
      <c r="AD7" s="63">
        <v>120000.0</v>
      </c>
      <c r="AE7" s="124">
        <f>AD7-Z7</f>
        <v>10000</v>
      </c>
      <c r="AF7" s="141">
        <v>45703.0</v>
      </c>
    </row>
    <row r="8" ht="22.5" customHeight="1">
      <c r="A8" s="1" t="s">
        <v>11</v>
      </c>
      <c r="B8" s="1"/>
      <c r="C8" s="134">
        <f>'R6.11'!AC8</f>
        <v>0</v>
      </c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2">
        <f t="shared" si="1"/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  <c r="AF8" s="141"/>
    </row>
    <row r="9" ht="22.5" customHeight="1">
      <c r="A9" s="1" t="s">
        <v>12</v>
      </c>
      <c r="B9" s="1"/>
      <c r="C9" s="134">
        <f>'R6.11'!AC9</f>
        <v>0</v>
      </c>
      <c r="D9" s="116"/>
      <c r="E9" s="116"/>
      <c r="F9" s="116"/>
      <c r="G9" s="116"/>
      <c r="H9" s="117"/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2">
        <f t="shared" si="1"/>
        <v>0</v>
      </c>
      <c r="X9" s="123"/>
      <c r="Y9" s="123"/>
      <c r="Z9" s="120">
        <f t="shared" si="2"/>
        <v>0</v>
      </c>
      <c r="AA9" s="124" t="s">
        <v>129</v>
      </c>
      <c r="AB9" s="63" t="s">
        <v>128</v>
      </c>
      <c r="AC9" s="125">
        <f t="shared" si="3"/>
        <v>0</v>
      </c>
      <c r="AF9" s="141"/>
    </row>
    <row r="10" ht="22.5" customHeight="1">
      <c r="A10" s="1" t="s">
        <v>14</v>
      </c>
      <c r="B10" s="1"/>
      <c r="C10" s="134">
        <f>'R6.11'!AC10</f>
        <v>0</v>
      </c>
      <c r="D10" s="116"/>
      <c r="E10" s="116"/>
      <c r="F10" s="116"/>
      <c r="G10" s="116"/>
      <c r="H10" s="117"/>
      <c r="I10" s="117"/>
      <c r="J10" s="119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22">
        <f t="shared" si="1"/>
        <v>0</v>
      </c>
      <c r="X10" s="129"/>
      <c r="Y10" s="129"/>
      <c r="Z10" s="120">
        <f t="shared" si="2"/>
        <v>0</v>
      </c>
      <c r="AA10" s="124" t="s">
        <v>129</v>
      </c>
      <c r="AB10" s="63" t="s">
        <v>128</v>
      </c>
      <c r="AC10" s="125">
        <f t="shared" si="3"/>
        <v>0</v>
      </c>
      <c r="AF10" s="141"/>
    </row>
    <row r="11" ht="22.5" customHeight="1">
      <c r="A11" s="1" t="s">
        <v>16</v>
      </c>
      <c r="B11" s="1"/>
      <c r="C11" s="134">
        <f>'R6.11'!AC11</f>
        <v>0</v>
      </c>
      <c r="D11" s="116"/>
      <c r="E11" s="116"/>
      <c r="F11" s="116"/>
      <c r="G11" s="116"/>
      <c r="H11" s="117"/>
      <c r="I11" s="117"/>
      <c r="J11" s="119"/>
      <c r="K11" s="117"/>
      <c r="L11" s="117"/>
      <c r="M11" s="130"/>
      <c r="N11" s="117"/>
      <c r="O11" s="117"/>
      <c r="P11" s="117"/>
      <c r="Q11" s="117"/>
      <c r="R11" s="117"/>
      <c r="S11" s="120"/>
      <c r="T11" s="117"/>
      <c r="U11" s="117"/>
      <c r="V11" s="117"/>
      <c r="W11" s="122">
        <f t="shared" si="1"/>
        <v>0</v>
      </c>
      <c r="X11" s="123"/>
      <c r="Y11" s="123"/>
      <c r="Z11" s="120">
        <f t="shared" si="2"/>
        <v>0</v>
      </c>
      <c r="AA11" s="131"/>
      <c r="AB11" s="63" t="s">
        <v>128</v>
      </c>
      <c r="AC11" s="125">
        <f t="shared" si="3"/>
        <v>0</v>
      </c>
      <c r="AF11" s="141"/>
    </row>
    <row r="12" ht="22.5" customHeight="1">
      <c r="A12" s="1" t="s">
        <v>18</v>
      </c>
      <c r="B12" s="1"/>
      <c r="C12" s="134">
        <f>'R6.11'!AC12</f>
        <v>0</v>
      </c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2">
        <f t="shared" si="1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  <c r="AF12" s="141"/>
    </row>
    <row r="13" ht="22.5" customHeight="1">
      <c r="A13" s="1"/>
      <c r="B13" s="3"/>
      <c r="C13" s="134">
        <f>'R6.11'!AC13</f>
        <v>0</v>
      </c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1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  <c r="AF13" s="141"/>
    </row>
    <row r="14" ht="22.5" customHeight="1">
      <c r="A14" s="1"/>
      <c r="B14" s="3"/>
      <c r="C14" s="134">
        <f>'R6.11'!AC14</f>
        <v>0</v>
      </c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1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43"/>
      <c r="AG14" s="133"/>
      <c r="AH14" s="133"/>
      <c r="AI14" s="133"/>
      <c r="AJ14" s="133"/>
    </row>
    <row r="15" ht="22.5" customHeight="1">
      <c r="A15" s="1"/>
      <c r="B15" s="3"/>
      <c r="C15" s="134">
        <f>'R6.11'!AC15</f>
        <v>0</v>
      </c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1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43"/>
      <c r="AG15" s="133"/>
      <c r="AH15" s="133"/>
      <c r="AI15" s="133"/>
      <c r="AJ15" s="133"/>
    </row>
    <row r="16" ht="22.5" customHeight="1">
      <c r="A16" s="1"/>
      <c r="B16" s="3"/>
      <c r="C16" s="134">
        <f>'R6.11'!AC16</f>
        <v>0</v>
      </c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1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43"/>
      <c r="AG16" s="133"/>
      <c r="AH16" s="133"/>
      <c r="AI16" s="133"/>
      <c r="AJ16" s="133"/>
    </row>
    <row r="17" ht="22.5" customHeight="1">
      <c r="A17" s="3"/>
      <c r="B17" s="3"/>
      <c r="C17" s="134">
        <f>'R6.11'!AC17</f>
        <v>0</v>
      </c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1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43"/>
      <c r="AG17" s="133"/>
      <c r="AH17" s="133"/>
      <c r="AI17" s="133"/>
      <c r="AJ17" s="133"/>
    </row>
    <row r="18" ht="22.5" customHeight="1">
      <c r="A18" s="3"/>
      <c r="B18" s="3"/>
      <c r="C18" s="134">
        <f>'R6.11'!AC18</f>
        <v>0</v>
      </c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1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43"/>
      <c r="AG18" s="133"/>
      <c r="AH18" s="133"/>
      <c r="AI18" s="133"/>
      <c r="AJ18" s="133"/>
    </row>
    <row r="19" ht="22.5" customHeight="1">
      <c r="A19" s="3"/>
      <c r="B19" s="3"/>
      <c r="C19" s="134">
        <f>'R6.11'!AC19</f>
        <v>0</v>
      </c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1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43"/>
      <c r="AG19" s="133"/>
      <c r="AH19" s="133"/>
      <c r="AI19" s="133"/>
      <c r="AJ19" s="133"/>
    </row>
    <row r="20" ht="22.5" customHeight="1">
      <c r="A20" s="3"/>
      <c r="B20" s="3"/>
      <c r="C20" s="134">
        <f>'R6.11'!AC20</f>
        <v>0</v>
      </c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1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43"/>
      <c r="AG20" s="133"/>
      <c r="AH20" s="133"/>
      <c r="AI20" s="133"/>
      <c r="AJ20" s="133"/>
    </row>
    <row r="21" ht="22.5" customHeight="1">
      <c r="A21" s="3"/>
      <c r="B21" s="3"/>
      <c r="C21" s="134">
        <f>'R6.11'!AC21</f>
        <v>0</v>
      </c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1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43"/>
      <c r="AG21" s="133"/>
      <c r="AH21" s="133"/>
      <c r="AI21" s="133"/>
      <c r="AJ21" s="133"/>
    </row>
    <row r="22" ht="22.5" hidden="1" customHeight="1">
      <c r="A22" s="3"/>
      <c r="B22" s="3"/>
      <c r="C22" s="134">
        <f>'R6.11'!AC22</f>
        <v>0</v>
      </c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1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43"/>
      <c r="AG22" s="133"/>
      <c r="AH22" s="133"/>
      <c r="AI22" s="133"/>
      <c r="AJ22" s="133"/>
    </row>
    <row r="23" ht="22.5" hidden="1" customHeight="1">
      <c r="A23" s="3"/>
      <c r="B23" s="3"/>
      <c r="C23" s="134">
        <f>'R6.11'!AC23</f>
        <v>0</v>
      </c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1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43"/>
      <c r="AG23" s="133"/>
      <c r="AH23" s="133"/>
      <c r="AI23" s="133"/>
      <c r="AJ23" s="133"/>
    </row>
    <row r="24" ht="22.5" hidden="1" customHeight="1">
      <c r="A24" s="3"/>
      <c r="B24" s="3"/>
      <c r="C24" s="134">
        <f>'R6.11'!AC24</f>
        <v>0</v>
      </c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1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43"/>
      <c r="AG24" s="133"/>
      <c r="AH24" s="133"/>
      <c r="AI24" s="133"/>
      <c r="AJ24" s="133"/>
    </row>
    <row r="25" ht="22.5" hidden="1" customHeight="1">
      <c r="A25" s="3"/>
      <c r="B25" s="3"/>
      <c r="C25" s="134">
        <f>'R6.11'!AC25</f>
        <v>0</v>
      </c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1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43"/>
      <c r="AG25" s="133"/>
      <c r="AH25" s="133"/>
      <c r="AI25" s="133"/>
      <c r="AJ25" s="133"/>
    </row>
    <row r="26" ht="22.5" hidden="1" customHeight="1">
      <c r="A26" s="3"/>
      <c r="B26" s="3"/>
      <c r="C26" s="134">
        <f>'R6.11'!AC26</f>
        <v>0</v>
      </c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1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43"/>
      <c r="AG26" s="133"/>
      <c r="AH26" s="133"/>
      <c r="AI26" s="133"/>
      <c r="AJ26" s="133"/>
    </row>
    <row r="27" ht="22.5" hidden="1" customHeight="1">
      <c r="A27" s="3"/>
      <c r="B27" s="3"/>
      <c r="C27" s="134">
        <f>'R6.11'!AC27</f>
        <v>0</v>
      </c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1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43"/>
      <c r="AG27" s="133"/>
      <c r="AH27" s="133"/>
      <c r="AI27" s="133"/>
      <c r="AJ27" s="133"/>
    </row>
    <row r="28" ht="22.5" hidden="1" customHeight="1">
      <c r="A28" s="3"/>
      <c r="B28" s="3"/>
      <c r="C28" s="134">
        <f>'R6.11'!AC28</f>
        <v>0</v>
      </c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1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43"/>
      <c r="AG28" s="133"/>
      <c r="AH28" s="133"/>
      <c r="AI28" s="133"/>
      <c r="AJ28" s="133"/>
    </row>
    <row r="29" ht="22.5" hidden="1" customHeight="1">
      <c r="A29" s="3"/>
      <c r="B29" s="3"/>
      <c r="C29" s="134">
        <f>'R6.11'!AC29</f>
        <v>0</v>
      </c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1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43"/>
      <c r="AG29" s="133"/>
      <c r="AH29" s="133"/>
      <c r="AI29" s="133"/>
      <c r="AJ29" s="133"/>
    </row>
    <row r="30" ht="22.5" hidden="1" customHeight="1">
      <c r="A30" s="3"/>
      <c r="B30" s="3"/>
      <c r="C30" s="134">
        <f>'R6.11'!AC30</f>
        <v>0</v>
      </c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1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43"/>
      <c r="AG30" s="133"/>
      <c r="AH30" s="133"/>
      <c r="AI30" s="133"/>
      <c r="AJ30" s="133"/>
    </row>
    <row r="31" ht="22.5" hidden="1" customHeight="1">
      <c r="A31" s="3"/>
      <c r="B31" s="3"/>
      <c r="C31" s="134">
        <f>'R6.11'!AC31</f>
        <v>0</v>
      </c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1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43"/>
      <c r="AG31" s="133"/>
      <c r="AH31" s="133"/>
      <c r="AI31" s="133"/>
      <c r="AJ31" s="133"/>
    </row>
    <row r="32" ht="22.5" hidden="1" customHeight="1">
      <c r="A32" s="3"/>
      <c r="B32" s="3"/>
      <c r="C32" s="134">
        <f>'R6.11'!AC32</f>
        <v>0</v>
      </c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1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43"/>
      <c r="AG32" s="133"/>
      <c r="AH32" s="133"/>
      <c r="AI32" s="133"/>
      <c r="AJ32" s="133"/>
    </row>
    <row r="33" ht="22.5" hidden="1" customHeight="1">
      <c r="A33" s="3"/>
      <c r="B33" s="3"/>
      <c r="C33" s="134">
        <f>'R6.11'!AC33</f>
        <v>0</v>
      </c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1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43"/>
      <c r="AG33" s="133"/>
      <c r="AH33" s="133"/>
      <c r="AI33" s="133"/>
      <c r="AJ33" s="133"/>
    </row>
    <row r="34" ht="22.5" hidden="1" customHeight="1">
      <c r="A34" s="3"/>
      <c r="B34" s="3"/>
      <c r="C34" s="134">
        <f>'R6.11'!AC34</f>
        <v>0</v>
      </c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1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43"/>
      <c r="AG34" s="133"/>
      <c r="AH34" s="133"/>
      <c r="AI34" s="133"/>
      <c r="AJ34" s="133"/>
    </row>
    <row r="35" ht="22.5" hidden="1" customHeight="1">
      <c r="A35" s="3"/>
      <c r="B35" s="3"/>
      <c r="C35" s="134">
        <f>'R6.11'!AC35</f>
        <v>0</v>
      </c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1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43"/>
      <c r="AG35" s="133"/>
      <c r="AH35" s="133"/>
      <c r="AI35" s="133"/>
      <c r="AJ35" s="133"/>
    </row>
    <row r="36" ht="22.5" hidden="1" customHeight="1">
      <c r="A36" s="3"/>
      <c r="B36" s="3"/>
      <c r="C36" s="134">
        <f>'R6.11'!AC36</f>
        <v>0</v>
      </c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1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43"/>
      <c r="AG36" s="133"/>
      <c r="AH36" s="133"/>
      <c r="AI36" s="133"/>
      <c r="AJ36" s="133"/>
    </row>
    <row r="37" ht="22.5" hidden="1" customHeight="1">
      <c r="A37" s="3"/>
      <c r="B37" s="3"/>
      <c r="C37" s="134">
        <f>'R6.11'!AC37</f>
        <v>0</v>
      </c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1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43"/>
      <c r="AG37" s="133"/>
      <c r="AH37" s="133"/>
      <c r="AI37" s="133"/>
      <c r="AJ37" s="133"/>
    </row>
    <row r="38" ht="22.5" hidden="1" customHeight="1">
      <c r="A38" s="3"/>
      <c r="B38" s="3"/>
      <c r="C38" s="134">
        <f>'R6.11'!AC38</f>
        <v>0</v>
      </c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1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43"/>
      <c r="AG38" s="133"/>
      <c r="AH38" s="133"/>
      <c r="AI38" s="133"/>
      <c r="AJ38" s="133"/>
    </row>
    <row r="39" ht="22.5" hidden="1" customHeight="1">
      <c r="A39" s="3"/>
      <c r="B39" s="3"/>
      <c r="C39" s="134">
        <f>'R6.11'!AC39</f>
        <v>0</v>
      </c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1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43"/>
      <c r="AG39" s="133"/>
      <c r="AH39" s="133"/>
      <c r="AI39" s="133"/>
      <c r="AJ39" s="133"/>
    </row>
    <row r="40" ht="22.5" hidden="1" customHeight="1">
      <c r="A40" s="3"/>
      <c r="B40" s="3"/>
      <c r="C40" s="134">
        <f>'R6.11'!AC40</f>
        <v>0</v>
      </c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1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43"/>
      <c r="AG40" s="133"/>
      <c r="AH40" s="133"/>
      <c r="AI40" s="133"/>
      <c r="AJ40" s="133"/>
    </row>
    <row r="41" ht="22.5" hidden="1" customHeight="1">
      <c r="A41" s="3"/>
      <c r="B41" s="3"/>
      <c r="C41" s="134">
        <f>'R6.11'!AC41</f>
        <v>0</v>
      </c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1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43"/>
      <c r="AG41" s="133"/>
      <c r="AH41" s="133"/>
      <c r="AI41" s="133"/>
      <c r="AJ41" s="133"/>
    </row>
    <row r="42" ht="22.5" hidden="1" customHeight="1">
      <c r="A42" s="3"/>
      <c r="B42" s="3"/>
      <c r="C42" s="134">
        <f>'R6.11'!AC42</f>
        <v>0</v>
      </c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1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43"/>
      <c r="AG42" s="133"/>
      <c r="AH42" s="133"/>
      <c r="AI42" s="133"/>
      <c r="AJ42" s="133"/>
    </row>
    <row r="43" ht="22.5" hidden="1" customHeight="1">
      <c r="A43" s="3"/>
      <c r="B43" s="3"/>
      <c r="C43" s="134">
        <f>'R6.11'!AC43</f>
        <v>0</v>
      </c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1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43"/>
      <c r="AG43" s="133"/>
      <c r="AH43" s="133"/>
      <c r="AI43" s="133"/>
      <c r="AJ43" s="133"/>
    </row>
    <row r="44" ht="22.5" hidden="1" customHeight="1">
      <c r="A44" s="3"/>
      <c r="B44" s="3"/>
      <c r="C44" s="134">
        <f>'R6.11'!AC44</f>
        <v>0</v>
      </c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1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43"/>
      <c r="AG44" s="133"/>
      <c r="AH44" s="133"/>
      <c r="AI44" s="133"/>
      <c r="AJ44" s="133"/>
    </row>
    <row r="45" ht="22.5" hidden="1" customHeight="1">
      <c r="A45" s="3"/>
      <c r="B45" s="3"/>
      <c r="C45" s="134">
        <f>'R6.11'!AC45</f>
        <v>0</v>
      </c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1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43"/>
      <c r="AG45" s="133"/>
      <c r="AH45" s="133"/>
      <c r="AI45" s="133"/>
      <c r="AJ45" s="133"/>
    </row>
    <row r="46" ht="22.5" hidden="1" customHeight="1">
      <c r="A46" s="3"/>
      <c r="B46" s="3"/>
      <c r="C46" s="134">
        <f>'R6.11'!AC46</f>
        <v>0</v>
      </c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1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43"/>
      <c r="AG46" s="133"/>
      <c r="AH46" s="133"/>
      <c r="AI46" s="133"/>
      <c r="AJ46" s="133"/>
    </row>
    <row r="47" ht="22.5" hidden="1" customHeight="1">
      <c r="A47" s="3"/>
      <c r="B47" s="3"/>
      <c r="C47" s="134">
        <f>'R6.11'!AC47</f>
        <v>0</v>
      </c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1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43"/>
      <c r="AG47" s="133"/>
      <c r="AH47" s="133"/>
      <c r="AI47" s="133"/>
      <c r="AJ47" s="133"/>
    </row>
    <row r="48" ht="22.5" hidden="1" customHeight="1">
      <c r="A48" s="3"/>
      <c r="B48" s="3"/>
      <c r="C48" s="134">
        <f>'R6.11'!AC48</f>
        <v>0</v>
      </c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1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43"/>
      <c r="AG48" s="133"/>
      <c r="AH48" s="133"/>
      <c r="AI48" s="133"/>
      <c r="AJ48" s="133"/>
    </row>
    <row r="49" ht="22.5" hidden="1" customHeight="1">
      <c r="A49" s="3"/>
      <c r="B49" s="3"/>
      <c r="C49" s="134">
        <f>'R6.11'!AC49</f>
        <v>0</v>
      </c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1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43"/>
      <c r="AG49" s="133"/>
      <c r="AH49" s="133"/>
      <c r="AI49" s="133"/>
      <c r="AJ49" s="133"/>
    </row>
    <row r="50" ht="22.5" hidden="1" customHeight="1">
      <c r="A50" s="3"/>
      <c r="B50" s="3"/>
      <c r="C50" s="134">
        <f>'R6.11'!AC50</f>
        <v>0</v>
      </c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1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43"/>
      <c r="AG50" s="133"/>
      <c r="AH50" s="133"/>
      <c r="AI50" s="133"/>
      <c r="AJ50" s="133"/>
    </row>
    <row r="51" ht="22.5" hidden="1" customHeight="1">
      <c r="A51" s="3"/>
      <c r="B51" s="3"/>
      <c r="C51" s="134">
        <f>'R6.11'!AC51</f>
        <v>0</v>
      </c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1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43"/>
      <c r="AG51" s="133"/>
      <c r="AH51" s="133"/>
      <c r="AI51" s="133"/>
      <c r="AJ51" s="133"/>
    </row>
    <row r="52" ht="22.5" hidden="1" customHeight="1">
      <c r="A52" s="3"/>
      <c r="B52" s="3"/>
      <c r="C52" s="134">
        <f>'R6.11'!AC52</f>
        <v>0</v>
      </c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1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43"/>
      <c r="AG52" s="133"/>
      <c r="AH52" s="133"/>
      <c r="AI52" s="133"/>
      <c r="AJ52" s="133"/>
    </row>
    <row r="53" ht="22.5" hidden="1" customHeight="1">
      <c r="A53" s="3"/>
      <c r="B53" s="3"/>
      <c r="C53" s="134">
        <f>'R6.11'!AC53</f>
        <v>0</v>
      </c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1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43"/>
      <c r="AG53" s="133"/>
      <c r="AH53" s="133"/>
      <c r="AI53" s="133"/>
      <c r="AJ53" s="133"/>
    </row>
    <row r="54" ht="22.5" hidden="1" customHeight="1">
      <c r="A54" s="3"/>
      <c r="B54" s="3"/>
      <c r="C54" s="134">
        <f>'R6.11'!AC54</f>
        <v>0</v>
      </c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1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43"/>
      <c r="AG54" s="133"/>
      <c r="AH54" s="133"/>
      <c r="AI54" s="133"/>
      <c r="AJ54" s="133"/>
    </row>
    <row r="55" ht="22.5" hidden="1" customHeight="1">
      <c r="A55" s="3"/>
      <c r="B55" s="3"/>
      <c r="C55" s="134">
        <f>'R6.11'!AC55</f>
        <v>0</v>
      </c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1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43"/>
      <c r="AG55" s="133"/>
      <c r="AH55" s="133"/>
      <c r="AI55" s="133"/>
      <c r="AJ55" s="133"/>
    </row>
    <row r="56" ht="22.5" hidden="1" customHeight="1">
      <c r="A56" s="3"/>
      <c r="B56" s="3"/>
      <c r="C56" s="134">
        <f>'R6.11'!AC56</f>
        <v>0</v>
      </c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1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43"/>
      <c r="AG56" s="133"/>
      <c r="AH56" s="133"/>
      <c r="AI56" s="133"/>
      <c r="AJ56" s="133"/>
    </row>
    <row r="57" ht="22.5" hidden="1" customHeight="1">
      <c r="A57" s="3"/>
      <c r="B57" s="3"/>
      <c r="C57" s="134">
        <f>'R6.11'!AC57</f>
        <v>0</v>
      </c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1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43"/>
      <c r="AG57" s="133"/>
      <c r="AH57" s="133"/>
      <c r="AI57" s="133"/>
      <c r="AJ57" s="133"/>
    </row>
    <row r="58" ht="22.5" hidden="1" customHeight="1">
      <c r="A58" s="3"/>
      <c r="B58" s="3"/>
      <c r="C58" s="134">
        <f>'R6.11'!AC58</f>
        <v>0</v>
      </c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1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43"/>
      <c r="AG58" s="133"/>
      <c r="AH58" s="133"/>
      <c r="AI58" s="133"/>
      <c r="AJ58" s="133"/>
    </row>
    <row r="59" ht="22.5" hidden="1" customHeight="1">
      <c r="A59" s="3"/>
      <c r="B59" s="3"/>
      <c r="C59" s="134">
        <f>'R6.11'!AC59</f>
        <v>0</v>
      </c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1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43"/>
      <c r="AG59" s="133"/>
      <c r="AH59" s="133"/>
      <c r="AI59" s="133"/>
      <c r="AJ59" s="133"/>
    </row>
    <row r="60" ht="22.5" hidden="1" customHeight="1">
      <c r="A60" s="3"/>
      <c r="B60" s="3"/>
      <c r="C60" s="134">
        <f>'R6.11'!AC60</f>
        <v>0</v>
      </c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1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43"/>
      <c r="AG60" s="133"/>
      <c r="AH60" s="133"/>
      <c r="AI60" s="133"/>
      <c r="AJ60" s="133"/>
    </row>
    <row r="61" ht="22.5" hidden="1" customHeight="1">
      <c r="A61" s="3"/>
      <c r="B61" s="3"/>
      <c r="C61" s="134">
        <f>'R6.11'!AC61</f>
        <v>0</v>
      </c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1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43"/>
      <c r="AG61" s="133"/>
      <c r="AH61" s="133"/>
      <c r="AI61" s="133"/>
      <c r="AJ61" s="133"/>
    </row>
    <row r="62" ht="22.5" hidden="1" customHeight="1">
      <c r="A62" s="3"/>
      <c r="B62" s="3"/>
      <c r="C62" s="134">
        <f>'R6.11'!AC62</f>
        <v>0</v>
      </c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1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43"/>
      <c r="AG62" s="133"/>
      <c r="AH62" s="133"/>
      <c r="AI62" s="133"/>
      <c r="AJ62" s="133"/>
    </row>
    <row r="63" ht="22.5" hidden="1" customHeight="1">
      <c r="A63" s="3"/>
      <c r="B63" s="3"/>
      <c r="C63" s="134">
        <f>'R6.11'!AC63</f>
        <v>0</v>
      </c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1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43"/>
      <c r="AG63" s="133"/>
      <c r="AH63" s="133"/>
      <c r="AI63" s="133"/>
      <c r="AJ63" s="133"/>
    </row>
    <row r="64" ht="22.5" hidden="1" customHeight="1">
      <c r="A64" s="3"/>
      <c r="B64" s="3"/>
      <c r="C64" s="134">
        <f>'R6.11'!AC64</f>
        <v>0</v>
      </c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1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43"/>
      <c r="AG64" s="133"/>
      <c r="AH64" s="133"/>
      <c r="AI64" s="133"/>
      <c r="AJ64" s="133"/>
    </row>
    <row r="65" ht="22.5" hidden="1" customHeight="1">
      <c r="A65" s="3"/>
      <c r="B65" s="3"/>
      <c r="C65" s="134">
        <f>'R6.11'!AC65</f>
        <v>0</v>
      </c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1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43"/>
      <c r="AG65" s="133"/>
      <c r="AH65" s="133"/>
      <c r="AI65" s="133"/>
      <c r="AJ65" s="133"/>
    </row>
    <row r="66" ht="22.5" hidden="1" customHeight="1">
      <c r="A66" s="3"/>
      <c r="B66" s="3"/>
      <c r="C66" s="134">
        <f>'R6.11'!AC66</f>
        <v>0</v>
      </c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1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43"/>
      <c r="AG66" s="133"/>
      <c r="AH66" s="133"/>
      <c r="AI66" s="133"/>
      <c r="AJ66" s="133"/>
    </row>
    <row r="67" ht="22.5" hidden="1" customHeight="1">
      <c r="A67" s="3"/>
      <c r="B67" s="3"/>
      <c r="C67" s="134">
        <f>'R6.11'!AC67</f>
        <v>0</v>
      </c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1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43"/>
      <c r="AG67" s="133"/>
      <c r="AH67" s="133"/>
      <c r="AI67" s="133"/>
      <c r="AJ67" s="133"/>
    </row>
    <row r="68" ht="22.5" hidden="1" customHeight="1">
      <c r="A68" s="3"/>
      <c r="B68" s="3"/>
      <c r="C68" s="134">
        <f>'R6.11'!AC68</f>
        <v>0</v>
      </c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1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43"/>
      <c r="AG68" s="133"/>
      <c r="AH68" s="133"/>
      <c r="AI68" s="133"/>
      <c r="AJ68" s="133"/>
    </row>
    <row r="69" ht="22.5" hidden="1" customHeight="1">
      <c r="A69" s="3"/>
      <c r="B69" s="3"/>
      <c r="C69" s="134">
        <f>'R6.11'!AC69</f>
        <v>0</v>
      </c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1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43"/>
      <c r="AG69" s="133"/>
      <c r="AH69" s="133"/>
      <c r="AI69" s="133"/>
      <c r="AJ69" s="133"/>
    </row>
    <row r="70" ht="22.5" hidden="1" customHeight="1">
      <c r="A70" s="3"/>
      <c r="B70" s="3"/>
      <c r="C70" s="134">
        <f>'R6.11'!AC70</f>
        <v>0</v>
      </c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1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43"/>
      <c r="AG70" s="133"/>
      <c r="AH70" s="133"/>
      <c r="AI70" s="133"/>
      <c r="AJ70" s="133"/>
    </row>
    <row r="71" ht="22.5" hidden="1" customHeight="1">
      <c r="A71" s="3"/>
      <c r="B71" s="3"/>
      <c r="C71" s="134">
        <f>'R6.11'!AC71</f>
        <v>0</v>
      </c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1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43"/>
      <c r="AG71" s="133"/>
      <c r="AH71" s="133"/>
      <c r="AI71" s="133"/>
      <c r="AJ71" s="133"/>
    </row>
    <row r="72" ht="22.5" hidden="1" customHeight="1">
      <c r="A72" s="3"/>
      <c r="B72" s="3"/>
      <c r="C72" s="134">
        <f>'R6.11'!AC72</f>
        <v>0</v>
      </c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1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43"/>
      <c r="AG72" s="133"/>
      <c r="AH72" s="133"/>
      <c r="AI72" s="133"/>
      <c r="AJ72" s="133"/>
    </row>
    <row r="73" ht="22.5" hidden="1" customHeight="1">
      <c r="A73" s="3"/>
      <c r="B73" s="3"/>
      <c r="C73" s="134">
        <f>'R6.11'!AC73</f>
        <v>0</v>
      </c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1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43"/>
      <c r="AG73" s="133"/>
      <c r="AH73" s="133"/>
      <c r="AI73" s="133"/>
      <c r="AJ73" s="133"/>
    </row>
    <row r="74" ht="22.5" hidden="1" customHeight="1">
      <c r="A74" s="3"/>
      <c r="B74" s="3"/>
      <c r="C74" s="134">
        <f>'R6.11'!AC74</f>
        <v>0</v>
      </c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1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43"/>
      <c r="AG74" s="133"/>
      <c r="AH74" s="133"/>
      <c r="AI74" s="133"/>
      <c r="AJ74" s="133"/>
    </row>
    <row r="75" ht="22.5" hidden="1" customHeight="1">
      <c r="A75" s="3"/>
      <c r="B75" s="3"/>
      <c r="C75" s="134">
        <f>'R6.11'!AC75</f>
        <v>0</v>
      </c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1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43"/>
      <c r="AG75" s="133"/>
      <c r="AH75" s="133"/>
      <c r="AI75" s="133"/>
      <c r="AJ75" s="133"/>
    </row>
    <row r="76" ht="22.5" hidden="1" customHeight="1">
      <c r="A76" s="3"/>
      <c r="B76" s="3"/>
      <c r="C76" s="134">
        <f>'R6.11'!AC76</f>
        <v>0</v>
      </c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1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43"/>
      <c r="AG76" s="133"/>
      <c r="AH76" s="133"/>
      <c r="AI76" s="133"/>
      <c r="AJ76" s="133"/>
    </row>
    <row r="77" ht="22.5" hidden="1" customHeight="1">
      <c r="A77" s="3"/>
      <c r="B77" s="3"/>
      <c r="C77" s="134">
        <f>'R6.11'!AC77</f>
        <v>0</v>
      </c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1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43"/>
      <c r="AG77" s="133"/>
      <c r="AH77" s="133"/>
      <c r="AI77" s="133"/>
      <c r="AJ77" s="133"/>
    </row>
    <row r="78" ht="22.5" hidden="1" customHeight="1">
      <c r="A78" s="3"/>
      <c r="B78" s="3"/>
      <c r="C78" s="134">
        <f>'R6.11'!AC78</f>
        <v>0</v>
      </c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1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43"/>
      <c r="AG78" s="133"/>
      <c r="AH78" s="133"/>
      <c r="AI78" s="133"/>
      <c r="AJ78" s="133"/>
    </row>
    <row r="79" ht="22.5" hidden="1" customHeight="1">
      <c r="A79" s="3"/>
      <c r="B79" s="3"/>
      <c r="C79" s="134">
        <f>'R6.11'!AC79</f>
        <v>0</v>
      </c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1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43"/>
      <c r="AG79" s="133"/>
      <c r="AH79" s="133"/>
      <c r="AI79" s="133"/>
      <c r="AJ79" s="133"/>
    </row>
    <row r="80" ht="22.5" hidden="1" customHeight="1">
      <c r="A80" s="3"/>
      <c r="B80" s="3"/>
      <c r="C80" s="134">
        <f>'R6.11'!AC80</f>
        <v>0</v>
      </c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1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43"/>
      <c r="AG80" s="133"/>
      <c r="AH80" s="133"/>
      <c r="AI80" s="133"/>
      <c r="AJ80" s="133"/>
    </row>
    <row r="81" ht="22.5" hidden="1" customHeight="1">
      <c r="A81" s="3"/>
      <c r="B81" s="3"/>
      <c r="C81" s="134">
        <f>'R6.11'!AC81</f>
        <v>0</v>
      </c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1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43"/>
      <c r="AG81" s="133"/>
      <c r="AH81" s="133"/>
      <c r="AI81" s="133"/>
      <c r="AJ81" s="133"/>
    </row>
    <row r="82" ht="22.5" hidden="1" customHeight="1">
      <c r="A82" s="3"/>
      <c r="B82" s="3"/>
      <c r="C82" s="134">
        <f>'R6.11'!AC82</f>
        <v>0</v>
      </c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1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43"/>
      <c r="AG82" s="133"/>
      <c r="AH82" s="133"/>
      <c r="AI82" s="133"/>
      <c r="AJ82" s="133"/>
    </row>
    <row r="83" ht="22.5" hidden="1" customHeight="1">
      <c r="A83" s="3"/>
      <c r="B83" s="3"/>
      <c r="C83" s="134">
        <f>'R6.11'!AC83</f>
        <v>0</v>
      </c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1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43"/>
      <c r="AG83" s="133"/>
      <c r="AH83" s="133"/>
      <c r="AI83" s="133"/>
      <c r="AJ83" s="133"/>
    </row>
    <row r="84" ht="22.5" hidden="1" customHeight="1">
      <c r="A84" s="3"/>
      <c r="B84" s="3"/>
      <c r="C84" s="134">
        <f>'R6.11'!AC84</f>
        <v>0</v>
      </c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1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43"/>
      <c r="AG84" s="133"/>
      <c r="AH84" s="133"/>
      <c r="AI84" s="133"/>
      <c r="AJ84" s="133"/>
    </row>
    <row r="85" ht="22.5" hidden="1" customHeight="1">
      <c r="A85" s="3"/>
      <c r="B85" s="3"/>
      <c r="C85" s="134">
        <f>'R6.11'!AC85</f>
        <v>0</v>
      </c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1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43"/>
      <c r="AG85" s="133"/>
      <c r="AH85" s="133"/>
      <c r="AI85" s="133"/>
      <c r="AJ85" s="133"/>
    </row>
    <row r="86" ht="22.5" hidden="1" customHeight="1">
      <c r="A86" s="3"/>
      <c r="B86" s="3"/>
      <c r="C86" s="134">
        <f>'R6.11'!AC86</f>
        <v>0</v>
      </c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1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43"/>
      <c r="AG86" s="133"/>
      <c r="AH86" s="133"/>
      <c r="AI86" s="133"/>
      <c r="AJ86" s="133"/>
    </row>
    <row r="87" ht="22.5" hidden="1" customHeight="1">
      <c r="A87" s="3"/>
      <c r="B87" s="3"/>
      <c r="C87" s="134">
        <f>'R6.11'!AC87</f>
        <v>0</v>
      </c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1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43"/>
      <c r="AG87" s="133"/>
      <c r="AH87" s="133"/>
      <c r="AI87" s="133"/>
      <c r="AJ87" s="133"/>
    </row>
    <row r="88" ht="22.5" hidden="1" customHeight="1">
      <c r="A88" s="3"/>
      <c r="B88" s="3"/>
      <c r="C88" s="134">
        <f>'R6.11'!AC88</f>
        <v>0</v>
      </c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1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43"/>
      <c r="AG88" s="133"/>
      <c r="AH88" s="133"/>
      <c r="AI88" s="133"/>
      <c r="AJ88" s="133"/>
    </row>
    <row r="89" ht="22.5" hidden="1" customHeight="1">
      <c r="A89" s="3"/>
      <c r="B89" s="3"/>
      <c r="C89" s="134">
        <f>'R6.11'!AC89</f>
        <v>0</v>
      </c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1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43"/>
      <c r="AG89" s="133"/>
      <c r="AH89" s="133"/>
      <c r="AI89" s="133"/>
      <c r="AJ89" s="133"/>
    </row>
    <row r="90" ht="22.5" hidden="1" customHeight="1">
      <c r="A90" s="3"/>
      <c r="B90" s="3"/>
      <c r="C90" s="134">
        <f>'R6.11'!AC90</f>
        <v>0</v>
      </c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1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43"/>
      <c r="AG90" s="133"/>
      <c r="AH90" s="133"/>
      <c r="AI90" s="133"/>
      <c r="AJ90" s="133"/>
    </row>
    <row r="91" ht="22.5" hidden="1" customHeight="1">
      <c r="A91" s="3"/>
      <c r="B91" s="3"/>
      <c r="C91" s="134">
        <f>'R6.11'!AC91</f>
        <v>0</v>
      </c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1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43"/>
      <c r="AG91" s="133"/>
      <c r="AH91" s="133"/>
      <c r="AI91" s="133"/>
      <c r="AJ91" s="133"/>
    </row>
    <row r="92" ht="22.5" hidden="1" customHeight="1">
      <c r="A92" s="3"/>
      <c r="B92" s="3"/>
      <c r="C92" s="134">
        <f>'R6.11'!AC92</f>
        <v>0</v>
      </c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1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43"/>
      <c r="AG92" s="133"/>
      <c r="AH92" s="133"/>
      <c r="AI92" s="133"/>
      <c r="AJ92" s="133"/>
    </row>
    <row r="93" ht="22.5" hidden="1" customHeight="1">
      <c r="A93" s="3"/>
      <c r="B93" s="3"/>
      <c r="C93" s="134">
        <f>'R6.11'!AC93</f>
        <v>0</v>
      </c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1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43"/>
      <c r="AG93" s="133"/>
      <c r="AH93" s="133"/>
      <c r="AI93" s="133"/>
      <c r="AJ93" s="133"/>
    </row>
    <row r="94" ht="22.5" hidden="1" customHeight="1">
      <c r="A94" s="3"/>
      <c r="B94" s="3"/>
      <c r="C94" s="134">
        <f>'R6.11'!AC94</f>
        <v>0</v>
      </c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1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43"/>
      <c r="AG94" s="133"/>
      <c r="AH94" s="133"/>
      <c r="AI94" s="133"/>
      <c r="AJ94" s="133"/>
    </row>
    <row r="95" ht="22.5" hidden="1" customHeight="1">
      <c r="A95" s="3"/>
      <c r="B95" s="3"/>
      <c r="C95" s="134">
        <f>'R6.11'!AC95</f>
        <v>0</v>
      </c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1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43"/>
      <c r="AG95" s="133"/>
      <c r="AH95" s="133"/>
      <c r="AI95" s="133"/>
      <c r="AJ95" s="133"/>
    </row>
    <row r="96" ht="22.5" hidden="1" customHeight="1">
      <c r="A96" s="3"/>
      <c r="B96" s="3"/>
      <c r="C96" s="134">
        <f>'R6.11'!AC96</f>
        <v>0</v>
      </c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1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43"/>
      <c r="AG96" s="133"/>
      <c r="AH96" s="133"/>
      <c r="AI96" s="133"/>
      <c r="AJ96" s="133"/>
    </row>
    <row r="97" ht="22.5" hidden="1" customHeight="1">
      <c r="A97" s="3"/>
      <c r="B97" s="3"/>
      <c r="C97" s="134">
        <f>'R6.11'!AC97</f>
        <v>0</v>
      </c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1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43"/>
      <c r="AG97" s="133"/>
      <c r="AH97" s="133"/>
      <c r="AI97" s="133"/>
      <c r="AJ97" s="133"/>
    </row>
    <row r="98" ht="22.5" hidden="1" customHeight="1">
      <c r="A98" s="3"/>
      <c r="B98" s="3"/>
      <c r="C98" s="134">
        <f>'R6.11'!AC98</f>
        <v>0</v>
      </c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1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43"/>
      <c r="AG98" s="133"/>
      <c r="AH98" s="133"/>
      <c r="AI98" s="133"/>
      <c r="AJ98" s="133"/>
    </row>
    <row r="99" ht="22.5" hidden="1" customHeight="1">
      <c r="A99" s="3"/>
      <c r="B99" s="3"/>
      <c r="C99" s="134">
        <f>'R6.11'!AC99</f>
        <v>0</v>
      </c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1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43"/>
      <c r="AG99" s="133"/>
      <c r="AH99" s="133"/>
      <c r="AI99" s="133"/>
      <c r="AJ99" s="133"/>
    </row>
    <row r="100" ht="22.5" hidden="1" customHeight="1">
      <c r="A100" s="3"/>
      <c r="B100" s="3"/>
      <c r="C100" s="134">
        <f>'R6.11'!AC100</f>
        <v>0</v>
      </c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1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43"/>
      <c r="AG100" s="133"/>
      <c r="AH100" s="133"/>
      <c r="AI100" s="133"/>
      <c r="AJ100" s="133"/>
    </row>
    <row r="101" ht="22.5" hidden="1" customHeight="1">
      <c r="A101" s="3"/>
      <c r="B101" s="3"/>
      <c r="C101" s="134">
        <f>'R6.11'!AC101</f>
        <v>0</v>
      </c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1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43"/>
      <c r="AG101" s="133"/>
      <c r="AH101" s="133"/>
      <c r="AI101" s="133"/>
      <c r="AJ101" s="133"/>
    </row>
    <row r="102" ht="22.5" hidden="1" customHeight="1">
      <c r="A102" s="3"/>
      <c r="B102" s="3"/>
      <c r="C102" s="134">
        <f>'R6.11'!AC102</f>
        <v>0</v>
      </c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1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43"/>
      <c r="AG102" s="133"/>
      <c r="AH102" s="133"/>
      <c r="AI102" s="133"/>
      <c r="AJ102" s="133"/>
    </row>
    <row r="103" ht="22.5" hidden="1" customHeight="1">
      <c r="A103" s="3"/>
      <c r="B103" s="3"/>
      <c r="C103" s="134">
        <f>'R6.11'!AC103</f>
        <v>0</v>
      </c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1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43"/>
      <c r="AG103" s="133"/>
      <c r="AH103" s="133"/>
      <c r="AI103" s="133"/>
      <c r="AJ103" s="133"/>
    </row>
    <row r="104" ht="22.5" hidden="1" customHeight="1">
      <c r="A104" s="3"/>
      <c r="B104" s="3"/>
      <c r="C104" s="134">
        <f>'R6.11'!AC104</f>
        <v>0</v>
      </c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1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43"/>
      <c r="AG104" s="133"/>
      <c r="AH104" s="133"/>
      <c r="AI104" s="133"/>
      <c r="AJ104" s="133"/>
    </row>
    <row r="105" ht="22.5" hidden="1" customHeight="1">
      <c r="A105" s="3"/>
      <c r="B105" s="3"/>
      <c r="C105" s="134">
        <f>'R6.11'!AC105</f>
        <v>0</v>
      </c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1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43"/>
      <c r="AG105" s="133"/>
      <c r="AH105" s="133"/>
      <c r="AI105" s="133"/>
      <c r="AJ105" s="133"/>
    </row>
    <row r="106" ht="22.5" hidden="1" customHeight="1">
      <c r="A106" s="3"/>
      <c r="B106" s="3"/>
      <c r="C106" s="134">
        <f>'R6.11'!AC106</f>
        <v>0</v>
      </c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1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43"/>
      <c r="AG106" s="133"/>
      <c r="AH106" s="133"/>
      <c r="AI106" s="133"/>
      <c r="AJ106" s="133"/>
    </row>
    <row r="107" ht="22.5" hidden="1" customHeight="1">
      <c r="A107" s="3"/>
      <c r="B107" s="3"/>
      <c r="C107" s="134">
        <f>'R6.11'!AC107</f>
        <v>0</v>
      </c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1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43"/>
      <c r="AG107" s="133"/>
      <c r="AH107" s="133"/>
      <c r="AI107" s="133"/>
      <c r="AJ107" s="133"/>
    </row>
    <row r="108" ht="22.5" hidden="1" customHeight="1">
      <c r="A108" s="3"/>
      <c r="B108" s="3"/>
      <c r="C108" s="134">
        <f>'R6.11'!AC108</f>
        <v>0</v>
      </c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1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43"/>
      <c r="AG108" s="133"/>
      <c r="AH108" s="133"/>
      <c r="AI108" s="133"/>
      <c r="AJ108" s="133"/>
    </row>
    <row r="109" ht="22.5" customHeight="1">
      <c r="A109" s="3"/>
      <c r="B109" s="3"/>
      <c r="C109" s="134">
        <f>'R6.11'!AC109</f>
        <v>0</v>
      </c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1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4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4">SUM(D3:D109)</f>
        <v>40000</v>
      </c>
      <c r="E110" s="120">
        <f t="shared" si="4"/>
        <v>5000</v>
      </c>
      <c r="F110" s="120">
        <f t="shared" si="4"/>
        <v>5000</v>
      </c>
      <c r="G110" s="120">
        <f t="shared" si="4"/>
        <v>2000</v>
      </c>
      <c r="H110" s="120">
        <f t="shared" si="4"/>
        <v>0</v>
      </c>
      <c r="I110" s="120">
        <f t="shared" si="4"/>
        <v>44000</v>
      </c>
      <c r="J110" s="135">
        <f t="shared" si="4"/>
        <v>0</v>
      </c>
      <c r="K110" s="120">
        <f t="shared" si="4"/>
        <v>0</v>
      </c>
      <c r="L110" s="120">
        <f t="shared" si="4"/>
        <v>0</v>
      </c>
      <c r="M110" s="120">
        <f t="shared" si="4"/>
        <v>10000</v>
      </c>
      <c r="N110" s="120">
        <f t="shared" si="4"/>
        <v>0</v>
      </c>
      <c r="O110" s="120">
        <f t="shared" si="4"/>
        <v>0</v>
      </c>
      <c r="P110" s="120">
        <f t="shared" si="4"/>
        <v>0</v>
      </c>
      <c r="Q110" s="120">
        <f t="shared" si="4"/>
        <v>0</v>
      </c>
      <c r="R110" s="120">
        <f t="shared" si="4"/>
        <v>0</v>
      </c>
      <c r="S110" s="120">
        <f t="shared" si="4"/>
        <v>4000</v>
      </c>
      <c r="T110" s="120">
        <f t="shared" si="4"/>
        <v>0</v>
      </c>
      <c r="U110" s="120">
        <f t="shared" si="4"/>
        <v>0</v>
      </c>
      <c r="V110" s="120">
        <f t="shared" si="4"/>
        <v>0</v>
      </c>
      <c r="W110" s="122">
        <f t="shared" si="1"/>
        <v>110000</v>
      </c>
      <c r="X110" s="120">
        <f t="shared" ref="X110:Y110" si="5">SUM(X3:X109)</f>
        <v>0</v>
      </c>
      <c r="Y110" s="120">
        <f t="shared" si="5"/>
        <v>0</v>
      </c>
      <c r="Z110" s="120">
        <f t="shared" si="2"/>
        <v>110000</v>
      </c>
      <c r="AA110" s="124"/>
      <c r="AC110" s="136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>
      <c r="A228" s="114"/>
      <c r="B228" s="114"/>
    </row>
    <row r="229" ht="15.75" customHeight="1">
      <c r="A229" s="114"/>
      <c r="B229" s="114"/>
    </row>
    <row r="230" ht="15.75" customHeight="1">
      <c r="A230" s="114"/>
      <c r="B230" s="114"/>
    </row>
    <row r="231" ht="15.75" customHeight="1">
      <c r="A231" s="114"/>
      <c r="B231" s="114"/>
    </row>
    <row r="232" ht="15.75" customHeight="1">
      <c r="A232" s="114"/>
      <c r="B232" s="114"/>
    </row>
    <row r="233" ht="15.75" customHeight="1">
      <c r="A233" s="114"/>
      <c r="B233" s="114"/>
    </row>
    <row r="234" ht="15.75" customHeight="1">
      <c r="A234" s="114"/>
      <c r="B234" s="114"/>
    </row>
    <row r="235" ht="15.75" customHeight="1">
      <c r="A235" s="114"/>
      <c r="B235" s="114"/>
    </row>
    <row r="236" ht="15.75" customHeight="1">
      <c r="A236" s="114"/>
      <c r="B236" s="114"/>
    </row>
    <row r="237" ht="15.75" customHeight="1">
      <c r="A237" s="114"/>
      <c r="B237" s="114"/>
    </row>
    <row r="238" ht="15.75" customHeight="1">
      <c r="A238" s="114"/>
      <c r="B238" s="114"/>
    </row>
    <row r="239" ht="15.75" customHeight="1">
      <c r="A239" s="114"/>
      <c r="B239" s="114"/>
    </row>
    <row r="240" ht="15.75" customHeight="1">
      <c r="A240" s="114"/>
      <c r="B240" s="114"/>
    </row>
    <row r="241" ht="15.75" customHeight="1">
      <c r="A241" s="114"/>
      <c r="B241" s="114"/>
    </row>
    <row r="242" ht="15.75" customHeight="1">
      <c r="A242" s="114"/>
      <c r="B242" s="114"/>
    </row>
    <row r="243" ht="15.75" customHeight="1">
      <c r="A243" s="114"/>
      <c r="B243" s="114"/>
    </row>
    <row r="244" ht="15.75" customHeight="1">
      <c r="A244" s="114"/>
      <c r="B244" s="114"/>
    </row>
    <row r="245" ht="15.75" customHeight="1">
      <c r="A245" s="114"/>
      <c r="B245" s="114"/>
    </row>
    <row r="246" ht="15.75" customHeight="1">
      <c r="A246" s="114"/>
      <c r="B246" s="114"/>
    </row>
    <row r="247" ht="15.75" customHeight="1">
      <c r="A247" s="114"/>
      <c r="B247" s="114"/>
    </row>
    <row r="248" ht="15.75" customHeight="1">
      <c r="A248" s="114"/>
      <c r="B248" s="114"/>
    </row>
    <row r="249" ht="15.75" customHeight="1">
      <c r="A249" s="114"/>
      <c r="B249" s="114"/>
    </row>
    <row r="250" ht="15.75" customHeight="1">
      <c r="A250" s="114"/>
      <c r="B250" s="114"/>
    </row>
    <row r="251" ht="15.75" customHeight="1">
      <c r="A251" s="114"/>
      <c r="B251" s="114"/>
    </row>
    <row r="252" ht="15.75" customHeight="1">
      <c r="A252" s="114"/>
      <c r="B252" s="114"/>
    </row>
    <row r="253" ht="15.75" customHeight="1">
      <c r="A253" s="114"/>
      <c r="B253" s="114"/>
    </row>
    <row r="254" ht="15.75" customHeight="1">
      <c r="A254" s="114"/>
      <c r="B254" s="114"/>
    </row>
    <row r="255" ht="15.75" customHeight="1">
      <c r="A255" s="114"/>
      <c r="B255" s="114"/>
    </row>
    <row r="256" ht="15.75" customHeight="1">
      <c r="A256" s="114"/>
      <c r="B256" s="114"/>
    </row>
    <row r="257" ht="15.75" customHeight="1">
      <c r="A257" s="114"/>
      <c r="B257" s="114"/>
    </row>
    <row r="258" ht="15.75" customHeight="1">
      <c r="A258" s="114"/>
      <c r="B258" s="114"/>
    </row>
    <row r="259" ht="15.75" customHeight="1">
      <c r="A259" s="114"/>
      <c r="B259" s="114"/>
    </row>
    <row r="260" ht="15.75" customHeight="1">
      <c r="A260" s="114"/>
      <c r="B260" s="114"/>
    </row>
    <row r="261" ht="15.75" customHeight="1">
      <c r="A261" s="114"/>
      <c r="B261" s="114"/>
    </row>
    <row r="262" ht="15.75" customHeight="1">
      <c r="A262" s="114"/>
      <c r="B262" s="114"/>
    </row>
    <row r="263" ht="15.75" customHeight="1">
      <c r="A263" s="114"/>
      <c r="B263" s="114"/>
    </row>
    <row r="264" ht="15.75" customHeight="1">
      <c r="A264" s="114"/>
      <c r="B264" s="114"/>
    </row>
    <row r="265" ht="15.75" customHeight="1">
      <c r="A265" s="114"/>
      <c r="B265" s="114"/>
    </row>
    <row r="266" ht="15.75" customHeight="1">
      <c r="A266" s="114"/>
      <c r="B266" s="114"/>
    </row>
    <row r="267" ht="15.75" customHeight="1">
      <c r="A267" s="114"/>
      <c r="B267" s="114"/>
    </row>
    <row r="268" ht="15.75" customHeight="1">
      <c r="A268" s="114"/>
      <c r="B268" s="114"/>
    </row>
    <row r="269" ht="15.75" customHeight="1">
      <c r="A269" s="114"/>
      <c r="B269" s="114"/>
    </row>
    <row r="270" ht="15.75" customHeight="1">
      <c r="A270" s="114"/>
      <c r="B270" s="114"/>
    </row>
    <row r="271" ht="15.75" customHeight="1">
      <c r="A271" s="114"/>
      <c r="B271" s="114"/>
    </row>
    <row r="272" ht="15.75" customHeight="1">
      <c r="A272" s="114"/>
      <c r="B272" s="114"/>
    </row>
    <row r="273" ht="15.75" customHeight="1">
      <c r="A273" s="114"/>
      <c r="B273" s="114"/>
    </row>
    <row r="274" ht="15.75" customHeight="1">
      <c r="A274" s="114"/>
      <c r="B274" s="114"/>
    </row>
    <row r="275" ht="15.75" customHeight="1">
      <c r="A275" s="114"/>
      <c r="B275" s="114"/>
    </row>
    <row r="276" ht="15.75" customHeight="1">
      <c r="A276" s="114"/>
      <c r="B276" s="114"/>
    </row>
    <row r="277" ht="15.75" customHeight="1">
      <c r="A277" s="114"/>
      <c r="B277" s="114"/>
    </row>
    <row r="278" ht="15.75" customHeight="1">
      <c r="A278" s="114"/>
      <c r="B278" s="114"/>
    </row>
    <row r="279" ht="15.75" customHeight="1">
      <c r="A279" s="114"/>
      <c r="B279" s="114"/>
    </row>
    <row r="280" ht="15.75" customHeight="1">
      <c r="A280" s="114"/>
      <c r="B280" s="114"/>
    </row>
    <row r="281" ht="15.75" customHeight="1">
      <c r="A281" s="114"/>
      <c r="B281" s="114"/>
    </row>
    <row r="282" ht="15.75" customHeight="1">
      <c r="A282" s="114"/>
      <c r="B282" s="114"/>
    </row>
    <row r="283" ht="15.75" customHeight="1">
      <c r="A283" s="114"/>
      <c r="B283" s="114"/>
    </row>
    <row r="284" ht="15.75" customHeight="1">
      <c r="A284" s="114"/>
      <c r="B284" s="114"/>
    </row>
    <row r="285" ht="15.75" customHeight="1">
      <c r="A285" s="114"/>
      <c r="B285" s="114"/>
    </row>
    <row r="286" ht="15.75" customHeight="1">
      <c r="A286" s="114"/>
      <c r="B286" s="114"/>
    </row>
    <row r="287" ht="15.75" customHeight="1">
      <c r="A287" s="114"/>
      <c r="B287" s="114"/>
    </row>
    <row r="288" ht="15.75" customHeight="1">
      <c r="A288" s="114"/>
      <c r="B288" s="114"/>
    </row>
    <row r="289" ht="15.75" customHeight="1">
      <c r="A289" s="114"/>
      <c r="B289" s="114"/>
    </row>
    <row r="290" ht="15.75" customHeight="1">
      <c r="A290" s="114"/>
      <c r="B290" s="114"/>
    </row>
    <row r="291" ht="15.75" customHeight="1">
      <c r="A291" s="114"/>
      <c r="B291" s="114"/>
    </row>
    <row r="292" ht="15.75" customHeight="1">
      <c r="A292" s="114"/>
      <c r="B292" s="114"/>
    </row>
    <row r="293" ht="15.75" customHeight="1">
      <c r="A293" s="114"/>
      <c r="B293" s="114"/>
    </row>
    <row r="294" ht="15.75" customHeight="1">
      <c r="A294" s="114"/>
      <c r="B294" s="114"/>
    </row>
    <row r="295" ht="15.75" customHeight="1">
      <c r="A295" s="114"/>
      <c r="B295" s="114"/>
    </row>
    <row r="296" ht="15.75" customHeight="1">
      <c r="A296" s="114"/>
      <c r="B296" s="114"/>
    </row>
    <row r="297" ht="15.75" customHeight="1">
      <c r="A297" s="114"/>
      <c r="B297" s="114"/>
    </row>
    <row r="298" ht="15.75" customHeight="1">
      <c r="A298" s="114"/>
      <c r="B298" s="114"/>
    </row>
    <row r="299" ht="15.75" customHeight="1">
      <c r="A299" s="114"/>
      <c r="B299" s="114"/>
    </row>
    <row r="300" ht="15.75" customHeight="1">
      <c r="A300" s="114"/>
      <c r="B300" s="114"/>
    </row>
    <row r="301" ht="15.75" customHeight="1">
      <c r="A301" s="114"/>
      <c r="B301" s="114"/>
    </row>
    <row r="302" ht="15.75" customHeight="1">
      <c r="A302" s="114"/>
      <c r="B302" s="114"/>
    </row>
    <row r="303" ht="15.75" customHeight="1">
      <c r="A303" s="114"/>
      <c r="B303" s="114"/>
    </row>
    <row r="304" ht="15.75" customHeight="1">
      <c r="A304" s="114"/>
      <c r="B304" s="114"/>
    </row>
    <row r="305" ht="15.75" customHeight="1">
      <c r="A305" s="114"/>
      <c r="B305" s="114"/>
    </row>
    <row r="306" ht="15.75" customHeight="1">
      <c r="A306" s="114"/>
      <c r="B306" s="114"/>
    </row>
    <row r="307" ht="15.75" customHeight="1">
      <c r="A307" s="114"/>
      <c r="B307" s="114"/>
    </row>
    <row r="308" ht="15.75" customHeight="1">
      <c r="A308" s="114"/>
      <c r="B308" s="114"/>
    </row>
    <row r="309" ht="15.75" customHeight="1">
      <c r="A309" s="114"/>
      <c r="B309" s="114"/>
    </row>
    <row r="310" ht="15.75" customHeight="1">
      <c r="A310" s="114"/>
      <c r="B310" s="114"/>
    </row>
    <row r="311" ht="15.75" customHeight="1">
      <c r="A311" s="114"/>
      <c r="B311" s="114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38"/>
    <col customWidth="1" min="2" max="2" width="9.38"/>
    <col customWidth="1" min="3" max="14" width="10.75"/>
    <col customWidth="1" min="15" max="15" width="11.88"/>
    <col customWidth="1" min="16" max="26" width="10.75"/>
    <col customWidth="1" min="27" max="27" width="8.0"/>
    <col customWidth="1" min="28" max="28" width="10.88"/>
  </cols>
  <sheetData>
    <row r="1" ht="15.75" customHeight="1">
      <c r="A1" s="105">
        <v>45626.0</v>
      </c>
      <c r="C1" s="106" t="s">
        <v>75</v>
      </c>
      <c r="D1" s="107" t="s">
        <v>76</v>
      </c>
      <c r="E1" s="107" t="s">
        <v>77</v>
      </c>
      <c r="F1" s="107" t="s">
        <v>78</v>
      </c>
      <c r="G1" s="107" t="s">
        <v>79</v>
      </c>
      <c r="H1" s="107" t="s">
        <v>80</v>
      </c>
      <c r="I1" s="107" t="s">
        <v>81</v>
      </c>
      <c r="J1" s="107" t="s">
        <v>82</v>
      </c>
      <c r="K1" s="107" t="s">
        <v>83</v>
      </c>
      <c r="L1" s="107" t="s">
        <v>84</v>
      </c>
      <c r="M1" s="107" t="s">
        <v>85</v>
      </c>
      <c r="N1" s="107" t="s">
        <v>86</v>
      </c>
      <c r="O1" s="107" t="s">
        <v>87</v>
      </c>
      <c r="P1" s="107" t="s">
        <v>88</v>
      </c>
      <c r="Q1" s="107" t="s">
        <v>89</v>
      </c>
      <c r="R1" s="107" t="s">
        <v>90</v>
      </c>
      <c r="S1" s="107" t="s">
        <v>91</v>
      </c>
      <c r="T1" s="107" t="s">
        <v>92</v>
      </c>
      <c r="U1" s="107" t="s">
        <v>93</v>
      </c>
      <c r="V1" s="107" t="s">
        <v>94</v>
      </c>
      <c r="W1" s="107" t="s">
        <v>95</v>
      </c>
      <c r="X1" s="107" t="s">
        <v>96</v>
      </c>
      <c r="Y1" s="107" t="s">
        <v>97</v>
      </c>
      <c r="Z1" s="107" t="s">
        <v>98</v>
      </c>
      <c r="AA1" s="107" t="s">
        <v>99</v>
      </c>
      <c r="AB1" s="107" t="s">
        <v>100</v>
      </c>
    </row>
    <row r="2" ht="22.5" customHeight="1">
      <c r="A2" s="1" t="s">
        <v>0</v>
      </c>
      <c r="B2" s="1" t="s">
        <v>1</v>
      </c>
      <c r="C2" s="3" t="s">
        <v>101</v>
      </c>
      <c r="D2" s="109" t="s">
        <v>102</v>
      </c>
      <c r="E2" s="109" t="s">
        <v>103</v>
      </c>
      <c r="F2" s="109" t="s">
        <v>104</v>
      </c>
      <c r="G2" s="109" t="s">
        <v>105</v>
      </c>
      <c r="H2" s="110" t="s">
        <v>106</v>
      </c>
      <c r="I2" s="110" t="s">
        <v>107</v>
      </c>
      <c r="J2" s="111" t="s">
        <v>108</v>
      </c>
      <c r="K2" s="110" t="s">
        <v>109</v>
      </c>
      <c r="L2" s="110" t="s">
        <v>110</v>
      </c>
      <c r="M2" s="110" t="s">
        <v>111</v>
      </c>
      <c r="N2" s="110" t="s">
        <v>112</v>
      </c>
      <c r="O2" s="110" t="s">
        <v>113</v>
      </c>
      <c r="P2" s="109" t="s">
        <v>114</v>
      </c>
      <c r="Q2" s="109" t="s">
        <v>115</v>
      </c>
      <c r="R2" s="109" t="s">
        <v>116</v>
      </c>
      <c r="S2" s="109" t="s">
        <v>117</v>
      </c>
      <c r="T2" s="109" t="s">
        <v>118</v>
      </c>
      <c r="U2" s="109"/>
      <c r="V2" s="109"/>
      <c r="W2" s="112" t="s">
        <v>119</v>
      </c>
      <c r="X2" s="3" t="s">
        <v>120</v>
      </c>
      <c r="Y2" s="3" t="s">
        <v>121</v>
      </c>
      <c r="Z2" s="113" t="s">
        <v>122</v>
      </c>
      <c r="AA2" s="114" t="s">
        <v>38</v>
      </c>
      <c r="AB2" s="114" t="s">
        <v>123</v>
      </c>
      <c r="AC2" s="1" t="s">
        <v>124</v>
      </c>
      <c r="AD2" s="114" t="s">
        <v>125</v>
      </c>
      <c r="AE2" s="114" t="s">
        <v>126</v>
      </c>
      <c r="AF2" s="114" t="s">
        <v>133</v>
      </c>
      <c r="AG2" s="114"/>
      <c r="AH2" s="114"/>
      <c r="AI2" s="114"/>
      <c r="AJ2" s="114"/>
    </row>
    <row r="3" ht="22.5" customHeight="1">
      <c r="A3" s="1" t="s">
        <v>2</v>
      </c>
      <c r="B3" s="1"/>
      <c r="C3" s="134"/>
      <c r="D3" s="116"/>
      <c r="E3" s="116"/>
      <c r="F3" s="116"/>
      <c r="G3" s="116"/>
      <c r="H3" s="117"/>
      <c r="I3" s="118"/>
      <c r="J3" s="119"/>
      <c r="K3" s="117"/>
      <c r="L3" s="117"/>
      <c r="M3" s="120"/>
      <c r="N3" s="117"/>
      <c r="O3" s="117"/>
      <c r="P3" s="117"/>
      <c r="Q3" s="117"/>
      <c r="R3" s="119"/>
      <c r="S3" s="119"/>
      <c r="T3" s="119"/>
      <c r="U3" s="119"/>
      <c r="V3" s="119"/>
      <c r="W3" s="122">
        <f t="shared" ref="W3:W110" si="1">SUM(D3:V3)</f>
        <v>0</v>
      </c>
      <c r="X3" s="123"/>
      <c r="Y3" s="123"/>
      <c r="Z3" s="120">
        <f t="shared" ref="Z3:Z110" si="2">SUM(W3:Y3)</f>
        <v>0</v>
      </c>
      <c r="AA3" s="124"/>
      <c r="AB3" s="63" t="s">
        <v>128</v>
      </c>
      <c r="AC3" s="125">
        <f t="shared" ref="AC3:AC109" si="3">C3-M3</f>
        <v>0</v>
      </c>
      <c r="AF3" s="141"/>
    </row>
    <row r="4" ht="22.5" customHeight="1">
      <c r="A4" s="1" t="s">
        <v>4</v>
      </c>
      <c r="B4" s="1"/>
      <c r="C4" s="125"/>
      <c r="D4" s="116"/>
      <c r="E4" s="116"/>
      <c r="F4" s="116"/>
      <c r="G4" s="116"/>
      <c r="H4" s="117"/>
      <c r="I4" s="118"/>
      <c r="J4" s="119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22">
        <f t="shared" si="1"/>
        <v>0</v>
      </c>
      <c r="X4" s="123"/>
      <c r="Y4" s="123"/>
      <c r="Z4" s="120">
        <f t="shared" si="2"/>
        <v>0</v>
      </c>
      <c r="AA4" s="124" t="s">
        <v>129</v>
      </c>
      <c r="AB4" s="107" t="s">
        <v>128</v>
      </c>
      <c r="AC4" s="125">
        <f t="shared" si="3"/>
        <v>0</v>
      </c>
      <c r="AF4" s="141"/>
    </row>
    <row r="5" ht="22.5" customHeight="1">
      <c r="A5" s="1" t="s">
        <v>6</v>
      </c>
      <c r="B5" s="1"/>
      <c r="C5" s="125"/>
      <c r="D5" s="116"/>
      <c r="E5" s="116"/>
      <c r="F5" s="116"/>
      <c r="G5" s="116"/>
      <c r="H5" s="117"/>
      <c r="I5" s="117"/>
      <c r="J5" s="12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2">
        <f t="shared" si="1"/>
        <v>0</v>
      </c>
      <c r="X5" s="123"/>
      <c r="Y5" s="123"/>
      <c r="Z5" s="120">
        <f t="shared" si="2"/>
        <v>0</v>
      </c>
      <c r="AA5" s="124">
        <v>110000.0</v>
      </c>
      <c r="AB5" s="63" t="s">
        <v>128</v>
      </c>
      <c r="AC5" s="125">
        <f t="shared" si="3"/>
        <v>0</v>
      </c>
      <c r="AF5" s="141"/>
    </row>
    <row r="6" ht="22.5" customHeight="1">
      <c r="A6" s="1" t="s">
        <v>7</v>
      </c>
      <c r="B6" s="1"/>
      <c r="C6" s="125"/>
      <c r="D6" s="116"/>
      <c r="E6" s="116"/>
      <c r="F6" s="116"/>
      <c r="G6" s="116"/>
      <c r="H6" s="117"/>
      <c r="I6" s="117"/>
      <c r="J6" s="119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22">
        <f t="shared" si="1"/>
        <v>0</v>
      </c>
      <c r="X6" s="123"/>
      <c r="Y6" s="123"/>
      <c r="Z6" s="120">
        <f t="shared" si="2"/>
        <v>0</v>
      </c>
      <c r="AA6" s="124" t="s">
        <v>129</v>
      </c>
      <c r="AB6" s="63" t="s">
        <v>128</v>
      </c>
      <c r="AC6" s="125">
        <f t="shared" si="3"/>
        <v>0</v>
      </c>
      <c r="AF6" s="141"/>
    </row>
    <row r="7" ht="22.5" customHeight="1">
      <c r="A7" s="1" t="s">
        <v>9</v>
      </c>
      <c r="B7" s="1" t="s">
        <v>10</v>
      </c>
      <c r="C7" s="140">
        <v>150000.0</v>
      </c>
      <c r="D7" s="116">
        <v>40000.0</v>
      </c>
      <c r="E7" s="116">
        <v>5000.0</v>
      </c>
      <c r="F7" s="116">
        <v>5000.0</v>
      </c>
      <c r="G7" s="116">
        <v>2000.0</v>
      </c>
      <c r="H7" s="117">
        <v>0.0</v>
      </c>
      <c r="I7" s="117">
        <v>44000.0</v>
      </c>
      <c r="J7" s="127"/>
      <c r="K7" s="117"/>
      <c r="L7" s="117"/>
      <c r="M7" s="117">
        <v>10000.0</v>
      </c>
      <c r="N7" s="117"/>
      <c r="O7" s="117"/>
      <c r="P7" s="117"/>
      <c r="Q7" s="117"/>
      <c r="R7" s="117"/>
      <c r="S7" s="117">
        <v>4000.0</v>
      </c>
      <c r="T7" s="117"/>
      <c r="U7" s="117"/>
      <c r="V7" s="117"/>
      <c r="W7" s="122">
        <f t="shared" si="1"/>
        <v>110000</v>
      </c>
      <c r="X7" s="116"/>
      <c r="Y7" s="128"/>
      <c r="Z7" s="120">
        <f t="shared" si="2"/>
        <v>110000</v>
      </c>
      <c r="AA7" s="124">
        <v>110000.0</v>
      </c>
      <c r="AB7" s="63" t="s">
        <v>128</v>
      </c>
      <c r="AC7" s="125">
        <f t="shared" si="3"/>
        <v>140000</v>
      </c>
      <c r="AD7" s="63">
        <v>110000.0</v>
      </c>
      <c r="AE7" s="124">
        <f>AD7-Z7</f>
        <v>0</v>
      </c>
      <c r="AF7" s="141">
        <v>45630.0</v>
      </c>
    </row>
    <row r="8" ht="22.5" customHeight="1">
      <c r="A8" s="1" t="s">
        <v>11</v>
      </c>
      <c r="B8" s="1"/>
      <c r="C8" s="125"/>
      <c r="D8" s="116"/>
      <c r="E8" s="116"/>
      <c r="F8" s="116"/>
      <c r="G8" s="116"/>
      <c r="H8" s="117"/>
      <c r="I8" s="117"/>
      <c r="J8" s="119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22">
        <f t="shared" si="1"/>
        <v>0</v>
      </c>
      <c r="X8" s="116"/>
      <c r="Y8" s="116"/>
      <c r="Z8" s="120">
        <f t="shared" si="2"/>
        <v>0</v>
      </c>
      <c r="AA8" s="124"/>
      <c r="AB8" s="63" t="s">
        <v>128</v>
      </c>
      <c r="AC8" s="125">
        <f t="shared" si="3"/>
        <v>0</v>
      </c>
      <c r="AF8" s="141"/>
    </row>
    <row r="9" ht="22.5" customHeight="1">
      <c r="A9" s="1" t="s">
        <v>12</v>
      </c>
      <c r="B9" s="1"/>
      <c r="C9" s="125"/>
      <c r="D9" s="116"/>
      <c r="E9" s="116"/>
      <c r="F9" s="116"/>
      <c r="G9" s="116"/>
      <c r="H9" s="117"/>
      <c r="I9" s="117"/>
      <c r="J9" s="119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2">
        <f t="shared" si="1"/>
        <v>0</v>
      </c>
      <c r="X9" s="123"/>
      <c r="Y9" s="123"/>
      <c r="Z9" s="120">
        <f t="shared" si="2"/>
        <v>0</v>
      </c>
      <c r="AA9" s="124" t="s">
        <v>129</v>
      </c>
      <c r="AB9" s="63" t="s">
        <v>128</v>
      </c>
      <c r="AC9" s="125">
        <f t="shared" si="3"/>
        <v>0</v>
      </c>
      <c r="AF9" s="141"/>
    </row>
    <row r="10" ht="22.5" customHeight="1">
      <c r="A10" s="1" t="s">
        <v>14</v>
      </c>
      <c r="B10" s="1"/>
      <c r="C10" s="140"/>
      <c r="D10" s="116"/>
      <c r="E10" s="116"/>
      <c r="F10" s="116"/>
      <c r="G10" s="116"/>
      <c r="H10" s="117"/>
      <c r="I10" s="117"/>
      <c r="J10" s="119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22">
        <f t="shared" si="1"/>
        <v>0</v>
      </c>
      <c r="X10" s="129"/>
      <c r="Y10" s="129"/>
      <c r="Z10" s="120">
        <f t="shared" si="2"/>
        <v>0</v>
      </c>
      <c r="AA10" s="124" t="s">
        <v>129</v>
      </c>
      <c r="AB10" s="63" t="s">
        <v>128</v>
      </c>
      <c r="AC10" s="125">
        <f t="shared" si="3"/>
        <v>0</v>
      </c>
      <c r="AF10" s="141"/>
    </row>
    <row r="11" ht="22.5" customHeight="1">
      <c r="A11" s="1" t="s">
        <v>16</v>
      </c>
      <c r="B11" s="1"/>
      <c r="C11" s="134"/>
      <c r="D11" s="116"/>
      <c r="E11" s="116"/>
      <c r="F11" s="116"/>
      <c r="G11" s="116"/>
      <c r="H11" s="117"/>
      <c r="I11" s="117"/>
      <c r="J11" s="119"/>
      <c r="K11" s="117"/>
      <c r="L11" s="117"/>
      <c r="M11" s="130"/>
      <c r="N11" s="117"/>
      <c r="O11" s="117"/>
      <c r="P11" s="117"/>
      <c r="Q11" s="117"/>
      <c r="R11" s="117"/>
      <c r="S11" s="120"/>
      <c r="T11" s="117"/>
      <c r="U11" s="117"/>
      <c r="V11" s="117"/>
      <c r="W11" s="122">
        <f t="shared" si="1"/>
        <v>0</v>
      </c>
      <c r="X11" s="123"/>
      <c r="Y11" s="123"/>
      <c r="Z11" s="120">
        <f t="shared" si="2"/>
        <v>0</v>
      </c>
      <c r="AA11" s="131"/>
      <c r="AB11" s="63" t="s">
        <v>128</v>
      </c>
      <c r="AC11" s="125">
        <f t="shared" si="3"/>
        <v>0</v>
      </c>
      <c r="AF11" s="141"/>
    </row>
    <row r="12" ht="22.5" customHeight="1">
      <c r="A12" s="1" t="s">
        <v>18</v>
      </c>
      <c r="B12" s="1"/>
      <c r="C12" s="140"/>
      <c r="D12" s="116"/>
      <c r="E12" s="116"/>
      <c r="F12" s="116"/>
      <c r="G12" s="116"/>
      <c r="H12" s="117"/>
      <c r="I12" s="117"/>
      <c r="J12" s="119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2">
        <f t="shared" si="1"/>
        <v>0</v>
      </c>
      <c r="X12" s="129"/>
      <c r="Y12" s="129"/>
      <c r="Z12" s="120">
        <f t="shared" si="2"/>
        <v>0</v>
      </c>
      <c r="AA12" s="124" t="s">
        <v>129</v>
      </c>
      <c r="AB12" s="63" t="s">
        <v>128</v>
      </c>
      <c r="AC12" s="125">
        <f t="shared" si="3"/>
        <v>0</v>
      </c>
      <c r="AF12" s="141"/>
    </row>
    <row r="13" ht="22.5" customHeight="1">
      <c r="A13" s="1"/>
      <c r="B13" s="3"/>
      <c r="C13" s="140"/>
      <c r="D13" s="116"/>
      <c r="E13" s="116"/>
      <c r="F13" s="116"/>
      <c r="G13" s="116"/>
      <c r="H13" s="117"/>
      <c r="I13" s="117"/>
      <c r="J13" s="119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2">
        <f t="shared" si="1"/>
        <v>0</v>
      </c>
      <c r="X13" s="129"/>
      <c r="Y13" s="129"/>
      <c r="Z13" s="120">
        <f t="shared" si="2"/>
        <v>0</v>
      </c>
      <c r="AA13" s="124"/>
      <c r="AB13" s="63" t="s">
        <v>128</v>
      </c>
      <c r="AC13" s="125">
        <f t="shared" si="3"/>
        <v>0</v>
      </c>
      <c r="AF13" s="141"/>
    </row>
    <row r="14" ht="22.5" customHeight="1">
      <c r="A14" s="1"/>
      <c r="B14" s="3"/>
      <c r="C14" s="140"/>
      <c r="D14" s="117"/>
      <c r="E14" s="117"/>
      <c r="F14" s="117"/>
      <c r="G14" s="117"/>
      <c r="H14" s="117"/>
      <c r="I14" s="117"/>
      <c r="J14" s="119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22">
        <f t="shared" si="1"/>
        <v>0</v>
      </c>
      <c r="X14" s="117"/>
      <c r="Y14" s="117"/>
      <c r="Z14" s="120">
        <f t="shared" si="2"/>
        <v>0</v>
      </c>
      <c r="AA14" s="132"/>
      <c r="AB14" s="133"/>
      <c r="AC14" s="125">
        <f t="shared" si="3"/>
        <v>0</v>
      </c>
      <c r="AD14" s="133"/>
      <c r="AF14" s="143"/>
      <c r="AG14" s="133"/>
      <c r="AH14" s="133"/>
      <c r="AI14" s="133"/>
      <c r="AJ14" s="133"/>
    </row>
    <row r="15" ht="22.5" customHeight="1">
      <c r="A15" s="1"/>
      <c r="B15" s="3"/>
      <c r="C15" s="140"/>
      <c r="D15" s="117"/>
      <c r="E15" s="117"/>
      <c r="F15" s="117"/>
      <c r="G15" s="117"/>
      <c r="H15" s="117"/>
      <c r="I15" s="117"/>
      <c r="J15" s="119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2">
        <f t="shared" si="1"/>
        <v>0</v>
      </c>
      <c r="X15" s="117"/>
      <c r="Y15" s="117"/>
      <c r="Z15" s="120">
        <f t="shared" si="2"/>
        <v>0</v>
      </c>
      <c r="AA15" s="132"/>
      <c r="AB15" s="133"/>
      <c r="AC15" s="125">
        <f t="shared" si="3"/>
        <v>0</v>
      </c>
      <c r="AD15" s="133"/>
      <c r="AF15" s="143"/>
      <c r="AG15" s="133"/>
      <c r="AH15" s="133"/>
      <c r="AI15" s="133"/>
      <c r="AJ15" s="133"/>
    </row>
    <row r="16" ht="22.5" customHeight="1">
      <c r="A16" s="1"/>
      <c r="B16" s="3"/>
      <c r="C16" s="140"/>
      <c r="D16" s="117"/>
      <c r="E16" s="117"/>
      <c r="F16" s="117"/>
      <c r="G16" s="117"/>
      <c r="H16" s="117"/>
      <c r="I16" s="117"/>
      <c r="J16" s="119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22">
        <f t="shared" si="1"/>
        <v>0</v>
      </c>
      <c r="X16" s="117"/>
      <c r="Y16" s="117"/>
      <c r="Z16" s="120">
        <f t="shared" si="2"/>
        <v>0</v>
      </c>
      <c r="AA16" s="132"/>
      <c r="AB16" s="133"/>
      <c r="AC16" s="125">
        <f t="shared" si="3"/>
        <v>0</v>
      </c>
      <c r="AD16" s="133"/>
      <c r="AF16" s="143"/>
      <c r="AG16" s="133"/>
      <c r="AH16" s="133"/>
      <c r="AI16" s="133"/>
      <c r="AJ16" s="133"/>
    </row>
    <row r="17" ht="22.5" customHeight="1">
      <c r="A17" s="3"/>
      <c r="B17" s="3"/>
      <c r="C17" s="140"/>
      <c r="D17" s="117"/>
      <c r="E17" s="117"/>
      <c r="F17" s="117"/>
      <c r="G17" s="117"/>
      <c r="H17" s="117"/>
      <c r="I17" s="117"/>
      <c r="J17" s="119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2">
        <f t="shared" si="1"/>
        <v>0</v>
      </c>
      <c r="X17" s="117"/>
      <c r="Y17" s="117"/>
      <c r="Z17" s="120">
        <f t="shared" si="2"/>
        <v>0</v>
      </c>
      <c r="AA17" s="132"/>
      <c r="AB17" s="133"/>
      <c r="AC17" s="125">
        <f t="shared" si="3"/>
        <v>0</v>
      </c>
      <c r="AD17" s="133"/>
      <c r="AF17" s="143"/>
      <c r="AG17" s="133"/>
      <c r="AH17" s="133"/>
      <c r="AI17" s="133"/>
      <c r="AJ17" s="133"/>
    </row>
    <row r="18" ht="22.5" customHeight="1">
      <c r="A18" s="3"/>
      <c r="B18" s="3"/>
      <c r="C18" s="140"/>
      <c r="D18" s="117"/>
      <c r="E18" s="117"/>
      <c r="F18" s="117"/>
      <c r="G18" s="117"/>
      <c r="H18" s="117"/>
      <c r="I18" s="117"/>
      <c r="J18" s="119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22">
        <f t="shared" si="1"/>
        <v>0</v>
      </c>
      <c r="X18" s="117"/>
      <c r="Y18" s="117"/>
      <c r="Z18" s="120">
        <f t="shared" si="2"/>
        <v>0</v>
      </c>
      <c r="AA18" s="132"/>
      <c r="AB18" s="133"/>
      <c r="AC18" s="125">
        <f t="shared" si="3"/>
        <v>0</v>
      </c>
      <c r="AD18" s="133"/>
      <c r="AF18" s="143"/>
      <c r="AG18" s="133"/>
      <c r="AH18" s="133"/>
      <c r="AI18" s="133"/>
      <c r="AJ18" s="133"/>
    </row>
    <row r="19" ht="22.5" customHeight="1">
      <c r="A19" s="3"/>
      <c r="B19" s="3"/>
      <c r="C19" s="140"/>
      <c r="D19" s="117"/>
      <c r="E19" s="117"/>
      <c r="F19" s="117"/>
      <c r="G19" s="117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2">
        <f t="shared" si="1"/>
        <v>0</v>
      </c>
      <c r="X19" s="117"/>
      <c r="Y19" s="117"/>
      <c r="Z19" s="120">
        <f t="shared" si="2"/>
        <v>0</v>
      </c>
      <c r="AA19" s="132"/>
      <c r="AB19" s="133"/>
      <c r="AC19" s="125">
        <f t="shared" si="3"/>
        <v>0</v>
      </c>
      <c r="AD19" s="133"/>
      <c r="AF19" s="143"/>
      <c r="AG19" s="133"/>
      <c r="AH19" s="133"/>
      <c r="AI19" s="133"/>
      <c r="AJ19" s="133"/>
    </row>
    <row r="20" ht="22.5" customHeight="1">
      <c r="A20" s="3"/>
      <c r="B20" s="3"/>
      <c r="C20" s="140"/>
      <c r="D20" s="117"/>
      <c r="E20" s="117"/>
      <c r="F20" s="117"/>
      <c r="G20" s="117"/>
      <c r="H20" s="117"/>
      <c r="I20" s="117"/>
      <c r="J20" s="119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22">
        <f t="shared" si="1"/>
        <v>0</v>
      </c>
      <c r="X20" s="117"/>
      <c r="Y20" s="117"/>
      <c r="Z20" s="120">
        <f t="shared" si="2"/>
        <v>0</v>
      </c>
      <c r="AA20" s="132"/>
      <c r="AB20" s="133"/>
      <c r="AC20" s="125">
        <f t="shared" si="3"/>
        <v>0</v>
      </c>
      <c r="AD20" s="133"/>
      <c r="AF20" s="143"/>
      <c r="AG20" s="133"/>
      <c r="AH20" s="133"/>
      <c r="AI20" s="133"/>
      <c r="AJ20" s="133"/>
    </row>
    <row r="21" ht="22.5" customHeight="1">
      <c r="A21" s="3"/>
      <c r="B21" s="3"/>
      <c r="C21" s="140"/>
      <c r="D21" s="117"/>
      <c r="E21" s="117"/>
      <c r="F21" s="117"/>
      <c r="G21" s="117"/>
      <c r="H21" s="117"/>
      <c r="I21" s="117"/>
      <c r="J21" s="119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2">
        <f t="shared" si="1"/>
        <v>0</v>
      </c>
      <c r="X21" s="117"/>
      <c r="Y21" s="117"/>
      <c r="Z21" s="120">
        <f t="shared" si="2"/>
        <v>0</v>
      </c>
      <c r="AA21" s="132"/>
      <c r="AB21" s="133"/>
      <c r="AC21" s="125">
        <f t="shared" si="3"/>
        <v>0</v>
      </c>
      <c r="AD21" s="133"/>
      <c r="AF21" s="143"/>
      <c r="AG21" s="133"/>
      <c r="AH21" s="133"/>
      <c r="AI21" s="133"/>
      <c r="AJ21" s="133"/>
    </row>
    <row r="22" ht="22.5" hidden="1" customHeight="1">
      <c r="A22" s="3"/>
      <c r="B22" s="3"/>
      <c r="C22" s="140"/>
      <c r="D22" s="117"/>
      <c r="E22" s="117"/>
      <c r="F22" s="117"/>
      <c r="G22" s="117"/>
      <c r="H22" s="117"/>
      <c r="I22" s="117"/>
      <c r="J22" s="119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22">
        <f t="shared" si="1"/>
        <v>0</v>
      </c>
      <c r="X22" s="117"/>
      <c r="Y22" s="117"/>
      <c r="Z22" s="120">
        <f t="shared" si="2"/>
        <v>0</v>
      </c>
      <c r="AA22" s="132"/>
      <c r="AB22" s="133"/>
      <c r="AC22" s="125">
        <f t="shared" si="3"/>
        <v>0</v>
      </c>
      <c r="AD22" s="133"/>
      <c r="AF22" s="143"/>
      <c r="AG22" s="133"/>
      <c r="AH22" s="133"/>
      <c r="AI22" s="133"/>
      <c r="AJ22" s="133"/>
    </row>
    <row r="23" ht="22.5" hidden="1" customHeight="1">
      <c r="A23" s="3"/>
      <c r="B23" s="3"/>
      <c r="C23" s="140"/>
      <c r="D23" s="117"/>
      <c r="E23" s="117"/>
      <c r="F23" s="117"/>
      <c r="G23" s="117"/>
      <c r="H23" s="117"/>
      <c r="I23" s="117"/>
      <c r="J23" s="119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22">
        <f t="shared" si="1"/>
        <v>0</v>
      </c>
      <c r="X23" s="117"/>
      <c r="Y23" s="117"/>
      <c r="Z23" s="120">
        <f t="shared" si="2"/>
        <v>0</v>
      </c>
      <c r="AA23" s="132"/>
      <c r="AB23" s="133"/>
      <c r="AC23" s="125">
        <f t="shared" si="3"/>
        <v>0</v>
      </c>
      <c r="AD23" s="133"/>
      <c r="AF23" s="143"/>
      <c r="AG23" s="133"/>
      <c r="AH23" s="133"/>
      <c r="AI23" s="133"/>
      <c r="AJ23" s="133"/>
    </row>
    <row r="24" ht="22.5" hidden="1" customHeight="1">
      <c r="A24" s="3"/>
      <c r="B24" s="3"/>
      <c r="C24" s="140"/>
      <c r="D24" s="117"/>
      <c r="E24" s="117"/>
      <c r="F24" s="117"/>
      <c r="G24" s="117"/>
      <c r="H24" s="117"/>
      <c r="I24" s="117"/>
      <c r="J24" s="119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22">
        <f t="shared" si="1"/>
        <v>0</v>
      </c>
      <c r="X24" s="117"/>
      <c r="Y24" s="117"/>
      <c r="Z24" s="120">
        <f t="shared" si="2"/>
        <v>0</v>
      </c>
      <c r="AA24" s="132"/>
      <c r="AB24" s="133"/>
      <c r="AC24" s="125">
        <f t="shared" si="3"/>
        <v>0</v>
      </c>
      <c r="AD24" s="133"/>
      <c r="AF24" s="143"/>
      <c r="AG24" s="133"/>
      <c r="AH24" s="133"/>
      <c r="AI24" s="133"/>
      <c r="AJ24" s="133"/>
    </row>
    <row r="25" ht="22.5" hidden="1" customHeight="1">
      <c r="A25" s="3"/>
      <c r="B25" s="3"/>
      <c r="C25" s="140"/>
      <c r="D25" s="117"/>
      <c r="E25" s="117"/>
      <c r="F25" s="117"/>
      <c r="G25" s="117"/>
      <c r="H25" s="117"/>
      <c r="I25" s="117"/>
      <c r="J25" s="119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22">
        <f t="shared" si="1"/>
        <v>0</v>
      </c>
      <c r="X25" s="117"/>
      <c r="Y25" s="117"/>
      <c r="Z25" s="120">
        <f t="shared" si="2"/>
        <v>0</v>
      </c>
      <c r="AA25" s="132"/>
      <c r="AB25" s="133"/>
      <c r="AC25" s="125">
        <f t="shared" si="3"/>
        <v>0</v>
      </c>
      <c r="AD25" s="133"/>
      <c r="AF25" s="143"/>
      <c r="AG25" s="133"/>
      <c r="AH25" s="133"/>
      <c r="AI25" s="133"/>
      <c r="AJ25" s="133"/>
    </row>
    <row r="26" ht="22.5" hidden="1" customHeight="1">
      <c r="A26" s="3"/>
      <c r="B26" s="3"/>
      <c r="C26" s="140"/>
      <c r="D26" s="117"/>
      <c r="E26" s="117"/>
      <c r="F26" s="117"/>
      <c r="G26" s="117"/>
      <c r="H26" s="117"/>
      <c r="I26" s="117"/>
      <c r="J26" s="119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22">
        <f t="shared" si="1"/>
        <v>0</v>
      </c>
      <c r="X26" s="117"/>
      <c r="Y26" s="117"/>
      <c r="Z26" s="120">
        <f t="shared" si="2"/>
        <v>0</v>
      </c>
      <c r="AA26" s="132"/>
      <c r="AB26" s="133"/>
      <c r="AC26" s="125">
        <f t="shared" si="3"/>
        <v>0</v>
      </c>
      <c r="AD26" s="133"/>
      <c r="AF26" s="143"/>
      <c r="AG26" s="133"/>
      <c r="AH26" s="133"/>
      <c r="AI26" s="133"/>
      <c r="AJ26" s="133"/>
    </row>
    <row r="27" ht="22.5" hidden="1" customHeight="1">
      <c r="A27" s="3"/>
      <c r="B27" s="3"/>
      <c r="C27" s="140"/>
      <c r="D27" s="117"/>
      <c r="E27" s="117"/>
      <c r="F27" s="117"/>
      <c r="G27" s="117"/>
      <c r="H27" s="117"/>
      <c r="I27" s="117"/>
      <c r="J27" s="119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22">
        <f t="shared" si="1"/>
        <v>0</v>
      </c>
      <c r="X27" s="117"/>
      <c r="Y27" s="117"/>
      <c r="Z27" s="120">
        <f t="shared" si="2"/>
        <v>0</v>
      </c>
      <c r="AA27" s="132"/>
      <c r="AB27" s="133"/>
      <c r="AC27" s="125">
        <f t="shared" si="3"/>
        <v>0</v>
      </c>
      <c r="AD27" s="133"/>
      <c r="AF27" s="143"/>
      <c r="AG27" s="133"/>
      <c r="AH27" s="133"/>
      <c r="AI27" s="133"/>
      <c r="AJ27" s="133"/>
    </row>
    <row r="28" ht="22.5" hidden="1" customHeight="1">
      <c r="A28" s="3"/>
      <c r="B28" s="3"/>
      <c r="C28" s="140"/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22">
        <f t="shared" si="1"/>
        <v>0</v>
      </c>
      <c r="X28" s="117"/>
      <c r="Y28" s="117"/>
      <c r="Z28" s="120">
        <f t="shared" si="2"/>
        <v>0</v>
      </c>
      <c r="AA28" s="132"/>
      <c r="AB28" s="133"/>
      <c r="AC28" s="125">
        <f t="shared" si="3"/>
        <v>0</v>
      </c>
      <c r="AD28" s="133"/>
      <c r="AF28" s="143"/>
      <c r="AG28" s="133"/>
      <c r="AH28" s="133"/>
      <c r="AI28" s="133"/>
      <c r="AJ28" s="133"/>
    </row>
    <row r="29" ht="22.5" hidden="1" customHeight="1">
      <c r="A29" s="3"/>
      <c r="B29" s="3"/>
      <c r="C29" s="140"/>
      <c r="D29" s="117"/>
      <c r="E29" s="117"/>
      <c r="F29" s="117"/>
      <c r="G29" s="117"/>
      <c r="H29" s="117"/>
      <c r="I29" s="117"/>
      <c r="J29" s="119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22">
        <f t="shared" si="1"/>
        <v>0</v>
      </c>
      <c r="X29" s="117"/>
      <c r="Y29" s="117"/>
      <c r="Z29" s="120">
        <f t="shared" si="2"/>
        <v>0</v>
      </c>
      <c r="AA29" s="132"/>
      <c r="AB29" s="133"/>
      <c r="AC29" s="125">
        <f t="shared" si="3"/>
        <v>0</v>
      </c>
      <c r="AD29" s="133"/>
      <c r="AF29" s="143"/>
      <c r="AG29" s="133"/>
      <c r="AH29" s="133"/>
      <c r="AI29" s="133"/>
      <c r="AJ29" s="133"/>
    </row>
    <row r="30" ht="22.5" hidden="1" customHeight="1">
      <c r="A30" s="3"/>
      <c r="B30" s="3"/>
      <c r="C30" s="140"/>
      <c r="D30" s="117"/>
      <c r="E30" s="117"/>
      <c r="F30" s="117"/>
      <c r="G30" s="117"/>
      <c r="H30" s="117"/>
      <c r="I30" s="117"/>
      <c r="J30" s="119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2">
        <f t="shared" si="1"/>
        <v>0</v>
      </c>
      <c r="X30" s="117"/>
      <c r="Y30" s="117"/>
      <c r="Z30" s="120">
        <f t="shared" si="2"/>
        <v>0</v>
      </c>
      <c r="AA30" s="132"/>
      <c r="AB30" s="133"/>
      <c r="AC30" s="125">
        <f t="shared" si="3"/>
        <v>0</v>
      </c>
      <c r="AD30" s="133"/>
      <c r="AF30" s="143"/>
      <c r="AG30" s="133"/>
      <c r="AH30" s="133"/>
      <c r="AI30" s="133"/>
      <c r="AJ30" s="133"/>
    </row>
    <row r="31" ht="22.5" hidden="1" customHeight="1">
      <c r="A31" s="3"/>
      <c r="B31" s="3"/>
      <c r="C31" s="140"/>
      <c r="D31" s="117"/>
      <c r="E31" s="117"/>
      <c r="F31" s="117"/>
      <c r="G31" s="117"/>
      <c r="H31" s="117"/>
      <c r="I31" s="117"/>
      <c r="J31" s="119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22">
        <f t="shared" si="1"/>
        <v>0</v>
      </c>
      <c r="X31" s="117"/>
      <c r="Y31" s="117"/>
      <c r="Z31" s="120">
        <f t="shared" si="2"/>
        <v>0</v>
      </c>
      <c r="AA31" s="132"/>
      <c r="AB31" s="133"/>
      <c r="AC31" s="125">
        <f t="shared" si="3"/>
        <v>0</v>
      </c>
      <c r="AD31" s="133"/>
      <c r="AF31" s="143"/>
      <c r="AG31" s="133"/>
      <c r="AH31" s="133"/>
      <c r="AI31" s="133"/>
      <c r="AJ31" s="133"/>
    </row>
    <row r="32" ht="22.5" hidden="1" customHeight="1">
      <c r="A32" s="3"/>
      <c r="B32" s="3"/>
      <c r="C32" s="140"/>
      <c r="D32" s="117"/>
      <c r="E32" s="117"/>
      <c r="F32" s="117"/>
      <c r="G32" s="117"/>
      <c r="H32" s="117"/>
      <c r="I32" s="117"/>
      <c r="J32" s="119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22">
        <f t="shared" si="1"/>
        <v>0</v>
      </c>
      <c r="X32" s="117"/>
      <c r="Y32" s="117"/>
      <c r="Z32" s="120">
        <f t="shared" si="2"/>
        <v>0</v>
      </c>
      <c r="AA32" s="132"/>
      <c r="AB32" s="133"/>
      <c r="AC32" s="125">
        <f t="shared" si="3"/>
        <v>0</v>
      </c>
      <c r="AD32" s="133"/>
      <c r="AF32" s="143"/>
      <c r="AG32" s="133"/>
      <c r="AH32" s="133"/>
      <c r="AI32" s="133"/>
      <c r="AJ32" s="133"/>
    </row>
    <row r="33" ht="22.5" hidden="1" customHeight="1">
      <c r="A33" s="3"/>
      <c r="B33" s="3"/>
      <c r="C33" s="140"/>
      <c r="D33" s="117"/>
      <c r="E33" s="117"/>
      <c r="F33" s="117"/>
      <c r="G33" s="117"/>
      <c r="H33" s="117"/>
      <c r="I33" s="117"/>
      <c r="J33" s="119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22">
        <f t="shared" si="1"/>
        <v>0</v>
      </c>
      <c r="X33" s="117"/>
      <c r="Y33" s="117"/>
      <c r="Z33" s="120">
        <f t="shared" si="2"/>
        <v>0</v>
      </c>
      <c r="AA33" s="132"/>
      <c r="AB33" s="133"/>
      <c r="AC33" s="125">
        <f t="shared" si="3"/>
        <v>0</v>
      </c>
      <c r="AD33" s="133"/>
      <c r="AF33" s="143"/>
      <c r="AG33" s="133"/>
      <c r="AH33" s="133"/>
      <c r="AI33" s="133"/>
      <c r="AJ33" s="133"/>
    </row>
    <row r="34" ht="22.5" hidden="1" customHeight="1">
      <c r="A34" s="3"/>
      <c r="B34" s="3"/>
      <c r="C34" s="140"/>
      <c r="D34" s="117"/>
      <c r="E34" s="117"/>
      <c r="F34" s="117"/>
      <c r="G34" s="117"/>
      <c r="H34" s="117"/>
      <c r="I34" s="117"/>
      <c r="J34" s="119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22">
        <f t="shared" si="1"/>
        <v>0</v>
      </c>
      <c r="X34" s="117"/>
      <c r="Y34" s="117"/>
      <c r="Z34" s="120">
        <f t="shared" si="2"/>
        <v>0</v>
      </c>
      <c r="AA34" s="132"/>
      <c r="AB34" s="133"/>
      <c r="AC34" s="125">
        <f t="shared" si="3"/>
        <v>0</v>
      </c>
      <c r="AD34" s="133"/>
      <c r="AF34" s="143"/>
      <c r="AG34" s="133"/>
      <c r="AH34" s="133"/>
      <c r="AI34" s="133"/>
      <c r="AJ34" s="133"/>
    </row>
    <row r="35" ht="22.5" hidden="1" customHeight="1">
      <c r="A35" s="3"/>
      <c r="B35" s="3"/>
      <c r="C35" s="140"/>
      <c r="D35" s="117"/>
      <c r="E35" s="117"/>
      <c r="F35" s="117"/>
      <c r="G35" s="117"/>
      <c r="H35" s="117"/>
      <c r="I35" s="117"/>
      <c r="J35" s="119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22">
        <f t="shared" si="1"/>
        <v>0</v>
      </c>
      <c r="X35" s="117"/>
      <c r="Y35" s="117"/>
      <c r="Z35" s="120">
        <f t="shared" si="2"/>
        <v>0</v>
      </c>
      <c r="AA35" s="132"/>
      <c r="AB35" s="133"/>
      <c r="AC35" s="125">
        <f t="shared" si="3"/>
        <v>0</v>
      </c>
      <c r="AD35" s="133"/>
      <c r="AF35" s="143"/>
      <c r="AG35" s="133"/>
      <c r="AH35" s="133"/>
      <c r="AI35" s="133"/>
      <c r="AJ35" s="133"/>
    </row>
    <row r="36" ht="22.5" hidden="1" customHeight="1">
      <c r="A36" s="3"/>
      <c r="B36" s="3"/>
      <c r="C36" s="140"/>
      <c r="D36" s="117"/>
      <c r="E36" s="117"/>
      <c r="F36" s="117"/>
      <c r="G36" s="117"/>
      <c r="H36" s="117"/>
      <c r="I36" s="117"/>
      <c r="J36" s="119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22">
        <f t="shared" si="1"/>
        <v>0</v>
      </c>
      <c r="X36" s="117"/>
      <c r="Y36" s="117"/>
      <c r="Z36" s="120">
        <f t="shared" si="2"/>
        <v>0</v>
      </c>
      <c r="AA36" s="132"/>
      <c r="AB36" s="133"/>
      <c r="AC36" s="125">
        <f t="shared" si="3"/>
        <v>0</v>
      </c>
      <c r="AD36" s="133"/>
      <c r="AF36" s="143"/>
      <c r="AG36" s="133"/>
      <c r="AH36" s="133"/>
      <c r="AI36" s="133"/>
      <c r="AJ36" s="133"/>
    </row>
    <row r="37" ht="22.5" hidden="1" customHeight="1">
      <c r="A37" s="3"/>
      <c r="B37" s="3"/>
      <c r="C37" s="140"/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22">
        <f t="shared" si="1"/>
        <v>0</v>
      </c>
      <c r="X37" s="117"/>
      <c r="Y37" s="117"/>
      <c r="Z37" s="120">
        <f t="shared" si="2"/>
        <v>0</v>
      </c>
      <c r="AA37" s="132"/>
      <c r="AB37" s="133"/>
      <c r="AC37" s="125">
        <f t="shared" si="3"/>
        <v>0</v>
      </c>
      <c r="AD37" s="133"/>
      <c r="AF37" s="143"/>
      <c r="AG37" s="133"/>
      <c r="AH37" s="133"/>
      <c r="AI37" s="133"/>
      <c r="AJ37" s="133"/>
    </row>
    <row r="38" ht="22.5" hidden="1" customHeight="1">
      <c r="A38" s="3"/>
      <c r="B38" s="3"/>
      <c r="C38" s="140"/>
      <c r="D38" s="117"/>
      <c r="E38" s="117"/>
      <c r="F38" s="117"/>
      <c r="G38" s="117"/>
      <c r="H38" s="117"/>
      <c r="I38" s="117"/>
      <c r="J38" s="119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22">
        <f t="shared" si="1"/>
        <v>0</v>
      </c>
      <c r="X38" s="117"/>
      <c r="Y38" s="117"/>
      <c r="Z38" s="120">
        <f t="shared" si="2"/>
        <v>0</v>
      </c>
      <c r="AA38" s="132"/>
      <c r="AB38" s="133"/>
      <c r="AC38" s="125">
        <f t="shared" si="3"/>
        <v>0</v>
      </c>
      <c r="AD38" s="133"/>
      <c r="AF38" s="143"/>
      <c r="AG38" s="133"/>
      <c r="AH38" s="133"/>
      <c r="AI38" s="133"/>
      <c r="AJ38" s="133"/>
    </row>
    <row r="39" ht="22.5" hidden="1" customHeight="1">
      <c r="A39" s="3"/>
      <c r="B39" s="3"/>
      <c r="C39" s="140"/>
      <c r="D39" s="117"/>
      <c r="E39" s="117"/>
      <c r="F39" s="117"/>
      <c r="G39" s="117"/>
      <c r="H39" s="117"/>
      <c r="I39" s="117"/>
      <c r="J39" s="119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22">
        <f t="shared" si="1"/>
        <v>0</v>
      </c>
      <c r="X39" s="117"/>
      <c r="Y39" s="117"/>
      <c r="Z39" s="120">
        <f t="shared" si="2"/>
        <v>0</v>
      </c>
      <c r="AA39" s="132"/>
      <c r="AB39" s="133"/>
      <c r="AC39" s="125">
        <f t="shared" si="3"/>
        <v>0</v>
      </c>
      <c r="AD39" s="133"/>
      <c r="AF39" s="143"/>
      <c r="AG39" s="133"/>
      <c r="AH39" s="133"/>
      <c r="AI39" s="133"/>
      <c r="AJ39" s="133"/>
    </row>
    <row r="40" ht="22.5" hidden="1" customHeight="1">
      <c r="A40" s="3"/>
      <c r="B40" s="3"/>
      <c r="C40" s="140"/>
      <c r="D40" s="117"/>
      <c r="E40" s="117"/>
      <c r="F40" s="117"/>
      <c r="G40" s="117"/>
      <c r="H40" s="117"/>
      <c r="I40" s="117"/>
      <c r="J40" s="119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22">
        <f t="shared" si="1"/>
        <v>0</v>
      </c>
      <c r="X40" s="117"/>
      <c r="Y40" s="117"/>
      <c r="Z40" s="120">
        <f t="shared" si="2"/>
        <v>0</v>
      </c>
      <c r="AA40" s="132"/>
      <c r="AB40" s="133"/>
      <c r="AC40" s="125">
        <f t="shared" si="3"/>
        <v>0</v>
      </c>
      <c r="AD40" s="133"/>
      <c r="AF40" s="143"/>
      <c r="AG40" s="133"/>
      <c r="AH40" s="133"/>
      <c r="AI40" s="133"/>
      <c r="AJ40" s="133"/>
    </row>
    <row r="41" ht="22.5" hidden="1" customHeight="1">
      <c r="A41" s="3"/>
      <c r="B41" s="3"/>
      <c r="C41" s="140"/>
      <c r="D41" s="117"/>
      <c r="E41" s="117"/>
      <c r="F41" s="117"/>
      <c r="G41" s="117"/>
      <c r="H41" s="117"/>
      <c r="I41" s="117"/>
      <c r="J41" s="119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22">
        <f t="shared" si="1"/>
        <v>0</v>
      </c>
      <c r="X41" s="117"/>
      <c r="Y41" s="117"/>
      <c r="Z41" s="120">
        <f t="shared" si="2"/>
        <v>0</v>
      </c>
      <c r="AA41" s="132"/>
      <c r="AB41" s="133"/>
      <c r="AC41" s="125">
        <f t="shared" si="3"/>
        <v>0</v>
      </c>
      <c r="AD41" s="133"/>
      <c r="AF41" s="143"/>
      <c r="AG41" s="133"/>
      <c r="AH41" s="133"/>
      <c r="AI41" s="133"/>
      <c r="AJ41" s="133"/>
    </row>
    <row r="42" ht="22.5" hidden="1" customHeight="1">
      <c r="A42" s="3"/>
      <c r="B42" s="3"/>
      <c r="C42" s="140"/>
      <c r="D42" s="117"/>
      <c r="E42" s="117"/>
      <c r="F42" s="117"/>
      <c r="G42" s="117"/>
      <c r="H42" s="117"/>
      <c r="I42" s="117"/>
      <c r="J42" s="119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22">
        <f t="shared" si="1"/>
        <v>0</v>
      </c>
      <c r="X42" s="117"/>
      <c r="Y42" s="117"/>
      <c r="Z42" s="120">
        <f t="shared" si="2"/>
        <v>0</v>
      </c>
      <c r="AA42" s="132"/>
      <c r="AB42" s="133"/>
      <c r="AC42" s="125">
        <f t="shared" si="3"/>
        <v>0</v>
      </c>
      <c r="AD42" s="133"/>
      <c r="AF42" s="143"/>
      <c r="AG42" s="133"/>
      <c r="AH42" s="133"/>
      <c r="AI42" s="133"/>
      <c r="AJ42" s="133"/>
    </row>
    <row r="43" ht="22.5" hidden="1" customHeight="1">
      <c r="A43" s="3"/>
      <c r="B43" s="3"/>
      <c r="C43" s="140"/>
      <c r="D43" s="117"/>
      <c r="E43" s="117"/>
      <c r="F43" s="117"/>
      <c r="G43" s="117"/>
      <c r="H43" s="117"/>
      <c r="I43" s="117"/>
      <c r="J43" s="119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22">
        <f t="shared" si="1"/>
        <v>0</v>
      </c>
      <c r="X43" s="117"/>
      <c r="Y43" s="117"/>
      <c r="Z43" s="120">
        <f t="shared" si="2"/>
        <v>0</v>
      </c>
      <c r="AA43" s="132"/>
      <c r="AB43" s="133"/>
      <c r="AC43" s="125">
        <f t="shared" si="3"/>
        <v>0</v>
      </c>
      <c r="AD43" s="133"/>
      <c r="AF43" s="143"/>
      <c r="AG43" s="133"/>
      <c r="AH43" s="133"/>
      <c r="AI43" s="133"/>
      <c r="AJ43" s="133"/>
    </row>
    <row r="44" ht="22.5" hidden="1" customHeight="1">
      <c r="A44" s="3"/>
      <c r="B44" s="3"/>
      <c r="C44" s="140"/>
      <c r="D44" s="117"/>
      <c r="E44" s="117"/>
      <c r="F44" s="117"/>
      <c r="G44" s="117"/>
      <c r="H44" s="117"/>
      <c r="I44" s="117"/>
      <c r="J44" s="119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22">
        <f t="shared" si="1"/>
        <v>0</v>
      </c>
      <c r="X44" s="117"/>
      <c r="Y44" s="117"/>
      <c r="Z44" s="120">
        <f t="shared" si="2"/>
        <v>0</v>
      </c>
      <c r="AA44" s="132"/>
      <c r="AB44" s="133"/>
      <c r="AC44" s="125">
        <f t="shared" si="3"/>
        <v>0</v>
      </c>
      <c r="AD44" s="133"/>
      <c r="AF44" s="143"/>
      <c r="AG44" s="133"/>
      <c r="AH44" s="133"/>
      <c r="AI44" s="133"/>
      <c r="AJ44" s="133"/>
    </row>
    <row r="45" ht="22.5" hidden="1" customHeight="1">
      <c r="A45" s="3"/>
      <c r="B45" s="3"/>
      <c r="C45" s="140"/>
      <c r="D45" s="117"/>
      <c r="E45" s="117"/>
      <c r="F45" s="117"/>
      <c r="G45" s="117"/>
      <c r="H45" s="117"/>
      <c r="I45" s="117"/>
      <c r="J45" s="119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22">
        <f t="shared" si="1"/>
        <v>0</v>
      </c>
      <c r="X45" s="117"/>
      <c r="Y45" s="117"/>
      <c r="Z45" s="120">
        <f t="shared" si="2"/>
        <v>0</v>
      </c>
      <c r="AA45" s="132"/>
      <c r="AB45" s="133"/>
      <c r="AC45" s="125">
        <f t="shared" si="3"/>
        <v>0</v>
      </c>
      <c r="AD45" s="133"/>
      <c r="AF45" s="143"/>
      <c r="AG45" s="133"/>
      <c r="AH45" s="133"/>
      <c r="AI45" s="133"/>
      <c r="AJ45" s="133"/>
    </row>
    <row r="46" ht="22.5" hidden="1" customHeight="1">
      <c r="A46" s="3"/>
      <c r="B46" s="3"/>
      <c r="C46" s="140"/>
      <c r="D46" s="117"/>
      <c r="E46" s="117"/>
      <c r="F46" s="117"/>
      <c r="G46" s="117"/>
      <c r="H46" s="117"/>
      <c r="I46" s="117"/>
      <c r="J46" s="119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22">
        <f t="shared" si="1"/>
        <v>0</v>
      </c>
      <c r="X46" s="117"/>
      <c r="Y46" s="117"/>
      <c r="Z46" s="120">
        <f t="shared" si="2"/>
        <v>0</v>
      </c>
      <c r="AA46" s="132"/>
      <c r="AB46" s="133"/>
      <c r="AC46" s="125">
        <f t="shared" si="3"/>
        <v>0</v>
      </c>
      <c r="AD46" s="133"/>
      <c r="AF46" s="143"/>
      <c r="AG46" s="133"/>
      <c r="AH46" s="133"/>
      <c r="AI46" s="133"/>
      <c r="AJ46" s="133"/>
    </row>
    <row r="47" ht="22.5" hidden="1" customHeight="1">
      <c r="A47" s="3"/>
      <c r="B47" s="3"/>
      <c r="C47" s="140"/>
      <c r="D47" s="117"/>
      <c r="E47" s="117"/>
      <c r="F47" s="117"/>
      <c r="G47" s="117"/>
      <c r="H47" s="117"/>
      <c r="I47" s="117"/>
      <c r="J47" s="119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22">
        <f t="shared" si="1"/>
        <v>0</v>
      </c>
      <c r="X47" s="117"/>
      <c r="Y47" s="117"/>
      <c r="Z47" s="120">
        <f t="shared" si="2"/>
        <v>0</v>
      </c>
      <c r="AA47" s="132"/>
      <c r="AB47" s="133"/>
      <c r="AC47" s="125">
        <f t="shared" si="3"/>
        <v>0</v>
      </c>
      <c r="AD47" s="133"/>
      <c r="AF47" s="143"/>
      <c r="AG47" s="133"/>
      <c r="AH47" s="133"/>
      <c r="AI47" s="133"/>
      <c r="AJ47" s="133"/>
    </row>
    <row r="48" ht="22.5" hidden="1" customHeight="1">
      <c r="A48" s="3"/>
      <c r="B48" s="3"/>
      <c r="C48" s="140"/>
      <c r="D48" s="117"/>
      <c r="E48" s="117"/>
      <c r="F48" s="117"/>
      <c r="G48" s="117"/>
      <c r="H48" s="117"/>
      <c r="I48" s="117"/>
      <c r="J48" s="119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22">
        <f t="shared" si="1"/>
        <v>0</v>
      </c>
      <c r="X48" s="117"/>
      <c r="Y48" s="117"/>
      <c r="Z48" s="120">
        <f t="shared" si="2"/>
        <v>0</v>
      </c>
      <c r="AA48" s="132"/>
      <c r="AB48" s="133"/>
      <c r="AC48" s="125">
        <f t="shared" si="3"/>
        <v>0</v>
      </c>
      <c r="AD48" s="133"/>
      <c r="AF48" s="143"/>
      <c r="AG48" s="133"/>
      <c r="AH48" s="133"/>
      <c r="AI48" s="133"/>
      <c r="AJ48" s="133"/>
    </row>
    <row r="49" ht="22.5" hidden="1" customHeight="1">
      <c r="A49" s="3"/>
      <c r="B49" s="3"/>
      <c r="C49" s="140"/>
      <c r="D49" s="117"/>
      <c r="E49" s="117"/>
      <c r="F49" s="117"/>
      <c r="G49" s="117"/>
      <c r="H49" s="117"/>
      <c r="I49" s="117"/>
      <c r="J49" s="119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22">
        <f t="shared" si="1"/>
        <v>0</v>
      </c>
      <c r="X49" s="117"/>
      <c r="Y49" s="117"/>
      <c r="Z49" s="120">
        <f t="shared" si="2"/>
        <v>0</v>
      </c>
      <c r="AA49" s="132"/>
      <c r="AB49" s="133"/>
      <c r="AC49" s="125">
        <f t="shared" si="3"/>
        <v>0</v>
      </c>
      <c r="AD49" s="133"/>
      <c r="AF49" s="143"/>
      <c r="AG49" s="133"/>
      <c r="AH49" s="133"/>
      <c r="AI49" s="133"/>
      <c r="AJ49" s="133"/>
    </row>
    <row r="50" ht="22.5" hidden="1" customHeight="1">
      <c r="A50" s="3"/>
      <c r="B50" s="3"/>
      <c r="C50" s="140"/>
      <c r="D50" s="117"/>
      <c r="E50" s="117"/>
      <c r="F50" s="117"/>
      <c r="G50" s="117"/>
      <c r="H50" s="117"/>
      <c r="I50" s="117"/>
      <c r="J50" s="119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22">
        <f t="shared" si="1"/>
        <v>0</v>
      </c>
      <c r="X50" s="117"/>
      <c r="Y50" s="117"/>
      <c r="Z50" s="120">
        <f t="shared" si="2"/>
        <v>0</v>
      </c>
      <c r="AA50" s="132"/>
      <c r="AB50" s="133"/>
      <c r="AC50" s="125">
        <f t="shared" si="3"/>
        <v>0</v>
      </c>
      <c r="AD50" s="133"/>
      <c r="AF50" s="143"/>
      <c r="AG50" s="133"/>
      <c r="AH50" s="133"/>
      <c r="AI50" s="133"/>
      <c r="AJ50" s="133"/>
    </row>
    <row r="51" ht="22.5" hidden="1" customHeight="1">
      <c r="A51" s="3"/>
      <c r="B51" s="3"/>
      <c r="C51" s="140"/>
      <c r="D51" s="117"/>
      <c r="E51" s="117"/>
      <c r="F51" s="117"/>
      <c r="G51" s="117"/>
      <c r="H51" s="117"/>
      <c r="I51" s="117"/>
      <c r="J51" s="119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22">
        <f t="shared" si="1"/>
        <v>0</v>
      </c>
      <c r="X51" s="117"/>
      <c r="Y51" s="117"/>
      <c r="Z51" s="120">
        <f t="shared" si="2"/>
        <v>0</v>
      </c>
      <c r="AA51" s="132"/>
      <c r="AB51" s="133"/>
      <c r="AC51" s="125">
        <f t="shared" si="3"/>
        <v>0</v>
      </c>
      <c r="AD51" s="133"/>
      <c r="AF51" s="143"/>
      <c r="AG51" s="133"/>
      <c r="AH51" s="133"/>
      <c r="AI51" s="133"/>
      <c r="AJ51" s="133"/>
    </row>
    <row r="52" ht="22.5" hidden="1" customHeight="1">
      <c r="A52" s="3"/>
      <c r="B52" s="3"/>
      <c r="C52" s="140"/>
      <c r="D52" s="117"/>
      <c r="E52" s="117"/>
      <c r="F52" s="117"/>
      <c r="G52" s="117"/>
      <c r="H52" s="117"/>
      <c r="I52" s="117"/>
      <c r="J52" s="119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22">
        <f t="shared" si="1"/>
        <v>0</v>
      </c>
      <c r="X52" s="117"/>
      <c r="Y52" s="117"/>
      <c r="Z52" s="120">
        <f t="shared" si="2"/>
        <v>0</v>
      </c>
      <c r="AA52" s="132"/>
      <c r="AB52" s="133"/>
      <c r="AC52" s="125">
        <f t="shared" si="3"/>
        <v>0</v>
      </c>
      <c r="AD52" s="133"/>
      <c r="AF52" s="143"/>
      <c r="AG52" s="133"/>
      <c r="AH52" s="133"/>
      <c r="AI52" s="133"/>
      <c r="AJ52" s="133"/>
    </row>
    <row r="53" ht="22.5" hidden="1" customHeight="1">
      <c r="A53" s="3"/>
      <c r="B53" s="3"/>
      <c r="C53" s="140"/>
      <c r="D53" s="117"/>
      <c r="E53" s="117"/>
      <c r="F53" s="117"/>
      <c r="G53" s="117"/>
      <c r="H53" s="117"/>
      <c r="I53" s="117"/>
      <c r="J53" s="119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22">
        <f t="shared" si="1"/>
        <v>0</v>
      </c>
      <c r="X53" s="117"/>
      <c r="Y53" s="117"/>
      <c r="Z53" s="120">
        <f t="shared" si="2"/>
        <v>0</v>
      </c>
      <c r="AA53" s="132"/>
      <c r="AB53" s="133"/>
      <c r="AC53" s="125">
        <f t="shared" si="3"/>
        <v>0</v>
      </c>
      <c r="AD53" s="133"/>
      <c r="AF53" s="143"/>
      <c r="AG53" s="133"/>
      <c r="AH53" s="133"/>
      <c r="AI53" s="133"/>
      <c r="AJ53" s="133"/>
    </row>
    <row r="54" ht="22.5" hidden="1" customHeight="1">
      <c r="A54" s="3"/>
      <c r="B54" s="3"/>
      <c r="C54" s="140"/>
      <c r="D54" s="117"/>
      <c r="E54" s="117"/>
      <c r="F54" s="117"/>
      <c r="G54" s="117"/>
      <c r="H54" s="117"/>
      <c r="I54" s="117"/>
      <c r="J54" s="119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22">
        <f t="shared" si="1"/>
        <v>0</v>
      </c>
      <c r="X54" s="117"/>
      <c r="Y54" s="117"/>
      <c r="Z54" s="120">
        <f t="shared" si="2"/>
        <v>0</v>
      </c>
      <c r="AA54" s="132"/>
      <c r="AB54" s="133"/>
      <c r="AC54" s="125">
        <f t="shared" si="3"/>
        <v>0</v>
      </c>
      <c r="AD54" s="133"/>
      <c r="AF54" s="143"/>
      <c r="AG54" s="133"/>
      <c r="AH54" s="133"/>
      <c r="AI54" s="133"/>
      <c r="AJ54" s="133"/>
    </row>
    <row r="55" ht="22.5" hidden="1" customHeight="1">
      <c r="A55" s="3"/>
      <c r="B55" s="3"/>
      <c r="C55" s="140"/>
      <c r="D55" s="117"/>
      <c r="E55" s="117"/>
      <c r="F55" s="117"/>
      <c r="G55" s="117"/>
      <c r="H55" s="117"/>
      <c r="I55" s="117"/>
      <c r="J55" s="119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22">
        <f t="shared" si="1"/>
        <v>0</v>
      </c>
      <c r="X55" s="117"/>
      <c r="Y55" s="117"/>
      <c r="Z55" s="120">
        <f t="shared" si="2"/>
        <v>0</v>
      </c>
      <c r="AA55" s="132"/>
      <c r="AB55" s="133"/>
      <c r="AC55" s="125">
        <f t="shared" si="3"/>
        <v>0</v>
      </c>
      <c r="AD55" s="133"/>
      <c r="AF55" s="143"/>
      <c r="AG55" s="133"/>
      <c r="AH55" s="133"/>
      <c r="AI55" s="133"/>
      <c r="AJ55" s="133"/>
    </row>
    <row r="56" ht="22.5" hidden="1" customHeight="1">
      <c r="A56" s="3"/>
      <c r="B56" s="3"/>
      <c r="C56" s="140"/>
      <c r="D56" s="117"/>
      <c r="E56" s="117"/>
      <c r="F56" s="117"/>
      <c r="G56" s="117"/>
      <c r="H56" s="117"/>
      <c r="I56" s="117"/>
      <c r="J56" s="119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22">
        <f t="shared" si="1"/>
        <v>0</v>
      </c>
      <c r="X56" s="117"/>
      <c r="Y56" s="117"/>
      <c r="Z56" s="120">
        <f t="shared" si="2"/>
        <v>0</v>
      </c>
      <c r="AA56" s="132"/>
      <c r="AB56" s="133"/>
      <c r="AC56" s="125">
        <f t="shared" si="3"/>
        <v>0</v>
      </c>
      <c r="AD56" s="133"/>
      <c r="AF56" s="143"/>
      <c r="AG56" s="133"/>
      <c r="AH56" s="133"/>
      <c r="AI56" s="133"/>
      <c r="AJ56" s="133"/>
    </row>
    <row r="57" ht="22.5" hidden="1" customHeight="1">
      <c r="A57" s="3"/>
      <c r="B57" s="3"/>
      <c r="C57" s="140"/>
      <c r="D57" s="117"/>
      <c r="E57" s="117"/>
      <c r="F57" s="117"/>
      <c r="G57" s="117"/>
      <c r="H57" s="117"/>
      <c r="I57" s="117"/>
      <c r="J57" s="119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22">
        <f t="shared" si="1"/>
        <v>0</v>
      </c>
      <c r="X57" s="117"/>
      <c r="Y57" s="117"/>
      <c r="Z57" s="120">
        <f t="shared" si="2"/>
        <v>0</v>
      </c>
      <c r="AA57" s="132"/>
      <c r="AB57" s="133"/>
      <c r="AC57" s="125">
        <f t="shared" si="3"/>
        <v>0</v>
      </c>
      <c r="AD57" s="133"/>
      <c r="AF57" s="143"/>
      <c r="AG57" s="133"/>
      <c r="AH57" s="133"/>
      <c r="AI57" s="133"/>
      <c r="AJ57" s="133"/>
    </row>
    <row r="58" ht="22.5" hidden="1" customHeight="1">
      <c r="A58" s="3"/>
      <c r="B58" s="3"/>
      <c r="C58" s="140"/>
      <c r="D58" s="117"/>
      <c r="E58" s="117"/>
      <c r="F58" s="117"/>
      <c r="G58" s="117"/>
      <c r="H58" s="117"/>
      <c r="I58" s="117"/>
      <c r="J58" s="119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22">
        <f t="shared" si="1"/>
        <v>0</v>
      </c>
      <c r="X58" s="117"/>
      <c r="Y58" s="117"/>
      <c r="Z58" s="120">
        <f t="shared" si="2"/>
        <v>0</v>
      </c>
      <c r="AA58" s="132"/>
      <c r="AB58" s="133"/>
      <c r="AC58" s="125">
        <f t="shared" si="3"/>
        <v>0</v>
      </c>
      <c r="AD58" s="133"/>
      <c r="AF58" s="143"/>
      <c r="AG58" s="133"/>
      <c r="AH58" s="133"/>
      <c r="AI58" s="133"/>
      <c r="AJ58" s="133"/>
    </row>
    <row r="59" ht="22.5" hidden="1" customHeight="1">
      <c r="A59" s="3"/>
      <c r="B59" s="3"/>
      <c r="C59" s="140"/>
      <c r="D59" s="117"/>
      <c r="E59" s="117"/>
      <c r="F59" s="117"/>
      <c r="G59" s="117"/>
      <c r="H59" s="117"/>
      <c r="I59" s="117"/>
      <c r="J59" s="119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22">
        <f t="shared" si="1"/>
        <v>0</v>
      </c>
      <c r="X59" s="117"/>
      <c r="Y59" s="117"/>
      <c r="Z59" s="120">
        <f t="shared" si="2"/>
        <v>0</v>
      </c>
      <c r="AA59" s="132"/>
      <c r="AB59" s="133"/>
      <c r="AC59" s="125">
        <f t="shared" si="3"/>
        <v>0</v>
      </c>
      <c r="AD59" s="133"/>
      <c r="AF59" s="143"/>
      <c r="AG59" s="133"/>
      <c r="AH59" s="133"/>
      <c r="AI59" s="133"/>
      <c r="AJ59" s="133"/>
    </row>
    <row r="60" ht="22.5" hidden="1" customHeight="1">
      <c r="A60" s="3"/>
      <c r="B60" s="3"/>
      <c r="C60" s="140"/>
      <c r="D60" s="117"/>
      <c r="E60" s="117"/>
      <c r="F60" s="117"/>
      <c r="G60" s="117"/>
      <c r="H60" s="117"/>
      <c r="I60" s="117"/>
      <c r="J60" s="119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22">
        <f t="shared" si="1"/>
        <v>0</v>
      </c>
      <c r="X60" s="117"/>
      <c r="Y60" s="117"/>
      <c r="Z60" s="120">
        <f t="shared" si="2"/>
        <v>0</v>
      </c>
      <c r="AA60" s="132"/>
      <c r="AB60" s="133"/>
      <c r="AC60" s="125">
        <f t="shared" si="3"/>
        <v>0</v>
      </c>
      <c r="AD60" s="133"/>
      <c r="AF60" s="143"/>
      <c r="AG60" s="133"/>
      <c r="AH60" s="133"/>
      <c r="AI60" s="133"/>
      <c r="AJ60" s="133"/>
    </row>
    <row r="61" ht="22.5" hidden="1" customHeight="1">
      <c r="A61" s="3"/>
      <c r="B61" s="3"/>
      <c r="C61" s="140"/>
      <c r="D61" s="117"/>
      <c r="E61" s="117"/>
      <c r="F61" s="117"/>
      <c r="G61" s="117"/>
      <c r="H61" s="117"/>
      <c r="I61" s="117"/>
      <c r="J61" s="119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22">
        <f t="shared" si="1"/>
        <v>0</v>
      </c>
      <c r="X61" s="117"/>
      <c r="Y61" s="117"/>
      <c r="Z61" s="120">
        <f t="shared" si="2"/>
        <v>0</v>
      </c>
      <c r="AA61" s="132"/>
      <c r="AB61" s="133"/>
      <c r="AC61" s="125">
        <f t="shared" si="3"/>
        <v>0</v>
      </c>
      <c r="AD61" s="133"/>
      <c r="AF61" s="143"/>
      <c r="AG61" s="133"/>
      <c r="AH61" s="133"/>
      <c r="AI61" s="133"/>
      <c r="AJ61" s="133"/>
    </row>
    <row r="62" ht="22.5" hidden="1" customHeight="1">
      <c r="A62" s="3"/>
      <c r="B62" s="3"/>
      <c r="C62" s="140"/>
      <c r="D62" s="117"/>
      <c r="E62" s="117"/>
      <c r="F62" s="117"/>
      <c r="G62" s="117"/>
      <c r="H62" s="117"/>
      <c r="I62" s="117"/>
      <c r="J62" s="119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22">
        <f t="shared" si="1"/>
        <v>0</v>
      </c>
      <c r="X62" s="117"/>
      <c r="Y62" s="117"/>
      <c r="Z62" s="120">
        <f t="shared" si="2"/>
        <v>0</v>
      </c>
      <c r="AA62" s="132"/>
      <c r="AB62" s="133"/>
      <c r="AC62" s="125">
        <f t="shared" si="3"/>
        <v>0</v>
      </c>
      <c r="AD62" s="133"/>
      <c r="AF62" s="143"/>
      <c r="AG62" s="133"/>
      <c r="AH62" s="133"/>
      <c r="AI62" s="133"/>
      <c r="AJ62" s="133"/>
    </row>
    <row r="63" ht="22.5" hidden="1" customHeight="1">
      <c r="A63" s="3"/>
      <c r="B63" s="3"/>
      <c r="C63" s="140"/>
      <c r="D63" s="117"/>
      <c r="E63" s="117"/>
      <c r="F63" s="117"/>
      <c r="G63" s="117"/>
      <c r="H63" s="117"/>
      <c r="I63" s="117"/>
      <c r="J63" s="119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22">
        <f t="shared" si="1"/>
        <v>0</v>
      </c>
      <c r="X63" s="117"/>
      <c r="Y63" s="117"/>
      <c r="Z63" s="120">
        <f t="shared" si="2"/>
        <v>0</v>
      </c>
      <c r="AA63" s="132"/>
      <c r="AB63" s="133"/>
      <c r="AC63" s="125">
        <f t="shared" si="3"/>
        <v>0</v>
      </c>
      <c r="AD63" s="133"/>
      <c r="AF63" s="143"/>
      <c r="AG63" s="133"/>
      <c r="AH63" s="133"/>
      <c r="AI63" s="133"/>
      <c r="AJ63" s="133"/>
    </row>
    <row r="64" ht="22.5" hidden="1" customHeight="1">
      <c r="A64" s="3"/>
      <c r="B64" s="3"/>
      <c r="C64" s="140"/>
      <c r="D64" s="117"/>
      <c r="E64" s="117"/>
      <c r="F64" s="117"/>
      <c r="G64" s="117"/>
      <c r="H64" s="117"/>
      <c r="I64" s="117"/>
      <c r="J64" s="11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22">
        <f t="shared" si="1"/>
        <v>0</v>
      </c>
      <c r="X64" s="117"/>
      <c r="Y64" s="117"/>
      <c r="Z64" s="120">
        <f t="shared" si="2"/>
        <v>0</v>
      </c>
      <c r="AA64" s="132"/>
      <c r="AB64" s="133"/>
      <c r="AC64" s="125">
        <f t="shared" si="3"/>
        <v>0</v>
      </c>
      <c r="AD64" s="133"/>
      <c r="AF64" s="143"/>
      <c r="AG64" s="133"/>
      <c r="AH64" s="133"/>
      <c r="AI64" s="133"/>
      <c r="AJ64" s="133"/>
    </row>
    <row r="65" ht="22.5" hidden="1" customHeight="1">
      <c r="A65" s="3"/>
      <c r="B65" s="3"/>
      <c r="C65" s="140"/>
      <c r="D65" s="117"/>
      <c r="E65" s="117"/>
      <c r="F65" s="117"/>
      <c r="G65" s="117"/>
      <c r="H65" s="117"/>
      <c r="I65" s="117"/>
      <c r="J65" s="119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22">
        <f t="shared" si="1"/>
        <v>0</v>
      </c>
      <c r="X65" s="117"/>
      <c r="Y65" s="117"/>
      <c r="Z65" s="120">
        <f t="shared" si="2"/>
        <v>0</v>
      </c>
      <c r="AA65" s="132"/>
      <c r="AB65" s="133"/>
      <c r="AC65" s="125">
        <f t="shared" si="3"/>
        <v>0</v>
      </c>
      <c r="AD65" s="133"/>
      <c r="AF65" s="143"/>
      <c r="AG65" s="133"/>
      <c r="AH65" s="133"/>
      <c r="AI65" s="133"/>
      <c r="AJ65" s="133"/>
    </row>
    <row r="66" ht="22.5" hidden="1" customHeight="1">
      <c r="A66" s="3"/>
      <c r="B66" s="3"/>
      <c r="C66" s="140"/>
      <c r="D66" s="117"/>
      <c r="E66" s="117"/>
      <c r="F66" s="117"/>
      <c r="G66" s="117"/>
      <c r="H66" s="117"/>
      <c r="I66" s="117"/>
      <c r="J66" s="119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22">
        <f t="shared" si="1"/>
        <v>0</v>
      </c>
      <c r="X66" s="117"/>
      <c r="Y66" s="117"/>
      <c r="Z66" s="120">
        <f t="shared" si="2"/>
        <v>0</v>
      </c>
      <c r="AA66" s="132"/>
      <c r="AB66" s="133"/>
      <c r="AC66" s="125">
        <f t="shared" si="3"/>
        <v>0</v>
      </c>
      <c r="AD66" s="133"/>
      <c r="AF66" s="143"/>
      <c r="AG66" s="133"/>
      <c r="AH66" s="133"/>
      <c r="AI66" s="133"/>
      <c r="AJ66" s="133"/>
    </row>
    <row r="67" ht="22.5" hidden="1" customHeight="1">
      <c r="A67" s="3"/>
      <c r="B67" s="3"/>
      <c r="C67" s="140"/>
      <c r="D67" s="117"/>
      <c r="E67" s="117"/>
      <c r="F67" s="117"/>
      <c r="G67" s="117"/>
      <c r="H67" s="117"/>
      <c r="I67" s="117"/>
      <c r="J67" s="11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22">
        <f t="shared" si="1"/>
        <v>0</v>
      </c>
      <c r="X67" s="117"/>
      <c r="Y67" s="117"/>
      <c r="Z67" s="120">
        <f t="shared" si="2"/>
        <v>0</v>
      </c>
      <c r="AA67" s="132"/>
      <c r="AB67" s="133"/>
      <c r="AC67" s="125">
        <f t="shared" si="3"/>
        <v>0</v>
      </c>
      <c r="AD67" s="133"/>
      <c r="AF67" s="143"/>
      <c r="AG67" s="133"/>
      <c r="AH67" s="133"/>
      <c r="AI67" s="133"/>
      <c r="AJ67" s="133"/>
    </row>
    <row r="68" ht="22.5" hidden="1" customHeight="1">
      <c r="A68" s="3"/>
      <c r="B68" s="3"/>
      <c r="C68" s="140"/>
      <c r="D68" s="117"/>
      <c r="E68" s="117"/>
      <c r="F68" s="117"/>
      <c r="G68" s="117"/>
      <c r="H68" s="117"/>
      <c r="I68" s="117"/>
      <c r="J68" s="119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22">
        <f t="shared" si="1"/>
        <v>0</v>
      </c>
      <c r="X68" s="117"/>
      <c r="Y68" s="117"/>
      <c r="Z68" s="120">
        <f t="shared" si="2"/>
        <v>0</v>
      </c>
      <c r="AA68" s="132"/>
      <c r="AB68" s="133"/>
      <c r="AC68" s="125">
        <f t="shared" si="3"/>
        <v>0</v>
      </c>
      <c r="AD68" s="133"/>
      <c r="AF68" s="143"/>
      <c r="AG68" s="133"/>
      <c r="AH68" s="133"/>
      <c r="AI68" s="133"/>
      <c r="AJ68" s="133"/>
    </row>
    <row r="69" ht="22.5" hidden="1" customHeight="1">
      <c r="A69" s="3"/>
      <c r="B69" s="3"/>
      <c r="C69" s="140"/>
      <c r="D69" s="117"/>
      <c r="E69" s="117"/>
      <c r="F69" s="117"/>
      <c r="G69" s="117"/>
      <c r="H69" s="117"/>
      <c r="I69" s="117"/>
      <c r="J69" s="119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22">
        <f t="shared" si="1"/>
        <v>0</v>
      </c>
      <c r="X69" s="117"/>
      <c r="Y69" s="117"/>
      <c r="Z69" s="120">
        <f t="shared" si="2"/>
        <v>0</v>
      </c>
      <c r="AA69" s="132"/>
      <c r="AB69" s="133"/>
      <c r="AC69" s="125">
        <f t="shared" si="3"/>
        <v>0</v>
      </c>
      <c r="AD69" s="133"/>
      <c r="AF69" s="143"/>
      <c r="AG69" s="133"/>
      <c r="AH69" s="133"/>
      <c r="AI69" s="133"/>
      <c r="AJ69" s="133"/>
    </row>
    <row r="70" ht="22.5" hidden="1" customHeight="1">
      <c r="A70" s="3"/>
      <c r="B70" s="3"/>
      <c r="C70" s="140"/>
      <c r="D70" s="117"/>
      <c r="E70" s="117"/>
      <c r="F70" s="117"/>
      <c r="G70" s="117"/>
      <c r="H70" s="117"/>
      <c r="I70" s="117"/>
      <c r="J70" s="11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22">
        <f t="shared" si="1"/>
        <v>0</v>
      </c>
      <c r="X70" s="117"/>
      <c r="Y70" s="117"/>
      <c r="Z70" s="120">
        <f t="shared" si="2"/>
        <v>0</v>
      </c>
      <c r="AA70" s="132"/>
      <c r="AB70" s="133"/>
      <c r="AC70" s="125">
        <f t="shared" si="3"/>
        <v>0</v>
      </c>
      <c r="AD70" s="133"/>
      <c r="AF70" s="143"/>
      <c r="AG70" s="133"/>
      <c r="AH70" s="133"/>
      <c r="AI70" s="133"/>
      <c r="AJ70" s="133"/>
    </row>
    <row r="71" ht="22.5" hidden="1" customHeight="1">
      <c r="A71" s="3"/>
      <c r="B71" s="3"/>
      <c r="C71" s="140"/>
      <c r="D71" s="117"/>
      <c r="E71" s="117"/>
      <c r="F71" s="117"/>
      <c r="G71" s="117"/>
      <c r="H71" s="117"/>
      <c r="I71" s="117"/>
      <c r="J71" s="119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22">
        <f t="shared" si="1"/>
        <v>0</v>
      </c>
      <c r="X71" s="117"/>
      <c r="Y71" s="117"/>
      <c r="Z71" s="120">
        <f t="shared" si="2"/>
        <v>0</v>
      </c>
      <c r="AA71" s="132"/>
      <c r="AB71" s="133"/>
      <c r="AC71" s="125">
        <f t="shared" si="3"/>
        <v>0</v>
      </c>
      <c r="AD71" s="133"/>
      <c r="AF71" s="143"/>
      <c r="AG71" s="133"/>
      <c r="AH71" s="133"/>
      <c r="AI71" s="133"/>
      <c r="AJ71" s="133"/>
    </row>
    <row r="72" ht="22.5" hidden="1" customHeight="1">
      <c r="A72" s="3"/>
      <c r="B72" s="3"/>
      <c r="C72" s="140"/>
      <c r="D72" s="117"/>
      <c r="E72" s="117"/>
      <c r="F72" s="117"/>
      <c r="G72" s="117"/>
      <c r="H72" s="117"/>
      <c r="I72" s="117"/>
      <c r="J72" s="119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22">
        <f t="shared" si="1"/>
        <v>0</v>
      </c>
      <c r="X72" s="117"/>
      <c r="Y72" s="117"/>
      <c r="Z72" s="120">
        <f t="shared" si="2"/>
        <v>0</v>
      </c>
      <c r="AA72" s="132"/>
      <c r="AB72" s="133"/>
      <c r="AC72" s="125">
        <f t="shared" si="3"/>
        <v>0</v>
      </c>
      <c r="AD72" s="133"/>
      <c r="AF72" s="143"/>
      <c r="AG72" s="133"/>
      <c r="AH72" s="133"/>
      <c r="AI72" s="133"/>
      <c r="AJ72" s="133"/>
    </row>
    <row r="73" ht="22.5" hidden="1" customHeight="1">
      <c r="A73" s="3"/>
      <c r="B73" s="3"/>
      <c r="C73" s="140"/>
      <c r="D73" s="117"/>
      <c r="E73" s="117"/>
      <c r="F73" s="117"/>
      <c r="G73" s="117"/>
      <c r="H73" s="117"/>
      <c r="I73" s="117"/>
      <c r="J73" s="119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22">
        <f t="shared" si="1"/>
        <v>0</v>
      </c>
      <c r="X73" s="117"/>
      <c r="Y73" s="117"/>
      <c r="Z73" s="120">
        <f t="shared" si="2"/>
        <v>0</v>
      </c>
      <c r="AA73" s="132"/>
      <c r="AB73" s="133"/>
      <c r="AC73" s="125">
        <f t="shared" si="3"/>
        <v>0</v>
      </c>
      <c r="AD73" s="133"/>
      <c r="AF73" s="143"/>
      <c r="AG73" s="133"/>
      <c r="AH73" s="133"/>
      <c r="AI73" s="133"/>
      <c r="AJ73" s="133"/>
    </row>
    <row r="74" ht="22.5" hidden="1" customHeight="1">
      <c r="A74" s="3"/>
      <c r="B74" s="3"/>
      <c r="C74" s="140"/>
      <c r="D74" s="117"/>
      <c r="E74" s="117"/>
      <c r="F74" s="117"/>
      <c r="G74" s="117"/>
      <c r="H74" s="117"/>
      <c r="I74" s="117"/>
      <c r="J74" s="119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22">
        <f t="shared" si="1"/>
        <v>0</v>
      </c>
      <c r="X74" s="117"/>
      <c r="Y74" s="117"/>
      <c r="Z74" s="120">
        <f t="shared" si="2"/>
        <v>0</v>
      </c>
      <c r="AA74" s="132"/>
      <c r="AB74" s="133"/>
      <c r="AC74" s="125">
        <f t="shared" si="3"/>
        <v>0</v>
      </c>
      <c r="AD74" s="133"/>
      <c r="AF74" s="143"/>
      <c r="AG74" s="133"/>
      <c r="AH74" s="133"/>
      <c r="AI74" s="133"/>
      <c r="AJ74" s="133"/>
    </row>
    <row r="75" ht="22.5" hidden="1" customHeight="1">
      <c r="A75" s="3"/>
      <c r="B75" s="3"/>
      <c r="C75" s="140"/>
      <c r="D75" s="117"/>
      <c r="E75" s="117"/>
      <c r="F75" s="117"/>
      <c r="G75" s="117"/>
      <c r="H75" s="117"/>
      <c r="I75" s="117"/>
      <c r="J75" s="119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22">
        <f t="shared" si="1"/>
        <v>0</v>
      </c>
      <c r="X75" s="117"/>
      <c r="Y75" s="117"/>
      <c r="Z75" s="120">
        <f t="shared" si="2"/>
        <v>0</v>
      </c>
      <c r="AA75" s="132"/>
      <c r="AB75" s="133"/>
      <c r="AC75" s="125">
        <f t="shared" si="3"/>
        <v>0</v>
      </c>
      <c r="AD75" s="133"/>
      <c r="AF75" s="143"/>
      <c r="AG75" s="133"/>
      <c r="AH75" s="133"/>
      <c r="AI75" s="133"/>
      <c r="AJ75" s="133"/>
    </row>
    <row r="76" ht="22.5" hidden="1" customHeight="1">
      <c r="A76" s="3"/>
      <c r="B76" s="3"/>
      <c r="C76" s="140"/>
      <c r="D76" s="117"/>
      <c r="E76" s="117"/>
      <c r="F76" s="117"/>
      <c r="G76" s="117"/>
      <c r="H76" s="117"/>
      <c r="I76" s="117"/>
      <c r="J76" s="119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22">
        <f t="shared" si="1"/>
        <v>0</v>
      </c>
      <c r="X76" s="117"/>
      <c r="Y76" s="117"/>
      <c r="Z76" s="120">
        <f t="shared" si="2"/>
        <v>0</v>
      </c>
      <c r="AA76" s="132"/>
      <c r="AB76" s="133"/>
      <c r="AC76" s="125">
        <f t="shared" si="3"/>
        <v>0</v>
      </c>
      <c r="AD76" s="133"/>
      <c r="AF76" s="143"/>
      <c r="AG76" s="133"/>
      <c r="AH76" s="133"/>
      <c r="AI76" s="133"/>
      <c r="AJ76" s="133"/>
    </row>
    <row r="77" ht="22.5" hidden="1" customHeight="1">
      <c r="A77" s="3"/>
      <c r="B77" s="3"/>
      <c r="C77" s="140"/>
      <c r="D77" s="117"/>
      <c r="E77" s="117"/>
      <c r="F77" s="117"/>
      <c r="G77" s="117"/>
      <c r="H77" s="117"/>
      <c r="I77" s="117"/>
      <c r="J77" s="119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22">
        <f t="shared" si="1"/>
        <v>0</v>
      </c>
      <c r="X77" s="117"/>
      <c r="Y77" s="117"/>
      <c r="Z77" s="120">
        <f t="shared" si="2"/>
        <v>0</v>
      </c>
      <c r="AA77" s="132"/>
      <c r="AB77" s="133"/>
      <c r="AC77" s="125">
        <f t="shared" si="3"/>
        <v>0</v>
      </c>
      <c r="AD77" s="133"/>
      <c r="AF77" s="143"/>
      <c r="AG77" s="133"/>
      <c r="AH77" s="133"/>
      <c r="AI77" s="133"/>
      <c r="AJ77" s="133"/>
    </row>
    <row r="78" ht="22.5" hidden="1" customHeight="1">
      <c r="A78" s="3"/>
      <c r="B78" s="3"/>
      <c r="C78" s="140"/>
      <c r="D78" s="117"/>
      <c r="E78" s="117"/>
      <c r="F78" s="117"/>
      <c r="G78" s="117"/>
      <c r="H78" s="117"/>
      <c r="I78" s="117"/>
      <c r="J78" s="119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22">
        <f t="shared" si="1"/>
        <v>0</v>
      </c>
      <c r="X78" s="117"/>
      <c r="Y78" s="117"/>
      <c r="Z78" s="120">
        <f t="shared" si="2"/>
        <v>0</v>
      </c>
      <c r="AA78" s="132"/>
      <c r="AB78" s="133"/>
      <c r="AC78" s="125">
        <f t="shared" si="3"/>
        <v>0</v>
      </c>
      <c r="AD78" s="133"/>
      <c r="AF78" s="143"/>
      <c r="AG78" s="133"/>
      <c r="AH78" s="133"/>
      <c r="AI78" s="133"/>
      <c r="AJ78" s="133"/>
    </row>
    <row r="79" ht="22.5" hidden="1" customHeight="1">
      <c r="A79" s="3"/>
      <c r="B79" s="3"/>
      <c r="C79" s="140"/>
      <c r="D79" s="117"/>
      <c r="E79" s="117"/>
      <c r="F79" s="117"/>
      <c r="G79" s="117"/>
      <c r="H79" s="117"/>
      <c r="I79" s="117"/>
      <c r="J79" s="119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22">
        <f t="shared" si="1"/>
        <v>0</v>
      </c>
      <c r="X79" s="117"/>
      <c r="Y79" s="117"/>
      <c r="Z79" s="120">
        <f t="shared" si="2"/>
        <v>0</v>
      </c>
      <c r="AA79" s="132"/>
      <c r="AB79" s="133"/>
      <c r="AC79" s="125">
        <f t="shared" si="3"/>
        <v>0</v>
      </c>
      <c r="AD79" s="133"/>
      <c r="AF79" s="143"/>
      <c r="AG79" s="133"/>
      <c r="AH79" s="133"/>
      <c r="AI79" s="133"/>
      <c r="AJ79" s="133"/>
    </row>
    <row r="80" ht="22.5" hidden="1" customHeight="1">
      <c r="A80" s="3"/>
      <c r="B80" s="3"/>
      <c r="C80" s="140"/>
      <c r="D80" s="117"/>
      <c r="E80" s="117"/>
      <c r="F80" s="117"/>
      <c r="G80" s="117"/>
      <c r="H80" s="117"/>
      <c r="I80" s="117"/>
      <c r="J80" s="119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22">
        <f t="shared" si="1"/>
        <v>0</v>
      </c>
      <c r="X80" s="117"/>
      <c r="Y80" s="117"/>
      <c r="Z80" s="120">
        <f t="shared" si="2"/>
        <v>0</v>
      </c>
      <c r="AA80" s="132"/>
      <c r="AB80" s="133"/>
      <c r="AC80" s="125">
        <f t="shared" si="3"/>
        <v>0</v>
      </c>
      <c r="AD80" s="133"/>
      <c r="AF80" s="143"/>
      <c r="AG80" s="133"/>
      <c r="AH80" s="133"/>
      <c r="AI80" s="133"/>
      <c r="AJ80" s="133"/>
    </row>
    <row r="81" ht="22.5" hidden="1" customHeight="1">
      <c r="A81" s="3"/>
      <c r="B81" s="3"/>
      <c r="C81" s="140"/>
      <c r="D81" s="117"/>
      <c r="E81" s="117"/>
      <c r="F81" s="117"/>
      <c r="G81" s="117"/>
      <c r="H81" s="117"/>
      <c r="I81" s="117"/>
      <c r="J81" s="119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22">
        <f t="shared" si="1"/>
        <v>0</v>
      </c>
      <c r="X81" s="117"/>
      <c r="Y81" s="117"/>
      <c r="Z81" s="120">
        <f t="shared" si="2"/>
        <v>0</v>
      </c>
      <c r="AA81" s="132"/>
      <c r="AB81" s="133"/>
      <c r="AC81" s="125">
        <f t="shared" si="3"/>
        <v>0</v>
      </c>
      <c r="AD81" s="133"/>
      <c r="AF81" s="143"/>
      <c r="AG81" s="133"/>
      <c r="AH81" s="133"/>
      <c r="AI81" s="133"/>
      <c r="AJ81" s="133"/>
    </row>
    <row r="82" ht="22.5" hidden="1" customHeight="1">
      <c r="A82" s="3"/>
      <c r="B82" s="3"/>
      <c r="C82" s="140"/>
      <c r="D82" s="117"/>
      <c r="E82" s="117"/>
      <c r="F82" s="117"/>
      <c r="G82" s="117"/>
      <c r="H82" s="117"/>
      <c r="I82" s="117"/>
      <c r="J82" s="119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22">
        <f t="shared" si="1"/>
        <v>0</v>
      </c>
      <c r="X82" s="117"/>
      <c r="Y82" s="117"/>
      <c r="Z82" s="120">
        <f t="shared" si="2"/>
        <v>0</v>
      </c>
      <c r="AA82" s="132"/>
      <c r="AB82" s="133"/>
      <c r="AC82" s="125">
        <f t="shared" si="3"/>
        <v>0</v>
      </c>
      <c r="AD82" s="133"/>
      <c r="AF82" s="143"/>
      <c r="AG82" s="133"/>
      <c r="AH82" s="133"/>
      <c r="AI82" s="133"/>
      <c r="AJ82" s="133"/>
    </row>
    <row r="83" ht="22.5" hidden="1" customHeight="1">
      <c r="A83" s="3"/>
      <c r="B83" s="3"/>
      <c r="C83" s="140"/>
      <c r="D83" s="117"/>
      <c r="E83" s="117"/>
      <c r="F83" s="117"/>
      <c r="G83" s="117"/>
      <c r="H83" s="117"/>
      <c r="I83" s="117"/>
      <c r="J83" s="119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22">
        <f t="shared" si="1"/>
        <v>0</v>
      </c>
      <c r="X83" s="117"/>
      <c r="Y83" s="117"/>
      <c r="Z83" s="120">
        <f t="shared" si="2"/>
        <v>0</v>
      </c>
      <c r="AA83" s="132"/>
      <c r="AB83" s="133"/>
      <c r="AC83" s="125">
        <f t="shared" si="3"/>
        <v>0</v>
      </c>
      <c r="AD83" s="133"/>
      <c r="AF83" s="143"/>
      <c r="AG83" s="133"/>
      <c r="AH83" s="133"/>
      <c r="AI83" s="133"/>
      <c r="AJ83" s="133"/>
    </row>
    <row r="84" ht="22.5" hidden="1" customHeight="1">
      <c r="A84" s="3"/>
      <c r="B84" s="3"/>
      <c r="C84" s="140"/>
      <c r="D84" s="117"/>
      <c r="E84" s="117"/>
      <c r="F84" s="117"/>
      <c r="G84" s="117"/>
      <c r="H84" s="117"/>
      <c r="I84" s="117"/>
      <c r="J84" s="119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22">
        <f t="shared" si="1"/>
        <v>0</v>
      </c>
      <c r="X84" s="117"/>
      <c r="Y84" s="117"/>
      <c r="Z84" s="120">
        <f t="shared" si="2"/>
        <v>0</v>
      </c>
      <c r="AA84" s="132"/>
      <c r="AB84" s="133"/>
      <c r="AC84" s="125">
        <f t="shared" si="3"/>
        <v>0</v>
      </c>
      <c r="AD84" s="133"/>
      <c r="AF84" s="143"/>
      <c r="AG84" s="133"/>
      <c r="AH84" s="133"/>
      <c r="AI84" s="133"/>
      <c r="AJ84" s="133"/>
    </row>
    <row r="85" ht="22.5" hidden="1" customHeight="1">
      <c r="A85" s="3"/>
      <c r="B85" s="3"/>
      <c r="C85" s="140"/>
      <c r="D85" s="117"/>
      <c r="E85" s="117"/>
      <c r="F85" s="117"/>
      <c r="G85" s="117"/>
      <c r="H85" s="117"/>
      <c r="I85" s="117"/>
      <c r="J85" s="119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22">
        <f t="shared" si="1"/>
        <v>0</v>
      </c>
      <c r="X85" s="117"/>
      <c r="Y85" s="117"/>
      <c r="Z85" s="120">
        <f t="shared" si="2"/>
        <v>0</v>
      </c>
      <c r="AA85" s="132"/>
      <c r="AB85" s="133"/>
      <c r="AC85" s="125">
        <f t="shared" si="3"/>
        <v>0</v>
      </c>
      <c r="AD85" s="133"/>
      <c r="AF85" s="143"/>
      <c r="AG85" s="133"/>
      <c r="AH85" s="133"/>
      <c r="AI85" s="133"/>
      <c r="AJ85" s="133"/>
    </row>
    <row r="86" ht="22.5" hidden="1" customHeight="1">
      <c r="A86" s="3"/>
      <c r="B86" s="3"/>
      <c r="C86" s="140"/>
      <c r="D86" s="117"/>
      <c r="E86" s="117"/>
      <c r="F86" s="117"/>
      <c r="G86" s="117"/>
      <c r="H86" s="117"/>
      <c r="I86" s="117"/>
      <c r="J86" s="119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22">
        <f t="shared" si="1"/>
        <v>0</v>
      </c>
      <c r="X86" s="117"/>
      <c r="Y86" s="117"/>
      <c r="Z86" s="120">
        <f t="shared" si="2"/>
        <v>0</v>
      </c>
      <c r="AA86" s="132"/>
      <c r="AB86" s="133"/>
      <c r="AC86" s="125">
        <f t="shared" si="3"/>
        <v>0</v>
      </c>
      <c r="AD86" s="133"/>
      <c r="AF86" s="143"/>
      <c r="AG86" s="133"/>
      <c r="AH86" s="133"/>
      <c r="AI86" s="133"/>
      <c r="AJ86" s="133"/>
    </row>
    <row r="87" ht="22.5" hidden="1" customHeight="1">
      <c r="A87" s="3"/>
      <c r="B87" s="3"/>
      <c r="C87" s="140"/>
      <c r="D87" s="117"/>
      <c r="E87" s="117"/>
      <c r="F87" s="117"/>
      <c r="G87" s="117"/>
      <c r="H87" s="117"/>
      <c r="I87" s="117"/>
      <c r="J87" s="119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22">
        <f t="shared" si="1"/>
        <v>0</v>
      </c>
      <c r="X87" s="117"/>
      <c r="Y87" s="117"/>
      <c r="Z87" s="120">
        <f t="shared" si="2"/>
        <v>0</v>
      </c>
      <c r="AA87" s="132"/>
      <c r="AB87" s="133"/>
      <c r="AC87" s="125">
        <f t="shared" si="3"/>
        <v>0</v>
      </c>
      <c r="AD87" s="133"/>
      <c r="AF87" s="143"/>
      <c r="AG87" s="133"/>
      <c r="AH87" s="133"/>
      <c r="AI87" s="133"/>
      <c r="AJ87" s="133"/>
    </row>
    <row r="88" ht="22.5" hidden="1" customHeight="1">
      <c r="A88" s="3"/>
      <c r="B88" s="3"/>
      <c r="C88" s="140"/>
      <c r="D88" s="117"/>
      <c r="E88" s="117"/>
      <c r="F88" s="117"/>
      <c r="G88" s="117"/>
      <c r="H88" s="117"/>
      <c r="I88" s="117"/>
      <c r="J88" s="119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22">
        <f t="shared" si="1"/>
        <v>0</v>
      </c>
      <c r="X88" s="117"/>
      <c r="Y88" s="117"/>
      <c r="Z88" s="120">
        <f t="shared" si="2"/>
        <v>0</v>
      </c>
      <c r="AA88" s="132"/>
      <c r="AB88" s="133"/>
      <c r="AC88" s="125">
        <f t="shared" si="3"/>
        <v>0</v>
      </c>
      <c r="AD88" s="133"/>
      <c r="AF88" s="143"/>
      <c r="AG88" s="133"/>
      <c r="AH88" s="133"/>
      <c r="AI88" s="133"/>
      <c r="AJ88" s="133"/>
    </row>
    <row r="89" ht="22.5" hidden="1" customHeight="1">
      <c r="A89" s="3"/>
      <c r="B89" s="3"/>
      <c r="C89" s="140"/>
      <c r="D89" s="117"/>
      <c r="E89" s="117"/>
      <c r="F89" s="117"/>
      <c r="G89" s="117"/>
      <c r="H89" s="117"/>
      <c r="I89" s="117"/>
      <c r="J89" s="119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22">
        <f t="shared" si="1"/>
        <v>0</v>
      </c>
      <c r="X89" s="117"/>
      <c r="Y89" s="117"/>
      <c r="Z89" s="120">
        <f t="shared" si="2"/>
        <v>0</v>
      </c>
      <c r="AA89" s="132"/>
      <c r="AB89" s="133"/>
      <c r="AC89" s="125">
        <f t="shared" si="3"/>
        <v>0</v>
      </c>
      <c r="AD89" s="133"/>
      <c r="AF89" s="143"/>
      <c r="AG89" s="133"/>
      <c r="AH89" s="133"/>
      <c r="AI89" s="133"/>
      <c r="AJ89" s="133"/>
    </row>
    <row r="90" ht="22.5" hidden="1" customHeight="1">
      <c r="A90" s="3"/>
      <c r="B90" s="3"/>
      <c r="C90" s="140"/>
      <c r="D90" s="117"/>
      <c r="E90" s="117"/>
      <c r="F90" s="117"/>
      <c r="G90" s="117"/>
      <c r="H90" s="117"/>
      <c r="I90" s="117"/>
      <c r="J90" s="119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22">
        <f t="shared" si="1"/>
        <v>0</v>
      </c>
      <c r="X90" s="117"/>
      <c r="Y90" s="117"/>
      <c r="Z90" s="120">
        <f t="shared" si="2"/>
        <v>0</v>
      </c>
      <c r="AA90" s="132"/>
      <c r="AB90" s="133"/>
      <c r="AC90" s="125">
        <f t="shared" si="3"/>
        <v>0</v>
      </c>
      <c r="AD90" s="133"/>
      <c r="AF90" s="143"/>
      <c r="AG90" s="133"/>
      <c r="AH90" s="133"/>
      <c r="AI90" s="133"/>
      <c r="AJ90" s="133"/>
    </row>
    <row r="91" ht="22.5" hidden="1" customHeight="1">
      <c r="A91" s="3"/>
      <c r="B91" s="3"/>
      <c r="C91" s="140"/>
      <c r="D91" s="117"/>
      <c r="E91" s="117"/>
      <c r="F91" s="117"/>
      <c r="G91" s="117"/>
      <c r="H91" s="117"/>
      <c r="I91" s="117"/>
      <c r="J91" s="119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22">
        <f t="shared" si="1"/>
        <v>0</v>
      </c>
      <c r="X91" s="117"/>
      <c r="Y91" s="117"/>
      <c r="Z91" s="120">
        <f t="shared" si="2"/>
        <v>0</v>
      </c>
      <c r="AA91" s="132"/>
      <c r="AB91" s="133"/>
      <c r="AC91" s="125">
        <f t="shared" si="3"/>
        <v>0</v>
      </c>
      <c r="AD91" s="133"/>
      <c r="AF91" s="143"/>
      <c r="AG91" s="133"/>
      <c r="AH91" s="133"/>
      <c r="AI91" s="133"/>
      <c r="AJ91" s="133"/>
    </row>
    <row r="92" ht="22.5" hidden="1" customHeight="1">
      <c r="A92" s="3"/>
      <c r="B92" s="3"/>
      <c r="C92" s="140"/>
      <c r="D92" s="117"/>
      <c r="E92" s="117"/>
      <c r="F92" s="117"/>
      <c r="G92" s="117"/>
      <c r="H92" s="117"/>
      <c r="I92" s="117"/>
      <c r="J92" s="119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22">
        <f t="shared" si="1"/>
        <v>0</v>
      </c>
      <c r="X92" s="117"/>
      <c r="Y92" s="117"/>
      <c r="Z92" s="120">
        <f t="shared" si="2"/>
        <v>0</v>
      </c>
      <c r="AA92" s="132"/>
      <c r="AB92" s="133"/>
      <c r="AC92" s="125">
        <f t="shared" si="3"/>
        <v>0</v>
      </c>
      <c r="AD92" s="133"/>
      <c r="AF92" s="143"/>
      <c r="AG92" s="133"/>
      <c r="AH92" s="133"/>
      <c r="AI92" s="133"/>
      <c r="AJ92" s="133"/>
    </row>
    <row r="93" ht="22.5" hidden="1" customHeight="1">
      <c r="A93" s="3"/>
      <c r="B93" s="3"/>
      <c r="C93" s="140"/>
      <c r="D93" s="117"/>
      <c r="E93" s="117"/>
      <c r="F93" s="117"/>
      <c r="G93" s="117"/>
      <c r="H93" s="117"/>
      <c r="I93" s="117"/>
      <c r="J93" s="119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22">
        <f t="shared" si="1"/>
        <v>0</v>
      </c>
      <c r="X93" s="117"/>
      <c r="Y93" s="117"/>
      <c r="Z93" s="120">
        <f t="shared" si="2"/>
        <v>0</v>
      </c>
      <c r="AA93" s="132"/>
      <c r="AB93" s="133"/>
      <c r="AC93" s="125">
        <f t="shared" si="3"/>
        <v>0</v>
      </c>
      <c r="AD93" s="133"/>
      <c r="AF93" s="143"/>
      <c r="AG93" s="133"/>
      <c r="AH93" s="133"/>
      <c r="AI93" s="133"/>
      <c r="AJ93" s="133"/>
    </row>
    <row r="94" ht="22.5" hidden="1" customHeight="1">
      <c r="A94" s="3"/>
      <c r="B94" s="3"/>
      <c r="C94" s="140"/>
      <c r="D94" s="117"/>
      <c r="E94" s="117"/>
      <c r="F94" s="117"/>
      <c r="G94" s="117"/>
      <c r="H94" s="117"/>
      <c r="I94" s="117"/>
      <c r="J94" s="119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22">
        <f t="shared" si="1"/>
        <v>0</v>
      </c>
      <c r="X94" s="117"/>
      <c r="Y94" s="117"/>
      <c r="Z94" s="120">
        <f t="shared" si="2"/>
        <v>0</v>
      </c>
      <c r="AA94" s="132"/>
      <c r="AB94" s="133"/>
      <c r="AC94" s="125">
        <f t="shared" si="3"/>
        <v>0</v>
      </c>
      <c r="AD94" s="133"/>
      <c r="AF94" s="143"/>
      <c r="AG94" s="133"/>
      <c r="AH94" s="133"/>
      <c r="AI94" s="133"/>
      <c r="AJ94" s="133"/>
    </row>
    <row r="95" ht="22.5" hidden="1" customHeight="1">
      <c r="A95" s="3"/>
      <c r="B95" s="3"/>
      <c r="C95" s="140"/>
      <c r="D95" s="117"/>
      <c r="E95" s="117"/>
      <c r="F95" s="117"/>
      <c r="G95" s="117"/>
      <c r="H95" s="117"/>
      <c r="I95" s="117"/>
      <c r="J95" s="119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22">
        <f t="shared" si="1"/>
        <v>0</v>
      </c>
      <c r="X95" s="117"/>
      <c r="Y95" s="117"/>
      <c r="Z95" s="120">
        <f t="shared" si="2"/>
        <v>0</v>
      </c>
      <c r="AA95" s="132"/>
      <c r="AB95" s="133"/>
      <c r="AC95" s="125">
        <f t="shared" si="3"/>
        <v>0</v>
      </c>
      <c r="AD95" s="133"/>
      <c r="AF95" s="143"/>
      <c r="AG95" s="133"/>
      <c r="AH95" s="133"/>
      <c r="AI95" s="133"/>
      <c r="AJ95" s="133"/>
    </row>
    <row r="96" ht="22.5" hidden="1" customHeight="1">
      <c r="A96" s="3"/>
      <c r="B96" s="3"/>
      <c r="C96" s="140"/>
      <c r="D96" s="117"/>
      <c r="E96" s="117"/>
      <c r="F96" s="117"/>
      <c r="G96" s="117"/>
      <c r="H96" s="117"/>
      <c r="I96" s="117"/>
      <c r="J96" s="119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22">
        <f t="shared" si="1"/>
        <v>0</v>
      </c>
      <c r="X96" s="117"/>
      <c r="Y96" s="117"/>
      <c r="Z96" s="120">
        <f t="shared" si="2"/>
        <v>0</v>
      </c>
      <c r="AA96" s="132"/>
      <c r="AB96" s="133"/>
      <c r="AC96" s="125">
        <f t="shared" si="3"/>
        <v>0</v>
      </c>
      <c r="AD96" s="133"/>
      <c r="AF96" s="143"/>
      <c r="AG96" s="133"/>
      <c r="AH96" s="133"/>
      <c r="AI96" s="133"/>
      <c r="AJ96" s="133"/>
    </row>
    <row r="97" ht="22.5" hidden="1" customHeight="1">
      <c r="A97" s="3"/>
      <c r="B97" s="3"/>
      <c r="C97" s="140"/>
      <c r="D97" s="117"/>
      <c r="E97" s="117"/>
      <c r="F97" s="117"/>
      <c r="G97" s="117"/>
      <c r="H97" s="117"/>
      <c r="I97" s="117"/>
      <c r="J97" s="119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22">
        <f t="shared" si="1"/>
        <v>0</v>
      </c>
      <c r="X97" s="117"/>
      <c r="Y97" s="117"/>
      <c r="Z97" s="120">
        <f t="shared" si="2"/>
        <v>0</v>
      </c>
      <c r="AA97" s="132"/>
      <c r="AB97" s="133"/>
      <c r="AC97" s="125">
        <f t="shared" si="3"/>
        <v>0</v>
      </c>
      <c r="AD97" s="133"/>
      <c r="AF97" s="143"/>
      <c r="AG97" s="133"/>
      <c r="AH97" s="133"/>
      <c r="AI97" s="133"/>
      <c r="AJ97" s="133"/>
    </row>
    <row r="98" ht="22.5" hidden="1" customHeight="1">
      <c r="A98" s="3"/>
      <c r="B98" s="3"/>
      <c r="C98" s="140"/>
      <c r="D98" s="117"/>
      <c r="E98" s="117"/>
      <c r="F98" s="117"/>
      <c r="G98" s="117"/>
      <c r="H98" s="117"/>
      <c r="I98" s="117"/>
      <c r="J98" s="119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22">
        <f t="shared" si="1"/>
        <v>0</v>
      </c>
      <c r="X98" s="117"/>
      <c r="Y98" s="117"/>
      <c r="Z98" s="120">
        <f t="shared" si="2"/>
        <v>0</v>
      </c>
      <c r="AA98" s="132"/>
      <c r="AB98" s="133"/>
      <c r="AC98" s="125">
        <f t="shared" si="3"/>
        <v>0</v>
      </c>
      <c r="AD98" s="133"/>
      <c r="AF98" s="143"/>
      <c r="AG98" s="133"/>
      <c r="AH98" s="133"/>
      <c r="AI98" s="133"/>
      <c r="AJ98" s="133"/>
    </row>
    <row r="99" ht="22.5" hidden="1" customHeight="1">
      <c r="A99" s="3"/>
      <c r="B99" s="3"/>
      <c r="C99" s="140"/>
      <c r="D99" s="117"/>
      <c r="E99" s="117"/>
      <c r="F99" s="117"/>
      <c r="G99" s="117"/>
      <c r="H99" s="117"/>
      <c r="I99" s="117"/>
      <c r="J99" s="119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22">
        <f t="shared" si="1"/>
        <v>0</v>
      </c>
      <c r="X99" s="117"/>
      <c r="Y99" s="117"/>
      <c r="Z99" s="120">
        <f t="shared" si="2"/>
        <v>0</v>
      </c>
      <c r="AA99" s="132"/>
      <c r="AB99" s="133"/>
      <c r="AC99" s="125">
        <f t="shared" si="3"/>
        <v>0</v>
      </c>
      <c r="AD99" s="133"/>
      <c r="AF99" s="143"/>
      <c r="AG99" s="133"/>
      <c r="AH99" s="133"/>
      <c r="AI99" s="133"/>
      <c r="AJ99" s="133"/>
    </row>
    <row r="100" ht="22.5" hidden="1" customHeight="1">
      <c r="A100" s="3"/>
      <c r="B100" s="3"/>
      <c r="C100" s="140"/>
      <c r="D100" s="117"/>
      <c r="E100" s="117"/>
      <c r="F100" s="117"/>
      <c r="G100" s="117"/>
      <c r="H100" s="117"/>
      <c r="I100" s="117"/>
      <c r="J100" s="119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22">
        <f t="shared" si="1"/>
        <v>0</v>
      </c>
      <c r="X100" s="117"/>
      <c r="Y100" s="117"/>
      <c r="Z100" s="120">
        <f t="shared" si="2"/>
        <v>0</v>
      </c>
      <c r="AA100" s="132"/>
      <c r="AB100" s="133"/>
      <c r="AC100" s="125">
        <f t="shared" si="3"/>
        <v>0</v>
      </c>
      <c r="AD100" s="133"/>
      <c r="AF100" s="143"/>
      <c r="AG100" s="133"/>
      <c r="AH100" s="133"/>
      <c r="AI100" s="133"/>
      <c r="AJ100" s="133"/>
    </row>
    <row r="101" ht="22.5" hidden="1" customHeight="1">
      <c r="A101" s="3"/>
      <c r="B101" s="3"/>
      <c r="C101" s="140"/>
      <c r="D101" s="117"/>
      <c r="E101" s="117"/>
      <c r="F101" s="117"/>
      <c r="G101" s="117"/>
      <c r="H101" s="117"/>
      <c r="I101" s="117"/>
      <c r="J101" s="119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22">
        <f t="shared" si="1"/>
        <v>0</v>
      </c>
      <c r="X101" s="117"/>
      <c r="Y101" s="117"/>
      <c r="Z101" s="120">
        <f t="shared" si="2"/>
        <v>0</v>
      </c>
      <c r="AA101" s="132"/>
      <c r="AB101" s="133"/>
      <c r="AC101" s="125">
        <f t="shared" si="3"/>
        <v>0</v>
      </c>
      <c r="AD101" s="133"/>
      <c r="AF101" s="143"/>
      <c r="AG101" s="133"/>
      <c r="AH101" s="133"/>
      <c r="AI101" s="133"/>
      <c r="AJ101" s="133"/>
    </row>
    <row r="102" ht="22.5" hidden="1" customHeight="1">
      <c r="A102" s="3"/>
      <c r="B102" s="3"/>
      <c r="C102" s="140"/>
      <c r="D102" s="117"/>
      <c r="E102" s="117"/>
      <c r="F102" s="117"/>
      <c r="G102" s="117"/>
      <c r="H102" s="117"/>
      <c r="I102" s="117"/>
      <c r="J102" s="119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22">
        <f t="shared" si="1"/>
        <v>0</v>
      </c>
      <c r="X102" s="117"/>
      <c r="Y102" s="117"/>
      <c r="Z102" s="120">
        <f t="shared" si="2"/>
        <v>0</v>
      </c>
      <c r="AA102" s="132"/>
      <c r="AB102" s="133"/>
      <c r="AC102" s="125">
        <f t="shared" si="3"/>
        <v>0</v>
      </c>
      <c r="AD102" s="133"/>
      <c r="AF102" s="143"/>
      <c r="AG102" s="133"/>
      <c r="AH102" s="133"/>
      <c r="AI102" s="133"/>
      <c r="AJ102" s="133"/>
    </row>
    <row r="103" ht="22.5" hidden="1" customHeight="1">
      <c r="A103" s="3"/>
      <c r="B103" s="3"/>
      <c r="C103" s="140"/>
      <c r="D103" s="117"/>
      <c r="E103" s="117"/>
      <c r="F103" s="117"/>
      <c r="G103" s="117"/>
      <c r="H103" s="117"/>
      <c r="I103" s="117"/>
      <c r="J103" s="119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22">
        <f t="shared" si="1"/>
        <v>0</v>
      </c>
      <c r="X103" s="117"/>
      <c r="Y103" s="117"/>
      <c r="Z103" s="120">
        <f t="shared" si="2"/>
        <v>0</v>
      </c>
      <c r="AA103" s="132"/>
      <c r="AB103" s="133"/>
      <c r="AC103" s="125">
        <f t="shared" si="3"/>
        <v>0</v>
      </c>
      <c r="AD103" s="133"/>
      <c r="AF103" s="143"/>
      <c r="AG103" s="133"/>
      <c r="AH103" s="133"/>
      <c r="AI103" s="133"/>
      <c r="AJ103" s="133"/>
    </row>
    <row r="104" ht="22.5" hidden="1" customHeight="1">
      <c r="A104" s="3"/>
      <c r="B104" s="3"/>
      <c r="C104" s="140"/>
      <c r="D104" s="117"/>
      <c r="E104" s="117"/>
      <c r="F104" s="117"/>
      <c r="G104" s="117"/>
      <c r="H104" s="117"/>
      <c r="I104" s="117"/>
      <c r="J104" s="119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22">
        <f t="shared" si="1"/>
        <v>0</v>
      </c>
      <c r="X104" s="117"/>
      <c r="Y104" s="117"/>
      <c r="Z104" s="120">
        <f t="shared" si="2"/>
        <v>0</v>
      </c>
      <c r="AA104" s="132"/>
      <c r="AB104" s="133"/>
      <c r="AC104" s="125">
        <f t="shared" si="3"/>
        <v>0</v>
      </c>
      <c r="AD104" s="133"/>
      <c r="AF104" s="143"/>
      <c r="AG104" s="133"/>
      <c r="AH104" s="133"/>
      <c r="AI104" s="133"/>
      <c r="AJ104" s="133"/>
    </row>
    <row r="105" ht="22.5" hidden="1" customHeight="1">
      <c r="A105" s="3"/>
      <c r="B105" s="3"/>
      <c r="C105" s="140"/>
      <c r="D105" s="117"/>
      <c r="E105" s="117"/>
      <c r="F105" s="117"/>
      <c r="G105" s="117"/>
      <c r="H105" s="117"/>
      <c r="I105" s="117"/>
      <c r="J105" s="119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22">
        <f t="shared" si="1"/>
        <v>0</v>
      </c>
      <c r="X105" s="117"/>
      <c r="Y105" s="117"/>
      <c r="Z105" s="120">
        <f t="shared" si="2"/>
        <v>0</v>
      </c>
      <c r="AA105" s="132"/>
      <c r="AB105" s="133"/>
      <c r="AC105" s="125">
        <f t="shared" si="3"/>
        <v>0</v>
      </c>
      <c r="AD105" s="133"/>
      <c r="AF105" s="143"/>
      <c r="AG105" s="133"/>
      <c r="AH105" s="133"/>
      <c r="AI105" s="133"/>
      <c r="AJ105" s="133"/>
    </row>
    <row r="106" ht="22.5" hidden="1" customHeight="1">
      <c r="A106" s="3"/>
      <c r="B106" s="3"/>
      <c r="C106" s="140"/>
      <c r="D106" s="117"/>
      <c r="E106" s="117"/>
      <c r="F106" s="117"/>
      <c r="G106" s="117"/>
      <c r="H106" s="117"/>
      <c r="I106" s="117"/>
      <c r="J106" s="119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22">
        <f t="shared" si="1"/>
        <v>0</v>
      </c>
      <c r="X106" s="117"/>
      <c r="Y106" s="117"/>
      <c r="Z106" s="120">
        <f t="shared" si="2"/>
        <v>0</v>
      </c>
      <c r="AA106" s="132"/>
      <c r="AB106" s="133"/>
      <c r="AC106" s="125">
        <f t="shared" si="3"/>
        <v>0</v>
      </c>
      <c r="AD106" s="133"/>
      <c r="AF106" s="143"/>
      <c r="AG106" s="133"/>
      <c r="AH106" s="133"/>
      <c r="AI106" s="133"/>
      <c r="AJ106" s="133"/>
    </row>
    <row r="107" ht="22.5" hidden="1" customHeight="1">
      <c r="A107" s="3"/>
      <c r="B107" s="3"/>
      <c r="C107" s="140"/>
      <c r="D107" s="117"/>
      <c r="E107" s="117"/>
      <c r="F107" s="117"/>
      <c r="G107" s="117"/>
      <c r="H107" s="117"/>
      <c r="I107" s="117"/>
      <c r="J107" s="119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22">
        <f t="shared" si="1"/>
        <v>0</v>
      </c>
      <c r="X107" s="117"/>
      <c r="Y107" s="117"/>
      <c r="Z107" s="120">
        <f t="shared" si="2"/>
        <v>0</v>
      </c>
      <c r="AA107" s="132"/>
      <c r="AB107" s="133"/>
      <c r="AC107" s="125">
        <f t="shared" si="3"/>
        <v>0</v>
      </c>
      <c r="AD107" s="133"/>
      <c r="AF107" s="143"/>
      <c r="AG107" s="133"/>
      <c r="AH107" s="133"/>
      <c r="AI107" s="133"/>
      <c r="AJ107" s="133"/>
    </row>
    <row r="108" ht="22.5" hidden="1" customHeight="1">
      <c r="A108" s="3"/>
      <c r="B108" s="3"/>
      <c r="C108" s="140"/>
      <c r="D108" s="117"/>
      <c r="E108" s="117"/>
      <c r="F108" s="117"/>
      <c r="G108" s="117"/>
      <c r="H108" s="117"/>
      <c r="I108" s="117"/>
      <c r="J108" s="119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22">
        <f t="shared" si="1"/>
        <v>0</v>
      </c>
      <c r="X108" s="117"/>
      <c r="Y108" s="117"/>
      <c r="Z108" s="120">
        <f t="shared" si="2"/>
        <v>0</v>
      </c>
      <c r="AA108" s="132"/>
      <c r="AB108" s="133"/>
      <c r="AC108" s="125">
        <f t="shared" si="3"/>
        <v>0</v>
      </c>
      <c r="AD108" s="133"/>
      <c r="AF108" s="143"/>
      <c r="AG108" s="133"/>
      <c r="AH108" s="133"/>
      <c r="AI108" s="133"/>
      <c r="AJ108" s="133"/>
    </row>
    <row r="109" ht="22.5" customHeight="1">
      <c r="A109" s="3"/>
      <c r="B109" s="3"/>
      <c r="C109" s="140"/>
      <c r="D109" s="117"/>
      <c r="E109" s="117"/>
      <c r="F109" s="117"/>
      <c r="G109" s="117"/>
      <c r="H109" s="117"/>
      <c r="I109" s="117"/>
      <c r="J109" s="119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22">
        <f t="shared" si="1"/>
        <v>0</v>
      </c>
      <c r="X109" s="117"/>
      <c r="Y109" s="117"/>
      <c r="Z109" s="120">
        <f t="shared" si="2"/>
        <v>0</v>
      </c>
      <c r="AA109" s="132"/>
      <c r="AB109" s="133"/>
      <c r="AC109" s="125">
        <f t="shared" si="3"/>
        <v>0</v>
      </c>
      <c r="AD109" s="133"/>
      <c r="AF109" s="143"/>
      <c r="AG109" s="133"/>
      <c r="AH109" s="133"/>
      <c r="AI109" s="133"/>
      <c r="AJ109" s="133"/>
    </row>
    <row r="110" ht="22.5" customHeight="1">
      <c r="A110" s="113" t="s">
        <v>122</v>
      </c>
      <c r="B110" s="113"/>
      <c r="C110" s="120"/>
      <c r="D110" s="120">
        <f t="shared" ref="D110:V110" si="4">SUM(D3:D109)</f>
        <v>40000</v>
      </c>
      <c r="E110" s="120">
        <f t="shared" si="4"/>
        <v>5000</v>
      </c>
      <c r="F110" s="120">
        <f t="shared" si="4"/>
        <v>5000</v>
      </c>
      <c r="G110" s="120">
        <f t="shared" si="4"/>
        <v>2000</v>
      </c>
      <c r="H110" s="120">
        <f t="shared" si="4"/>
        <v>0</v>
      </c>
      <c r="I110" s="120">
        <f t="shared" si="4"/>
        <v>44000</v>
      </c>
      <c r="J110" s="135">
        <f t="shared" si="4"/>
        <v>0</v>
      </c>
      <c r="K110" s="120">
        <f t="shared" si="4"/>
        <v>0</v>
      </c>
      <c r="L110" s="120">
        <f t="shared" si="4"/>
        <v>0</v>
      </c>
      <c r="M110" s="120">
        <f t="shared" si="4"/>
        <v>10000</v>
      </c>
      <c r="N110" s="120">
        <f t="shared" si="4"/>
        <v>0</v>
      </c>
      <c r="O110" s="120">
        <f t="shared" si="4"/>
        <v>0</v>
      </c>
      <c r="P110" s="120">
        <f t="shared" si="4"/>
        <v>0</v>
      </c>
      <c r="Q110" s="120">
        <f t="shared" si="4"/>
        <v>0</v>
      </c>
      <c r="R110" s="120">
        <f t="shared" si="4"/>
        <v>0</v>
      </c>
      <c r="S110" s="120">
        <f t="shared" si="4"/>
        <v>4000</v>
      </c>
      <c r="T110" s="120">
        <f t="shared" si="4"/>
        <v>0</v>
      </c>
      <c r="U110" s="120">
        <f t="shared" si="4"/>
        <v>0</v>
      </c>
      <c r="V110" s="120">
        <f t="shared" si="4"/>
        <v>0</v>
      </c>
      <c r="W110" s="122">
        <f t="shared" si="1"/>
        <v>110000</v>
      </c>
      <c r="X110" s="120">
        <f t="shared" ref="X110:Y110" si="5">SUM(X3:X109)</f>
        <v>0</v>
      </c>
      <c r="Y110" s="120">
        <f t="shared" si="5"/>
        <v>0</v>
      </c>
      <c r="Z110" s="120">
        <f t="shared" si="2"/>
        <v>110000</v>
      </c>
      <c r="AA110" s="124"/>
      <c r="AC110" s="136"/>
    </row>
    <row r="111" ht="15.75" customHeight="1">
      <c r="A111" s="114"/>
      <c r="B111" s="11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AE111" s="137" t="s">
        <v>130</v>
      </c>
    </row>
    <row r="112" ht="15.75" customHeight="1">
      <c r="A112" s="114"/>
      <c r="B112" s="114"/>
      <c r="C112" s="124"/>
      <c r="D112" s="138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ht="15.75" customHeight="1">
      <c r="A113" s="114"/>
      <c r="B113" s="11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</row>
    <row r="114" ht="15.75" customHeight="1">
      <c r="A114" s="114"/>
      <c r="B114" s="11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  <row r="115" ht="15.75" customHeight="1">
      <c r="A115" s="114"/>
      <c r="B115" s="11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</row>
    <row r="116" ht="15.75" customHeight="1">
      <c r="A116" s="114"/>
      <c r="B116" s="11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</row>
    <row r="117" ht="15.75" customHeight="1">
      <c r="A117" s="114"/>
      <c r="B117" s="11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</row>
    <row r="118" ht="15.75" customHeight="1">
      <c r="A118" s="114"/>
      <c r="B118" s="11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</row>
    <row r="119" ht="15.75" customHeight="1">
      <c r="A119" s="114"/>
      <c r="B119" s="11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</row>
    <row r="120" ht="15.75" customHeight="1">
      <c r="A120" s="114"/>
      <c r="B120" s="11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</row>
    <row r="121" ht="15.75" customHeight="1">
      <c r="A121" s="114"/>
      <c r="B121" s="11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</row>
    <row r="122" ht="15.75" customHeight="1">
      <c r="A122" s="114"/>
      <c r="B122" s="11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</row>
    <row r="123" ht="15.75" customHeight="1">
      <c r="A123" s="114"/>
      <c r="B123" s="11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</row>
    <row r="124" ht="15.75" customHeight="1">
      <c r="A124" s="114"/>
      <c r="B124" s="11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</row>
    <row r="125" ht="15.75" customHeight="1">
      <c r="A125" s="114"/>
      <c r="B125" s="11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</row>
    <row r="126" ht="15.75" customHeight="1">
      <c r="A126" s="114"/>
      <c r="B126" s="11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>
      <c r="A228" s="114"/>
      <c r="B228" s="114"/>
    </row>
    <row r="229" ht="15.75" customHeight="1">
      <c r="A229" s="114"/>
      <c r="B229" s="114"/>
    </row>
    <row r="230" ht="15.75" customHeight="1">
      <c r="A230" s="114"/>
      <c r="B230" s="114"/>
    </row>
    <row r="231" ht="15.75" customHeight="1">
      <c r="A231" s="114"/>
      <c r="B231" s="114"/>
    </row>
    <row r="232" ht="15.75" customHeight="1">
      <c r="A232" s="114"/>
      <c r="B232" s="114"/>
    </row>
    <row r="233" ht="15.75" customHeight="1">
      <c r="A233" s="114"/>
      <c r="B233" s="114"/>
    </row>
    <row r="234" ht="15.75" customHeight="1">
      <c r="A234" s="114"/>
      <c r="B234" s="114"/>
    </row>
    <row r="235" ht="15.75" customHeight="1">
      <c r="A235" s="114"/>
      <c r="B235" s="114"/>
    </row>
    <row r="236" ht="15.75" customHeight="1">
      <c r="A236" s="114"/>
      <c r="B236" s="114"/>
    </row>
    <row r="237" ht="15.75" customHeight="1">
      <c r="A237" s="114"/>
      <c r="B237" s="114"/>
    </row>
    <row r="238" ht="15.75" customHeight="1">
      <c r="A238" s="114"/>
      <c r="B238" s="114"/>
    </row>
    <row r="239" ht="15.75" customHeight="1">
      <c r="A239" s="114"/>
      <c r="B239" s="114"/>
    </row>
    <row r="240" ht="15.75" customHeight="1">
      <c r="A240" s="114"/>
      <c r="B240" s="114"/>
    </row>
    <row r="241" ht="15.75" customHeight="1">
      <c r="A241" s="114"/>
      <c r="B241" s="114"/>
    </row>
    <row r="242" ht="15.75" customHeight="1">
      <c r="A242" s="114"/>
      <c r="B242" s="114"/>
    </row>
    <row r="243" ht="15.75" customHeight="1">
      <c r="A243" s="114"/>
      <c r="B243" s="114"/>
    </row>
    <row r="244" ht="15.75" customHeight="1">
      <c r="A244" s="114"/>
      <c r="B244" s="114"/>
    </row>
    <row r="245" ht="15.75" customHeight="1">
      <c r="A245" s="114"/>
      <c r="B245" s="114"/>
    </row>
    <row r="246" ht="15.75" customHeight="1">
      <c r="A246" s="114"/>
      <c r="B246" s="114"/>
    </row>
    <row r="247" ht="15.75" customHeight="1">
      <c r="A247" s="114"/>
      <c r="B247" s="114"/>
    </row>
    <row r="248" ht="15.75" customHeight="1">
      <c r="A248" s="114"/>
      <c r="B248" s="114"/>
    </row>
    <row r="249" ht="15.75" customHeight="1">
      <c r="A249" s="114"/>
      <c r="B249" s="114"/>
    </row>
    <row r="250" ht="15.75" customHeight="1">
      <c r="A250" s="114"/>
      <c r="B250" s="114"/>
    </row>
    <row r="251" ht="15.75" customHeight="1">
      <c r="A251" s="114"/>
      <c r="B251" s="114"/>
    </row>
    <row r="252" ht="15.75" customHeight="1">
      <c r="A252" s="114"/>
      <c r="B252" s="114"/>
    </row>
    <row r="253" ht="15.75" customHeight="1">
      <c r="A253" s="114"/>
      <c r="B253" s="114"/>
    </row>
    <row r="254" ht="15.75" customHeight="1">
      <c r="A254" s="114"/>
      <c r="B254" s="114"/>
    </row>
    <row r="255" ht="15.75" customHeight="1">
      <c r="A255" s="114"/>
      <c r="B255" s="114"/>
    </row>
    <row r="256" ht="15.75" customHeight="1">
      <c r="A256" s="114"/>
      <c r="B256" s="114"/>
    </row>
    <row r="257" ht="15.75" customHeight="1">
      <c r="A257" s="114"/>
      <c r="B257" s="114"/>
    </row>
    <row r="258" ht="15.75" customHeight="1">
      <c r="A258" s="114"/>
      <c r="B258" s="114"/>
    </row>
    <row r="259" ht="15.75" customHeight="1">
      <c r="A259" s="114"/>
      <c r="B259" s="114"/>
    </row>
    <row r="260" ht="15.75" customHeight="1">
      <c r="A260" s="114"/>
      <c r="B260" s="114"/>
    </row>
    <row r="261" ht="15.75" customHeight="1">
      <c r="A261" s="114"/>
      <c r="B261" s="114"/>
    </row>
    <row r="262" ht="15.75" customHeight="1">
      <c r="A262" s="114"/>
      <c r="B262" s="114"/>
    </row>
    <row r="263" ht="15.75" customHeight="1">
      <c r="A263" s="114"/>
      <c r="B263" s="114"/>
    </row>
    <row r="264" ht="15.75" customHeight="1">
      <c r="A264" s="114"/>
      <c r="B264" s="114"/>
    </row>
    <row r="265" ht="15.75" customHeight="1">
      <c r="A265" s="114"/>
      <c r="B265" s="114"/>
    </row>
    <row r="266" ht="15.75" customHeight="1">
      <c r="A266" s="114"/>
      <c r="B266" s="114"/>
    </row>
    <row r="267" ht="15.75" customHeight="1">
      <c r="A267" s="114"/>
      <c r="B267" s="114"/>
    </row>
    <row r="268" ht="15.75" customHeight="1">
      <c r="A268" s="114"/>
      <c r="B268" s="114"/>
    </row>
    <row r="269" ht="15.75" customHeight="1">
      <c r="A269" s="114"/>
      <c r="B269" s="114"/>
    </row>
    <row r="270" ht="15.75" customHeight="1">
      <c r="A270" s="114"/>
      <c r="B270" s="114"/>
    </row>
    <row r="271" ht="15.75" customHeight="1">
      <c r="A271" s="114"/>
      <c r="B271" s="114"/>
    </row>
    <row r="272" ht="15.75" customHeight="1">
      <c r="A272" s="114"/>
      <c r="B272" s="114"/>
    </row>
    <row r="273" ht="15.75" customHeight="1">
      <c r="A273" s="114"/>
      <c r="B273" s="114"/>
    </row>
    <row r="274" ht="15.75" customHeight="1">
      <c r="A274" s="114"/>
      <c r="B274" s="114"/>
    </row>
    <row r="275" ht="15.75" customHeight="1">
      <c r="A275" s="114"/>
      <c r="B275" s="114"/>
    </row>
    <row r="276" ht="15.75" customHeight="1">
      <c r="A276" s="114"/>
      <c r="B276" s="114"/>
    </row>
    <row r="277" ht="15.75" customHeight="1">
      <c r="A277" s="114"/>
      <c r="B277" s="114"/>
    </row>
    <row r="278" ht="15.75" customHeight="1">
      <c r="A278" s="114"/>
      <c r="B278" s="114"/>
    </row>
    <row r="279" ht="15.75" customHeight="1">
      <c r="A279" s="114"/>
      <c r="B279" s="114"/>
    </row>
    <row r="280" ht="15.75" customHeight="1">
      <c r="A280" s="114"/>
      <c r="B280" s="114"/>
    </row>
    <row r="281" ht="15.75" customHeight="1">
      <c r="A281" s="114"/>
      <c r="B281" s="114"/>
    </row>
    <row r="282" ht="15.75" customHeight="1">
      <c r="A282" s="114"/>
      <c r="B282" s="114"/>
    </row>
    <row r="283" ht="15.75" customHeight="1">
      <c r="A283" s="114"/>
      <c r="B283" s="114"/>
    </row>
    <row r="284" ht="15.75" customHeight="1">
      <c r="A284" s="114"/>
      <c r="B284" s="114"/>
    </row>
    <row r="285" ht="15.75" customHeight="1">
      <c r="A285" s="114"/>
      <c r="B285" s="114"/>
    </row>
    <row r="286" ht="15.75" customHeight="1">
      <c r="A286" s="114"/>
      <c r="B286" s="114"/>
    </row>
    <row r="287" ht="15.75" customHeight="1">
      <c r="A287" s="114"/>
      <c r="B287" s="114"/>
    </row>
    <row r="288" ht="15.75" customHeight="1">
      <c r="A288" s="114"/>
      <c r="B288" s="114"/>
    </row>
    <row r="289" ht="15.75" customHeight="1">
      <c r="A289" s="114"/>
      <c r="B289" s="114"/>
    </row>
    <row r="290" ht="15.75" customHeight="1">
      <c r="A290" s="114"/>
      <c r="B290" s="114"/>
    </row>
    <row r="291" ht="15.75" customHeight="1">
      <c r="A291" s="114"/>
      <c r="B291" s="114"/>
    </row>
    <row r="292" ht="15.75" customHeight="1">
      <c r="A292" s="114"/>
      <c r="B292" s="114"/>
    </row>
    <row r="293" ht="15.75" customHeight="1">
      <c r="A293" s="114"/>
      <c r="B293" s="114"/>
    </row>
    <row r="294" ht="15.75" customHeight="1">
      <c r="A294" s="114"/>
      <c r="B294" s="114"/>
    </row>
    <row r="295" ht="15.75" customHeight="1">
      <c r="A295" s="114"/>
      <c r="B295" s="114"/>
    </row>
    <row r="296" ht="15.75" customHeight="1">
      <c r="A296" s="114"/>
      <c r="B296" s="114"/>
    </row>
    <row r="297" ht="15.75" customHeight="1">
      <c r="A297" s="114"/>
      <c r="B297" s="114"/>
    </row>
    <row r="298" ht="15.75" customHeight="1">
      <c r="A298" s="114"/>
      <c r="B298" s="114"/>
    </row>
    <row r="299" ht="15.75" customHeight="1">
      <c r="A299" s="114"/>
      <c r="B299" s="114"/>
    </row>
    <row r="300" ht="15.75" customHeight="1">
      <c r="A300" s="114"/>
      <c r="B300" s="114"/>
    </row>
    <row r="301" ht="15.75" customHeight="1">
      <c r="A301" s="114"/>
      <c r="B301" s="114"/>
    </row>
    <row r="302" ht="15.75" customHeight="1">
      <c r="A302" s="114"/>
      <c r="B302" s="114"/>
    </row>
    <row r="303" ht="15.75" customHeight="1">
      <c r="A303" s="114"/>
      <c r="B303" s="114"/>
    </row>
    <row r="304" ht="15.75" customHeight="1">
      <c r="A304" s="114"/>
      <c r="B304" s="114"/>
    </row>
    <row r="305" ht="15.75" customHeight="1">
      <c r="A305" s="114"/>
      <c r="B305" s="114"/>
    </row>
    <row r="306" ht="15.75" customHeight="1">
      <c r="A306" s="114"/>
      <c r="B306" s="114"/>
    </row>
    <row r="307" ht="15.75" customHeight="1">
      <c r="A307" s="114"/>
      <c r="B307" s="114"/>
    </row>
    <row r="308" ht="15.75" customHeight="1">
      <c r="A308" s="114"/>
      <c r="B308" s="114"/>
    </row>
    <row r="309" ht="15.75" customHeight="1">
      <c r="A309" s="114"/>
      <c r="B309" s="114"/>
    </row>
    <row r="310" ht="15.75" customHeight="1">
      <c r="A310" s="114"/>
      <c r="B310" s="114"/>
    </row>
    <row r="311" ht="15.75" customHeight="1">
      <c r="A311" s="114"/>
      <c r="B311" s="114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110"/>
  <mergeCells count="1">
    <mergeCell ref="A1:B1"/>
  </mergeCells>
  <dataValidations>
    <dataValidation type="list" allowBlank="1" showErrorMessage="1" sqref="AB3:AB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2" width="10.75"/>
    <col customWidth="1" min="23" max="23" width="8.0"/>
    <col customWidth="1" min="24" max="24" width="13.63"/>
  </cols>
  <sheetData>
    <row r="1" ht="15.75" customHeight="1">
      <c r="A1" s="105">
        <v>45869.0</v>
      </c>
      <c r="C1" s="106" t="s">
        <v>75</v>
      </c>
      <c r="D1" s="107"/>
      <c r="U1" s="144" t="s">
        <v>134</v>
      </c>
    </row>
    <row r="2" ht="22.5" customHeight="1">
      <c r="A2" s="1" t="s">
        <v>0</v>
      </c>
      <c r="B2" s="1" t="s">
        <v>1</v>
      </c>
      <c r="C2" s="3" t="s">
        <v>135</v>
      </c>
      <c r="D2" s="109" t="s">
        <v>136</v>
      </c>
      <c r="E2" s="109" t="s">
        <v>137</v>
      </c>
      <c r="F2" s="109" t="s">
        <v>138</v>
      </c>
      <c r="G2" s="109" t="s">
        <v>139</v>
      </c>
      <c r="H2" s="3" t="s">
        <v>106</v>
      </c>
      <c r="I2" s="1" t="s">
        <v>107</v>
      </c>
      <c r="J2" s="1" t="s">
        <v>109</v>
      </c>
      <c r="K2" s="1" t="s">
        <v>110</v>
      </c>
      <c r="L2" s="1" t="s">
        <v>114</v>
      </c>
      <c r="M2" s="1" t="s">
        <v>140</v>
      </c>
      <c r="N2" s="1" t="s">
        <v>141</v>
      </c>
      <c r="O2" s="1" t="s">
        <v>142</v>
      </c>
      <c r="P2" s="1" t="s">
        <v>111</v>
      </c>
      <c r="Q2" s="145" t="s">
        <v>117</v>
      </c>
      <c r="R2" s="145" t="s">
        <v>112</v>
      </c>
      <c r="S2" s="145" t="s">
        <v>143</v>
      </c>
      <c r="T2" s="109" t="s">
        <v>144</v>
      </c>
      <c r="U2" s="145" t="s">
        <v>118</v>
      </c>
      <c r="V2" s="113" t="s">
        <v>122</v>
      </c>
      <c r="W2" s="114" t="s">
        <v>38</v>
      </c>
      <c r="X2" s="146" t="s">
        <v>123</v>
      </c>
      <c r="Y2" s="114"/>
      <c r="Z2" s="114"/>
      <c r="AA2" s="114"/>
      <c r="AB2" s="114"/>
      <c r="AC2" s="114"/>
      <c r="AD2" s="114"/>
      <c r="AE2" s="114"/>
      <c r="AF2" s="114"/>
      <c r="AG2" s="114"/>
      <c r="AH2" s="114"/>
    </row>
    <row r="3" ht="22.5" customHeight="1">
      <c r="A3" s="1" t="s">
        <v>2</v>
      </c>
      <c r="B3" s="1" t="s">
        <v>3</v>
      </c>
      <c r="C3" s="117"/>
      <c r="D3" s="117">
        <v>40000.0</v>
      </c>
      <c r="E3" s="117">
        <v>5000.0</v>
      </c>
      <c r="F3" s="117">
        <v>5000.0</v>
      </c>
      <c r="G3" s="117">
        <v>2000.0</v>
      </c>
      <c r="H3" s="117">
        <v>0.0</v>
      </c>
      <c r="I3" s="117">
        <v>5390.0</v>
      </c>
      <c r="J3" s="117">
        <v>0.0</v>
      </c>
      <c r="K3" s="117">
        <v>0.0</v>
      </c>
      <c r="L3" s="117">
        <v>0.0</v>
      </c>
      <c r="M3" s="117">
        <v>0.0</v>
      </c>
      <c r="N3" s="117">
        <v>0.0</v>
      </c>
      <c r="O3" s="117">
        <v>0.0</v>
      </c>
      <c r="P3" s="117">
        <v>0.0</v>
      </c>
      <c r="Q3" s="117">
        <v>0.0</v>
      </c>
      <c r="R3" s="117">
        <v>0.0</v>
      </c>
      <c r="S3" s="117">
        <v>0.0</v>
      </c>
      <c r="T3" s="129">
        <v>0.0</v>
      </c>
      <c r="U3" s="116"/>
      <c r="V3" s="120">
        <f t="shared" ref="V3:V14" si="1">SUM(D3:U3)</f>
        <v>57390</v>
      </c>
      <c r="W3" s="124"/>
      <c r="X3" s="63" t="s">
        <v>145</v>
      </c>
      <c r="Y3" s="147" t="s">
        <v>146</v>
      </c>
    </row>
    <row r="4" ht="22.5" customHeight="1">
      <c r="A4" s="1" t="s">
        <v>4</v>
      </c>
      <c r="B4" s="1" t="s">
        <v>5</v>
      </c>
      <c r="C4" s="117"/>
      <c r="D4" s="116">
        <v>40000.0</v>
      </c>
      <c r="E4" s="116">
        <v>5000.0</v>
      </c>
      <c r="F4" s="116">
        <v>5000.0</v>
      </c>
      <c r="G4" s="116">
        <v>2000.0</v>
      </c>
      <c r="H4" s="116">
        <v>10000.0</v>
      </c>
      <c r="I4" s="116">
        <v>17050.0</v>
      </c>
      <c r="J4" s="129">
        <v>0.0</v>
      </c>
      <c r="K4" s="129">
        <v>0.0</v>
      </c>
      <c r="L4" s="129">
        <v>0.0</v>
      </c>
      <c r="M4" s="129">
        <v>0.0</v>
      </c>
      <c r="N4" s="129">
        <v>0.0</v>
      </c>
      <c r="O4" s="129">
        <v>0.0</v>
      </c>
      <c r="P4" s="148">
        <v>0.0</v>
      </c>
      <c r="Q4" s="129">
        <v>0.0</v>
      </c>
      <c r="R4" s="129">
        <v>0.0</v>
      </c>
      <c r="S4" s="116">
        <v>0.0</v>
      </c>
      <c r="T4" s="129">
        <v>0.0</v>
      </c>
      <c r="U4" s="116"/>
      <c r="V4" s="120">
        <f t="shared" si="1"/>
        <v>79050</v>
      </c>
      <c r="W4" s="124" t="s">
        <v>129</v>
      </c>
      <c r="X4" s="63" t="s">
        <v>145</v>
      </c>
    </row>
    <row r="5" ht="22.5" customHeight="1">
      <c r="A5" s="1" t="s">
        <v>6</v>
      </c>
      <c r="B5" s="1" t="s">
        <v>132</v>
      </c>
      <c r="C5" s="117"/>
      <c r="D5" s="116">
        <v>40000.0</v>
      </c>
      <c r="E5" s="116">
        <v>5000.0</v>
      </c>
      <c r="F5" s="116">
        <v>5000.0</v>
      </c>
      <c r="G5" s="116">
        <v>2000.0</v>
      </c>
      <c r="H5" s="129">
        <v>0.0</v>
      </c>
      <c r="I5" s="128">
        <v>26521.0</v>
      </c>
      <c r="J5" s="129">
        <v>0.0</v>
      </c>
      <c r="K5" s="129">
        <v>0.0</v>
      </c>
      <c r="L5" s="129">
        <v>0.0</v>
      </c>
      <c r="M5" s="129">
        <v>0.0</v>
      </c>
      <c r="N5" s="129">
        <v>0.0</v>
      </c>
      <c r="O5" s="129">
        <v>0.0</v>
      </c>
      <c r="P5" s="116">
        <v>10000.0</v>
      </c>
      <c r="Q5" s="116">
        <v>0.0</v>
      </c>
      <c r="R5" s="123">
        <v>1500.0</v>
      </c>
      <c r="S5" s="129">
        <v>0.0</v>
      </c>
      <c r="T5" s="116">
        <v>19979.0</v>
      </c>
      <c r="U5" s="116"/>
      <c r="V5" s="120">
        <f t="shared" si="1"/>
        <v>110000</v>
      </c>
      <c r="W5" s="124">
        <v>110000.0</v>
      </c>
      <c r="X5" s="107" t="s">
        <v>145</v>
      </c>
      <c r="Y5" s="63" t="s">
        <v>99</v>
      </c>
    </row>
    <row r="6" ht="22.5" customHeight="1">
      <c r="A6" s="1" t="s">
        <v>7</v>
      </c>
      <c r="B6" s="1" t="s">
        <v>8</v>
      </c>
      <c r="C6" s="117"/>
      <c r="D6" s="116">
        <v>40000.0</v>
      </c>
      <c r="E6" s="116">
        <v>5000.0</v>
      </c>
      <c r="F6" s="116">
        <v>5000.0</v>
      </c>
      <c r="G6" s="116">
        <v>2000.0</v>
      </c>
      <c r="H6" s="116">
        <v>10000.0</v>
      </c>
      <c r="I6" s="129">
        <v>0.0</v>
      </c>
      <c r="J6" s="129">
        <v>0.0</v>
      </c>
      <c r="K6" s="116">
        <f>73*31</f>
        <v>2263</v>
      </c>
      <c r="L6" s="129">
        <v>0.0</v>
      </c>
      <c r="M6" s="129">
        <v>0.0</v>
      </c>
      <c r="N6" s="129">
        <v>0.0</v>
      </c>
      <c r="O6" s="129">
        <v>0.0</v>
      </c>
      <c r="P6" s="129">
        <v>0.0</v>
      </c>
      <c r="Q6" s="129">
        <v>0.0</v>
      </c>
      <c r="R6" s="123">
        <v>1500.0</v>
      </c>
      <c r="S6" s="129">
        <v>0.0</v>
      </c>
      <c r="T6" s="129">
        <v>0.0</v>
      </c>
      <c r="U6" s="116"/>
      <c r="V6" s="120">
        <f t="shared" si="1"/>
        <v>65763</v>
      </c>
      <c r="W6" s="124" t="s">
        <v>129</v>
      </c>
      <c r="X6" s="63" t="s">
        <v>145</v>
      </c>
      <c r="Y6" s="147" t="s">
        <v>147</v>
      </c>
    </row>
    <row r="7" ht="22.5" customHeight="1">
      <c r="A7" s="1" t="s">
        <v>9</v>
      </c>
      <c r="B7" s="1" t="s">
        <v>10</v>
      </c>
      <c r="C7" s="117"/>
      <c r="D7" s="116">
        <v>40000.0</v>
      </c>
      <c r="E7" s="116">
        <v>5000.0</v>
      </c>
      <c r="F7" s="116">
        <v>5000.0</v>
      </c>
      <c r="G7" s="116">
        <v>2000.0</v>
      </c>
      <c r="H7" s="129">
        <v>0.0</v>
      </c>
      <c r="I7" s="128">
        <v>21793.0</v>
      </c>
      <c r="J7" s="129">
        <v>0.0</v>
      </c>
      <c r="K7" s="129">
        <v>0.0</v>
      </c>
      <c r="L7" s="129">
        <v>0.0</v>
      </c>
      <c r="M7" s="129">
        <v>0.0</v>
      </c>
      <c r="N7" s="129">
        <v>0.0</v>
      </c>
      <c r="O7" s="129">
        <v>0.0</v>
      </c>
      <c r="P7" s="116">
        <v>10000.0</v>
      </c>
      <c r="Q7" s="116">
        <v>0.0</v>
      </c>
      <c r="R7" s="129">
        <v>0.0</v>
      </c>
      <c r="S7" s="129">
        <v>0.0</v>
      </c>
      <c r="T7" s="116">
        <v>26207.0</v>
      </c>
      <c r="U7" s="116"/>
      <c r="V7" s="120">
        <f t="shared" si="1"/>
        <v>110000</v>
      </c>
      <c r="W7" s="124">
        <v>110000.0</v>
      </c>
      <c r="X7" s="107" t="s">
        <v>145</v>
      </c>
    </row>
    <row r="8" ht="22.5" customHeight="1">
      <c r="A8" s="1" t="s">
        <v>11</v>
      </c>
      <c r="B8" s="1"/>
      <c r="C8" s="117"/>
      <c r="D8" s="129">
        <v>0.0</v>
      </c>
      <c r="E8" s="129">
        <v>0.0</v>
      </c>
      <c r="F8" s="129">
        <v>0.0</v>
      </c>
      <c r="G8" s="129">
        <v>0.0</v>
      </c>
      <c r="H8" s="129">
        <v>0.0</v>
      </c>
      <c r="I8" s="129">
        <v>0.0</v>
      </c>
      <c r="J8" s="129">
        <v>0.0</v>
      </c>
      <c r="K8" s="129">
        <v>0.0</v>
      </c>
      <c r="L8" s="129">
        <v>0.0</v>
      </c>
      <c r="M8" s="129">
        <v>0.0</v>
      </c>
      <c r="N8" s="129">
        <v>0.0</v>
      </c>
      <c r="O8" s="129">
        <v>0.0</v>
      </c>
      <c r="P8" s="129">
        <v>0.0</v>
      </c>
      <c r="Q8" s="129">
        <v>0.0</v>
      </c>
      <c r="R8" s="129">
        <v>0.0</v>
      </c>
      <c r="S8" s="129">
        <v>0.0</v>
      </c>
      <c r="T8" s="116"/>
      <c r="U8" s="116"/>
      <c r="V8" s="120">
        <f t="shared" si="1"/>
        <v>0</v>
      </c>
      <c r="W8" s="124"/>
      <c r="X8" s="63"/>
    </row>
    <row r="9" ht="22.5" customHeight="1">
      <c r="A9" s="1" t="s">
        <v>12</v>
      </c>
      <c r="B9" s="1" t="s">
        <v>13</v>
      </c>
      <c r="C9" s="117"/>
      <c r="D9" s="116">
        <v>40000.0</v>
      </c>
      <c r="E9" s="116">
        <v>5000.0</v>
      </c>
      <c r="F9" s="116">
        <v>5000.0</v>
      </c>
      <c r="G9" s="116">
        <v>2000.0</v>
      </c>
      <c r="H9" s="129">
        <v>0.0</v>
      </c>
      <c r="I9" s="116">
        <v>16500.0</v>
      </c>
      <c r="J9" s="129">
        <v>0.0</v>
      </c>
      <c r="K9" s="129">
        <v>0.0</v>
      </c>
      <c r="L9" s="129">
        <v>0.0</v>
      </c>
      <c r="M9" s="129">
        <v>0.0</v>
      </c>
      <c r="N9" s="129">
        <v>0.0</v>
      </c>
      <c r="O9" s="129">
        <v>0.0</v>
      </c>
      <c r="P9" s="129">
        <v>0.0</v>
      </c>
      <c r="Q9" s="116">
        <v>19670.0</v>
      </c>
      <c r="R9" s="129">
        <v>0.0</v>
      </c>
      <c r="S9" s="129">
        <v>0.0</v>
      </c>
      <c r="T9" s="129">
        <v>0.0</v>
      </c>
      <c r="U9" s="116"/>
      <c r="V9" s="120">
        <f t="shared" si="1"/>
        <v>88170</v>
      </c>
      <c r="W9" s="124" t="s">
        <v>129</v>
      </c>
      <c r="X9" s="63" t="s">
        <v>145</v>
      </c>
      <c r="Y9" s="63" t="s">
        <v>146</v>
      </c>
    </row>
    <row r="10" ht="22.5" customHeight="1">
      <c r="A10" s="1" t="s">
        <v>14</v>
      </c>
      <c r="B10" s="1" t="s">
        <v>15</v>
      </c>
      <c r="C10" s="117"/>
      <c r="D10" s="116">
        <v>40000.0</v>
      </c>
      <c r="E10" s="116">
        <v>5000.0</v>
      </c>
      <c r="F10" s="116">
        <v>5000.0</v>
      </c>
      <c r="G10" s="116">
        <v>2000.0</v>
      </c>
      <c r="H10" s="129">
        <v>0.0</v>
      </c>
      <c r="I10" s="116">
        <v>44330.0</v>
      </c>
      <c r="J10" s="129">
        <v>0.0</v>
      </c>
      <c r="K10" s="129">
        <v>0.0</v>
      </c>
      <c r="L10" s="129">
        <v>0.0</v>
      </c>
      <c r="M10" s="129">
        <v>0.0</v>
      </c>
      <c r="N10" s="129">
        <v>0.0</v>
      </c>
      <c r="O10" s="129">
        <v>0.0</v>
      </c>
      <c r="P10" s="116">
        <v>20000.0</v>
      </c>
      <c r="Q10" s="129">
        <v>0.0</v>
      </c>
      <c r="R10" s="129">
        <v>0.0</v>
      </c>
      <c r="S10" s="129">
        <v>0.0</v>
      </c>
      <c r="T10" s="129">
        <v>0.0</v>
      </c>
      <c r="U10" s="116"/>
      <c r="V10" s="120">
        <f t="shared" si="1"/>
        <v>116330</v>
      </c>
      <c r="W10" s="124" t="s">
        <v>129</v>
      </c>
      <c r="X10" s="63" t="s">
        <v>145</v>
      </c>
    </row>
    <row r="11" ht="22.5" customHeight="1">
      <c r="A11" s="1" t="s">
        <v>16</v>
      </c>
      <c r="B11" s="1" t="s">
        <v>17</v>
      </c>
      <c r="C11" s="117"/>
      <c r="D11" s="117">
        <v>40000.0</v>
      </c>
      <c r="E11" s="117">
        <v>5000.0</v>
      </c>
      <c r="F11" s="117">
        <v>5000.0</v>
      </c>
      <c r="G11" s="117">
        <v>2000.0</v>
      </c>
      <c r="H11" s="117">
        <v>0.0</v>
      </c>
      <c r="I11" s="117">
        <v>4840.0</v>
      </c>
      <c r="J11" s="117">
        <v>0.0</v>
      </c>
      <c r="K11" s="117">
        <v>0.0</v>
      </c>
      <c r="L11" s="117">
        <v>0.0</v>
      </c>
      <c r="M11" s="117">
        <v>0.0</v>
      </c>
      <c r="N11" s="117">
        <v>0.0</v>
      </c>
      <c r="O11" s="117">
        <v>0.0</v>
      </c>
      <c r="P11" s="117">
        <v>0.0</v>
      </c>
      <c r="Q11" s="117">
        <v>0.0</v>
      </c>
      <c r="R11" s="117">
        <v>0.0</v>
      </c>
      <c r="S11" s="117">
        <v>0.0</v>
      </c>
      <c r="T11" s="116"/>
      <c r="U11" s="116"/>
      <c r="V11" s="120">
        <f t="shared" si="1"/>
        <v>56840</v>
      </c>
      <c r="W11" s="124"/>
      <c r="X11" s="63" t="s">
        <v>145</v>
      </c>
    </row>
    <row r="12" ht="22.5" customHeight="1">
      <c r="A12" s="1" t="s">
        <v>18</v>
      </c>
      <c r="B12" s="1" t="s">
        <v>19</v>
      </c>
      <c r="C12" s="117"/>
      <c r="D12" s="116">
        <v>40000.0</v>
      </c>
      <c r="E12" s="116">
        <v>5000.0</v>
      </c>
      <c r="F12" s="116">
        <v>5000.0</v>
      </c>
      <c r="G12" s="116">
        <v>2000.0</v>
      </c>
      <c r="H12" s="116">
        <v>10000.0</v>
      </c>
      <c r="I12" s="129">
        <v>0.0</v>
      </c>
      <c r="J12" s="116">
        <f>242*31</f>
        <v>7502</v>
      </c>
      <c r="K12" s="129">
        <v>0.0</v>
      </c>
      <c r="L12" s="129">
        <v>0.0</v>
      </c>
      <c r="M12" s="129">
        <v>0.0</v>
      </c>
      <c r="N12" s="149" t="s">
        <v>148</v>
      </c>
      <c r="O12" s="149" t="s">
        <v>148</v>
      </c>
      <c r="P12" s="129">
        <v>0.0</v>
      </c>
      <c r="Q12" s="129">
        <v>0.0</v>
      </c>
      <c r="R12" s="123">
        <v>1500.0</v>
      </c>
      <c r="S12" s="129">
        <v>0.0</v>
      </c>
      <c r="T12" s="116">
        <v>16380.0</v>
      </c>
      <c r="U12" s="116">
        <v>14000.0</v>
      </c>
      <c r="V12" s="120">
        <f t="shared" si="1"/>
        <v>101382</v>
      </c>
      <c r="W12" s="124" t="s">
        <v>129</v>
      </c>
      <c r="X12" s="63" t="s">
        <v>145</v>
      </c>
    </row>
    <row r="13" ht="22.5" customHeight="1">
      <c r="A13" s="1"/>
      <c r="B13" s="1"/>
      <c r="C13" s="117"/>
      <c r="D13" s="129">
        <v>0.0</v>
      </c>
      <c r="E13" s="129">
        <v>0.0</v>
      </c>
      <c r="F13" s="129">
        <v>0.0</v>
      </c>
      <c r="G13" s="129">
        <v>0.0</v>
      </c>
      <c r="H13" s="129">
        <v>0.0</v>
      </c>
      <c r="I13" s="129">
        <v>0.0</v>
      </c>
      <c r="J13" s="129">
        <v>0.0</v>
      </c>
      <c r="K13" s="129">
        <v>0.0</v>
      </c>
      <c r="L13" s="129">
        <v>0.0</v>
      </c>
      <c r="M13" s="129">
        <v>0.0</v>
      </c>
      <c r="N13" s="129">
        <v>0.0</v>
      </c>
      <c r="O13" s="129">
        <v>0.0</v>
      </c>
      <c r="P13" s="129">
        <v>0.0</v>
      </c>
      <c r="Q13" s="129">
        <v>0.0</v>
      </c>
      <c r="R13" s="129">
        <v>0.0</v>
      </c>
      <c r="S13" s="129">
        <v>0.0</v>
      </c>
      <c r="T13" s="116"/>
      <c r="U13" s="116"/>
      <c r="V13" s="120">
        <f t="shared" si="1"/>
        <v>0</v>
      </c>
      <c r="W13" s="124"/>
      <c r="X13" s="63"/>
    </row>
    <row r="14" ht="22.5" customHeight="1">
      <c r="A14" s="113" t="s">
        <v>122</v>
      </c>
      <c r="B14" s="113"/>
      <c r="C14" s="120"/>
      <c r="D14" s="120">
        <f t="shared" ref="D14:U14" si="2">SUM(D3:D13)</f>
        <v>360000</v>
      </c>
      <c r="E14" s="120">
        <f t="shared" si="2"/>
        <v>45000</v>
      </c>
      <c r="F14" s="120">
        <f t="shared" si="2"/>
        <v>45000</v>
      </c>
      <c r="G14" s="120">
        <f t="shared" si="2"/>
        <v>18000</v>
      </c>
      <c r="H14" s="120">
        <f t="shared" si="2"/>
        <v>30000</v>
      </c>
      <c r="I14" s="120">
        <f t="shared" si="2"/>
        <v>136424</v>
      </c>
      <c r="J14" s="120">
        <f t="shared" si="2"/>
        <v>7502</v>
      </c>
      <c r="K14" s="120">
        <f t="shared" si="2"/>
        <v>2263</v>
      </c>
      <c r="L14" s="120">
        <f t="shared" si="2"/>
        <v>0</v>
      </c>
      <c r="M14" s="120">
        <f t="shared" si="2"/>
        <v>0</v>
      </c>
      <c r="N14" s="120">
        <f t="shared" si="2"/>
        <v>0</v>
      </c>
      <c r="O14" s="120">
        <f t="shared" si="2"/>
        <v>0</v>
      </c>
      <c r="P14" s="120">
        <f t="shared" si="2"/>
        <v>40000</v>
      </c>
      <c r="Q14" s="120">
        <f t="shared" si="2"/>
        <v>19670</v>
      </c>
      <c r="R14" s="120">
        <f t="shared" si="2"/>
        <v>4500</v>
      </c>
      <c r="S14" s="120">
        <f t="shared" si="2"/>
        <v>0</v>
      </c>
      <c r="T14" s="120">
        <f t="shared" si="2"/>
        <v>62566</v>
      </c>
      <c r="U14" s="120">
        <f t="shared" si="2"/>
        <v>14000</v>
      </c>
      <c r="V14" s="120">
        <f t="shared" si="1"/>
        <v>784925</v>
      </c>
      <c r="W14" s="124"/>
    </row>
    <row r="15" ht="15.75" customHeight="1">
      <c r="A15" s="114"/>
      <c r="B15" s="11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</row>
    <row r="16" ht="15.75" customHeight="1">
      <c r="A16" s="114"/>
      <c r="B16" s="114"/>
      <c r="C16" s="124"/>
      <c r="D16" s="132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</row>
    <row r="17" ht="15.75" customHeight="1">
      <c r="A17" s="114"/>
      <c r="B17" s="11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</row>
    <row r="18" ht="15.75" customHeight="1">
      <c r="A18" s="114"/>
      <c r="B18" s="11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</row>
    <row r="19" ht="15.75" customHeight="1">
      <c r="A19" s="114"/>
      <c r="B19" s="11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</row>
    <row r="20" ht="15.75" customHeight="1">
      <c r="A20" s="114"/>
      <c r="B20" s="11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</row>
    <row r="21" ht="15.75" customHeight="1">
      <c r="A21" s="114"/>
      <c r="B21" s="11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</row>
    <row r="22" ht="15.75" customHeight="1">
      <c r="A22" s="114"/>
      <c r="B22" s="11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</row>
    <row r="23" ht="15.75" customHeight="1">
      <c r="A23" s="114"/>
      <c r="B23" s="11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</row>
    <row r="24" ht="15.75" customHeight="1">
      <c r="A24" s="114"/>
      <c r="B24" s="11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</row>
    <row r="25" ht="15.75" customHeight="1">
      <c r="A25" s="114"/>
      <c r="B25" s="11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</row>
    <row r="26" ht="15.75" customHeight="1">
      <c r="A26" s="114"/>
      <c r="B26" s="11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</row>
    <row r="27" ht="15.75" customHeight="1">
      <c r="A27" s="114"/>
      <c r="B27" s="11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</row>
    <row r="28" ht="15.75" customHeight="1">
      <c r="A28" s="114"/>
      <c r="B28" s="11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</row>
    <row r="29" ht="15.75" customHeight="1">
      <c r="A29" s="114"/>
      <c r="B29" s="11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</row>
    <row r="30" ht="15.75" customHeight="1">
      <c r="A30" s="114"/>
      <c r="B30" s="11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</row>
    <row r="31" ht="15.75" customHeight="1">
      <c r="A31" s="114"/>
      <c r="B31" s="114"/>
    </row>
    <row r="32" ht="15.75" customHeight="1">
      <c r="A32" s="114"/>
      <c r="B32" s="114"/>
    </row>
    <row r="33" ht="15.75" customHeight="1">
      <c r="A33" s="114"/>
      <c r="B33" s="114"/>
    </row>
    <row r="34" ht="15.75" customHeight="1">
      <c r="A34" s="114"/>
      <c r="B34" s="114"/>
    </row>
    <row r="35" ht="15.75" customHeight="1">
      <c r="A35" s="114"/>
      <c r="B35" s="114"/>
    </row>
    <row r="36" ht="15.75" customHeight="1">
      <c r="A36" s="114"/>
      <c r="B36" s="114"/>
    </row>
    <row r="37" ht="15.75" customHeight="1">
      <c r="A37" s="114"/>
      <c r="B37" s="114"/>
    </row>
    <row r="38" ht="15.75" customHeight="1">
      <c r="A38" s="114"/>
      <c r="B38" s="114"/>
    </row>
    <row r="39" ht="15.75" customHeight="1">
      <c r="A39" s="114"/>
      <c r="B39" s="114"/>
    </row>
    <row r="40" ht="15.75" customHeight="1">
      <c r="A40" s="114"/>
      <c r="B40" s="114"/>
    </row>
    <row r="41" ht="15.75" customHeight="1">
      <c r="A41" s="114"/>
      <c r="B41" s="114"/>
    </row>
    <row r="42" ht="15.75" customHeight="1">
      <c r="A42" s="114"/>
      <c r="B42" s="114"/>
    </row>
    <row r="43" ht="15.75" customHeight="1">
      <c r="A43" s="114"/>
      <c r="B43" s="114"/>
    </row>
    <row r="44" ht="15.75" customHeight="1">
      <c r="A44" s="114"/>
      <c r="B44" s="114"/>
    </row>
    <row r="45" ht="15.75" customHeight="1">
      <c r="A45" s="114"/>
      <c r="B45" s="114"/>
    </row>
    <row r="46" ht="15.75" customHeight="1">
      <c r="A46" s="114"/>
      <c r="B46" s="114"/>
    </row>
    <row r="47" ht="15.75" customHeight="1">
      <c r="A47" s="114"/>
      <c r="B47" s="114"/>
    </row>
    <row r="48" ht="15.75" customHeight="1">
      <c r="A48" s="114"/>
      <c r="B48" s="114"/>
    </row>
    <row r="49" ht="15.75" customHeight="1">
      <c r="A49" s="114"/>
      <c r="B49" s="114"/>
    </row>
    <row r="50" ht="15.75" customHeight="1">
      <c r="A50" s="114"/>
      <c r="B50" s="114"/>
    </row>
    <row r="51" ht="15.75" customHeight="1">
      <c r="A51" s="114"/>
      <c r="B51" s="114"/>
    </row>
    <row r="52" ht="15.75" customHeight="1">
      <c r="A52" s="114"/>
      <c r="B52" s="114"/>
    </row>
    <row r="53" ht="15.75" customHeight="1">
      <c r="A53" s="114"/>
      <c r="B53" s="114"/>
    </row>
    <row r="54" ht="15.75" customHeight="1">
      <c r="A54" s="114"/>
      <c r="B54" s="114"/>
    </row>
    <row r="55" ht="15.75" customHeight="1">
      <c r="A55" s="114"/>
      <c r="B55" s="114"/>
    </row>
    <row r="56" ht="15.75" customHeight="1">
      <c r="A56" s="114"/>
      <c r="B56" s="114"/>
    </row>
    <row r="57" ht="15.75" customHeight="1">
      <c r="A57" s="114"/>
      <c r="B57" s="114"/>
    </row>
    <row r="58" ht="15.75" customHeight="1">
      <c r="A58" s="114"/>
      <c r="B58" s="114"/>
    </row>
    <row r="59" ht="15.75" customHeight="1">
      <c r="A59" s="114"/>
      <c r="B59" s="114"/>
    </row>
    <row r="60" ht="15.75" customHeight="1">
      <c r="A60" s="114"/>
      <c r="B60" s="114"/>
    </row>
    <row r="61" ht="15.75" customHeight="1">
      <c r="A61" s="114"/>
      <c r="B61" s="114"/>
    </row>
    <row r="62" ht="15.75" customHeight="1">
      <c r="A62" s="114"/>
      <c r="B62" s="114"/>
    </row>
    <row r="63" ht="15.75" customHeight="1">
      <c r="A63" s="114"/>
      <c r="B63" s="114"/>
    </row>
    <row r="64" ht="15.75" customHeight="1">
      <c r="A64" s="114"/>
      <c r="B64" s="114"/>
    </row>
    <row r="65" ht="15.75" customHeight="1">
      <c r="A65" s="114"/>
      <c r="B65" s="114"/>
    </row>
    <row r="66" ht="15.75" customHeight="1">
      <c r="A66" s="114"/>
      <c r="B66" s="114"/>
    </row>
    <row r="67" ht="15.75" customHeight="1">
      <c r="A67" s="114"/>
      <c r="B67" s="114"/>
    </row>
    <row r="68" ht="15.75" customHeight="1">
      <c r="A68" s="114"/>
      <c r="B68" s="114"/>
    </row>
    <row r="69" ht="15.75" customHeight="1">
      <c r="A69" s="114"/>
      <c r="B69" s="114"/>
    </row>
    <row r="70" ht="15.75" customHeight="1">
      <c r="A70" s="114"/>
      <c r="B70" s="114"/>
    </row>
    <row r="71" ht="15.75" customHeight="1">
      <c r="A71" s="114"/>
      <c r="B71" s="114"/>
    </row>
    <row r="72" ht="15.75" customHeight="1">
      <c r="A72" s="114"/>
      <c r="B72" s="114"/>
    </row>
    <row r="73" ht="15.75" customHeight="1">
      <c r="A73" s="114"/>
      <c r="B73" s="114"/>
    </row>
    <row r="74" ht="15.75" customHeight="1">
      <c r="A74" s="114"/>
      <c r="B74" s="114"/>
    </row>
    <row r="75" ht="15.75" customHeight="1">
      <c r="A75" s="114"/>
      <c r="B75" s="114"/>
    </row>
    <row r="76" ht="15.75" customHeight="1">
      <c r="A76" s="114"/>
      <c r="B76" s="114"/>
    </row>
    <row r="77" ht="15.75" customHeight="1">
      <c r="A77" s="114"/>
      <c r="B77" s="114"/>
    </row>
    <row r="78" ht="15.75" customHeight="1">
      <c r="A78" s="114"/>
      <c r="B78" s="114"/>
    </row>
    <row r="79" ht="15.75" customHeight="1">
      <c r="A79" s="114"/>
      <c r="B79" s="114"/>
    </row>
    <row r="80" ht="15.75" customHeight="1">
      <c r="A80" s="114"/>
      <c r="B80" s="114"/>
    </row>
    <row r="81" ht="15.75" customHeight="1">
      <c r="A81" s="114"/>
      <c r="B81" s="114"/>
    </row>
    <row r="82" ht="15.75" customHeight="1">
      <c r="A82" s="114"/>
      <c r="B82" s="114"/>
    </row>
    <row r="83" ht="15.75" customHeight="1">
      <c r="A83" s="114"/>
      <c r="B83" s="114"/>
    </row>
    <row r="84" ht="15.75" customHeight="1">
      <c r="A84" s="114"/>
      <c r="B84" s="114"/>
    </row>
    <row r="85" ht="15.75" customHeight="1">
      <c r="A85" s="114"/>
      <c r="B85" s="114"/>
    </row>
    <row r="86" ht="15.75" customHeight="1">
      <c r="A86" s="114"/>
      <c r="B86" s="114"/>
    </row>
    <row r="87" ht="15.75" customHeight="1">
      <c r="A87" s="114"/>
      <c r="B87" s="114"/>
    </row>
    <row r="88" ht="15.75" customHeight="1">
      <c r="A88" s="114"/>
      <c r="B88" s="114"/>
    </row>
    <row r="89" ht="15.75" customHeight="1">
      <c r="A89" s="114"/>
      <c r="B89" s="114"/>
    </row>
    <row r="90" ht="15.75" customHeight="1">
      <c r="A90" s="114"/>
      <c r="B90" s="114"/>
    </row>
    <row r="91" ht="15.75" customHeight="1">
      <c r="A91" s="114"/>
      <c r="B91" s="114"/>
    </row>
    <row r="92" ht="15.75" customHeight="1">
      <c r="A92" s="114"/>
      <c r="B92" s="114"/>
    </row>
    <row r="93" ht="15.75" customHeight="1">
      <c r="A93" s="114"/>
      <c r="B93" s="114"/>
    </row>
    <row r="94" ht="15.75" customHeight="1">
      <c r="A94" s="114"/>
      <c r="B94" s="114"/>
    </row>
    <row r="95" ht="15.75" customHeight="1">
      <c r="A95" s="114"/>
      <c r="B95" s="114"/>
    </row>
    <row r="96" ht="15.75" customHeight="1">
      <c r="A96" s="114"/>
      <c r="B96" s="114"/>
    </row>
    <row r="97" ht="15.75" customHeight="1">
      <c r="A97" s="114"/>
      <c r="B97" s="114"/>
    </row>
    <row r="98" ht="15.75" customHeight="1">
      <c r="A98" s="114"/>
      <c r="B98" s="114"/>
    </row>
    <row r="99" ht="15.75" customHeight="1">
      <c r="A99" s="114"/>
      <c r="B99" s="114"/>
    </row>
    <row r="100" ht="15.75" customHeight="1">
      <c r="A100" s="114"/>
      <c r="B100" s="114"/>
    </row>
    <row r="101" ht="15.75" customHeight="1">
      <c r="A101" s="114"/>
      <c r="B101" s="114"/>
    </row>
    <row r="102" ht="15.75" customHeight="1">
      <c r="A102" s="114"/>
      <c r="B102" s="114"/>
    </row>
    <row r="103" ht="15.75" customHeight="1">
      <c r="A103" s="114"/>
      <c r="B103" s="114"/>
    </row>
    <row r="104" ht="15.75" customHeight="1">
      <c r="A104" s="114"/>
      <c r="B104" s="114"/>
    </row>
    <row r="105" ht="15.75" customHeight="1">
      <c r="A105" s="114"/>
      <c r="B105" s="114"/>
    </row>
    <row r="106" ht="15.75" customHeight="1">
      <c r="A106" s="114"/>
      <c r="B106" s="114"/>
    </row>
    <row r="107" ht="15.75" customHeight="1">
      <c r="A107" s="114"/>
      <c r="B107" s="114"/>
    </row>
    <row r="108" ht="15.75" customHeight="1">
      <c r="A108" s="114"/>
      <c r="B108" s="114"/>
    </row>
    <row r="109" ht="15.75" customHeight="1">
      <c r="A109" s="114"/>
      <c r="B109" s="114"/>
    </row>
    <row r="110" ht="15.75" customHeight="1">
      <c r="A110" s="114"/>
      <c r="B110" s="114"/>
    </row>
    <row r="111" ht="15.75" customHeight="1">
      <c r="A111" s="114"/>
      <c r="B111" s="114"/>
    </row>
    <row r="112" ht="15.75" customHeight="1">
      <c r="A112" s="114"/>
      <c r="B112" s="114"/>
    </row>
    <row r="113" ht="15.75" customHeight="1">
      <c r="A113" s="114"/>
      <c r="B113" s="114"/>
    </row>
    <row r="114" ht="15.75" customHeight="1">
      <c r="A114" s="114"/>
      <c r="B114" s="114"/>
    </row>
    <row r="115" ht="15.75" customHeight="1">
      <c r="A115" s="114"/>
      <c r="B115" s="114"/>
    </row>
    <row r="116" ht="15.75" customHeight="1">
      <c r="A116" s="114"/>
      <c r="B116" s="114"/>
    </row>
    <row r="117" ht="15.75" customHeight="1">
      <c r="A117" s="114"/>
      <c r="B117" s="114"/>
    </row>
    <row r="118" ht="15.75" customHeight="1">
      <c r="A118" s="114"/>
      <c r="B118" s="114"/>
    </row>
    <row r="119" ht="15.75" customHeight="1">
      <c r="A119" s="114"/>
      <c r="B119" s="114"/>
    </row>
    <row r="120" ht="15.75" customHeight="1">
      <c r="A120" s="114"/>
      <c r="B120" s="114"/>
    </row>
    <row r="121" ht="15.75" customHeight="1">
      <c r="A121" s="114"/>
      <c r="B121" s="114"/>
    </row>
    <row r="122" ht="15.75" customHeight="1">
      <c r="A122" s="114"/>
      <c r="B122" s="114"/>
    </row>
    <row r="123" ht="15.75" customHeight="1">
      <c r="A123" s="114"/>
      <c r="B123" s="114"/>
    </row>
    <row r="124" ht="15.75" customHeight="1">
      <c r="A124" s="114"/>
      <c r="B124" s="114"/>
    </row>
    <row r="125" ht="15.75" customHeight="1">
      <c r="A125" s="114"/>
      <c r="B125" s="114"/>
    </row>
    <row r="126" ht="15.75" customHeight="1">
      <c r="A126" s="114"/>
      <c r="B126" s="11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U1:V1"/>
  </mergeCells>
  <dataValidations>
    <dataValidation type="list" allowBlank="1" showErrorMessage="1" sqref="X3:X13">
      <formula1>"発行済,作成中,未作成"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1" width="10.75"/>
    <col customWidth="1" min="22" max="22" width="8.0"/>
    <col customWidth="1" min="23" max="23" width="13.63"/>
  </cols>
  <sheetData>
    <row r="1" ht="15.75" customHeight="1">
      <c r="A1" s="105">
        <v>45838.0</v>
      </c>
      <c r="C1" s="106" t="s">
        <v>75</v>
      </c>
      <c r="D1" s="63"/>
    </row>
    <row r="2" ht="15.75" customHeight="1">
      <c r="A2" s="1" t="s">
        <v>0</v>
      </c>
      <c r="B2" s="1" t="s">
        <v>1</v>
      </c>
      <c r="C2" s="3" t="s">
        <v>135</v>
      </c>
      <c r="D2" s="109" t="s">
        <v>102</v>
      </c>
      <c r="E2" s="109" t="s">
        <v>103</v>
      </c>
      <c r="F2" s="109" t="s">
        <v>104</v>
      </c>
      <c r="G2" s="109" t="s">
        <v>105</v>
      </c>
      <c r="H2" s="3" t="s">
        <v>106</v>
      </c>
      <c r="I2" s="1" t="s">
        <v>107</v>
      </c>
      <c r="J2" s="1" t="s">
        <v>109</v>
      </c>
      <c r="K2" s="1" t="s">
        <v>110</v>
      </c>
      <c r="L2" s="1" t="s">
        <v>114</v>
      </c>
      <c r="M2" s="1" t="s">
        <v>140</v>
      </c>
      <c r="N2" s="1" t="s">
        <v>141</v>
      </c>
      <c r="O2" s="1" t="s">
        <v>142</v>
      </c>
      <c r="P2" s="1" t="s">
        <v>111</v>
      </c>
      <c r="Q2" s="145" t="s">
        <v>117</v>
      </c>
      <c r="R2" s="145" t="s">
        <v>112</v>
      </c>
      <c r="S2" s="145" t="s">
        <v>143</v>
      </c>
      <c r="T2" s="145" t="s">
        <v>118</v>
      </c>
      <c r="U2" s="113" t="s">
        <v>122</v>
      </c>
      <c r="V2" s="114" t="s">
        <v>38</v>
      </c>
      <c r="W2" s="114" t="s">
        <v>149</v>
      </c>
      <c r="X2" s="114"/>
      <c r="Y2" s="114"/>
      <c r="Z2" s="114"/>
      <c r="AA2" s="114"/>
      <c r="AB2" s="114"/>
      <c r="AC2" s="114"/>
      <c r="AD2" s="114"/>
      <c r="AE2" s="114"/>
      <c r="AF2" s="114"/>
      <c r="AG2" s="114"/>
    </row>
    <row r="3" ht="15.75" customHeight="1">
      <c r="A3" s="1">
        <v>108.0</v>
      </c>
      <c r="B3" s="1" t="s">
        <v>150</v>
      </c>
      <c r="C3" s="116"/>
      <c r="D3" s="116">
        <v>40000.0</v>
      </c>
      <c r="E3" s="116">
        <v>5000.0</v>
      </c>
      <c r="F3" s="116">
        <v>5000.0</v>
      </c>
      <c r="G3" s="116">
        <v>2000.0</v>
      </c>
      <c r="H3" s="129">
        <v>0.0</v>
      </c>
      <c r="I3" s="116">
        <v>28000.0</v>
      </c>
      <c r="J3" s="129">
        <v>0.0</v>
      </c>
      <c r="K3" s="129">
        <v>0.0</v>
      </c>
      <c r="L3" s="129">
        <v>0.0</v>
      </c>
      <c r="M3" s="129">
        <v>0.0</v>
      </c>
      <c r="N3" s="129">
        <v>0.0</v>
      </c>
      <c r="O3" s="129">
        <v>0.0</v>
      </c>
      <c r="P3" s="129">
        <v>0.0</v>
      </c>
      <c r="Q3" s="123">
        <v>0.0</v>
      </c>
      <c r="R3" s="129">
        <v>0.0</v>
      </c>
      <c r="S3" s="129">
        <v>0.0</v>
      </c>
      <c r="T3" s="123">
        <v>0.0</v>
      </c>
      <c r="U3" s="120">
        <f t="shared" ref="U3:U27" si="1">SUM(D3:T3)</f>
        <v>80000</v>
      </c>
      <c r="V3" s="124">
        <v>80000.0</v>
      </c>
    </row>
    <row r="4" ht="15.75" customHeight="1">
      <c r="A4" s="1">
        <v>206.0</v>
      </c>
      <c r="B4" s="1" t="s">
        <v>151</v>
      </c>
      <c r="C4" s="116"/>
      <c r="D4" s="116">
        <v>40000.0</v>
      </c>
      <c r="E4" s="116">
        <v>5000.0</v>
      </c>
      <c r="F4" s="116">
        <v>5000.0</v>
      </c>
      <c r="G4" s="116">
        <v>2000.0</v>
      </c>
      <c r="H4" s="129">
        <v>0.0</v>
      </c>
      <c r="I4" s="116">
        <v>40150.0</v>
      </c>
      <c r="J4" s="129">
        <v>0.0</v>
      </c>
      <c r="K4" s="129">
        <v>0.0</v>
      </c>
      <c r="L4" s="129">
        <v>0.0</v>
      </c>
      <c r="M4" s="129">
        <v>0.0</v>
      </c>
      <c r="N4" s="129">
        <v>0.0</v>
      </c>
      <c r="O4" s="129">
        <v>0.0</v>
      </c>
      <c r="P4" s="129">
        <v>0.0</v>
      </c>
      <c r="Q4" s="123">
        <v>7850.0</v>
      </c>
      <c r="R4" s="129">
        <v>0.0</v>
      </c>
      <c r="S4" s="129">
        <v>0.0</v>
      </c>
      <c r="T4" s="123">
        <v>0.0</v>
      </c>
      <c r="U4" s="120">
        <f t="shared" si="1"/>
        <v>100000</v>
      </c>
      <c r="V4" s="124">
        <v>100000.0</v>
      </c>
    </row>
    <row r="5" ht="15.75" customHeight="1">
      <c r="A5" s="1">
        <v>210.0</v>
      </c>
      <c r="B5" s="1" t="s">
        <v>152</v>
      </c>
      <c r="C5" s="116"/>
      <c r="D5" s="116">
        <v>40000.0</v>
      </c>
      <c r="E5" s="116">
        <v>5000.0</v>
      </c>
      <c r="F5" s="116">
        <v>5000.0</v>
      </c>
      <c r="G5" s="116">
        <v>2000.0</v>
      </c>
      <c r="H5" s="129">
        <v>0.0</v>
      </c>
      <c r="I5" s="116">
        <v>42900.0</v>
      </c>
      <c r="J5" s="129">
        <v>0.0</v>
      </c>
      <c r="K5" s="129">
        <v>0.0</v>
      </c>
      <c r="L5" s="129">
        <v>0.0</v>
      </c>
      <c r="M5" s="129">
        <v>0.0</v>
      </c>
      <c r="N5" s="129">
        <v>0.0</v>
      </c>
      <c r="O5" s="129">
        <v>0.0</v>
      </c>
      <c r="P5" s="129">
        <v>0.0</v>
      </c>
      <c r="Q5" s="116">
        <v>5100.0</v>
      </c>
      <c r="R5" s="129">
        <v>0.0</v>
      </c>
      <c r="S5" s="129">
        <v>0.0</v>
      </c>
      <c r="T5" s="123">
        <v>0.0</v>
      </c>
      <c r="U5" s="120">
        <f t="shared" si="1"/>
        <v>100000</v>
      </c>
      <c r="V5" s="124">
        <v>100000.0</v>
      </c>
    </row>
    <row r="6" ht="15.75" customHeight="1">
      <c r="A6" s="1">
        <v>211.0</v>
      </c>
      <c r="B6" s="1" t="s">
        <v>153</v>
      </c>
      <c r="C6" s="116"/>
      <c r="D6" s="116">
        <v>40000.0</v>
      </c>
      <c r="E6" s="116">
        <v>5000.0</v>
      </c>
      <c r="F6" s="116">
        <v>5000.0</v>
      </c>
      <c r="G6" s="116">
        <v>2000.0</v>
      </c>
      <c r="H6" s="129">
        <v>0.0</v>
      </c>
      <c r="I6" s="116">
        <v>42900.0</v>
      </c>
      <c r="J6" s="129">
        <v>0.0</v>
      </c>
      <c r="K6" s="129">
        <v>0.0</v>
      </c>
      <c r="L6" s="129">
        <v>0.0</v>
      </c>
      <c r="M6" s="129">
        <v>0.0</v>
      </c>
      <c r="N6" s="129">
        <v>0.0</v>
      </c>
      <c r="O6" s="129">
        <v>0.0</v>
      </c>
      <c r="P6" s="129">
        <v>0.0</v>
      </c>
      <c r="Q6" s="116">
        <f>105000-94900</f>
        <v>10100</v>
      </c>
      <c r="R6" s="129">
        <v>0.0</v>
      </c>
      <c r="S6" s="129">
        <v>0.0</v>
      </c>
      <c r="T6" s="123">
        <v>0.0</v>
      </c>
      <c r="U6" s="120">
        <f t="shared" si="1"/>
        <v>105000</v>
      </c>
      <c r="V6" s="124">
        <v>105000.0</v>
      </c>
    </row>
    <row r="7" ht="15.75" customHeight="1">
      <c r="A7" s="1">
        <v>212.0</v>
      </c>
      <c r="B7" s="1" t="s">
        <v>154</v>
      </c>
      <c r="C7" s="116"/>
      <c r="D7" s="116">
        <v>40000.0</v>
      </c>
      <c r="E7" s="116">
        <v>5000.0</v>
      </c>
      <c r="F7" s="116">
        <v>5000.0</v>
      </c>
      <c r="G7" s="116">
        <v>2000.0</v>
      </c>
      <c r="H7" s="116">
        <v>10000.0</v>
      </c>
      <c r="I7" s="116">
        <v>40700.0</v>
      </c>
      <c r="J7" s="116">
        <f>363*30</f>
        <v>10890</v>
      </c>
      <c r="K7" s="116">
        <f t="shared" ref="K7:K8" si="2">73*30</f>
        <v>2190</v>
      </c>
      <c r="L7" s="129">
        <v>0.0</v>
      </c>
      <c r="M7" s="129">
        <v>0.0</v>
      </c>
      <c r="N7" s="129">
        <v>0.0</v>
      </c>
      <c r="O7" s="129">
        <v>0.0</v>
      </c>
      <c r="P7" s="129">
        <v>0.0</v>
      </c>
      <c r="Q7" s="129">
        <v>0.0</v>
      </c>
      <c r="R7" s="123">
        <v>1500.0</v>
      </c>
      <c r="S7" s="129">
        <v>0.0</v>
      </c>
      <c r="T7" s="116"/>
      <c r="U7" s="120">
        <f t="shared" si="1"/>
        <v>117280</v>
      </c>
      <c r="V7" s="124" t="s">
        <v>129</v>
      </c>
    </row>
    <row r="8" ht="15.75" customHeight="1">
      <c r="A8" s="1">
        <v>303.0</v>
      </c>
      <c r="B8" s="1" t="s">
        <v>155</v>
      </c>
      <c r="C8" s="116"/>
      <c r="D8" s="116">
        <v>40000.0</v>
      </c>
      <c r="E8" s="116">
        <v>5000.0</v>
      </c>
      <c r="F8" s="116">
        <v>5000.0</v>
      </c>
      <c r="G8" s="116">
        <v>2000.0</v>
      </c>
      <c r="H8" s="116">
        <v>10000.0</v>
      </c>
      <c r="I8" s="116">
        <v>42900.0</v>
      </c>
      <c r="J8" s="123">
        <f>242*30</f>
        <v>7260</v>
      </c>
      <c r="K8" s="116">
        <f t="shared" si="2"/>
        <v>2190</v>
      </c>
      <c r="L8" s="129">
        <v>0.0</v>
      </c>
      <c r="M8" s="129">
        <v>0.0</v>
      </c>
      <c r="N8" s="149" t="s">
        <v>148</v>
      </c>
      <c r="O8" s="149" t="s">
        <v>148</v>
      </c>
      <c r="P8" s="129">
        <v>0.0</v>
      </c>
      <c r="Q8" s="129">
        <v>0.0</v>
      </c>
      <c r="R8" s="123">
        <v>1500.0</v>
      </c>
      <c r="S8" s="116"/>
      <c r="T8" s="116"/>
      <c r="U8" s="120">
        <f t="shared" si="1"/>
        <v>115850</v>
      </c>
      <c r="V8" s="124">
        <v>100000.0</v>
      </c>
    </row>
    <row r="9" ht="15.75" customHeight="1">
      <c r="A9" s="1">
        <v>403.0</v>
      </c>
      <c r="B9" s="1" t="s">
        <v>156</v>
      </c>
      <c r="C9" s="116"/>
      <c r="D9" s="116">
        <v>40000.0</v>
      </c>
      <c r="E9" s="116">
        <v>5000.0</v>
      </c>
      <c r="F9" s="116">
        <v>5000.0</v>
      </c>
      <c r="G9" s="116">
        <v>2000.0</v>
      </c>
      <c r="H9" s="129">
        <v>0.0</v>
      </c>
      <c r="I9" s="116">
        <v>38000.0</v>
      </c>
      <c r="J9" s="129">
        <v>0.0</v>
      </c>
      <c r="K9" s="129">
        <v>0.0</v>
      </c>
      <c r="L9" s="129">
        <v>0.0</v>
      </c>
      <c r="M9" s="129">
        <v>0.0</v>
      </c>
      <c r="N9" s="129">
        <v>0.0</v>
      </c>
      <c r="O9" s="129">
        <v>0.0</v>
      </c>
      <c r="P9" s="116">
        <v>10000.0</v>
      </c>
      <c r="Q9" s="116">
        <v>0.0</v>
      </c>
      <c r="R9" s="129">
        <v>0.0</v>
      </c>
      <c r="S9" s="129">
        <v>0.0</v>
      </c>
      <c r="T9" s="123">
        <v>0.0</v>
      </c>
      <c r="U9" s="120">
        <f t="shared" si="1"/>
        <v>100000</v>
      </c>
      <c r="V9" s="124">
        <v>100000.0</v>
      </c>
    </row>
    <row r="10" ht="15.75" customHeight="1">
      <c r="A10" s="1"/>
      <c r="B10" s="1"/>
      <c r="C10" s="117"/>
      <c r="D10" s="129">
        <v>0.0</v>
      </c>
      <c r="E10" s="129">
        <v>0.0</v>
      </c>
      <c r="F10" s="129">
        <v>0.0</v>
      </c>
      <c r="G10" s="129">
        <v>0.0</v>
      </c>
      <c r="H10" s="129">
        <v>0.0</v>
      </c>
      <c r="I10" s="129">
        <v>0.0</v>
      </c>
      <c r="J10" s="129">
        <v>0.0</v>
      </c>
      <c r="K10" s="129">
        <v>0.0</v>
      </c>
      <c r="L10" s="129">
        <v>0.0</v>
      </c>
      <c r="M10" s="129">
        <v>0.0</v>
      </c>
      <c r="N10" s="129">
        <v>0.0</v>
      </c>
      <c r="O10" s="129">
        <v>0.0</v>
      </c>
      <c r="P10" s="129">
        <v>0.0</v>
      </c>
      <c r="Q10" s="129">
        <v>0.0</v>
      </c>
      <c r="R10" s="129">
        <v>0.0</v>
      </c>
      <c r="S10" s="116"/>
      <c r="T10" s="116"/>
      <c r="U10" s="120">
        <f t="shared" si="1"/>
        <v>0</v>
      </c>
      <c r="V10" s="124"/>
    </row>
    <row r="11" ht="15.75" customHeight="1">
      <c r="A11" s="1">
        <v>703.0</v>
      </c>
      <c r="B11" s="1" t="s">
        <v>157</v>
      </c>
      <c r="C11" s="117"/>
      <c r="D11" s="116">
        <v>40000.0</v>
      </c>
      <c r="E11" s="116">
        <v>5000.0</v>
      </c>
      <c r="F11" s="116">
        <v>5000.0</v>
      </c>
      <c r="G11" s="116">
        <v>2000.0</v>
      </c>
      <c r="H11" s="129">
        <v>0.0</v>
      </c>
      <c r="I11" s="116">
        <v>42900.0</v>
      </c>
      <c r="J11" s="129">
        <v>0.0</v>
      </c>
      <c r="K11" s="129">
        <v>0.0</v>
      </c>
      <c r="L11" s="129">
        <v>0.0</v>
      </c>
      <c r="M11" s="129">
        <v>0.0</v>
      </c>
      <c r="N11" s="129">
        <v>0.0</v>
      </c>
      <c r="O11" s="129">
        <v>0.0</v>
      </c>
      <c r="P11" s="129">
        <v>0.0</v>
      </c>
      <c r="Q11" s="116">
        <v>5100.0</v>
      </c>
      <c r="R11" s="129">
        <v>0.0</v>
      </c>
      <c r="S11" s="129">
        <v>0.0</v>
      </c>
      <c r="T11" s="123">
        <v>0.0</v>
      </c>
      <c r="U11" s="120">
        <f t="shared" si="1"/>
        <v>100000</v>
      </c>
      <c r="V11" s="124">
        <v>100000.0</v>
      </c>
    </row>
    <row r="12" ht="15.75" customHeight="1">
      <c r="A12" s="1">
        <v>715.0</v>
      </c>
      <c r="B12" s="1" t="s">
        <v>158</v>
      </c>
      <c r="C12" s="117"/>
      <c r="D12" s="116">
        <v>40000.0</v>
      </c>
      <c r="E12" s="116">
        <v>5000.0</v>
      </c>
      <c r="F12" s="116">
        <v>5000.0</v>
      </c>
      <c r="G12" s="116">
        <v>2000.0</v>
      </c>
      <c r="H12" s="116">
        <v>10000.0</v>
      </c>
      <c r="I12" s="116">
        <v>42900.0</v>
      </c>
      <c r="J12" s="129">
        <v>0.0</v>
      </c>
      <c r="K12" s="129">
        <v>0.0</v>
      </c>
      <c r="L12" s="129">
        <v>0.0</v>
      </c>
      <c r="M12" s="129">
        <v>0.0</v>
      </c>
      <c r="N12" s="129">
        <v>0.0</v>
      </c>
      <c r="O12" s="129">
        <v>0.0</v>
      </c>
      <c r="P12" s="129">
        <v>0.0</v>
      </c>
      <c r="Q12" s="116">
        <v>11100.0</v>
      </c>
      <c r="R12" s="129">
        <v>0.0</v>
      </c>
      <c r="S12" s="129">
        <v>0.0</v>
      </c>
      <c r="T12" s="123">
        <v>0.0</v>
      </c>
      <c r="U12" s="120">
        <f t="shared" si="1"/>
        <v>116000</v>
      </c>
      <c r="V12" s="124">
        <v>116000.0</v>
      </c>
    </row>
    <row r="13" ht="15.75" customHeight="1">
      <c r="A13" s="1">
        <v>716.0</v>
      </c>
      <c r="B13" s="1" t="s">
        <v>159</v>
      </c>
      <c r="C13" s="117"/>
      <c r="D13" s="116">
        <v>40000.0</v>
      </c>
      <c r="E13" s="116">
        <v>5000.0</v>
      </c>
      <c r="F13" s="116">
        <v>5000.0</v>
      </c>
      <c r="G13" s="116">
        <v>2000.0</v>
      </c>
      <c r="H13" s="129">
        <v>0.0</v>
      </c>
      <c r="I13" s="129">
        <v>0.0</v>
      </c>
      <c r="J13" s="129">
        <v>0.0</v>
      </c>
      <c r="K13" s="129">
        <v>0.0</v>
      </c>
      <c r="L13" s="129">
        <v>0.0</v>
      </c>
      <c r="M13" s="129">
        <v>0.0</v>
      </c>
      <c r="N13" s="129">
        <v>0.0</v>
      </c>
      <c r="O13" s="129">
        <v>0.0</v>
      </c>
      <c r="P13" s="129">
        <v>0.0</v>
      </c>
      <c r="Q13" s="129">
        <v>0.0</v>
      </c>
      <c r="R13" s="129">
        <v>0.0</v>
      </c>
      <c r="S13" s="129">
        <v>0.0</v>
      </c>
      <c r="T13" s="116">
        <v>500.0</v>
      </c>
      <c r="U13" s="120">
        <f t="shared" si="1"/>
        <v>52500</v>
      </c>
      <c r="V13" s="124" t="s">
        <v>129</v>
      </c>
    </row>
    <row r="14" ht="15.75" customHeight="1">
      <c r="A14" s="1"/>
      <c r="B14" s="1"/>
      <c r="C14" s="117"/>
      <c r="D14" s="129">
        <v>0.0</v>
      </c>
      <c r="E14" s="129">
        <v>0.0</v>
      </c>
      <c r="F14" s="129">
        <v>0.0</v>
      </c>
      <c r="G14" s="129">
        <v>0.0</v>
      </c>
      <c r="H14" s="129">
        <v>0.0</v>
      </c>
      <c r="I14" s="129">
        <v>0.0</v>
      </c>
      <c r="J14" s="129">
        <v>0.0</v>
      </c>
      <c r="K14" s="129">
        <v>0.0</v>
      </c>
      <c r="L14" s="129">
        <v>0.0</v>
      </c>
      <c r="M14" s="129">
        <v>0.0</v>
      </c>
      <c r="N14" s="129">
        <v>0.0</v>
      </c>
      <c r="O14" s="129">
        <v>0.0</v>
      </c>
      <c r="P14" s="129">
        <v>0.0</v>
      </c>
      <c r="Q14" s="129">
        <v>0.0</v>
      </c>
      <c r="R14" s="129">
        <v>0.0</v>
      </c>
      <c r="S14" s="129">
        <v>0.0</v>
      </c>
      <c r="T14" s="116"/>
      <c r="U14" s="120">
        <f t="shared" si="1"/>
        <v>0</v>
      </c>
      <c r="V14" s="124"/>
    </row>
    <row r="15" ht="15.75" customHeight="1">
      <c r="A15" s="1"/>
      <c r="B15" s="1"/>
      <c r="C15" s="117"/>
      <c r="D15" s="129">
        <v>0.0</v>
      </c>
      <c r="E15" s="129">
        <v>0.0</v>
      </c>
      <c r="F15" s="129">
        <v>0.0</v>
      </c>
      <c r="G15" s="129">
        <v>0.0</v>
      </c>
      <c r="H15" s="129">
        <v>0.0</v>
      </c>
      <c r="I15" s="129">
        <v>0.0</v>
      </c>
      <c r="J15" s="129">
        <v>0.0</v>
      </c>
      <c r="K15" s="129">
        <v>0.0</v>
      </c>
      <c r="L15" s="129">
        <v>0.0</v>
      </c>
      <c r="M15" s="129">
        <v>0.0</v>
      </c>
      <c r="N15" s="129">
        <v>0.0</v>
      </c>
      <c r="O15" s="129">
        <v>0.0</v>
      </c>
      <c r="P15" s="129">
        <v>0.0</v>
      </c>
      <c r="Q15" s="129">
        <v>0.0</v>
      </c>
      <c r="R15" s="129">
        <v>0.0</v>
      </c>
      <c r="S15" s="129">
        <v>0.0</v>
      </c>
      <c r="T15" s="116"/>
      <c r="U15" s="120">
        <f t="shared" si="1"/>
        <v>0</v>
      </c>
      <c r="V15" s="124"/>
    </row>
    <row r="16" ht="15.75" customHeight="1">
      <c r="A16" s="1" t="s">
        <v>2</v>
      </c>
      <c r="B16" s="1"/>
      <c r="C16" s="117"/>
      <c r="D16" s="129">
        <v>0.0</v>
      </c>
      <c r="E16" s="129">
        <v>0.0</v>
      </c>
      <c r="F16" s="129">
        <v>0.0</v>
      </c>
      <c r="G16" s="129">
        <v>0.0</v>
      </c>
      <c r="H16" s="129">
        <v>0.0</v>
      </c>
      <c r="I16" s="129">
        <v>0.0</v>
      </c>
      <c r="J16" s="129">
        <v>0.0</v>
      </c>
      <c r="K16" s="129">
        <v>0.0</v>
      </c>
      <c r="L16" s="129">
        <v>0.0</v>
      </c>
      <c r="M16" s="129">
        <v>0.0</v>
      </c>
      <c r="N16" s="129">
        <v>0.0</v>
      </c>
      <c r="O16" s="129">
        <v>0.0</v>
      </c>
      <c r="P16" s="129">
        <v>0.0</v>
      </c>
      <c r="Q16" s="129">
        <v>0.0</v>
      </c>
      <c r="R16" s="129">
        <v>0.0</v>
      </c>
      <c r="S16" s="129">
        <v>0.0</v>
      </c>
      <c r="T16" s="116"/>
      <c r="U16" s="120">
        <f t="shared" si="1"/>
        <v>0</v>
      </c>
      <c r="V16" s="124"/>
    </row>
    <row r="17" ht="15.75" customHeight="1">
      <c r="A17" s="1" t="s">
        <v>4</v>
      </c>
      <c r="B17" s="1" t="s">
        <v>5</v>
      </c>
      <c r="C17" s="117"/>
      <c r="D17" s="116">
        <v>40000.0</v>
      </c>
      <c r="E17" s="116">
        <v>5000.0</v>
      </c>
      <c r="F17" s="116">
        <v>5000.0</v>
      </c>
      <c r="G17" s="116">
        <v>2000.0</v>
      </c>
      <c r="H17" s="116">
        <v>10000.0</v>
      </c>
      <c r="I17" s="116">
        <v>16500.0</v>
      </c>
      <c r="J17" s="129">
        <v>0.0</v>
      </c>
      <c r="K17" s="129">
        <v>0.0</v>
      </c>
      <c r="L17" s="129">
        <v>0.0</v>
      </c>
      <c r="M17" s="129">
        <v>0.0</v>
      </c>
      <c r="N17" s="129">
        <v>0.0</v>
      </c>
      <c r="O17" s="129">
        <v>0.0</v>
      </c>
      <c r="P17" s="117">
        <v>6250.0</v>
      </c>
      <c r="Q17" s="129">
        <v>0.0</v>
      </c>
      <c r="R17" s="129">
        <v>0.0</v>
      </c>
      <c r="S17" s="116"/>
      <c r="T17" s="116"/>
      <c r="U17" s="120">
        <f t="shared" si="1"/>
        <v>84750</v>
      </c>
      <c r="V17" s="124" t="s">
        <v>129</v>
      </c>
    </row>
    <row r="18" ht="15.75" customHeight="1">
      <c r="A18" s="1" t="s">
        <v>6</v>
      </c>
      <c r="B18" s="1" t="s">
        <v>132</v>
      </c>
      <c r="C18" s="117"/>
      <c r="D18" s="116">
        <v>40000.0</v>
      </c>
      <c r="E18" s="116">
        <v>5000.0</v>
      </c>
      <c r="F18" s="116">
        <v>5000.0</v>
      </c>
      <c r="G18" s="116">
        <v>2000.0</v>
      </c>
      <c r="H18" s="129">
        <v>0.0</v>
      </c>
      <c r="I18" s="116">
        <v>33550.0</v>
      </c>
      <c r="J18" s="129">
        <v>0.0</v>
      </c>
      <c r="K18" s="129">
        <v>0.0</v>
      </c>
      <c r="L18" s="129">
        <v>0.0</v>
      </c>
      <c r="M18" s="129">
        <v>0.0</v>
      </c>
      <c r="N18" s="129">
        <v>0.0</v>
      </c>
      <c r="O18" s="129">
        <v>0.0</v>
      </c>
      <c r="P18" s="116">
        <v>10000.0</v>
      </c>
      <c r="Q18" s="116">
        <v>14450.0</v>
      </c>
      <c r="R18" s="123"/>
      <c r="S18" s="129">
        <v>0.0</v>
      </c>
      <c r="T18" s="116"/>
      <c r="U18" s="120">
        <f t="shared" si="1"/>
        <v>110000</v>
      </c>
      <c r="V18" s="124">
        <v>110000.0</v>
      </c>
    </row>
    <row r="19" ht="15.75" customHeight="1">
      <c r="A19" s="1" t="s">
        <v>7</v>
      </c>
      <c r="B19" s="1" t="s">
        <v>8</v>
      </c>
      <c r="C19" s="117"/>
      <c r="D19" s="116">
        <v>40000.0</v>
      </c>
      <c r="E19" s="116">
        <v>5000.0</v>
      </c>
      <c r="F19" s="116">
        <v>5000.0</v>
      </c>
      <c r="G19" s="116">
        <v>2000.0</v>
      </c>
      <c r="H19" s="116">
        <v>10000.0</v>
      </c>
      <c r="I19" s="129">
        <v>0.0</v>
      </c>
      <c r="J19" s="129">
        <v>0.0</v>
      </c>
      <c r="K19" s="116">
        <f>73*30</f>
        <v>2190</v>
      </c>
      <c r="L19" s="129">
        <v>0.0</v>
      </c>
      <c r="M19" s="129">
        <v>0.0</v>
      </c>
      <c r="N19" s="129">
        <v>0.0</v>
      </c>
      <c r="O19" s="129">
        <v>0.0</v>
      </c>
      <c r="P19" s="129">
        <v>0.0</v>
      </c>
      <c r="Q19" s="129">
        <v>0.0</v>
      </c>
      <c r="R19" s="123">
        <v>1500.0</v>
      </c>
      <c r="S19" s="129">
        <v>0.0</v>
      </c>
      <c r="T19" s="116"/>
      <c r="U19" s="120">
        <f t="shared" si="1"/>
        <v>65690</v>
      </c>
      <c r="V19" s="124" t="s">
        <v>129</v>
      </c>
    </row>
    <row r="20" ht="15.75" customHeight="1">
      <c r="A20" s="1" t="s">
        <v>9</v>
      </c>
      <c r="B20" s="1" t="s">
        <v>10</v>
      </c>
      <c r="C20" s="117"/>
      <c r="D20" s="116">
        <v>40000.0</v>
      </c>
      <c r="E20" s="116">
        <v>5000.0</v>
      </c>
      <c r="F20" s="116">
        <v>5000.0</v>
      </c>
      <c r="G20" s="116">
        <v>2000.0</v>
      </c>
      <c r="H20" s="129">
        <v>0.0</v>
      </c>
      <c r="I20" s="116">
        <v>40700.0</v>
      </c>
      <c r="J20" s="129">
        <v>0.0</v>
      </c>
      <c r="K20" s="129">
        <v>0.0</v>
      </c>
      <c r="L20" s="129">
        <v>0.0</v>
      </c>
      <c r="M20" s="129">
        <v>0.0</v>
      </c>
      <c r="N20" s="129">
        <v>0.0</v>
      </c>
      <c r="O20" s="129">
        <v>0.0</v>
      </c>
      <c r="P20" s="116">
        <v>10000.0</v>
      </c>
      <c r="Q20" s="116">
        <v>7300.0</v>
      </c>
      <c r="R20" s="129">
        <v>0.0</v>
      </c>
      <c r="S20" s="129">
        <v>0.0</v>
      </c>
      <c r="T20" s="116"/>
      <c r="U20" s="120">
        <f t="shared" si="1"/>
        <v>110000</v>
      </c>
      <c r="V20" s="124">
        <v>110000.0</v>
      </c>
    </row>
    <row r="21" ht="15.75" customHeight="1">
      <c r="A21" s="1" t="s">
        <v>11</v>
      </c>
      <c r="B21" s="1"/>
      <c r="C21" s="117"/>
      <c r="D21" s="129">
        <v>0.0</v>
      </c>
      <c r="E21" s="129">
        <v>0.0</v>
      </c>
      <c r="F21" s="129">
        <v>0.0</v>
      </c>
      <c r="G21" s="129">
        <v>0.0</v>
      </c>
      <c r="H21" s="129">
        <v>0.0</v>
      </c>
      <c r="I21" s="129">
        <v>0.0</v>
      </c>
      <c r="J21" s="129">
        <v>0.0</v>
      </c>
      <c r="K21" s="129">
        <v>0.0</v>
      </c>
      <c r="L21" s="129">
        <v>0.0</v>
      </c>
      <c r="M21" s="129">
        <v>0.0</v>
      </c>
      <c r="N21" s="129">
        <v>0.0</v>
      </c>
      <c r="O21" s="129">
        <v>0.0</v>
      </c>
      <c r="P21" s="129">
        <v>0.0</v>
      </c>
      <c r="Q21" s="129">
        <v>0.0</v>
      </c>
      <c r="R21" s="129">
        <v>0.0</v>
      </c>
      <c r="S21" s="129">
        <v>0.0</v>
      </c>
      <c r="T21" s="116"/>
      <c r="U21" s="120">
        <f t="shared" si="1"/>
        <v>0</v>
      </c>
      <c r="V21" s="124"/>
    </row>
    <row r="22" ht="15.75" customHeight="1">
      <c r="A22" s="1" t="s">
        <v>12</v>
      </c>
      <c r="B22" s="1" t="s">
        <v>13</v>
      </c>
      <c r="C22" s="117"/>
      <c r="D22" s="116">
        <v>40000.0</v>
      </c>
      <c r="E22" s="116">
        <v>5000.0</v>
      </c>
      <c r="F22" s="116">
        <v>5000.0</v>
      </c>
      <c r="G22" s="116">
        <v>2000.0</v>
      </c>
      <c r="H22" s="129">
        <v>0.0</v>
      </c>
      <c r="I22" s="116">
        <v>16500.0</v>
      </c>
      <c r="J22" s="129">
        <v>0.0</v>
      </c>
      <c r="K22" s="129">
        <v>0.0</v>
      </c>
      <c r="L22" s="129">
        <v>0.0</v>
      </c>
      <c r="M22" s="129">
        <v>0.0</v>
      </c>
      <c r="N22" s="129">
        <v>0.0</v>
      </c>
      <c r="O22" s="129">
        <v>0.0</v>
      </c>
      <c r="P22" s="129">
        <v>0.0</v>
      </c>
      <c r="Q22" s="116">
        <v>19670.0</v>
      </c>
      <c r="R22" s="129">
        <v>0.0</v>
      </c>
      <c r="S22" s="129">
        <v>0.0</v>
      </c>
      <c r="T22" s="116"/>
      <c r="U22" s="120">
        <f t="shared" si="1"/>
        <v>88170</v>
      </c>
      <c r="V22" s="124" t="s">
        <v>129</v>
      </c>
    </row>
    <row r="23" ht="15.75" customHeight="1">
      <c r="A23" s="1" t="s">
        <v>14</v>
      </c>
      <c r="B23" s="1" t="s">
        <v>15</v>
      </c>
      <c r="C23" s="117"/>
      <c r="D23" s="116">
        <v>40000.0</v>
      </c>
      <c r="E23" s="116">
        <v>5000.0</v>
      </c>
      <c r="F23" s="116">
        <v>5000.0</v>
      </c>
      <c r="G23" s="116">
        <v>2000.0</v>
      </c>
      <c r="H23" s="129">
        <v>0.0</v>
      </c>
      <c r="I23" s="116">
        <v>42900.0</v>
      </c>
      <c r="J23" s="129">
        <v>0.0</v>
      </c>
      <c r="K23" s="129">
        <v>0.0</v>
      </c>
      <c r="L23" s="129">
        <v>0.0</v>
      </c>
      <c r="M23" s="129">
        <v>0.0</v>
      </c>
      <c r="N23" s="129">
        <v>0.0</v>
      </c>
      <c r="O23" s="129">
        <v>0.0</v>
      </c>
      <c r="P23" s="116">
        <v>20000.0</v>
      </c>
      <c r="Q23" s="129">
        <v>0.0</v>
      </c>
      <c r="R23" s="129">
        <v>0.0</v>
      </c>
      <c r="S23" s="129">
        <v>0.0</v>
      </c>
      <c r="T23" s="116"/>
      <c r="U23" s="120">
        <f t="shared" si="1"/>
        <v>114900</v>
      </c>
      <c r="V23" s="124" t="s">
        <v>129</v>
      </c>
    </row>
    <row r="24" ht="15.75" customHeight="1">
      <c r="A24" s="1" t="s">
        <v>16</v>
      </c>
      <c r="B24" s="1"/>
      <c r="C24" s="117"/>
      <c r="D24" s="129">
        <v>0.0</v>
      </c>
      <c r="E24" s="129">
        <v>0.0</v>
      </c>
      <c r="F24" s="129">
        <v>0.0</v>
      </c>
      <c r="G24" s="129">
        <v>0.0</v>
      </c>
      <c r="H24" s="129">
        <v>0.0</v>
      </c>
      <c r="I24" s="129">
        <v>0.0</v>
      </c>
      <c r="J24" s="129">
        <v>0.0</v>
      </c>
      <c r="K24" s="129">
        <v>0.0</v>
      </c>
      <c r="L24" s="129">
        <v>0.0</v>
      </c>
      <c r="M24" s="129">
        <v>0.0</v>
      </c>
      <c r="N24" s="129">
        <v>0.0</v>
      </c>
      <c r="O24" s="129">
        <v>0.0</v>
      </c>
      <c r="P24" s="129">
        <v>0.0</v>
      </c>
      <c r="Q24" s="129">
        <v>0.0</v>
      </c>
      <c r="R24" s="129">
        <v>0.0</v>
      </c>
      <c r="S24" s="129">
        <v>0.0</v>
      </c>
      <c r="T24" s="116"/>
      <c r="U24" s="120">
        <f t="shared" si="1"/>
        <v>0</v>
      </c>
      <c r="V24" s="124"/>
    </row>
    <row r="25" ht="15.75" customHeight="1">
      <c r="A25" s="1" t="s">
        <v>18</v>
      </c>
      <c r="B25" s="1" t="s">
        <v>19</v>
      </c>
      <c r="C25" s="117"/>
      <c r="D25" s="116">
        <v>40000.0</v>
      </c>
      <c r="E25" s="116">
        <v>5000.0</v>
      </c>
      <c r="F25" s="116">
        <v>5000.0</v>
      </c>
      <c r="G25" s="116">
        <v>2000.0</v>
      </c>
      <c r="H25" s="116">
        <v>10000.0</v>
      </c>
      <c r="I25" s="129">
        <v>0.0</v>
      </c>
      <c r="J25" s="116">
        <f>242*22</f>
        <v>5324</v>
      </c>
      <c r="K25" s="129">
        <v>0.0</v>
      </c>
      <c r="L25" s="129">
        <v>0.0</v>
      </c>
      <c r="M25" s="129">
        <v>0.0</v>
      </c>
      <c r="N25" s="149" t="s">
        <v>148</v>
      </c>
      <c r="O25" s="149" t="s">
        <v>148</v>
      </c>
      <c r="P25" s="129">
        <v>0.0</v>
      </c>
      <c r="Q25" s="129">
        <v>0.0</v>
      </c>
      <c r="R25" s="123">
        <v>1500.0</v>
      </c>
      <c r="S25" s="129">
        <v>0.0</v>
      </c>
      <c r="T25" s="116">
        <v>14000.0</v>
      </c>
      <c r="U25" s="120">
        <f t="shared" si="1"/>
        <v>82824</v>
      </c>
      <c r="V25" s="124" t="s">
        <v>129</v>
      </c>
    </row>
    <row r="26" ht="15.75" customHeight="1">
      <c r="A26" s="1"/>
      <c r="B26" s="1"/>
      <c r="C26" s="117"/>
      <c r="D26" s="129">
        <v>0.0</v>
      </c>
      <c r="E26" s="129">
        <v>0.0</v>
      </c>
      <c r="F26" s="129">
        <v>0.0</v>
      </c>
      <c r="G26" s="129">
        <v>0.0</v>
      </c>
      <c r="H26" s="129">
        <v>0.0</v>
      </c>
      <c r="I26" s="129">
        <v>0.0</v>
      </c>
      <c r="J26" s="129">
        <v>0.0</v>
      </c>
      <c r="K26" s="129">
        <v>0.0</v>
      </c>
      <c r="L26" s="129">
        <v>0.0</v>
      </c>
      <c r="M26" s="129">
        <v>0.0</v>
      </c>
      <c r="N26" s="129">
        <v>0.0</v>
      </c>
      <c r="O26" s="129">
        <v>0.0</v>
      </c>
      <c r="P26" s="129">
        <v>0.0</v>
      </c>
      <c r="Q26" s="129">
        <v>0.0</v>
      </c>
      <c r="R26" s="129">
        <v>0.0</v>
      </c>
      <c r="S26" s="129">
        <v>0.0</v>
      </c>
      <c r="T26" s="116"/>
      <c r="U26" s="120">
        <f t="shared" si="1"/>
        <v>0</v>
      </c>
      <c r="V26" s="124"/>
    </row>
    <row r="27" ht="15.75" customHeight="1">
      <c r="A27" s="113" t="s">
        <v>122</v>
      </c>
      <c r="B27" s="113"/>
      <c r="C27" s="120"/>
      <c r="D27" s="120">
        <f t="shared" ref="D27:T27" si="3">SUM(D3:D26)</f>
        <v>680000</v>
      </c>
      <c r="E27" s="120">
        <f t="shared" si="3"/>
        <v>85000</v>
      </c>
      <c r="F27" s="120">
        <f t="shared" si="3"/>
        <v>85000</v>
      </c>
      <c r="G27" s="120">
        <f t="shared" si="3"/>
        <v>34000</v>
      </c>
      <c r="H27" s="120">
        <f t="shared" si="3"/>
        <v>60000</v>
      </c>
      <c r="I27" s="120">
        <f t="shared" si="3"/>
        <v>511500</v>
      </c>
      <c r="J27" s="120">
        <f t="shared" si="3"/>
        <v>23474</v>
      </c>
      <c r="K27" s="120">
        <f t="shared" si="3"/>
        <v>6570</v>
      </c>
      <c r="L27" s="120">
        <f t="shared" si="3"/>
        <v>0</v>
      </c>
      <c r="M27" s="120">
        <f t="shared" si="3"/>
        <v>0</v>
      </c>
      <c r="N27" s="120">
        <f t="shared" si="3"/>
        <v>0</v>
      </c>
      <c r="O27" s="120">
        <f t="shared" si="3"/>
        <v>0</v>
      </c>
      <c r="P27" s="120">
        <f t="shared" si="3"/>
        <v>56250</v>
      </c>
      <c r="Q27" s="120">
        <f t="shared" si="3"/>
        <v>80670</v>
      </c>
      <c r="R27" s="120">
        <f t="shared" si="3"/>
        <v>6000</v>
      </c>
      <c r="S27" s="120">
        <f t="shared" si="3"/>
        <v>0</v>
      </c>
      <c r="T27" s="120">
        <f t="shared" si="3"/>
        <v>14500</v>
      </c>
      <c r="U27" s="120">
        <f t="shared" si="1"/>
        <v>1642964</v>
      </c>
      <c r="V27" s="124"/>
    </row>
    <row r="28" ht="15.75" customHeight="1">
      <c r="A28" s="114"/>
      <c r="B28" s="11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</row>
    <row r="29" ht="15.75" customHeight="1">
      <c r="A29" s="114"/>
      <c r="B29" s="11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</row>
    <row r="30" ht="15.75" customHeight="1">
      <c r="A30" s="114"/>
      <c r="B30" s="11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</row>
    <row r="31" ht="15.75" customHeight="1">
      <c r="A31" s="114"/>
      <c r="B31" s="11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</row>
    <row r="32" ht="15.75" customHeight="1">
      <c r="A32" s="114"/>
      <c r="B32" s="11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</row>
    <row r="33" ht="15.75" customHeight="1">
      <c r="A33" s="114"/>
      <c r="B33" s="11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</row>
    <row r="34" ht="15.75" customHeight="1">
      <c r="A34" s="114"/>
      <c r="B34" s="11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</row>
    <row r="35" ht="15.75" customHeight="1">
      <c r="A35" s="114"/>
      <c r="B35" s="11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</row>
    <row r="36" ht="15.75" customHeight="1">
      <c r="A36" s="114"/>
      <c r="B36" s="11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</row>
    <row r="37" ht="15.75" customHeight="1">
      <c r="A37" s="114"/>
      <c r="B37" s="11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</row>
    <row r="38" ht="15.75" customHeight="1">
      <c r="A38" s="114"/>
      <c r="B38" s="11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</row>
    <row r="39" ht="15.75" customHeight="1">
      <c r="A39" s="114"/>
      <c r="B39" s="11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</row>
    <row r="40" ht="15.75" customHeight="1">
      <c r="A40" s="114"/>
      <c r="B40" s="11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</row>
    <row r="41" ht="15.75" customHeight="1">
      <c r="A41" s="114"/>
      <c r="B41" s="11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</row>
    <row r="42" ht="15.75" customHeight="1">
      <c r="A42" s="114"/>
      <c r="B42" s="11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</row>
    <row r="43" ht="15.75" customHeight="1">
      <c r="A43" s="114"/>
      <c r="B43" s="11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</row>
    <row r="44" ht="15.75" customHeight="1">
      <c r="A44" s="114"/>
      <c r="B44" s="114"/>
    </row>
    <row r="45" ht="15.75" customHeight="1">
      <c r="A45" s="114"/>
      <c r="B45" s="114"/>
    </row>
    <row r="46" ht="15.75" customHeight="1">
      <c r="A46" s="114"/>
      <c r="B46" s="114"/>
    </row>
    <row r="47" ht="15.75" customHeight="1">
      <c r="A47" s="114"/>
      <c r="B47" s="114"/>
    </row>
    <row r="48" ht="15.75" customHeight="1">
      <c r="A48" s="114"/>
      <c r="B48" s="114"/>
    </row>
    <row r="49" ht="15.75" customHeight="1">
      <c r="A49" s="114"/>
      <c r="B49" s="114"/>
    </row>
    <row r="50" ht="15.75" customHeight="1">
      <c r="A50" s="114"/>
      <c r="B50" s="114"/>
    </row>
    <row r="51" ht="15.75" customHeight="1">
      <c r="A51" s="114"/>
      <c r="B51" s="114"/>
    </row>
    <row r="52" ht="15.75" customHeight="1">
      <c r="A52" s="114"/>
      <c r="B52" s="114"/>
    </row>
    <row r="53" ht="15.75" customHeight="1">
      <c r="A53" s="114"/>
      <c r="B53" s="114"/>
    </row>
    <row r="54" ht="15.75" customHeight="1">
      <c r="A54" s="114"/>
      <c r="B54" s="114"/>
    </row>
    <row r="55" ht="15.75" customHeight="1">
      <c r="A55" s="114"/>
      <c r="B55" s="114"/>
    </row>
    <row r="56" ht="15.75" customHeight="1">
      <c r="A56" s="114"/>
      <c r="B56" s="114"/>
    </row>
    <row r="57" ht="15.75" customHeight="1">
      <c r="A57" s="114"/>
      <c r="B57" s="114"/>
    </row>
    <row r="58" ht="15.75" customHeight="1">
      <c r="A58" s="114"/>
      <c r="B58" s="114"/>
    </row>
    <row r="59" ht="15.75" customHeight="1">
      <c r="A59" s="114"/>
      <c r="B59" s="114"/>
    </row>
    <row r="60" ht="15.75" customHeight="1">
      <c r="A60" s="114"/>
      <c r="B60" s="114"/>
    </row>
    <row r="61" ht="15.75" customHeight="1">
      <c r="A61" s="114"/>
      <c r="B61" s="114"/>
    </row>
    <row r="62" ht="15.75" customHeight="1">
      <c r="A62" s="114"/>
      <c r="B62" s="114"/>
    </row>
    <row r="63" ht="15.75" customHeight="1">
      <c r="A63" s="114"/>
      <c r="B63" s="114"/>
    </row>
    <row r="64" ht="15.75" customHeight="1">
      <c r="A64" s="114"/>
      <c r="B64" s="114"/>
    </row>
    <row r="65" ht="15.75" customHeight="1">
      <c r="A65" s="114"/>
      <c r="B65" s="114"/>
    </row>
    <row r="66" ht="15.75" customHeight="1">
      <c r="A66" s="114"/>
      <c r="B66" s="114"/>
    </row>
    <row r="67" ht="15.75" customHeight="1">
      <c r="A67" s="114"/>
      <c r="B67" s="114"/>
    </row>
    <row r="68" ht="15.75" customHeight="1">
      <c r="A68" s="114"/>
      <c r="B68" s="114"/>
    </row>
    <row r="69" ht="15.75" customHeight="1">
      <c r="A69" s="114"/>
      <c r="B69" s="114"/>
    </row>
    <row r="70" ht="15.75" customHeight="1">
      <c r="A70" s="114"/>
      <c r="B70" s="114"/>
    </row>
    <row r="71" ht="15.75" customHeight="1">
      <c r="A71" s="114"/>
      <c r="B71" s="114"/>
    </row>
    <row r="72" ht="15.75" customHeight="1">
      <c r="A72" s="114"/>
      <c r="B72" s="114"/>
    </row>
    <row r="73" ht="15.75" customHeight="1">
      <c r="A73" s="114"/>
      <c r="B73" s="114"/>
    </row>
    <row r="74" ht="15.75" customHeight="1">
      <c r="A74" s="114"/>
      <c r="B74" s="114"/>
    </row>
    <row r="75" ht="15.75" customHeight="1">
      <c r="A75" s="114"/>
      <c r="B75" s="114"/>
    </row>
    <row r="76" ht="15.75" customHeight="1">
      <c r="A76" s="114"/>
      <c r="B76" s="114"/>
    </row>
    <row r="77" ht="15.75" customHeight="1">
      <c r="A77" s="114"/>
      <c r="B77" s="114"/>
    </row>
    <row r="78" ht="15.75" customHeight="1">
      <c r="A78" s="114"/>
      <c r="B78" s="114"/>
    </row>
    <row r="79" ht="15.75" customHeight="1">
      <c r="A79" s="114"/>
      <c r="B79" s="114"/>
    </row>
    <row r="80" ht="15.75" customHeight="1">
      <c r="A80" s="114"/>
      <c r="B80" s="114"/>
    </row>
    <row r="81" ht="15.75" customHeight="1">
      <c r="A81" s="114"/>
      <c r="B81" s="114"/>
    </row>
    <row r="82" ht="15.75" customHeight="1">
      <c r="A82" s="114"/>
      <c r="B82" s="114"/>
    </row>
    <row r="83" ht="15.75" customHeight="1">
      <c r="A83" s="114"/>
      <c r="B83" s="114"/>
    </row>
    <row r="84" ht="15.75" customHeight="1">
      <c r="A84" s="114"/>
      <c r="B84" s="114"/>
    </row>
    <row r="85" ht="15.75" customHeight="1">
      <c r="A85" s="114"/>
      <c r="B85" s="114"/>
    </row>
    <row r="86" ht="15.75" customHeight="1">
      <c r="A86" s="114"/>
      <c r="B86" s="114"/>
    </row>
    <row r="87" ht="15.75" customHeight="1">
      <c r="A87" s="114"/>
      <c r="B87" s="114"/>
    </row>
    <row r="88" ht="15.75" customHeight="1">
      <c r="A88" s="114"/>
      <c r="B88" s="114"/>
    </row>
    <row r="89" ht="15.75" customHeight="1">
      <c r="A89" s="114"/>
      <c r="B89" s="114"/>
    </row>
    <row r="90" ht="15.75" customHeight="1">
      <c r="A90" s="114"/>
      <c r="B90" s="114"/>
    </row>
    <row r="91" ht="15.75" customHeight="1">
      <c r="A91" s="114"/>
      <c r="B91" s="114"/>
    </row>
    <row r="92" ht="15.75" customHeight="1">
      <c r="A92" s="114"/>
      <c r="B92" s="114"/>
    </row>
    <row r="93" ht="15.75" customHeight="1">
      <c r="A93" s="114"/>
      <c r="B93" s="114"/>
    </row>
    <row r="94" ht="15.75" customHeight="1">
      <c r="A94" s="114"/>
      <c r="B94" s="114"/>
    </row>
    <row r="95" ht="15.75" customHeight="1">
      <c r="A95" s="114"/>
      <c r="B95" s="114"/>
    </row>
    <row r="96" ht="15.75" customHeight="1">
      <c r="A96" s="114"/>
      <c r="B96" s="114"/>
    </row>
    <row r="97" ht="15.75" customHeight="1">
      <c r="A97" s="114"/>
      <c r="B97" s="114"/>
    </row>
    <row r="98" ht="15.75" customHeight="1">
      <c r="A98" s="114"/>
      <c r="B98" s="114"/>
    </row>
    <row r="99" ht="15.75" customHeight="1">
      <c r="A99" s="114"/>
      <c r="B99" s="114"/>
    </row>
    <row r="100" ht="15.75" customHeight="1">
      <c r="A100" s="114"/>
      <c r="B100" s="114"/>
    </row>
    <row r="101" ht="15.75" customHeight="1">
      <c r="A101" s="114"/>
      <c r="B101" s="114"/>
    </row>
    <row r="102" ht="15.75" customHeight="1">
      <c r="A102" s="114"/>
      <c r="B102" s="114"/>
    </row>
    <row r="103" ht="15.75" customHeight="1">
      <c r="A103" s="114"/>
      <c r="B103" s="114"/>
    </row>
    <row r="104" ht="15.75" customHeight="1">
      <c r="A104" s="114"/>
      <c r="B104" s="114"/>
    </row>
    <row r="105" ht="15.75" customHeight="1">
      <c r="A105" s="114"/>
      <c r="B105" s="114"/>
    </row>
    <row r="106" ht="15.75" customHeight="1">
      <c r="A106" s="114"/>
      <c r="B106" s="114"/>
    </row>
    <row r="107" ht="15.75" customHeight="1">
      <c r="A107" s="114"/>
      <c r="B107" s="114"/>
    </row>
    <row r="108" ht="15.75" customHeight="1">
      <c r="A108" s="114"/>
      <c r="B108" s="114"/>
    </row>
    <row r="109" ht="15.75" customHeight="1">
      <c r="A109" s="114"/>
      <c r="B109" s="114"/>
    </row>
    <row r="110" ht="15.75" customHeight="1">
      <c r="A110" s="114"/>
      <c r="B110" s="114"/>
    </row>
    <row r="111" ht="15.75" customHeight="1">
      <c r="A111" s="114"/>
      <c r="B111" s="114"/>
    </row>
    <row r="112" ht="15.75" customHeight="1">
      <c r="A112" s="114"/>
      <c r="B112" s="114"/>
    </row>
    <row r="113" ht="15.75" customHeight="1">
      <c r="A113" s="114"/>
      <c r="B113" s="114"/>
    </row>
    <row r="114" ht="15.75" customHeight="1">
      <c r="A114" s="114"/>
      <c r="B114" s="114"/>
    </row>
    <row r="115" ht="15.75" customHeight="1">
      <c r="A115" s="114"/>
      <c r="B115" s="114"/>
    </row>
    <row r="116" ht="15.75" customHeight="1">
      <c r="A116" s="114"/>
      <c r="B116" s="114"/>
    </row>
    <row r="117" ht="15.75" customHeight="1">
      <c r="A117" s="114"/>
      <c r="B117" s="114"/>
    </row>
    <row r="118" ht="15.75" customHeight="1">
      <c r="A118" s="114"/>
      <c r="B118" s="114"/>
    </row>
    <row r="119" ht="15.75" customHeight="1">
      <c r="A119" s="114"/>
      <c r="B119" s="114"/>
    </row>
    <row r="120" ht="15.75" customHeight="1">
      <c r="A120" s="114"/>
      <c r="B120" s="114"/>
    </row>
    <row r="121" ht="15.75" customHeight="1">
      <c r="A121" s="114"/>
      <c r="B121" s="114"/>
    </row>
    <row r="122" ht="15.75" customHeight="1">
      <c r="A122" s="114"/>
      <c r="B122" s="114"/>
    </row>
    <row r="123" ht="15.75" customHeight="1">
      <c r="A123" s="114"/>
      <c r="B123" s="114"/>
    </row>
    <row r="124" ht="15.75" customHeight="1">
      <c r="A124" s="114"/>
      <c r="B124" s="114"/>
    </row>
    <row r="125" ht="15.75" customHeight="1">
      <c r="A125" s="114"/>
      <c r="B125" s="114"/>
    </row>
    <row r="126" ht="15.75" customHeight="1">
      <c r="A126" s="114"/>
      <c r="B126" s="11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9.38"/>
    <col customWidth="1" min="3" max="11" width="10.75"/>
    <col customWidth="1" hidden="1" min="12" max="15" width="10.75"/>
    <col customWidth="1" min="16" max="21" width="10.75"/>
    <col customWidth="1" min="22" max="22" width="8.0"/>
    <col customWidth="1" min="23" max="23" width="13.63"/>
  </cols>
  <sheetData>
    <row r="1" ht="15.75" customHeight="1">
      <c r="A1" s="105">
        <v>45808.0</v>
      </c>
      <c r="C1" s="106" t="s">
        <v>75</v>
      </c>
      <c r="D1" s="63"/>
    </row>
    <row r="2" ht="15.75" customHeight="1">
      <c r="A2" s="1" t="s">
        <v>0</v>
      </c>
      <c r="B2" s="1" t="s">
        <v>1</v>
      </c>
      <c r="C2" s="3" t="s">
        <v>135</v>
      </c>
      <c r="D2" s="109" t="s">
        <v>102</v>
      </c>
      <c r="E2" s="109" t="s">
        <v>103</v>
      </c>
      <c r="F2" s="109" t="s">
        <v>104</v>
      </c>
      <c r="G2" s="109" t="s">
        <v>105</v>
      </c>
      <c r="H2" s="3" t="s">
        <v>106</v>
      </c>
      <c r="I2" s="1" t="s">
        <v>107</v>
      </c>
      <c r="J2" s="1" t="s">
        <v>109</v>
      </c>
      <c r="K2" s="1" t="s">
        <v>110</v>
      </c>
      <c r="L2" s="1" t="s">
        <v>114</v>
      </c>
      <c r="M2" s="1" t="s">
        <v>140</v>
      </c>
      <c r="N2" s="1" t="s">
        <v>141</v>
      </c>
      <c r="O2" s="1" t="s">
        <v>142</v>
      </c>
      <c r="P2" s="1" t="s">
        <v>111</v>
      </c>
      <c r="Q2" s="145" t="s">
        <v>117</v>
      </c>
      <c r="R2" s="145" t="s">
        <v>112</v>
      </c>
      <c r="S2" s="145" t="s">
        <v>143</v>
      </c>
      <c r="T2" s="145" t="s">
        <v>118</v>
      </c>
      <c r="U2" s="113" t="s">
        <v>122</v>
      </c>
      <c r="V2" s="114" t="s">
        <v>38</v>
      </c>
      <c r="W2" s="114" t="s">
        <v>149</v>
      </c>
      <c r="X2" s="114"/>
      <c r="Y2" s="114"/>
      <c r="Z2" s="114"/>
      <c r="AA2" s="114"/>
      <c r="AB2" s="114"/>
      <c r="AC2" s="114"/>
      <c r="AD2" s="114"/>
      <c r="AE2" s="114"/>
      <c r="AF2" s="114"/>
      <c r="AG2" s="114"/>
    </row>
    <row r="3" ht="15.75" customHeight="1">
      <c r="A3" s="1">
        <v>108.0</v>
      </c>
      <c r="B3" s="1" t="s">
        <v>150</v>
      </c>
      <c r="C3" s="116"/>
      <c r="D3" s="116">
        <v>40000.0</v>
      </c>
      <c r="E3" s="116">
        <v>5000.0</v>
      </c>
      <c r="F3" s="116">
        <v>5000.0</v>
      </c>
      <c r="G3" s="116">
        <v>2000.0</v>
      </c>
      <c r="H3" s="129">
        <v>0.0</v>
      </c>
      <c r="I3" s="116">
        <v>28000.0</v>
      </c>
      <c r="J3" s="129">
        <v>0.0</v>
      </c>
      <c r="K3" s="129">
        <v>0.0</v>
      </c>
      <c r="L3" s="129">
        <v>0.0</v>
      </c>
      <c r="M3" s="129">
        <v>0.0</v>
      </c>
      <c r="N3" s="129">
        <v>0.0</v>
      </c>
      <c r="O3" s="129">
        <v>0.0</v>
      </c>
      <c r="P3" s="129">
        <v>0.0</v>
      </c>
      <c r="Q3" s="123">
        <v>0.0</v>
      </c>
      <c r="R3" s="129">
        <v>0.0</v>
      </c>
      <c r="S3" s="129">
        <v>0.0</v>
      </c>
      <c r="T3" s="123"/>
      <c r="U3" s="120">
        <f t="shared" ref="U3:U27" si="1">SUM(D3:T3)</f>
        <v>80000</v>
      </c>
      <c r="V3" s="124">
        <v>80000.0</v>
      </c>
    </row>
    <row r="4" ht="15.75" customHeight="1">
      <c r="A4" s="1">
        <v>206.0</v>
      </c>
      <c r="B4" s="1" t="s">
        <v>151</v>
      </c>
      <c r="C4" s="116"/>
      <c r="D4" s="116">
        <v>40000.0</v>
      </c>
      <c r="E4" s="116">
        <v>5000.0</v>
      </c>
      <c r="F4" s="116">
        <v>5000.0</v>
      </c>
      <c r="G4" s="116">
        <v>2000.0</v>
      </c>
      <c r="H4" s="129">
        <v>0.0</v>
      </c>
      <c r="I4" s="116">
        <v>41580.0</v>
      </c>
      <c r="J4" s="129">
        <v>0.0</v>
      </c>
      <c r="K4" s="129">
        <v>0.0</v>
      </c>
      <c r="L4" s="129">
        <v>0.0</v>
      </c>
      <c r="M4" s="129">
        <v>0.0</v>
      </c>
      <c r="N4" s="129">
        <v>0.0</v>
      </c>
      <c r="O4" s="129">
        <v>0.0</v>
      </c>
      <c r="P4" s="129">
        <v>0.0</v>
      </c>
      <c r="Q4" s="123">
        <v>6420.0</v>
      </c>
      <c r="R4" s="129">
        <v>0.0</v>
      </c>
      <c r="S4" s="129">
        <v>0.0</v>
      </c>
      <c r="T4" s="116"/>
      <c r="U4" s="120">
        <f t="shared" si="1"/>
        <v>100000</v>
      </c>
      <c r="V4" s="124">
        <v>100000.0</v>
      </c>
    </row>
    <row r="5" ht="15.75" customHeight="1">
      <c r="A5" s="1">
        <v>210.0</v>
      </c>
      <c r="B5" s="1" t="s">
        <v>152</v>
      </c>
      <c r="C5" s="116"/>
      <c r="D5" s="116">
        <v>40000.0</v>
      </c>
      <c r="E5" s="116">
        <v>5000.0</v>
      </c>
      <c r="F5" s="116">
        <v>5000.0</v>
      </c>
      <c r="G5" s="116">
        <v>2000.0</v>
      </c>
      <c r="H5" s="129">
        <v>0.0</v>
      </c>
      <c r="I5" s="116">
        <v>44330.0</v>
      </c>
      <c r="J5" s="129">
        <v>0.0</v>
      </c>
      <c r="K5" s="129">
        <v>0.0</v>
      </c>
      <c r="L5" s="129">
        <v>0.0</v>
      </c>
      <c r="M5" s="129">
        <v>0.0</v>
      </c>
      <c r="N5" s="129">
        <v>0.0</v>
      </c>
      <c r="O5" s="129">
        <v>0.0</v>
      </c>
      <c r="P5" s="129">
        <v>0.0</v>
      </c>
      <c r="Q5" s="116">
        <v>3670.0</v>
      </c>
      <c r="R5" s="129">
        <v>0.0</v>
      </c>
      <c r="S5" s="129">
        <v>0.0</v>
      </c>
      <c r="T5" s="116"/>
      <c r="U5" s="120">
        <f t="shared" si="1"/>
        <v>100000</v>
      </c>
      <c r="V5" s="124">
        <v>100000.0</v>
      </c>
    </row>
    <row r="6" ht="15.75" customHeight="1">
      <c r="A6" s="1">
        <v>211.0</v>
      </c>
      <c r="B6" s="1" t="s">
        <v>153</v>
      </c>
      <c r="C6" s="116"/>
      <c r="D6" s="116">
        <v>40000.0</v>
      </c>
      <c r="E6" s="116">
        <v>5000.0</v>
      </c>
      <c r="F6" s="116">
        <v>5000.0</v>
      </c>
      <c r="G6" s="116">
        <v>2000.0</v>
      </c>
      <c r="H6" s="129">
        <v>0.0</v>
      </c>
      <c r="I6" s="116">
        <v>44330.0</v>
      </c>
      <c r="J6" s="129">
        <v>0.0</v>
      </c>
      <c r="K6" s="129">
        <v>0.0</v>
      </c>
      <c r="L6" s="129">
        <v>0.0</v>
      </c>
      <c r="M6" s="129">
        <v>0.0</v>
      </c>
      <c r="N6" s="129">
        <v>0.0</v>
      </c>
      <c r="O6" s="129">
        <v>0.0</v>
      </c>
      <c r="P6" s="129">
        <v>0.0</v>
      </c>
      <c r="Q6" s="116">
        <v>8670.0</v>
      </c>
      <c r="R6" s="129">
        <v>0.0</v>
      </c>
      <c r="S6" s="129">
        <v>0.0</v>
      </c>
      <c r="T6" s="116"/>
      <c r="U6" s="120">
        <f t="shared" si="1"/>
        <v>105000</v>
      </c>
      <c r="V6" s="124">
        <v>105000.0</v>
      </c>
    </row>
    <row r="7" ht="15.75" customHeight="1">
      <c r="A7" s="1">
        <v>212.0</v>
      </c>
      <c r="B7" s="1" t="s">
        <v>154</v>
      </c>
      <c r="C7" s="116"/>
      <c r="D7" s="116">
        <v>40000.0</v>
      </c>
      <c r="E7" s="116">
        <v>5000.0</v>
      </c>
      <c r="F7" s="116">
        <v>5000.0</v>
      </c>
      <c r="G7" s="116">
        <v>2000.0</v>
      </c>
      <c r="H7" s="116">
        <v>10000.0</v>
      </c>
      <c r="I7" s="116">
        <v>42130.0</v>
      </c>
      <c r="J7" s="116">
        <v>11253.0</v>
      </c>
      <c r="K7" s="116">
        <v>2263.0</v>
      </c>
      <c r="L7" s="129">
        <v>0.0</v>
      </c>
      <c r="M7" s="129">
        <v>0.0</v>
      </c>
      <c r="N7" s="129">
        <v>0.0</v>
      </c>
      <c r="O7" s="129">
        <v>0.0</v>
      </c>
      <c r="P7" s="129">
        <v>0.0</v>
      </c>
      <c r="Q7" s="129">
        <v>0.0</v>
      </c>
      <c r="R7" s="123">
        <v>1500.0</v>
      </c>
      <c r="S7" s="129">
        <v>0.0</v>
      </c>
      <c r="T7" s="116"/>
      <c r="U7" s="120">
        <f t="shared" si="1"/>
        <v>119146</v>
      </c>
      <c r="V7" s="124" t="s">
        <v>129</v>
      </c>
    </row>
    <row r="8" ht="15.75" customHeight="1">
      <c r="A8" s="1">
        <v>303.0</v>
      </c>
      <c r="B8" s="1" t="s">
        <v>155</v>
      </c>
      <c r="C8" s="116"/>
      <c r="D8" s="116">
        <v>40000.0</v>
      </c>
      <c r="E8" s="116">
        <v>5000.0</v>
      </c>
      <c r="F8" s="116">
        <v>5000.0</v>
      </c>
      <c r="G8" s="116">
        <v>2000.0</v>
      </c>
      <c r="H8" s="116">
        <v>10000.0</v>
      </c>
      <c r="I8" s="116">
        <v>43450.0</v>
      </c>
      <c r="J8" s="123">
        <v>7502.0</v>
      </c>
      <c r="K8" s="116">
        <v>2263.0</v>
      </c>
      <c r="L8" s="129">
        <v>0.0</v>
      </c>
      <c r="M8" s="129">
        <v>0.0</v>
      </c>
      <c r="N8" s="149" t="s">
        <v>148</v>
      </c>
      <c r="O8" s="149" t="s">
        <v>148</v>
      </c>
      <c r="P8" s="129">
        <v>0.0</v>
      </c>
      <c r="Q8" s="129">
        <v>0.0</v>
      </c>
      <c r="R8" s="123">
        <v>1500.0</v>
      </c>
      <c r="S8" s="116"/>
      <c r="T8" s="116"/>
      <c r="U8" s="120">
        <f t="shared" si="1"/>
        <v>116715</v>
      </c>
      <c r="V8" s="124">
        <v>100000.0</v>
      </c>
    </row>
    <row r="9" ht="15.75" customHeight="1">
      <c r="A9" s="1">
        <v>403.0</v>
      </c>
      <c r="B9" s="1" t="s">
        <v>156</v>
      </c>
      <c r="C9" s="116"/>
      <c r="D9" s="116">
        <v>40000.0</v>
      </c>
      <c r="E9" s="116">
        <v>5000.0</v>
      </c>
      <c r="F9" s="116">
        <v>5000.0</v>
      </c>
      <c r="G9" s="116">
        <v>2000.0</v>
      </c>
      <c r="H9" s="129">
        <v>0.0</v>
      </c>
      <c r="I9" s="116">
        <v>38000.0</v>
      </c>
      <c r="J9" s="129">
        <v>0.0</v>
      </c>
      <c r="K9" s="129">
        <v>0.0</v>
      </c>
      <c r="L9" s="129">
        <v>0.0</v>
      </c>
      <c r="M9" s="129">
        <v>0.0</v>
      </c>
      <c r="N9" s="129">
        <v>0.0</v>
      </c>
      <c r="O9" s="129">
        <v>0.0</v>
      </c>
      <c r="P9" s="116">
        <v>10000.0</v>
      </c>
      <c r="Q9" s="116"/>
      <c r="R9" s="129">
        <v>0.0</v>
      </c>
      <c r="S9" s="129">
        <v>0.0</v>
      </c>
      <c r="T9" s="116"/>
      <c r="U9" s="120">
        <f t="shared" si="1"/>
        <v>100000</v>
      </c>
      <c r="V9" s="124">
        <v>100000.0</v>
      </c>
    </row>
    <row r="10" ht="15.75" customHeight="1">
      <c r="A10" s="1"/>
      <c r="B10" s="1"/>
      <c r="C10" s="117"/>
      <c r="D10" s="129">
        <v>0.0</v>
      </c>
      <c r="E10" s="129">
        <v>0.0</v>
      </c>
      <c r="F10" s="129">
        <v>0.0</v>
      </c>
      <c r="G10" s="129">
        <v>0.0</v>
      </c>
      <c r="H10" s="129">
        <v>0.0</v>
      </c>
      <c r="I10" s="129">
        <v>0.0</v>
      </c>
      <c r="J10" s="129">
        <v>0.0</v>
      </c>
      <c r="K10" s="129">
        <v>0.0</v>
      </c>
      <c r="L10" s="129">
        <v>0.0</v>
      </c>
      <c r="M10" s="129">
        <v>0.0</v>
      </c>
      <c r="N10" s="129">
        <v>0.0</v>
      </c>
      <c r="O10" s="129">
        <v>0.0</v>
      </c>
      <c r="P10" s="129">
        <v>0.0</v>
      </c>
      <c r="Q10" s="129">
        <v>0.0</v>
      </c>
      <c r="R10" s="129">
        <v>0.0</v>
      </c>
      <c r="S10" s="116"/>
      <c r="T10" s="116"/>
      <c r="U10" s="120">
        <f t="shared" si="1"/>
        <v>0</v>
      </c>
      <c r="V10" s="124"/>
    </row>
    <row r="11" ht="15.75" customHeight="1">
      <c r="A11" s="1">
        <v>703.0</v>
      </c>
      <c r="B11" s="1" t="s">
        <v>157</v>
      </c>
      <c r="C11" s="117"/>
      <c r="D11" s="116">
        <v>40000.0</v>
      </c>
      <c r="E11" s="116">
        <v>5000.0</v>
      </c>
      <c r="F11" s="116">
        <v>5000.0</v>
      </c>
      <c r="G11" s="116">
        <v>2000.0</v>
      </c>
      <c r="H11" s="129">
        <v>0.0</v>
      </c>
      <c r="I11" s="116">
        <v>44330.0</v>
      </c>
      <c r="J11" s="129">
        <v>0.0</v>
      </c>
      <c r="K11" s="129">
        <v>0.0</v>
      </c>
      <c r="L11" s="129">
        <v>0.0</v>
      </c>
      <c r="M11" s="129">
        <v>0.0</v>
      </c>
      <c r="N11" s="129">
        <v>0.0</v>
      </c>
      <c r="O11" s="129">
        <v>0.0</v>
      </c>
      <c r="P11" s="129">
        <v>0.0</v>
      </c>
      <c r="Q11" s="116">
        <v>3670.0</v>
      </c>
      <c r="R11" s="129">
        <v>0.0</v>
      </c>
      <c r="S11" s="129">
        <v>0.0</v>
      </c>
      <c r="T11" s="116"/>
      <c r="U11" s="120">
        <f t="shared" si="1"/>
        <v>100000</v>
      </c>
      <c r="V11" s="124">
        <v>100000.0</v>
      </c>
    </row>
    <row r="12" ht="15.75" customHeight="1">
      <c r="A12" s="1">
        <v>715.0</v>
      </c>
      <c r="B12" s="1" t="s">
        <v>158</v>
      </c>
      <c r="C12" s="117"/>
      <c r="D12" s="116">
        <v>40000.0</v>
      </c>
      <c r="E12" s="116">
        <v>5000.0</v>
      </c>
      <c r="F12" s="116">
        <v>5000.0</v>
      </c>
      <c r="G12" s="116">
        <v>2000.0</v>
      </c>
      <c r="H12" s="116">
        <v>10000.0</v>
      </c>
      <c r="I12" s="116">
        <v>44330.0</v>
      </c>
      <c r="J12" s="129">
        <v>0.0</v>
      </c>
      <c r="K12" s="129">
        <v>0.0</v>
      </c>
      <c r="L12" s="129">
        <v>0.0</v>
      </c>
      <c r="M12" s="129">
        <v>0.0</v>
      </c>
      <c r="N12" s="129">
        <v>0.0</v>
      </c>
      <c r="O12" s="129">
        <v>0.0</v>
      </c>
      <c r="P12" s="129">
        <v>0.0</v>
      </c>
      <c r="Q12" s="116">
        <v>9670.0</v>
      </c>
      <c r="R12" s="129">
        <v>0.0</v>
      </c>
      <c r="S12" s="129">
        <v>0.0</v>
      </c>
      <c r="T12" s="116"/>
      <c r="U12" s="120">
        <f t="shared" si="1"/>
        <v>116000</v>
      </c>
      <c r="V12" s="124">
        <v>116000.0</v>
      </c>
    </row>
    <row r="13" ht="15.75" customHeight="1">
      <c r="A13" s="1">
        <v>716.0</v>
      </c>
      <c r="B13" s="1" t="s">
        <v>159</v>
      </c>
      <c r="C13" s="117"/>
      <c r="D13" s="116">
        <v>40000.0</v>
      </c>
      <c r="E13" s="116">
        <v>5000.0</v>
      </c>
      <c r="F13" s="116">
        <v>5000.0</v>
      </c>
      <c r="G13" s="116">
        <v>2000.0</v>
      </c>
      <c r="H13" s="129">
        <v>0.0</v>
      </c>
      <c r="I13" s="116">
        <v>12100.0</v>
      </c>
      <c r="J13" s="129">
        <v>0.0</v>
      </c>
      <c r="K13" s="129">
        <v>0.0</v>
      </c>
      <c r="L13" s="129">
        <v>0.0</v>
      </c>
      <c r="M13" s="129">
        <v>0.0</v>
      </c>
      <c r="N13" s="129">
        <v>0.0</v>
      </c>
      <c r="O13" s="129">
        <v>0.0</v>
      </c>
      <c r="P13" s="129">
        <v>0.0</v>
      </c>
      <c r="Q13" s="129">
        <v>0.0</v>
      </c>
      <c r="R13" s="129">
        <v>0.0</v>
      </c>
      <c r="S13" s="129">
        <v>0.0</v>
      </c>
      <c r="T13" s="116">
        <v>500.0</v>
      </c>
      <c r="U13" s="120">
        <f t="shared" si="1"/>
        <v>64600</v>
      </c>
      <c r="V13" s="124" t="s">
        <v>129</v>
      </c>
    </row>
    <row r="14" ht="15.75" customHeight="1">
      <c r="A14" s="1"/>
      <c r="B14" s="1"/>
      <c r="C14" s="117"/>
      <c r="D14" s="129">
        <v>0.0</v>
      </c>
      <c r="E14" s="129">
        <v>0.0</v>
      </c>
      <c r="F14" s="129">
        <v>0.0</v>
      </c>
      <c r="G14" s="129">
        <v>0.0</v>
      </c>
      <c r="H14" s="129">
        <v>0.0</v>
      </c>
      <c r="I14" s="129">
        <v>0.0</v>
      </c>
      <c r="J14" s="129">
        <v>0.0</v>
      </c>
      <c r="K14" s="129">
        <v>0.0</v>
      </c>
      <c r="L14" s="129">
        <v>0.0</v>
      </c>
      <c r="M14" s="129">
        <v>0.0</v>
      </c>
      <c r="N14" s="129">
        <v>0.0</v>
      </c>
      <c r="O14" s="129">
        <v>0.0</v>
      </c>
      <c r="P14" s="129">
        <v>0.0</v>
      </c>
      <c r="Q14" s="129">
        <v>0.0</v>
      </c>
      <c r="R14" s="129">
        <v>0.0</v>
      </c>
      <c r="S14" s="129">
        <v>0.0</v>
      </c>
      <c r="T14" s="116"/>
      <c r="U14" s="120">
        <f t="shared" si="1"/>
        <v>0</v>
      </c>
      <c r="V14" s="124"/>
    </row>
    <row r="15" ht="15.75" customHeight="1">
      <c r="A15" s="1"/>
      <c r="B15" s="1"/>
      <c r="C15" s="117"/>
      <c r="D15" s="129">
        <v>0.0</v>
      </c>
      <c r="E15" s="129">
        <v>0.0</v>
      </c>
      <c r="F15" s="129">
        <v>0.0</v>
      </c>
      <c r="G15" s="129">
        <v>0.0</v>
      </c>
      <c r="H15" s="129">
        <v>0.0</v>
      </c>
      <c r="I15" s="129">
        <v>0.0</v>
      </c>
      <c r="J15" s="129">
        <v>0.0</v>
      </c>
      <c r="K15" s="129">
        <v>0.0</v>
      </c>
      <c r="L15" s="129">
        <v>0.0</v>
      </c>
      <c r="M15" s="129">
        <v>0.0</v>
      </c>
      <c r="N15" s="129">
        <v>0.0</v>
      </c>
      <c r="O15" s="129">
        <v>0.0</v>
      </c>
      <c r="P15" s="129">
        <v>0.0</v>
      </c>
      <c r="Q15" s="129">
        <v>0.0</v>
      </c>
      <c r="R15" s="129">
        <v>0.0</v>
      </c>
      <c r="S15" s="129">
        <v>0.0</v>
      </c>
      <c r="T15" s="116"/>
      <c r="U15" s="120">
        <f t="shared" si="1"/>
        <v>0</v>
      </c>
      <c r="V15" s="124"/>
    </row>
    <row r="16" ht="15.75" customHeight="1">
      <c r="A16" s="1" t="s">
        <v>2</v>
      </c>
      <c r="B16" s="1"/>
      <c r="C16" s="117"/>
      <c r="D16" s="129">
        <v>0.0</v>
      </c>
      <c r="E16" s="129">
        <v>0.0</v>
      </c>
      <c r="F16" s="129">
        <v>0.0</v>
      </c>
      <c r="G16" s="129">
        <v>0.0</v>
      </c>
      <c r="H16" s="129">
        <v>0.0</v>
      </c>
      <c r="I16" s="129">
        <v>0.0</v>
      </c>
      <c r="J16" s="129">
        <v>0.0</v>
      </c>
      <c r="K16" s="129">
        <v>0.0</v>
      </c>
      <c r="L16" s="129">
        <v>0.0</v>
      </c>
      <c r="M16" s="129">
        <v>0.0</v>
      </c>
      <c r="N16" s="129">
        <v>0.0</v>
      </c>
      <c r="O16" s="129">
        <v>0.0</v>
      </c>
      <c r="P16" s="129">
        <v>0.0</v>
      </c>
      <c r="Q16" s="129">
        <v>0.0</v>
      </c>
      <c r="R16" s="129">
        <v>0.0</v>
      </c>
      <c r="S16" s="129">
        <v>0.0</v>
      </c>
      <c r="T16" s="116"/>
      <c r="U16" s="120">
        <f t="shared" si="1"/>
        <v>0</v>
      </c>
      <c r="V16" s="124"/>
    </row>
    <row r="17" ht="15.75" customHeight="1">
      <c r="A17" s="1" t="s">
        <v>4</v>
      </c>
      <c r="B17" s="1" t="s">
        <v>5</v>
      </c>
      <c r="C17" s="117"/>
      <c r="D17" s="116">
        <v>40000.0</v>
      </c>
      <c r="E17" s="116">
        <v>5000.0</v>
      </c>
      <c r="F17" s="116">
        <v>5000.0</v>
      </c>
      <c r="G17" s="116">
        <v>2000.0</v>
      </c>
      <c r="H17" s="116">
        <v>10000.0</v>
      </c>
      <c r="I17" s="116">
        <v>17050.0</v>
      </c>
      <c r="J17" s="129">
        <v>0.0</v>
      </c>
      <c r="K17" s="129">
        <v>0.0</v>
      </c>
      <c r="L17" s="129">
        <v>0.0</v>
      </c>
      <c r="M17" s="129">
        <v>0.0</v>
      </c>
      <c r="N17" s="129">
        <v>0.0</v>
      </c>
      <c r="O17" s="129">
        <v>0.0</v>
      </c>
      <c r="P17" s="150">
        <v>0.0</v>
      </c>
      <c r="Q17" s="129">
        <v>0.0</v>
      </c>
      <c r="R17" s="129">
        <v>0.0</v>
      </c>
      <c r="S17" s="116"/>
      <c r="T17" s="116"/>
      <c r="U17" s="120">
        <f t="shared" si="1"/>
        <v>79050</v>
      </c>
      <c r="V17" s="124" t="s">
        <v>129</v>
      </c>
    </row>
    <row r="18" ht="15.75" customHeight="1">
      <c r="A18" s="1" t="s">
        <v>6</v>
      </c>
      <c r="B18" s="1" t="s">
        <v>132</v>
      </c>
      <c r="C18" s="117"/>
      <c r="D18" s="116">
        <v>40000.0</v>
      </c>
      <c r="E18" s="116">
        <v>5000.0</v>
      </c>
      <c r="F18" s="116">
        <v>5000.0</v>
      </c>
      <c r="G18" s="116">
        <v>2000.0</v>
      </c>
      <c r="H18" s="129">
        <v>0.0</v>
      </c>
      <c r="I18" s="116">
        <v>44330.0</v>
      </c>
      <c r="J18" s="129">
        <v>0.0</v>
      </c>
      <c r="K18" s="129">
        <v>0.0</v>
      </c>
      <c r="L18" s="129">
        <v>0.0</v>
      </c>
      <c r="M18" s="129">
        <v>0.0</v>
      </c>
      <c r="N18" s="129">
        <v>0.0</v>
      </c>
      <c r="O18" s="129">
        <v>0.0</v>
      </c>
      <c r="P18" s="116">
        <v>10000.0</v>
      </c>
      <c r="Q18" s="116">
        <v>3670.0</v>
      </c>
      <c r="R18" s="123"/>
      <c r="S18" s="129">
        <v>0.0</v>
      </c>
      <c r="T18" s="116"/>
      <c r="U18" s="120">
        <f t="shared" si="1"/>
        <v>110000</v>
      </c>
      <c r="V18" s="124">
        <v>110000.0</v>
      </c>
    </row>
    <row r="19" ht="15.75" customHeight="1">
      <c r="A19" s="1" t="s">
        <v>7</v>
      </c>
      <c r="B19" s="1" t="s">
        <v>8</v>
      </c>
      <c r="C19" s="117"/>
      <c r="D19" s="116">
        <v>40000.0</v>
      </c>
      <c r="E19" s="116">
        <v>5000.0</v>
      </c>
      <c r="F19" s="116">
        <v>5000.0</v>
      </c>
      <c r="G19" s="116">
        <v>2000.0</v>
      </c>
      <c r="H19" s="116">
        <v>10000.0</v>
      </c>
      <c r="I19" s="129">
        <v>0.0</v>
      </c>
      <c r="J19" s="129">
        <v>0.0</v>
      </c>
      <c r="K19" s="116">
        <v>2263.0</v>
      </c>
      <c r="L19" s="129">
        <v>0.0</v>
      </c>
      <c r="M19" s="129">
        <v>0.0</v>
      </c>
      <c r="N19" s="129">
        <v>0.0</v>
      </c>
      <c r="O19" s="129">
        <v>0.0</v>
      </c>
      <c r="P19" s="129">
        <v>0.0</v>
      </c>
      <c r="Q19" s="129">
        <v>0.0</v>
      </c>
      <c r="R19" s="123">
        <v>1500.0</v>
      </c>
      <c r="S19" s="129">
        <v>0.0</v>
      </c>
      <c r="T19" s="116"/>
      <c r="U19" s="120">
        <f t="shared" si="1"/>
        <v>65763</v>
      </c>
      <c r="V19" s="124" t="s">
        <v>129</v>
      </c>
    </row>
    <row r="20" ht="15.75" customHeight="1">
      <c r="A20" s="1" t="s">
        <v>9</v>
      </c>
      <c r="B20" s="1" t="s">
        <v>10</v>
      </c>
      <c r="C20" s="117"/>
      <c r="D20" s="116">
        <v>40000.0</v>
      </c>
      <c r="E20" s="116">
        <v>5000.0</v>
      </c>
      <c r="F20" s="116">
        <v>5000.0</v>
      </c>
      <c r="G20" s="116">
        <v>2000.0</v>
      </c>
      <c r="H20" s="129">
        <v>0.0</v>
      </c>
      <c r="I20" s="116">
        <v>42130.0</v>
      </c>
      <c r="J20" s="129">
        <v>0.0</v>
      </c>
      <c r="K20" s="129">
        <v>0.0</v>
      </c>
      <c r="L20" s="129">
        <v>0.0</v>
      </c>
      <c r="M20" s="129">
        <v>0.0</v>
      </c>
      <c r="N20" s="129">
        <v>0.0</v>
      </c>
      <c r="O20" s="129">
        <v>0.0</v>
      </c>
      <c r="P20" s="116">
        <v>10000.0</v>
      </c>
      <c r="Q20" s="116">
        <v>5870.0</v>
      </c>
      <c r="R20" s="129">
        <v>0.0</v>
      </c>
      <c r="S20" s="129">
        <v>0.0</v>
      </c>
      <c r="T20" s="116"/>
      <c r="U20" s="120">
        <f t="shared" si="1"/>
        <v>110000</v>
      </c>
      <c r="V20" s="124">
        <v>110000.0</v>
      </c>
    </row>
    <row r="21" ht="15.75" customHeight="1">
      <c r="A21" s="1" t="s">
        <v>11</v>
      </c>
      <c r="B21" s="1"/>
      <c r="C21" s="117"/>
      <c r="D21" s="129">
        <v>0.0</v>
      </c>
      <c r="E21" s="129">
        <v>0.0</v>
      </c>
      <c r="F21" s="129">
        <v>0.0</v>
      </c>
      <c r="G21" s="129">
        <v>0.0</v>
      </c>
      <c r="H21" s="129">
        <v>0.0</v>
      </c>
      <c r="I21" s="129">
        <v>0.0</v>
      </c>
      <c r="J21" s="129">
        <v>0.0</v>
      </c>
      <c r="K21" s="129">
        <v>0.0</v>
      </c>
      <c r="L21" s="129">
        <v>0.0</v>
      </c>
      <c r="M21" s="129">
        <v>0.0</v>
      </c>
      <c r="N21" s="129">
        <v>0.0</v>
      </c>
      <c r="O21" s="129">
        <v>0.0</v>
      </c>
      <c r="P21" s="129">
        <v>0.0</v>
      </c>
      <c r="Q21" s="129">
        <v>0.0</v>
      </c>
      <c r="R21" s="129">
        <v>0.0</v>
      </c>
      <c r="S21" s="129">
        <v>0.0</v>
      </c>
      <c r="T21" s="116"/>
      <c r="U21" s="120">
        <f t="shared" si="1"/>
        <v>0</v>
      </c>
      <c r="V21" s="124"/>
    </row>
    <row r="22" ht="15.75" customHeight="1">
      <c r="A22" s="1" t="s">
        <v>12</v>
      </c>
      <c r="B22" s="1" t="s">
        <v>13</v>
      </c>
      <c r="C22" s="117"/>
      <c r="D22" s="116">
        <v>40000.0</v>
      </c>
      <c r="E22" s="116">
        <v>5000.0</v>
      </c>
      <c r="F22" s="116">
        <v>5000.0</v>
      </c>
      <c r="G22" s="116">
        <v>2000.0</v>
      </c>
      <c r="H22" s="129">
        <v>0.0</v>
      </c>
      <c r="I22" s="116">
        <v>34100.0</v>
      </c>
      <c r="J22" s="129">
        <v>0.0</v>
      </c>
      <c r="K22" s="129">
        <v>0.0</v>
      </c>
      <c r="L22" s="129">
        <v>0.0</v>
      </c>
      <c r="M22" s="129">
        <v>0.0</v>
      </c>
      <c r="N22" s="129">
        <v>0.0</v>
      </c>
      <c r="O22" s="129">
        <v>0.0</v>
      </c>
      <c r="P22" s="129">
        <v>0.0</v>
      </c>
      <c r="Q22" s="116">
        <v>19670.0</v>
      </c>
      <c r="R22" s="129">
        <v>0.0</v>
      </c>
      <c r="S22" s="129">
        <v>0.0</v>
      </c>
      <c r="T22" s="116"/>
      <c r="U22" s="120">
        <f t="shared" si="1"/>
        <v>105770</v>
      </c>
      <c r="V22" s="124" t="s">
        <v>129</v>
      </c>
    </row>
    <row r="23" ht="15.75" customHeight="1">
      <c r="A23" s="1" t="s">
        <v>14</v>
      </c>
      <c r="B23" s="1" t="s">
        <v>15</v>
      </c>
      <c r="C23" s="117"/>
      <c r="D23" s="116">
        <v>40000.0</v>
      </c>
      <c r="E23" s="116">
        <v>5000.0</v>
      </c>
      <c r="F23" s="116">
        <v>5000.0</v>
      </c>
      <c r="G23" s="116">
        <v>2000.0</v>
      </c>
      <c r="H23" s="129">
        <v>0.0</v>
      </c>
      <c r="I23" s="116">
        <v>44330.0</v>
      </c>
      <c r="J23" s="129">
        <v>0.0</v>
      </c>
      <c r="K23" s="129">
        <v>0.0</v>
      </c>
      <c r="L23" s="129">
        <v>0.0</v>
      </c>
      <c r="M23" s="129">
        <v>0.0</v>
      </c>
      <c r="N23" s="129">
        <v>0.0</v>
      </c>
      <c r="O23" s="129">
        <v>0.0</v>
      </c>
      <c r="P23" s="116">
        <v>20000.0</v>
      </c>
      <c r="Q23" s="129">
        <v>0.0</v>
      </c>
      <c r="R23" s="129">
        <v>0.0</v>
      </c>
      <c r="S23" s="129">
        <v>0.0</v>
      </c>
      <c r="T23" s="116"/>
      <c r="U23" s="120">
        <f t="shared" si="1"/>
        <v>116330</v>
      </c>
      <c r="V23" s="124" t="s">
        <v>129</v>
      </c>
    </row>
    <row r="24" ht="15.75" customHeight="1">
      <c r="A24" s="1" t="s">
        <v>16</v>
      </c>
      <c r="B24" s="1"/>
      <c r="C24" s="117"/>
      <c r="D24" s="129">
        <v>0.0</v>
      </c>
      <c r="E24" s="129">
        <v>0.0</v>
      </c>
      <c r="F24" s="129">
        <v>0.0</v>
      </c>
      <c r="G24" s="129">
        <v>0.0</v>
      </c>
      <c r="H24" s="129">
        <v>0.0</v>
      </c>
      <c r="I24" s="129">
        <v>0.0</v>
      </c>
      <c r="J24" s="129">
        <v>0.0</v>
      </c>
      <c r="K24" s="129">
        <v>0.0</v>
      </c>
      <c r="L24" s="129">
        <v>0.0</v>
      </c>
      <c r="M24" s="129">
        <v>0.0</v>
      </c>
      <c r="N24" s="129">
        <v>0.0</v>
      </c>
      <c r="O24" s="129">
        <v>0.0</v>
      </c>
      <c r="P24" s="129">
        <v>0.0</v>
      </c>
      <c r="Q24" s="129">
        <v>0.0</v>
      </c>
      <c r="R24" s="129">
        <v>0.0</v>
      </c>
      <c r="S24" s="129">
        <v>0.0</v>
      </c>
      <c r="T24" s="116"/>
      <c r="U24" s="120">
        <f t="shared" si="1"/>
        <v>0</v>
      </c>
      <c r="V24" s="124"/>
    </row>
    <row r="25" ht="15.75" customHeight="1">
      <c r="A25" s="1" t="s">
        <v>18</v>
      </c>
      <c r="B25" s="1" t="s">
        <v>19</v>
      </c>
      <c r="C25" s="117"/>
      <c r="D25" s="116">
        <v>40000.0</v>
      </c>
      <c r="E25" s="116">
        <v>5000.0</v>
      </c>
      <c r="F25" s="116">
        <v>5000.0</v>
      </c>
      <c r="G25" s="116">
        <v>2000.0</v>
      </c>
      <c r="H25" s="116">
        <v>10000.0</v>
      </c>
      <c r="I25" s="129">
        <v>0.0</v>
      </c>
      <c r="J25" s="116">
        <v>7502.0</v>
      </c>
      <c r="K25" s="129">
        <v>0.0</v>
      </c>
      <c r="L25" s="129">
        <v>0.0</v>
      </c>
      <c r="M25" s="129">
        <v>0.0</v>
      </c>
      <c r="N25" s="149" t="s">
        <v>148</v>
      </c>
      <c r="O25" s="149" t="s">
        <v>148</v>
      </c>
      <c r="P25" s="129">
        <v>0.0</v>
      </c>
      <c r="Q25" s="129">
        <v>0.0</v>
      </c>
      <c r="R25" s="123">
        <v>1500.0</v>
      </c>
      <c r="S25" s="129">
        <v>0.0</v>
      </c>
      <c r="T25" s="116"/>
      <c r="U25" s="120">
        <f t="shared" si="1"/>
        <v>71002</v>
      </c>
      <c r="V25" s="124" t="s">
        <v>129</v>
      </c>
    </row>
    <row r="26" ht="15.75" customHeight="1">
      <c r="A26" s="1"/>
      <c r="B26" s="1"/>
      <c r="C26" s="117"/>
      <c r="D26" s="129">
        <v>0.0</v>
      </c>
      <c r="E26" s="129">
        <v>0.0</v>
      </c>
      <c r="F26" s="129">
        <v>0.0</v>
      </c>
      <c r="G26" s="129">
        <v>0.0</v>
      </c>
      <c r="H26" s="129">
        <v>0.0</v>
      </c>
      <c r="I26" s="129">
        <v>0.0</v>
      </c>
      <c r="J26" s="129">
        <v>0.0</v>
      </c>
      <c r="K26" s="129">
        <v>0.0</v>
      </c>
      <c r="L26" s="129">
        <v>0.0</v>
      </c>
      <c r="M26" s="129">
        <v>0.0</v>
      </c>
      <c r="N26" s="129">
        <v>0.0</v>
      </c>
      <c r="O26" s="129">
        <v>0.0</v>
      </c>
      <c r="P26" s="129">
        <v>0.0</v>
      </c>
      <c r="Q26" s="129">
        <v>0.0</v>
      </c>
      <c r="R26" s="129">
        <v>0.0</v>
      </c>
      <c r="S26" s="129">
        <v>0.0</v>
      </c>
      <c r="T26" s="116"/>
      <c r="U26" s="120">
        <f t="shared" si="1"/>
        <v>0</v>
      </c>
      <c r="V26" s="124"/>
    </row>
    <row r="27" ht="15.75" customHeight="1">
      <c r="A27" s="113" t="s">
        <v>122</v>
      </c>
      <c r="B27" s="113"/>
      <c r="C27" s="120"/>
      <c r="D27" s="120">
        <f t="shared" ref="D27:T27" si="2">SUM(D3:D26)</f>
        <v>680000</v>
      </c>
      <c r="E27" s="120">
        <f t="shared" si="2"/>
        <v>85000</v>
      </c>
      <c r="F27" s="120">
        <f t="shared" si="2"/>
        <v>85000</v>
      </c>
      <c r="G27" s="120">
        <f t="shared" si="2"/>
        <v>34000</v>
      </c>
      <c r="H27" s="120">
        <f t="shared" si="2"/>
        <v>60000</v>
      </c>
      <c r="I27" s="120">
        <f t="shared" si="2"/>
        <v>564520</v>
      </c>
      <c r="J27" s="120">
        <f t="shared" si="2"/>
        <v>26257</v>
      </c>
      <c r="K27" s="120">
        <f t="shared" si="2"/>
        <v>6789</v>
      </c>
      <c r="L27" s="120">
        <f t="shared" si="2"/>
        <v>0</v>
      </c>
      <c r="M27" s="120">
        <f t="shared" si="2"/>
        <v>0</v>
      </c>
      <c r="N27" s="120">
        <f t="shared" si="2"/>
        <v>0</v>
      </c>
      <c r="O27" s="120">
        <f t="shared" si="2"/>
        <v>0</v>
      </c>
      <c r="P27" s="120">
        <f t="shared" si="2"/>
        <v>50000</v>
      </c>
      <c r="Q27" s="120">
        <f t="shared" si="2"/>
        <v>61310</v>
      </c>
      <c r="R27" s="120">
        <f t="shared" si="2"/>
        <v>6000</v>
      </c>
      <c r="S27" s="120">
        <f t="shared" si="2"/>
        <v>0</v>
      </c>
      <c r="T27" s="120">
        <f t="shared" si="2"/>
        <v>500</v>
      </c>
      <c r="U27" s="120">
        <f t="shared" si="1"/>
        <v>1659376</v>
      </c>
      <c r="V27" s="124"/>
    </row>
    <row r="28" ht="15.75" customHeight="1">
      <c r="A28" s="114"/>
      <c r="B28" s="11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</row>
    <row r="29" ht="15.75" customHeight="1">
      <c r="A29" s="114"/>
      <c r="B29" s="11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</row>
    <row r="30" ht="15.75" customHeight="1">
      <c r="A30" s="114"/>
      <c r="B30" s="11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</row>
    <row r="31" ht="15.75" customHeight="1">
      <c r="A31" s="114"/>
      <c r="B31" s="11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</row>
    <row r="32" ht="15.75" customHeight="1">
      <c r="A32" s="114"/>
      <c r="B32" s="11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</row>
    <row r="33" ht="15.75" customHeight="1">
      <c r="A33" s="114"/>
      <c r="B33" s="11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</row>
    <row r="34" ht="15.75" customHeight="1">
      <c r="A34" s="114"/>
      <c r="B34" s="11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</row>
    <row r="35" ht="15.75" customHeight="1">
      <c r="A35" s="114"/>
      <c r="B35" s="11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</row>
    <row r="36" ht="15.75" customHeight="1">
      <c r="A36" s="114"/>
      <c r="B36" s="11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</row>
    <row r="37" ht="15.75" customHeight="1">
      <c r="A37" s="114"/>
      <c r="B37" s="11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</row>
    <row r="38" ht="15.75" customHeight="1">
      <c r="A38" s="114"/>
      <c r="B38" s="11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</row>
    <row r="39" ht="15.75" customHeight="1">
      <c r="A39" s="114"/>
      <c r="B39" s="11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</row>
    <row r="40" ht="15.75" customHeight="1">
      <c r="A40" s="114"/>
      <c r="B40" s="11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</row>
    <row r="41" ht="15.75" customHeight="1">
      <c r="A41" s="114"/>
      <c r="B41" s="11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</row>
    <row r="42" ht="15.75" customHeight="1">
      <c r="A42" s="114"/>
      <c r="B42" s="11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</row>
    <row r="43" ht="15.75" customHeight="1">
      <c r="A43" s="114"/>
      <c r="B43" s="11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</row>
    <row r="44" ht="15.75" customHeight="1">
      <c r="A44" s="114"/>
      <c r="B44" s="114"/>
    </row>
    <row r="45" ht="15.75" customHeight="1">
      <c r="A45" s="114"/>
      <c r="B45" s="114"/>
    </row>
    <row r="46" ht="15.75" customHeight="1">
      <c r="A46" s="114"/>
      <c r="B46" s="114"/>
    </row>
    <row r="47" ht="15.75" customHeight="1">
      <c r="A47" s="114"/>
      <c r="B47" s="114"/>
    </row>
    <row r="48" ht="15.75" customHeight="1">
      <c r="A48" s="114"/>
      <c r="B48" s="114"/>
    </row>
    <row r="49" ht="15.75" customHeight="1">
      <c r="A49" s="114"/>
      <c r="B49" s="114"/>
    </row>
    <row r="50" ht="15.75" customHeight="1">
      <c r="A50" s="114"/>
      <c r="B50" s="114"/>
    </row>
    <row r="51" ht="15.75" customHeight="1">
      <c r="A51" s="114"/>
      <c r="B51" s="114"/>
    </row>
    <row r="52" ht="15.75" customHeight="1">
      <c r="A52" s="114"/>
      <c r="B52" s="114"/>
    </row>
    <row r="53" ht="15.75" customHeight="1">
      <c r="A53" s="114"/>
      <c r="B53" s="114"/>
    </row>
    <row r="54" ht="15.75" customHeight="1">
      <c r="A54" s="114"/>
      <c r="B54" s="114"/>
    </row>
    <row r="55" ht="15.75" customHeight="1">
      <c r="A55" s="114"/>
      <c r="B55" s="114"/>
    </row>
    <row r="56" ht="15.75" customHeight="1">
      <c r="A56" s="114"/>
      <c r="B56" s="114"/>
    </row>
    <row r="57" ht="15.75" customHeight="1">
      <c r="A57" s="114"/>
      <c r="B57" s="114"/>
    </row>
    <row r="58" ht="15.75" customHeight="1">
      <c r="A58" s="114"/>
      <c r="B58" s="114"/>
    </row>
    <row r="59" ht="15.75" customHeight="1">
      <c r="A59" s="114"/>
      <c r="B59" s="114"/>
    </row>
    <row r="60" ht="15.75" customHeight="1">
      <c r="A60" s="114"/>
      <c r="B60" s="114"/>
    </row>
    <row r="61" ht="15.75" customHeight="1">
      <c r="A61" s="114"/>
      <c r="B61" s="114"/>
    </row>
    <row r="62" ht="15.75" customHeight="1">
      <c r="A62" s="114"/>
      <c r="B62" s="114"/>
    </row>
    <row r="63" ht="15.75" customHeight="1">
      <c r="A63" s="114"/>
      <c r="B63" s="114"/>
    </row>
    <row r="64" ht="15.75" customHeight="1">
      <c r="A64" s="114"/>
      <c r="B64" s="114"/>
    </row>
    <row r="65" ht="15.75" customHeight="1">
      <c r="A65" s="114"/>
      <c r="B65" s="114"/>
    </row>
    <row r="66" ht="15.75" customHeight="1">
      <c r="A66" s="114"/>
      <c r="B66" s="114"/>
    </row>
    <row r="67" ht="15.75" customHeight="1">
      <c r="A67" s="114"/>
      <c r="B67" s="114"/>
    </row>
    <row r="68" ht="15.75" customHeight="1">
      <c r="A68" s="114"/>
      <c r="B68" s="114"/>
    </row>
    <row r="69" ht="15.75" customHeight="1">
      <c r="A69" s="114"/>
      <c r="B69" s="114"/>
    </row>
    <row r="70" ht="15.75" customHeight="1">
      <c r="A70" s="114"/>
      <c r="B70" s="114"/>
    </row>
    <row r="71" ht="15.75" customHeight="1">
      <c r="A71" s="114"/>
      <c r="B71" s="114"/>
    </row>
    <row r="72" ht="15.75" customHeight="1">
      <c r="A72" s="114"/>
      <c r="B72" s="114"/>
    </row>
    <row r="73" ht="15.75" customHeight="1">
      <c r="A73" s="114"/>
      <c r="B73" s="114"/>
    </row>
    <row r="74" ht="15.75" customHeight="1">
      <c r="A74" s="114"/>
      <c r="B74" s="114"/>
    </row>
    <row r="75" ht="15.75" customHeight="1">
      <c r="A75" s="114"/>
      <c r="B75" s="114"/>
    </row>
    <row r="76" ht="15.75" customHeight="1">
      <c r="A76" s="114"/>
      <c r="B76" s="114"/>
    </row>
    <row r="77" ht="15.75" customHeight="1">
      <c r="A77" s="114"/>
      <c r="B77" s="114"/>
    </row>
    <row r="78" ht="15.75" customHeight="1">
      <c r="A78" s="114"/>
      <c r="B78" s="114"/>
    </row>
    <row r="79" ht="15.75" customHeight="1">
      <c r="A79" s="114"/>
      <c r="B79" s="114"/>
    </row>
    <row r="80" ht="15.75" customHeight="1">
      <c r="A80" s="114"/>
      <c r="B80" s="114"/>
    </row>
    <row r="81" ht="15.75" customHeight="1">
      <c r="A81" s="114"/>
      <c r="B81" s="114"/>
    </row>
    <row r="82" ht="15.75" customHeight="1">
      <c r="A82" s="114"/>
      <c r="B82" s="114"/>
    </row>
    <row r="83" ht="15.75" customHeight="1">
      <c r="A83" s="114"/>
      <c r="B83" s="114"/>
    </row>
    <row r="84" ht="15.75" customHeight="1">
      <c r="A84" s="114"/>
      <c r="B84" s="114"/>
    </row>
    <row r="85" ht="15.75" customHeight="1">
      <c r="A85" s="114"/>
      <c r="B85" s="114"/>
    </row>
    <row r="86" ht="15.75" customHeight="1">
      <c r="A86" s="114"/>
      <c r="B86" s="114"/>
    </row>
    <row r="87" ht="15.75" customHeight="1">
      <c r="A87" s="114"/>
      <c r="B87" s="114"/>
    </row>
    <row r="88" ht="15.75" customHeight="1">
      <c r="A88" s="114"/>
      <c r="B88" s="114"/>
    </row>
    <row r="89" ht="15.75" customHeight="1">
      <c r="A89" s="114"/>
      <c r="B89" s="114"/>
    </row>
    <row r="90" ht="15.75" customHeight="1">
      <c r="A90" s="114"/>
      <c r="B90" s="114"/>
    </row>
    <row r="91" ht="15.75" customHeight="1">
      <c r="A91" s="114"/>
      <c r="B91" s="114"/>
    </row>
    <row r="92" ht="15.75" customHeight="1">
      <c r="A92" s="114"/>
      <c r="B92" s="114"/>
    </row>
    <row r="93" ht="15.75" customHeight="1">
      <c r="A93" s="114"/>
      <c r="B93" s="114"/>
    </row>
    <row r="94" ht="15.75" customHeight="1">
      <c r="A94" s="114"/>
      <c r="B94" s="114"/>
    </row>
    <row r="95" ht="15.75" customHeight="1">
      <c r="A95" s="114"/>
      <c r="B95" s="114"/>
    </row>
    <row r="96" ht="15.75" customHeight="1">
      <c r="A96" s="114"/>
      <c r="B96" s="114"/>
    </row>
    <row r="97" ht="15.75" customHeight="1">
      <c r="A97" s="114"/>
      <c r="B97" s="114"/>
    </row>
    <row r="98" ht="15.75" customHeight="1">
      <c r="A98" s="114"/>
      <c r="B98" s="114"/>
    </row>
    <row r="99" ht="15.75" customHeight="1">
      <c r="A99" s="114"/>
      <c r="B99" s="114"/>
    </row>
    <row r="100" ht="15.75" customHeight="1">
      <c r="A100" s="114"/>
      <c r="B100" s="114"/>
    </row>
    <row r="101" ht="15.75" customHeight="1">
      <c r="A101" s="114"/>
      <c r="B101" s="114"/>
    </row>
    <row r="102" ht="15.75" customHeight="1">
      <c r="A102" s="114"/>
      <c r="B102" s="114"/>
    </row>
    <row r="103" ht="15.75" customHeight="1">
      <c r="A103" s="114"/>
      <c r="B103" s="114"/>
    </row>
    <row r="104" ht="15.75" customHeight="1">
      <c r="A104" s="114"/>
      <c r="B104" s="114"/>
    </row>
    <row r="105" ht="15.75" customHeight="1">
      <c r="A105" s="114"/>
      <c r="B105" s="114"/>
    </row>
    <row r="106" ht="15.75" customHeight="1">
      <c r="A106" s="114"/>
      <c r="B106" s="114"/>
    </row>
    <row r="107" ht="15.75" customHeight="1">
      <c r="A107" s="114"/>
      <c r="B107" s="114"/>
    </row>
    <row r="108" ht="15.75" customHeight="1">
      <c r="A108" s="114"/>
      <c r="B108" s="114"/>
    </row>
    <row r="109" ht="15.75" customHeight="1">
      <c r="A109" s="114"/>
      <c r="B109" s="114"/>
    </row>
    <row r="110" ht="15.75" customHeight="1">
      <c r="A110" s="114"/>
      <c r="B110" s="114"/>
    </row>
    <row r="111" ht="15.75" customHeight="1">
      <c r="A111" s="114"/>
      <c r="B111" s="114"/>
    </row>
    <row r="112" ht="15.75" customHeight="1">
      <c r="A112" s="114"/>
      <c r="B112" s="114"/>
    </row>
    <row r="113" ht="15.75" customHeight="1">
      <c r="A113" s="114"/>
      <c r="B113" s="114"/>
    </row>
    <row r="114" ht="15.75" customHeight="1">
      <c r="A114" s="114"/>
      <c r="B114" s="114"/>
    </row>
    <row r="115" ht="15.75" customHeight="1">
      <c r="A115" s="114"/>
      <c r="B115" s="114"/>
    </row>
    <row r="116" ht="15.75" customHeight="1">
      <c r="A116" s="114"/>
      <c r="B116" s="114"/>
    </row>
    <row r="117" ht="15.75" customHeight="1">
      <c r="A117" s="114"/>
      <c r="B117" s="114"/>
    </row>
    <row r="118" ht="15.75" customHeight="1">
      <c r="A118" s="114"/>
      <c r="B118" s="114"/>
    </row>
    <row r="119" ht="15.75" customHeight="1">
      <c r="A119" s="114"/>
      <c r="B119" s="114"/>
    </row>
    <row r="120" ht="15.75" customHeight="1">
      <c r="A120" s="114"/>
      <c r="B120" s="114"/>
    </row>
    <row r="121" ht="15.75" customHeight="1">
      <c r="A121" s="114"/>
      <c r="B121" s="114"/>
    </row>
    <row r="122" ht="15.75" customHeight="1">
      <c r="A122" s="114"/>
      <c r="B122" s="114"/>
    </row>
    <row r="123" ht="15.75" customHeight="1">
      <c r="A123" s="114"/>
      <c r="B123" s="114"/>
    </row>
    <row r="124" ht="15.75" customHeight="1">
      <c r="A124" s="114"/>
      <c r="B124" s="114"/>
    </row>
    <row r="125" ht="15.75" customHeight="1">
      <c r="A125" s="114"/>
      <c r="B125" s="114"/>
    </row>
    <row r="126" ht="15.75" customHeight="1">
      <c r="A126" s="114"/>
      <c r="B126" s="114"/>
    </row>
    <row r="127" ht="15.75" customHeight="1">
      <c r="A127" s="114"/>
      <c r="B127" s="114"/>
    </row>
    <row r="128" ht="15.75" customHeight="1">
      <c r="A128" s="114"/>
      <c r="B128" s="114"/>
    </row>
    <row r="129" ht="15.75" customHeight="1">
      <c r="A129" s="114"/>
      <c r="B129" s="114"/>
    </row>
    <row r="130" ht="15.75" customHeight="1">
      <c r="A130" s="114"/>
      <c r="B130" s="114"/>
    </row>
    <row r="131" ht="15.75" customHeight="1">
      <c r="A131" s="114"/>
      <c r="B131" s="114"/>
    </row>
    <row r="132" ht="15.75" customHeight="1">
      <c r="A132" s="114"/>
      <c r="B132" s="114"/>
    </row>
    <row r="133" ht="15.75" customHeight="1">
      <c r="A133" s="114"/>
      <c r="B133" s="114"/>
    </row>
    <row r="134" ht="15.75" customHeight="1">
      <c r="A134" s="114"/>
      <c r="B134" s="114"/>
    </row>
    <row r="135" ht="15.75" customHeight="1">
      <c r="A135" s="114"/>
      <c r="B135" s="114"/>
    </row>
    <row r="136" ht="15.75" customHeight="1">
      <c r="A136" s="114"/>
      <c r="B136" s="114"/>
    </row>
    <row r="137" ht="15.75" customHeight="1">
      <c r="A137" s="114"/>
      <c r="B137" s="114"/>
    </row>
    <row r="138" ht="15.75" customHeight="1">
      <c r="A138" s="114"/>
      <c r="B138" s="114"/>
    </row>
    <row r="139" ht="15.75" customHeight="1">
      <c r="A139" s="114"/>
      <c r="B139" s="114"/>
    </row>
    <row r="140" ht="15.75" customHeight="1">
      <c r="A140" s="114"/>
      <c r="B140" s="114"/>
    </row>
    <row r="141" ht="15.75" customHeight="1">
      <c r="A141" s="114"/>
      <c r="B141" s="114"/>
    </row>
    <row r="142" ht="15.75" customHeight="1">
      <c r="A142" s="114"/>
      <c r="B142" s="114"/>
    </row>
    <row r="143" ht="15.75" customHeight="1">
      <c r="A143" s="114"/>
      <c r="B143" s="114"/>
    </row>
    <row r="144" ht="15.75" customHeight="1">
      <c r="A144" s="114"/>
      <c r="B144" s="114"/>
    </row>
    <row r="145" ht="15.75" customHeight="1">
      <c r="A145" s="114"/>
      <c r="B145" s="114"/>
    </row>
    <row r="146" ht="15.75" customHeight="1">
      <c r="A146" s="114"/>
      <c r="B146" s="114"/>
    </row>
    <row r="147" ht="15.75" customHeight="1">
      <c r="A147" s="114"/>
      <c r="B147" s="114"/>
    </row>
    <row r="148" ht="15.75" customHeight="1">
      <c r="A148" s="114"/>
      <c r="B148" s="114"/>
    </row>
    <row r="149" ht="15.75" customHeight="1">
      <c r="A149" s="114"/>
      <c r="B149" s="114"/>
    </row>
    <row r="150" ht="15.75" customHeight="1">
      <c r="A150" s="114"/>
      <c r="B150" s="114"/>
    </row>
    <row r="151" ht="15.75" customHeight="1">
      <c r="A151" s="114"/>
      <c r="B151" s="114"/>
    </row>
    <row r="152" ht="15.75" customHeight="1">
      <c r="A152" s="114"/>
      <c r="B152" s="114"/>
    </row>
    <row r="153" ht="15.75" customHeight="1">
      <c r="A153" s="114"/>
      <c r="B153" s="114"/>
    </row>
    <row r="154" ht="15.75" customHeight="1">
      <c r="A154" s="114"/>
      <c r="B154" s="114"/>
    </row>
    <row r="155" ht="15.75" customHeight="1">
      <c r="A155" s="114"/>
      <c r="B155" s="114"/>
    </row>
    <row r="156" ht="15.75" customHeight="1">
      <c r="A156" s="114"/>
      <c r="B156" s="114"/>
    </row>
    <row r="157" ht="15.75" customHeight="1">
      <c r="A157" s="114"/>
      <c r="B157" s="114"/>
    </row>
    <row r="158" ht="15.75" customHeight="1">
      <c r="A158" s="114"/>
      <c r="B158" s="114"/>
    </row>
    <row r="159" ht="15.75" customHeight="1">
      <c r="A159" s="114"/>
      <c r="B159" s="114"/>
    </row>
    <row r="160" ht="15.75" customHeight="1">
      <c r="A160" s="114"/>
      <c r="B160" s="114"/>
    </row>
    <row r="161" ht="15.75" customHeight="1">
      <c r="A161" s="114"/>
      <c r="B161" s="114"/>
    </row>
    <row r="162" ht="15.75" customHeight="1">
      <c r="A162" s="114"/>
      <c r="B162" s="114"/>
    </row>
    <row r="163" ht="15.75" customHeight="1">
      <c r="A163" s="114"/>
      <c r="B163" s="114"/>
    </row>
    <row r="164" ht="15.75" customHeight="1">
      <c r="A164" s="114"/>
      <c r="B164" s="114"/>
    </row>
    <row r="165" ht="15.75" customHeight="1">
      <c r="A165" s="114"/>
      <c r="B165" s="114"/>
    </row>
    <row r="166" ht="15.75" customHeight="1">
      <c r="A166" s="114"/>
      <c r="B166" s="114"/>
    </row>
    <row r="167" ht="15.75" customHeight="1">
      <c r="A167" s="114"/>
      <c r="B167" s="114"/>
    </row>
    <row r="168" ht="15.75" customHeight="1">
      <c r="A168" s="114"/>
      <c r="B168" s="114"/>
    </row>
    <row r="169" ht="15.75" customHeight="1">
      <c r="A169" s="114"/>
      <c r="B169" s="114"/>
    </row>
    <row r="170" ht="15.75" customHeight="1">
      <c r="A170" s="114"/>
      <c r="B170" s="114"/>
    </row>
    <row r="171" ht="15.75" customHeight="1">
      <c r="A171" s="114"/>
      <c r="B171" s="114"/>
    </row>
    <row r="172" ht="15.75" customHeight="1">
      <c r="A172" s="114"/>
      <c r="B172" s="114"/>
    </row>
    <row r="173" ht="15.75" customHeight="1">
      <c r="A173" s="114"/>
      <c r="B173" s="114"/>
    </row>
    <row r="174" ht="15.75" customHeight="1">
      <c r="A174" s="114"/>
      <c r="B174" s="114"/>
    </row>
    <row r="175" ht="15.75" customHeight="1">
      <c r="A175" s="114"/>
      <c r="B175" s="114"/>
    </row>
    <row r="176" ht="15.75" customHeight="1">
      <c r="A176" s="114"/>
      <c r="B176" s="114"/>
    </row>
    <row r="177" ht="15.75" customHeight="1">
      <c r="A177" s="114"/>
      <c r="B177" s="114"/>
    </row>
    <row r="178" ht="15.75" customHeight="1">
      <c r="A178" s="114"/>
      <c r="B178" s="114"/>
    </row>
    <row r="179" ht="15.75" customHeight="1">
      <c r="A179" s="114"/>
      <c r="B179" s="114"/>
    </row>
    <row r="180" ht="15.75" customHeight="1">
      <c r="A180" s="114"/>
      <c r="B180" s="114"/>
    </row>
    <row r="181" ht="15.75" customHeight="1">
      <c r="A181" s="114"/>
      <c r="B181" s="114"/>
    </row>
    <row r="182" ht="15.75" customHeight="1">
      <c r="A182" s="114"/>
      <c r="B182" s="114"/>
    </row>
    <row r="183" ht="15.75" customHeight="1">
      <c r="A183" s="114"/>
      <c r="B183" s="114"/>
    </row>
    <row r="184" ht="15.75" customHeight="1">
      <c r="A184" s="114"/>
      <c r="B184" s="114"/>
    </row>
    <row r="185" ht="15.75" customHeight="1">
      <c r="A185" s="114"/>
      <c r="B185" s="114"/>
    </row>
    <row r="186" ht="15.75" customHeight="1">
      <c r="A186" s="114"/>
      <c r="B186" s="114"/>
    </row>
    <row r="187" ht="15.75" customHeight="1">
      <c r="A187" s="114"/>
      <c r="B187" s="114"/>
    </row>
    <row r="188" ht="15.75" customHeight="1">
      <c r="A188" s="114"/>
      <c r="B188" s="114"/>
    </row>
    <row r="189" ht="15.75" customHeight="1">
      <c r="A189" s="114"/>
      <c r="B189" s="114"/>
    </row>
    <row r="190" ht="15.75" customHeight="1">
      <c r="A190" s="114"/>
      <c r="B190" s="114"/>
    </row>
    <row r="191" ht="15.75" customHeight="1">
      <c r="A191" s="114"/>
      <c r="B191" s="114"/>
    </row>
    <row r="192" ht="15.75" customHeight="1">
      <c r="A192" s="114"/>
      <c r="B192" s="114"/>
    </row>
    <row r="193" ht="15.75" customHeight="1">
      <c r="A193" s="114"/>
      <c r="B193" s="114"/>
    </row>
    <row r="194" ht="15.75" customHeight="1">
      <c r="A194" s="114"/>
      <c r="B194" s="114"/>
    </row>
    <row r="195" ht="15.75" customHeight="1">
      <c r="A195" s="114"/>
      <c r="B195" s="114"/>
    </row>
    <row r="196" ht="15.75" customHeight="1">
      <c r="A196" s="114"/>
      <c r="B196" s="114"/>
    </row>
    <row r="197" ht="15.75" customHeight="1">
      <c r="A197" s="114"/>
      <c r="B197" s="114"/>
    </row>
    <row r="198" ht="15.75" customHeight="1">
      <c r="A198" s="114"/>
      <c r="B198" s="114"/>
    </row>
    <row r="199" ht="15.75" customHeight="1">
      <c r="A199" s="114"/>
      <c r="B199" s="114"/>
    </row>
    <row r="200" ht="15.75" customHeight="1">
      <c r="A200" s="114"/>
      <c r="B200" s="114"/>
    </row>
    <row r="201" ht="15.75" customHeight="1">
      <c r="A201" s="114"/>
      <c r="B201" s="114"/>
    </row>
    <row r="202" ht="15.75" customHeight="1">
      <c r="A202" s="114"/>
      <c r="B202" s="114"/>
    </row>
    <row r="203" ht="15.75" customHeight="1">
      <c r="A203" s="114"/>
      <c r="B203" s="114"/>
    </row>
    <row r="204" ht="15.75" customHeight="1">
      <c r="A204" s="114"/>
      <c r="B204" s="114"/>
    </row>
    <row r="205" ht="15.75" customHeight="1">
      <c r="A205" s="114"/>
      <c r="B205" s="114"/>
    </row>
    <row r="206" ht="15.75" customHeight="1">
      <c r="A206" s="114"/>
      <c r="B206" s="114"/>
    </row>
    <row r="207" ht="15.75" customHeight="1">
      <c r="A207" s="114"/>
      <c r="B207" s="114"/>
    </row>
    <row r="208" ht="15.75" customHeight="1">
      <c r="A208" s="114"/>
      <c r="B208" s="114"/>
    </row>
    <row r="209" ht="15.75" customHeight="1">
      <c r="A209" s="114"/>
      <c r="B209" s="114"/>
    </row>
    <row r="210" ht="15.75" customHeight="1">
      <c r="A210" s="114"/>
      <c r="B210" s="114"/>
    </row>
    <row r="211" ht="15.75" customHeight="1">
      <c r="A211" s="114"/>
      <c r="B211" s="114"/>
    </row>
    <row r="212" ht="15.75" customHeight="1">
      <c r="A212" s="114"/>
      <c r="B212" s="114"/>
    </row>
    <row r="213" ht="15.75" customHeight="1">
      <c r="A213" s="114"/>
      <c r="B213" s="114"/>
    </row>
    <row r="214" ht="15.75" customHeight="1">
      <c r="A214" s="114"/>
      <c r="B214" s="114"/>
    </row>
    <row r="215" ht="15.75" customHeight="1">
      <c r="A215" s="114"/>
      <c r="B215" s="114"/>
    </row>
    <row r="216" ht="15.75" customHeight="1">
      <c r="A216" s="114"/>
      <c r="B216" s="114"/>
    </row>
    <row r="217" ht="15.75" customHeight="1">
      <c r="A217" s="114"/>
      <c r="B217" s="114"/>
    </row>
    <row r="218" ht="15.75" customHeight="1">
      <c r="A218" s="114"/>
      <c r="B218" s="114"/>
    </row>
    <row r="219" ht="15.75" customHeight="1">
      <c r="A219" s="114"/>
      <c r="B219" s="114"/>
    </row>
    <row r="220" ht="15.75" customHeight="1">
      <c r="A220" s="114"/>
      <c r="B220" s="114"/>
    </row>
    <row r="221" ht="15.75" customHeight="1">
      <c r="A221" s="114"/>
      <c r="B221" s="114"/>
    </row>
    <row r="222" ht="15.75" customHeight="1">
      <c r="A222" s="114"/>
      <c r="B222" s="114"/>
    </row>
    <row r="223" ht="15.75" customHeight="1">
      <c r="A223" s="114"/>
      <c r="B223" s="114"/>
    </row>
    <row r="224" ht="15.75" customHeight="1">
      <c r="A224" s="114"/>
      <c r="B224" s="114"/>
    </row>
    <row r="225" ht="15.75" customHeight="1">
      <c r="A225" s="114"/>
      <c r="B225" s="114"/>
    </row>
    <row r="226" ht="15.75" customHeight="1">
      <c r="A226" s="114"/>
      <c r="B226" s="114"/>
    </row>
    <row r="227" ht="15.75" customHeight="1">
      <c r="A227" s="114"/>
      <c r="B227" s="11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